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han\Documents\eps-us\InputData\"/>
    </mc:Choice>
  </mc:AlternateContent>
  <bookViews>
    <workbookView xWindow="0" yWindow="0" windowWidth="28800" windowHeight="11400"/>
  </bookViews>
  <sheets>
    <sheet name="About" sheetId="4" r:id="rId1"/>
    <sheet name="Sheet1" sheetId="1" r:id="rId2"/>
    <sheet name="Sheet2" sheetId="6" r:id="rId3"/>
    <sheet name="Customizations" sheetId="5" r:id="rId4"/>
  </sheets>
  <calcPr calcId="162913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57" i="1" l="1"/>
  <c r="J758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56" i="1"/>
  <c r="H6" i="1"/>
  <c r="I6" i="1"/>
  <c r="J6" i="1" s="1"/>
  <c r="H7" i="1"/>
  <c r="I7" i="1"/>
  <c r="J7" i="1" s="1"/>
  <c r="H8" i="1"/>
  <c r="I8" i="1"/>
  <c r="J8" i="1" s="1"/>
  <c r="H9" i="1"/>
  <c r="I9" i="1"/>
  <c r="J9" i="1" s="1"/>
  <c r="H10" i="1"/>
  <c r="I10" i="1"/>
  <c r="J10" i="1" s="1"/>
  <c r="H11" i="1"/>
  <c r="I11" i="1"/>
  <c r="J11" i="1" s="1"/>
  <c r="H12" i="1"/>
  <c r="I12" i="1"/>
  <c r="J12" i="1" s="1"/>
  <c r="H13" i="1"/>
  <c r="I13" i="1"/>
  <c r="J13" i="1" s="1"/>
  <c r="H14" i="1"/>
  <c r="I14" i="1"/>
  <c r="J14" i="1" s="1"/>
  <c r="H15" i="1"/>
  <c r="I15" i="1"/>
  <c r="J15" i="1" s="1"/>
  <c r="H16" i="1"/>
  <c r="I16" i="1"/>
  <c r="J16" i="1" s="1"/>
  <c r="H17" i="1"/>
  <c r="I17" i="1"/>
  <c r="J17" i="1" s="1"/>
  <c r="H18" i="1"/>
  <c r="I18" i="1"/>
  <c r="J18" i="1" s="1"/>
  <c r="H19" i="1"/>
  <c r="I19" i="1"/>
  <c r="J19" i="1" s="1"/>
  <c r="H20" i="1"/>
  <c r="I20" i="1"/>
  <c r="J20" i="1" s="1"/>
  <c r="H21" i="1"/>
  <c r="I21" i="1"/>
  <c r="J21" i="1" s="1"/>
  <c r="H22" i="1"/>
  <c r="I22" i="1"/>
  <c r="J22" i="1" s="1"/>
  <c r="H23" i="1"/>
  <c r="I23" i="1"/>
  <c r="J23" i="1" s="1"/>
  <c r="K23" i="1" s="1"/>
  <c r="H24" i="1"/>
  <c r="I24" i="1"/>
  <c r="J24" i="1" s="1"/>
  <c r="H25" i="1"/>
  <c r="I25" i="1"/>
  <c r="J25" i="1" s="1"/>
  <c r="H26" i="1"/>
  <c r="I26" i="1"/>
  <c r="J26" i="1" s="1"/>
  <c r="H27" i="1"/>
  <c r="I27" i="1"/>
  <c r="J27" i="1" s="1"/>
  <c r="H28" i="1"/>
  <c r="I28" i="1"/>
  <c r="J28" i="1" s="1"/>
  <c r="H29" i="1"/>
  <c r="I29" i="1"/>
  <c r="J29" i="1" s="1"/>
  <c r="H30" i="1"/>
  <c r="I30" i="1"/>
  <c r="J30" i="1" s="1"/>
  <c r="H31" i="1"/>
  <c r="I31" i="1"/>
  <c r="J31" i="1" s="1"/>
  <c r="K31" i="1" s="1"/>
  <c r="H32" i="1"/>
  <c r="I32" i="1"/>
  <c r="J32" i="1" s="1"/>
  <c r="H33" i="1"/>
  <c r="I33" i="1"/>
  <c r="J33" i="1" s="1"/>
  <c r="H34" i="1"/>
  <c r="I34" i="1"/>
  <c r="J34" i="1" s="1"/>
  <c r="H35" i="1"/>
  <c r="I35" i="1"/>
  <c r="J35" i="1" s="1"/>
  <c r="H36" i="1"/>
  <c r="I36" i="1"/>
  <c r="J36" i="1" s="1"/>
  <c r="H37" i="1"/>
  <c r="I37" i="1"/>
  <c r="J37" i="1" s="1"/>
  <c r="H38" i="1"/>
  <c r="I38" i="1"/>
  <c r="J38" i="1" s="1"/>
  <c r="H39" i="1"/>
  <c r="I39" i="1"/>
  <c r="J39" i="1" s="1"/>
  <c r="H40" i="1"/>
  <c r="I40" i="1"/>
  <c r="J40" i="1" s="1"/>
  <c r="H41" i="1"/>
  <c r="I41" i="1"/>
  <c r="J41" i="1" s="1"/>
  <c r="H42" i="1"/>
  <c r="I42" i="1"/>
  <c r="J42" i="1" s="1"/>
  <c r="H43" i="1"/>
  <c r="I43" i="1"/>
  <c r="J43" i="1" s="1"/>
  <c r="H44" i="1"/>
  <c r="I44" i="1"/>
  <c r="J44" i="1" s="1"/>
  <c r="H45" i="1"/>
  <c r="I45" i="1"/>
  <c r="J45" i="1" s="1"/>
  <c r="H46" i="1"/>
  <c r="I46" i="1"/>
  <c r="J46" i="1" s="1"/>
  <c r="H47" i="1"/>
  <c r="I47" i="1"/>
  <c r="J47" i="1" s="1"/>
  <c r="H48" i="1"/>
  <c r="I48" i="1"/>
  <c r="J48" i="1" s="1"/>
  <c r="H49" i="1"/>
  <c r="I49" i="1"/>
  <c r="J49" i="1" s="1"/>
  <c r="H50" i="1"/>
  <c r="I50" i="1"/>
  <c r="J50" i="1" s="1"/>
  <c r="H51" i="1"/>
  <c r="I51" i="1"/>
  <c r="J51" i="1" s="1"/>
  <c r="H52" i="1"/>
  <c r="I52" i="1"/>
  <c r="J52" i="1" s="1"/>
  <c r="H53" i="1"/>
  <c r="I53" i="1"/>
  <c r="J53" i="1" s="1"/>
  <c r="H54" i="1"/>
  <c r="I54" i="1"/>
  <c r="J54" i="1" s="1"/>
  <c r="H55" i="1"/>
  <c r="I55" i="1"/>
  <c r="J55" i="1" s="1"/>
  <c r="K55" i="1" s="1"/>
  <c r="H56" i="1"/>
  <c r="I56" i="1"/>
  <c r="J56" i="1" s="1"/>
  <c r="H57" i="1"/>
  <c r="I57" i="1"/>
  <c r="J57" i="1" s="1"/>
  <c r="H58" i="1"/>
  <c r="I58" i="1"/>
  <c r="J58" i="1" s="1"/>
  <c r="H59" i="1"/>
  <c r="I59" i="1"/>
  <c r="J59" i="1" s="1"/>
  <c r="H60" i="1"/>
  <c r="I60" i="1"/>
  <c r="J60" i="1" s="1"/>
  <c r="H61" i="1"/>
  <c r="I61" i="1"/>
  <c r="J61" i="1" s="1"/>
  <c r="H62" i="1"/>
  <c r="I62" i="1"/>
  <c r="J62" i="1" s="1"/>
  <c r="H63" i="1"/>
  <c r="I63" i="1"/>
  <c r="J63" i="1" s="1"/>
  <c r="K63" i="1" s="1"/>
  <c r="H64" i="1"/>
  <c r="I64" i="1"/>
  <c r="J64" i="1" s="1"/>
  <c r="H65" i="1"/>
  <c r="I65" i="1"/>
  <c r="J65" i="1" s="1"/>
  <c r="H66" i="1"/>
  <c r="I66" i="1"/>
  <c r="J66" i="1" s="1"/>
  <c r="H67" i="1"/>
  <c r="I67" i="1"/>
  <c r="J67" i="1" s="1"/>
  <c r="H68" i="1"/>
  <c r="I68" i="1"/>
  <c r="J68" i="1" s="1"/>
  <c r="H69" i="1"/>
  <c r="I69" i="1"/>
  <c r="J69" i="1" s="1"/>
  <c r="H70" i="1"/>
  <c r="I70" i="1"/>
  <c r="J70" i="1" s="1"/>
  <c r="H71" i="1"/>
  <c r="I71" i="1"/>
  <c r="J71" i="1" s="1"/>
  <c r="K71" i="1" s="1"/>
  <c r="H72" i="1"/>
  <c r="I72" i="1"/>
  <c r="J72" i="1" s="1"/>
  <c r="H73" i="1"/>
  <c r="I73" i="1"/>
  <c r="J73" i="1" s="1"/>
  <c r="H74" i="1"/>
  <c r="I74" i="1"/>
  <c r="J74" i="1" s="1"/>
  <c r="H75" i="1"/>
  <c r="I75" i="1"/>
  <c r="J75" i="1" s="1"/>
  <c r="H76" i="1"/>
  <c r="I76" i="1"/>
  <c r="J76" i="1" s="1"/>
  <c r="H77" i="1"/>
  <c r="I77" i="1"/>
  <c r="J77" i="1" s="1"/>
  <c r="H78" i="1"/>
  <c r="I78" i="1"/>
  <c r="J78" i="1" s="1"/>
  <c r="H79" i="1"/>
  <c r="I79" i="1"/>
  <c r="J79" i="1" s="1"/>
  <c r="H80" i="1"/>
  <c r="I80" i="1"/>
  <c r="J80" i="1" s="1"/>
  <c r="H81" i="1"/>
  <c r="I81" i="1"/>
  <c r="J81" i="1" s="1"/>
  <c r="H82" i="1"/>
  <c r="I82" i="1"/>
  <c r="J82" i="1" s="1"/>
  <c r="H83" i="1"/>
  <c r="I83" i="1"/>
  <c r="J83" i="1" s="1"/>
  <c r="H84" i="1"/>
  <c r="I84" i="1"/>
  <c r="J84" i="1" s="1"/>
  <c r="H85" i="1"/>
  <c r="I85" i="1"/>
  <c r="J85" i="1" s="1"/>
  <c r="H86" i="1"/>
  <c r="I86" i="1"/>
  <c r="J86" i="1" s="1"/>
  <c r="H87" i="1"/>
  <c r="I87" i="1"/>
  <c r="J87" i="1" s="1"/>
  <c r="H88" i="1"/>
  <c r="I88" i="1"/>
  <c r="J88" i="1" s="1"/>
  <c r="H89" i="1"/>
  <c r="I89" i="1"/>
  <c r="J89" i="1" s="1"/>
  <c r="H90" i="1"/>
  <c r="I90" i="1"/>
  <c r="J90" i="1" s="1"/>
  <c r="H91" i="1"/>
  <c r="I91" i="1"/>
  <c r="J91" i="1" s="1"/>
  <c r="H92" i="1"/>
  <c r="I92" i="1"/>
  <c r="J92" i="1" s="1"/>
  <c r="H93" i="1"/>
  <c r="I93" i="1"/>
  <c r="J93" i="1" s="1"/>
  <c r="H94" i="1"/>
  <c r="I94" i="1"/>
  <c r="J94" i="1" s="1"/>
  <c r="H95" i="1"/>
  <c r="I95" i="1"/>
  <c r="J95" i="1" s="1"/>
  <c r="K95" i="1" s="1"/>
  <c r="H96" i="1"/>
  <c r="I96" i="1"/>
  <c r="J96" i="1" s="1"/>
  <c r="H97" i="1"/>
  <c r="I97" i="1"/>
  <c r="J97" i="1" s="1"/>
  <c r="H98" i="1"/>
  <c r="I98" i="1"/>
  <c r="J98" i="1" s="1"/>
  <c r="H99" i="1"/>
  <c r="I99" i="1"/>
  <c r="J99" i="1" s="1"/>
  <c r="H100" i="1"/>
  <c r="I100" i="1"/>
  <c r="J100" i="1" s="1"/>
  <c r="H101" i="1"/>
  <c r="I101" i="1"/>
  <c r="J101" i="1" s="1"/>
  <c r="H102" i="1"/>
  <c r="I102" i="1"/>
  <c r="J102" i="1" s="1"/>
  <c r="H103" i="1"/>
  <c r="I103" i="1"/>
  <c r="J103" i="1" s="1"/>
  <c r="H104" i="1"/>
  <c r="I104" i="1"/>
  <c r="J104" i="1" s="1"/>
  <c r="H105" i="1"/>
  <c r="I105" i="1"/>
  <c r="J105" i="1" s="1"/>
  <c r="H106" i="1"/>
  <c r="I106" i="1"/>
  <c r="J106" i="1" s="1"/>
  <c r="H107" i="1"/>
  <c r="I107" i="1"/>
  <c r="J107" i="1" s="1"/>
  <c r="H108" i="1"/>
  <c r="I108" i="1"/>
  <c r="J108" i="1" s="1"/>
  <c r="H109" i="1"/>
  <c r="I109" i="1"/>
  <c r="J109" i="1" s="1"/>
  <c r="H110" i="1"/>
  <c r="I110" i="1"/>
  <c r="J110" i="1" s="1"/>
  <c r="H111" i="1"/>
  <c r="I111" i="1"/>
  <c r="J111" i="1" s="1"/>
  <c r="H112" i="1"/>
  <c r="I112" i="1"/>
  <c r="J112" i="1" s="1"/>
  <c r="H113" i="1"/>
  <c r="I113" i="1"/>
  <c r="J113" i="1" s="1"/>
  <c r="H114" i="1"/>
  <c r="I114" i="1"/>
  <c r="J114" i="1" s="1"/>
  <c r="H115" i="1"/>
  <c r="I115" i="1"/>
  <c r="J115" i="1" s="1"/>
  <c r="H116" i="1"/>
  <c r="I116" i="1"/>
  <c r="J116" i="1" s="1"/>
  <c r="H117" i="1"/>
  <c r="I117" i="1"/>
  <c r="J117" i="1" s="1"/>
  <c r="H118" i="1"/>
  <c r="I118" i="1"/>
  <c r="J118" i="1" s="1"/>
  <c r="H119" i="1"/>
  <c r="I119" i="1"/>
  <c r="J119" i="1" s="1"/>
  <c r="H120" i="1"/>
  <c r="I120" i="1"/>
  <c r="J120" i="1" s="1"/>
  <c r="H121" i="1"/>
  <c r="I121" i="1"/>
  <c r="J121" i="1" s="1"/>
  <c r="H122" i="1"/>
  <c r="I122" i="1"/>
  <c r="J122" i="1" s="1"/>
  <c r="H123" i="1"/>
  <c r="I123" i="1"/>
  <c r="J123" i="1" s="1"/>
  <c r="H124" i="1"/>
  <c r="I124" i="1"/>
  <c r="J124" i="1" s="1"/>
  <c r="H125" i="1"/>
  <c r="I125" i="1"/>
  <c r="J125" i="1" s="1"/>
  <c r="H126" i="1"/>
  <c r="I126" i="1"/>
  <c r="J126" i="1" s="1"/>
  <c r="H127" i="1"/>
  <c r="I127" i="1"/>
  <c r="J127" i="1" s="1"/>
  <c r="K127" i="1" s="1"/>
  <c r="H128" i="1"/>
  <c r="I128" i="1"/>
  <c r="J128" i="1" s="1"/>
  <c r="H129" i="1"/>
  <c r="I129" i="1"/>
  <c r="J129" i="1" s="1"/>
  <c r="H130" i="1"/>
  <c r="I130" i="1"/>
  <c r="J130" i="1" s="1"/>
  <c r="H131" i="1"/>
  <c r="I131" i="1"/>
  <c r="J131" i="1" s="1"/>
  <c r="H132" i="1"/>
  <c r="I132" i="1"/>
  <c r="J132" i="1" s="1"/>
  <c r="H133" i="1"/>
  <c r="I133" i="1"/>
  <c r="J133" i="1" s="1"/>
  <c r="H134" i="1"/>
  <c r="I134" i="1"/>
  <c r="J134" i="1" s="1"/>
  <c r="H135" i="1"/>
  <c r="I135" i="1"/>
  <c r="J135" i="1" s="1"/>
  <c r="K135" i="1" s="1"/>
  <c r="H136" i="1"/>
  <c r="I136" i="1"/>
  <c r="J136" i="1" s="1"/>
  <c r="H137" i="1"/>
  <c r="I137" i="1"/>
  <c r="J137" i="1" s="1"/>
  <c r="H138" i="1"/>
  <c r="I138" i="1"/>
  <c r="J138" i="1" s="1"/>
  <c r="H139" i="1"/>
  <c r="I139" i="1"/>
  <c r="J139" i="1" s="1"/>
  <c r="H140" i="1"/>
  <c r="I140" i="1"/>
  <c r="J140" i="1" s="1"/>
  <c r="H141" i="1"/>
  <c r="I141" i="1"/>
  <c r="J141" i="1" s="1"/>
  <c r="H142" i="1"/>
  <c r="I142" i="1"/>
  <c r="J142" i="1" s="1"/>
  <c r="H143" i="1"/>
  <c r="I143" i="1"/>
  <c r="J143" i="1" s="1"/>
  <c r="K143" i="1" s="1"/>
  <c r="H144" i="1"/>
  <c r="I144" i="1"/>
  <c r="J144" i="1" s="1"/>
  <c r="H145" i="1"/>
  <c r="I145" i="1"/>
  <c r="J145" i="1" s="1"/>
  <c r="H146" i="1"/>
  <c r="I146" i="1"/>
  <c r="J146" i="1" s="1"/>
  <c r="H147" i="1"/>
  <c r="I147" i="1"/>
  <c r="J147" i="1" s="1"/>
  <c r="H148" i="1"/>
  <c r="I148" i="1"/>
  <c r="J148" i="1" s="1"/>
  <c r="H149" i="1"/>
  <c r="I149" i="1"/>
  <c r="J149" i="1" s="1"/>
  <c r="H150" i="1"/>
  <c r="I150" i="1"/>
  <c r="J150" i="1" s="1"/>
  <c r="H151" i="1"/>
  <c r="I151" i="1"/>
  <c r="J151" i="1" s="1"/>
  <c r="K151" i="1" s="1"/>
  <c r="H152" i="1"/>
  <c r="I152" i="1"/>
  <c r="J152" i="1" s="1"/>
  <c r="H153" i="1"/>
  <c r="I153" i="1"/>
  <c r="J153" i="1" s="1"/>
  <c r="H154" i="1"/>
  <c r="I154" i="1"/>
  <c r="J154" i="1" s="1"/>
  <c r="H155" i="1"/>
  <c r="I155" i="1"/>
  <c r="J155" i="1" s="1"/>
  <c r="H156" i="1"/>
  <c r="I156" i="1"/>
  <c r="J156" i="1" s="1"/>
  <c r="H157" i="1"/>
  <c r="I157" i="1"/>
  <c r="J157" i="1" s="1"/>
  <c r="H158" i="1"/>
  <c r="I158" i="1"/>
  <c r="J158" i="1" s="1"/>
  <c r="H159" i="1"/>
  <c r="I159" i="1"/>
  <c r="J159" i="1" s="1"/>
  <c r="H160" i="1"/>
  <c r="I160" i="1"/>
  <c r="J160" i="1" s="1"/>
  <c r="H161" i="1"/>
  <c r="I161" i="1"/>
  <c r="J161" i="1" s="1"/>
  <c r="H162" i="1"/>
  <c r="I162" i="1"/>
  <c r="J162" i="1" s="1"/>
  <c r="H163" i="1"/>
  <c r="I163" i="1"/>
  <c r="J163" i="1" s="1"/>
  <c r="H164" i="1"/>
  <c r="I164" i="1"/>
  <c r="J164" i="1" s="1"/>
  <c r="H165" i="1"/>
  <c r="I165" i="1"/>
  <c r="J165" i="1" s="1"/>
  <c r="H166" i="1"/>
  <c r="I166" i="1"/>
  <c r="J166" i="1" s="1"/>
  <c r="H167" i="1"/>
  <c r="I167" i="1"/>
  <c r="J167" i="1" s="1"/>
  <c r="H168" i="1"/>
  <c r="I168" i="1"/>
  <c r="J168" i="1" s="1"/>
  <c r="H169" i="1"/>
  <c r="I169" i="1"/>
  <c r="J169" i="1" s="1"/>
  <c r="H170" i="1"/>
  <c r="I170" i="1"/>
  <c r="J170" i="1" s="1"/>
  <c r="H171" i="1"/>
  <c r="I171" i="1"/>
  <c r="J171" i="1" s="1"/>
  <c r="H172" i="1"/>
  <c r="I172" i="1"/>
  <c r="J172" i="1" s="1"/>
  <c r="H173" i="1"/>
  <c r="I173" i="1"/>
  <c r="J173" i="1" s="1"/>
  <c r="H174" i="1"/>
  <c r="I174" i="1"/>
  <c r="J174" i="1" s="1"/>
  <c r="H175" i="1"/>
  <c r="I175" i="1"/>
  <c r="J175" i="1" s="1"/>
  <c r="H176" i="1"/>
  <c r="I176" i="1"/>
  <c r="J176" i="1" s="1"/>
  <c r="H177" i="1"/>
  <c r="I177" i="1"/>
  <c r="J177" i="1" s="1"/>
  <c r="H178" i="1"/>
  <c r="I178" i="1"/>
  <c r="J178" i="1" s="1"/>
  <c r="H179" i="1"/>
  <c r="I179" i="1"/>
  <c r="J179" i="1" s="1"/>
  <c r="H180" i="1"/>
  <c r="I180" i="1"/>
  <c r="J180" i="1" s="1"/>
  <c r="H181" i="1"/>
  <c r="I181" i="1"/>
  <c r="J181" i="1" s="1"/>
  <c r="H182" i="1"/>
  <c r="I182" i="1"/>
  <c r="J182" i="1" s="1"/>
  <c r="H183" i="1"/>
  <c r="I183" i="1"/>
  <c r="J183" i="1" s="1"/>
  <c r="H184" i="1"/>
  <c r="I184" i="1"/>
  <c r="J184" i="1" s="1"/>
  <c r="H185" i="1"/>
  <c r="I185" i="1"/>
  <c r="J185" i="1" s="1"/>
  <c r="H186" i="1"/>
  <c r="I186" i="1"/>
  <c r="J186" i="1" s="1"/>
  <c r="H187" i="1"/>
  <c r="I187" i="1"/>
  <c r="J187" i="1" s="1"/>
  <c r="H188" i="1"/>
  <c r="I188" i="1"/>
  <c r="J188" i="1" s="1"/>
  <c r="H189" i="1"/>
  <c r="I189" i="1"/>
  <c r="J189" i="1" s="1"/>
  <c r="H190" i="1"/>
  <c r="I190" i="1"/>
  <c r="J190" i="1" s="1"/>
  <c r="H191" i="1"/>
  <c r="I191" i="1"/>
  <c r="J191" i="1" s="1"/>
  <c r="H192" i="1"/>
  <c r="I192" i="1"/>
  <c r="J192" i="1" s="1"/>
  <c r="H193" i="1"/>
  <c r="I193" i="1"/>
  <c r="J193" i="1" s="1"/>
  <c r="H194" i="1"/>
  <c r="I194" i="1"/>
  <c r="J194" i="1" s="1"/>
  <c r="H195" i="1"/>
  <c r="I195" i="1"/>
  <c r="J195" i="1" s="1"/>
  <c r="H196" i="1"/>
  <c r="I196" i="1"/>
  <c r="J196" i="1" s="1"/>
  <c r="H197" i="1"/>
  <c r="I197" i="1"/>
  <c r="J197" i="1" s="1"/>
  <c r="H198" i="1"/>
  <c r="I198" i="1"/>
  <c r="J198" i="1" s="1"/>
  <c r="H199" i="1"/>
  <c r="I199" i="1"/>
  <c r="J199" i="1" s="1"/>
  <c r="H200" i="1"/>
  <c r="I200" i="1"/>
  <c r="J200" i="1" s="1"/>
  <c r="H201" i="1"/>
  <c r="I201" i="1"/>
  <c r="J201" i="1" s="1"/>
  <c r="H202" i="1"/>
  <c r="I202" i="1"/>
  <c r="J202" i="1" s="1"/>
  <c r="H203" i="1"/>
  <c r="I203" i="1"/>
  <c r="J203" i="1" s="1"/>
  <c r="H204" i="1"/>
  <c r="I204" i="1"/>
  <c r="J204" i="1" s="1"/>
  <c r="H205" i="1"/>
  <c r="I205" i="1"/>
  <c r="J205" i="1" s="1"/>
  <c r="H206" i="1"/>
  <c r="I206" i="1"/>
  <c r="J206" i="1" s="1"/>
  <c r="H207" i="1"/>
  <c r="I207" i="1"/>
  <c r="J207" i="1" s="1"/>
  <c r="H208" i="1"/>
  <c r="I208" i="1"/>
  <c r="J208" i="1" s="1"/>
  <c r="H209" i="1"/>
  <c r="I209" i="1"/>
  <c r="J209" i="1" s="1"/>
  <c r="H210" i="1"/>
  <c r="I210" i="1"/>
  <c r="J210" i="1" s="1"/>
  <c r="H211" i="1"/>
  <c r="I211" i="1"/>
  <c r="J211" i="1" s="1"/>
  <c r="H212" i="1"/>
  <c r="I212" i="1"/>
  <c r="J212" i="1" s="1"/>
  <c r="H213" i="1"/>
  <c r="I213" i="1"/>
  <c r="J213" i="1" s="1"/>
  <c r="H214" i="1"/>
  <c r="I214" i="1"/>
  <c r="J214" i="1" s="1"/>
  <c r="H215" i="1"/>
  <c r="I215" i="1"/>
  <c r="J215" i="1" s="1"/>
  <c r="H216" i="1"/>
  <c r="I216" i="1"/>
  <c r="J216" i="1" s="1"/>
  <c r="H217" i="1"/>
  <c r="I217" i="1"/>
  <c r="J217" i="1" s="1"/>
  <c r="H218" i="1"/>
  <c r="I218" i="1"/>
  <c r="J218" i="1" s="1"/>
  <c r="H219" i="1"/>
  <c r="I219" i="1"/>
  <c r="J219" i="1" s="1"/>
  <c r="H220" i="1"/>
  <c r="I220" i="1"/>
  <c r="J220" i="1" s="1"/>
  <c r="H221" i="1"/>
  <c r="I221" i="1"/>
  <c r="J221" i="1" s="1"/>
  <c r="H222" i="1"/>
  <c r="I222" i="1"/>
  <c r="J222" i="1" s="1"/>
  <c r="H223" i="1"/>
  <c r="I223" i="1"/>
  <c r="J223" i="1" s="1"/>
  <c r="H224" i="1"/>
  <c r="I224" i="1"/>
  <c r="J224" i="1" s="1"/>
  <c r="H225" i="1"/>
  <c r="I225" i="1"/>
  <c r="J225" i="1" s="1"/>
  <c r="H226" i="1"/>
  <c r="I226" i="1"/>
  <c r="J226" i="1" s="1"/>
  <c r="H227" i="1"/>
  <c r="I227" i="1"/>
  <c r="J227" i="1" s="1"/>
  <c r="H228" i="1"/>
  <c r="I228" i="1"/>
  <c r="J228" i="1" s="1"/>
  <c r="H229" i="1"/>
  <c r="I229" i="1"/>
  <c r="J229" i="1" s="1"/>
  <c r="H230" i="1"/>
  <c r="I230" i="1"/>
  <c r="J230" i="1" s="1"/>
  <c r="H231" i="1"/>
  <c r="I231" i="1"/>
  <c r="J231" i="1" s="1"/>
  <c r="H232" i="1"/>
  <c r="I232" i="1"/>
  <c r="J232" i="1" s="1"/>
  <c r="H233" i="1"/>
  <c r="I233" i="1"/>
  <c r="J233" i="1" s="1"/>
  <c r="H234" i="1"/>
  <c r="I234" i="1"/>
  <c r="J234" i="1" s="1"/>
  <c r="H235" i="1"/>
  <c r="I235" i="1"/>
  <c r="J235" i="1" s="1"/>
  <c r="H236" i="1"/>
  <c r="I236" i="1"/>
  <c r="J236" i="1" s="1"/>
  <c r="H237" i="1"/>
  <c r="I237" i="1"/>
  <c r="J237" i="1" s="1"/>
  <c r="H238" i="1"/>
  <c r="I238" i="1"/>
  <c r="J238" i="1" s="1"/>
  <c r="H239" i="1"/>
  <c r="I239" i="1"/>
  <c r="J239" i="1" s="1"/>
  <c r="H240" i="1"/>
  <c r="I240" i="1"/>
  <c r="J240" i="1" s="1"/>
  <c r="H241" i="1"/>
  <c r="I241" i="1"/>
  <c r="J241" i="1" s="1"/>
  <c r="H242" i="1"/>
  <c r="I242" i="1"/>
  <c r="J242" i="1" s="1"/>
  <c r="H243" i="1"/>
  <c r="I243" i="1"/>
  <c r="J243" i="1" s="1"/>
  <c r="H244" i="1"/>
  <c r="I244" i="1"/>
  <c r="J244" i="1" s="1"/>
  <c r="H245" i="1"/>
  <c r="I245" i="1"/>
  <c r="J245" i="1" s="1"/>
  <c r="H246" i="1"/>
  <c r="I246" i="1"/>
  <c r="J246" i="1" s="1"/>
  <c r="H247" i="1"/>
  <c r="I247" i="1"/>
  <c r="J247" i="1" s="1"/>
  <c r="H248" i="1"/>
  <c r="I248" i="1"/>
  <c r="J248" i="1" s="1"/>
  <c r="H249" i="1"/>
  <c r="I249" i="1"/>
  <c r="J249" i="1" s="1"/>
  <c r="H250" i="1"/>
  <c r="I250" i="1"/>
  <c r="J250" i="1" s="1"/>
  <c r="H251" i="1"/>
  <c r="I251" i="1"/>
  <c r="J251" i="1" s="1"/>
  <c r="H252" i="1"/>
  <c r="I252" i="1"/>
  <c r="J252" i="1" s="1"/>
  <c r="H253" i="1"/>
  <c r="I253" i="1"/>
  <c r="J253" i="1" s="1"/>
  <c r="H254" i="1"/>
  <c r="I254" i="1"/>
  <c r="J254" i="1" s="1"/>
  <c r="H255" i="1"/>
  <c r="I255" i="1"/>
  <c r="J255" i="1" s="1"/>
  <c r="H256" i="1"/>
  <c r="I256" i="1"/>
  <c r="J256" i="1" s="1"/>
  <c r="H257" i="1"/>
  <c r="I257" i="1"/>
  <c r="J257" i="1" s="1"/>
  <c r="H258" i="1"/>
  <c r="I258" i="1"/>
  <c r="J258" i="1" s="1"/>
  <c r="H259" i="1"/>
  <c r="I259" i="1"/>
  <c r="J259" i="1" s="1"/>
  <c r="H260" i="1"/>
  <c r="I260" i="1"/>
  <c r="J260" i="1" s="1"/>
  <c r="H261" i="1"/>
  <c r="I261" i="1"/>
  <c r="J261" i="1" s="1"/>
  <c r="H262" i="1"/>
  <c r="I262" i="1"/>
  <c r="J262" i="1" s="1"/>
  <c r="H263" i="1"/>
  <c r="I263" i="1"/>
  <c r="J263" i="1" s="1"/>
  <c r="H264" i="1"/>
  <c r="I264" i="1"/>
  <c r="J264" i="1" s="1"/>
  <c r="H265" i="1"/>
  <c r="I265" i="1"/>
  <c r="J265" i="1" s="1"/>
  <c r="H266" i="1"/>
  <c r="I266" i="1"/>
  <c r="J266" i="1" s="1"/>
  <c r="H267" i="1"/>
  <c r="I267" i="1"/>
  <c r="J267" i="1" s="1"/>
  <c r="H268" i="1"/>
  <c r="I268" i="1"/>
  <c r="J268" i="1" s="1"/>
  <c r="H269" i="1"/>
  <c r="I269" i="1"/>
  <c r="J269" i="1" s="1"/>
  <c r="H270" i="1"/>
  <c r="I270" i="1"/>
  <c r="J270" i="1" s="1"/>
  <c r="H271" i="1"/>
  <c r="I271" i="1"/>
  <c r="J271" i="1" s="1"/>
  <c r="H272" i="1"/>
  <c r="I272" i="1"/>
  <c r="J272" i="1" s="1"/>
  <c r="H273" i="1"/>
  <c r="I273" i="1"/>
  <c r="J273" i="1" s="1"/>
  <c r="H274" i="1"/>
  <c r="I274" i="1"/>
  <c r="J274" i="1" s="1"/>
  <c r="H275" i="1"/>
  <c r="I275" i="1"/>
  <c r="J275" i="1" s="1"/>
  <c r="H276" i="1"/>
  <c r="I276" i="1"/>
  <c r="J276" i="1" s="1"/>
  <c r="H277" i="1"/>
  <c r="I277" i="1"/>
  <c r="J277" i="1" s="1"/>
  <c r="H278" i="1"/>
  <c r="I278" i="1"/>
  <c r="J278" i="1" s="1"/>
  <c r="H279" i="1"/>
  <c r="I279" i="1"/>
  <c r="J279" i="1" s="1"/>
  <c r="H280" i="1"/>
  <c r="I280" i="1"/>
  <c r="J280" i="1" s="1"/>
  <c r="H281" i="1"/>
  <c r="I281" i="1"/>
  <c r="J281" i="1" s="1"/>
  <c r="H282" i="1"/>
  <c r="I282" i="1"/>
  <c r="J282" i="1" s="1"/>
  <c r="H283" i="1"/>
  <c r="I283" i="1"/>
  <c r="J283" i="1" s="1"/>
  <c r="H284" i="1"/>
  <c r="I284" i="1"/>
  <c r="J284" i="1" s="1"/>
  <c r="H285" i="1"/>
  <c r="I285" i="1"/>
  <c r="J285" i="1" s="1"/>
  <c r="H286" i="1"/>
  <c r="I286" i="1"/>
  <c r="J286" i="1" s="1"/>
  <c r="H287" i="1"/>
  <c r="I287" i="1"/>
  <c r="J287" i="1" s="1"/>
  <c r="H288" i="1"/>
  <c r="I288" i="1"/>
  <c r="J288" i="1" s="1"/>
  <c r="H289" i="1"/>
  <c r="I289" i="1"/>
  <c r="J289" i="1" s="1"/>
  <c r="H290" i="1"/>
  <c r="I290" i="1"/>
  <c r="J290" i="1" s="1"/>
  <c r="H291" i="1"/>
  <c r="I291" i="1"/>
  <c r="J291" i="1" s="1"/>
  <c r="H292" i="1"/>
  <c r="I292" i="1"/>
  <c r="J292" i="1" s="1"/>
  <c r="H293" i="1"/>
  <c r="I293" i="1"/>
  <c r="J293" i="1" s="1"/>
  <c r="H294" i="1"/>
  <c r="I294" i="1"/>
  <c r="J294" i="1" s="1"/>
  <c r="H295" i="1"/>
  <c r="I295" i="1"/>
  <c r="J295" i="1" s="1"/>
  <c r="H296" i="1"/>
  <c r="I296" i="1"/>
  <c r="J296" i="1" s="1"/>
  <c r="H297" i="1"/>
  <c r="I297" i="1"/>
  <c r="J297" i="1" s="1"/>
  <c r="H298" i="1"/>
  <c r="I298" i="1"/>
  <c r="J298" i="1" s="1"/>
  <c r="H299" i="1"/>
  <c r="I299" i="1"/>
  <c r="J299" i="1" s="1"/>
  <c r="H300" i="1"/>
  <c r="I300" i="1"/>
  <c r="J300" i="1" s="1"/>
  <c r="H301" i="1"/>
  <c r="I301" i="1"/>
  <c r="J301" i="1" s="1"/>
  <c r="H302" i="1"/>
  <c r="I302" i="1"/>
  <c r="J302" i="1" s="1"/>
  <c r="H303" i="1"/>
  <c r="I303" i="1"/>
  <c r="J303" i="1" s="1"/>
  <c r="H304" i="1"/>
  <c r="I304" i="1"/>
  <c r="J304" i="1" s="1"/>
  <c r="H305" i="1"/>
  <c r="I305" i="1"/>
  <c r="J305" i="1" s="1"/>
  <c r="H306" i="1"/>
  <c r="I306" i="1"/>
  <c r="J306" i="1" s="1"/>
  <c r="H307" i="1"/>
  <c r="I307" i="1"/>
  <c r="J307" i="1" s="1"/>
  <c r="H308" i="1"/>
  <c r="I308" i="1"/>
  <c r="J308" i="1" s="1"/>
  <c r="H309" i="1"/>
  <c r="I309" i="1"/>
  <c r="J309" i="1" s="1"/>
  <c r="H310" i="1"/>
  <c r="I310" i="1"/>
  <c r="J310" i="1" s="1"/>
  <c r="H311" i="1"/>
  <c r="I311" i="1"/>
  <c r="J311" i="1" s="1"/>
  <c r="H312" i="1"/>
  <c r="I312" i="1"/>
  <c r="J312" i="1" s="1"/>
  <c r="H313" i="1"/>
  <c r="I313" i="1"/>
  <c r="J313" i="1" s="1"/>
  <c r="H314" i="1"/>
  <c r="I314" i="1"/>
  <c r="J314" i="1" s="1"/>
  <c r="H315" i="1"/>
  <c r="I315" i="1"/>
  <c r="J315" i="1" s="1"/>
  <c r="H316" i="1"/>
  <c r="I316" i="1"/>
  <c r="J316" i="1" s="1"/>
  <c r="H317" i="1"/>
  <c r="I317" i="1"/>
  <c r="J317" i="1" s="1"/>
  <c r="H318" i="1"/>
  <c r="I318" i="1"/>
  <c r="J318" i="1" s="1"/>
  <c r="K318" i="1" s="1"/>
  <c r="H319" i="1"/>
  <c r="I319" i="1"/>
  <c r="J319" i="1" s="1"/>
  <c r="H320" i="1"/>
  <c r="I320" i="1"/>
  <c r="J320" i="1" s="1"/>
  <c r="H321" i="1"/>
  <c r="I321" i="1"/>
  <c r="J321" i="1" s="1"/>
  <c r="H322" i="1"/>
  <c r="I322" i="1"/>
  <c r="J322" i="1" s="1"/>
  <c r="K322" i="1" s="1"/>
  <c r="H323" i="1"/>
  <c r="I323" i="1"/>
  <c r="J323" i="1" s="1"/>
  <c r="H324" i="1"/>
  <c r="I324" i="1"/>
  <c r="J324" i="1" s="1"/>
  <c r="H325" i="1"/>
  <c r="I325" i="1"/>
  <c r="J325" i="1" s="1"/>
  <c r="H326" i="1"/>
  <c r="I326" i="1"/>
  <c r="J326" i="1" s="1"/>
  <c r="H327" i="1"/>
  <c r="I327" i="1"/>
  <c r="J327" i="1" s="1"/>
  <c r="H328" i="1"/>
  <c r="I328" i="1"/>
  <c r="J328" i="1" s="1"/>
  <c r="H329" i="1"/>
  <c r="I329" i="1"/>
  <c r="J329" i="1" s="1"/>
  <c r="H330" i="1"/>
  <c r="I330" i="1"/>
  <c r="J330" i="1" s="1"/>
  <c r="H331" i="1"/>
  <c r="I331" i="1"/>
  <c r="J331" i="1" s="1"/>
  <c r="H332" i="1"/>
  <c r="I332" i="1"/>
  <c r="J332" i="1" s="1"/>
  <c r="H333" i="1"/>
  <c r="I333" i="1"/>
  <c r="J333" i="1" s="1"/>
  <c r="H334" i="1"/>
  <c r="I334" i="1"/>
  <c r="J334" i="1" s="1"/>
  <c r="K334" i="1" s="1"/>
  <c r="H335" i="1"/>
  <c r="I335" i="1"/>
  <c r="J335" i="1" s="1"/>
  <c r="H336" i="1"/>
  <c r="I336" i="1"/>
  <c r="J336" i="1" s="1"/>
  <c r="H337" i="1"/>
  <c r="I337" i="1"/>
  <c r="J337" i="1" s="1"/>
  <c r="H338" i="1"/>
  <c r="I338" i="1"/>
  <c r="J338" i="1" s="1"/>
  <c r="K338" i="1" s="1"/>
  <c r="H339" i="1"/>
  <c r="I339" i="1"/>
  <c r="J339" i="1" s="1"/>
  <c r="H340" i="1"/>
  <c r="I340" i="1"/>
  <c r="J340" i="1" s="1"/>
  <c r="H341" i="1"/>
  <c r="I341" i="1"/>
  <c r="J341" i="1" s="1"/>
  <c r="H342" i="1"/>
  <c r="I342" i="1"/>
  <c r="J342" i="1" s="1"/>
  <c r="H343" i="1"/>
  <c r="I343" i="1"/>
  <c r="J343" i="1" s="1"/>
  <c r="H344" i="1"/>
  <c r="I344" i="1"/>
  <c r="J344" i="1" s="1"/>
  <c r="H345" i="1"/>
  <c r="I345" i="1"/>
  <c r="J345" i="1" s="1"/>
  <c r="H346" i="1"/>
  <c r="I346" i="1"/>
  <c r="J346" i="1" s="1"/>
  <c r="H347" i="1"/>
  <c r="I347" i="1"/>
  <c r="J347" i="1" s="1"/>
  <c r="H348" i="1"/>
  <c r="I348" i="1"/>
  <c r="J348" i="1" s="1"/>
  <c r="H349" i="1"/>
  <c r="I349" i="1"/>
  <c r="J349" i="1" s="1"/>
  <c r="H350" i="1"/>
  <c r="I350" i="1"/>
  <c r="J350" i="1" s="1"/>
  <c r="K350" i="1" s="1"/>
  <c r="H351" i="1"/>
  <c r="I351" i="1"/>
  <c r="J351" i="1" s="1"/>
  <c r="H352" i="1"/>
  <c r="I352" i="1"/>
  <c r="J352" i="1" s="1"/>
  <c r="H353" i="1"/>
  <c r="I353" i="1"/>
  <c r="J353" i="1" s="1"/>
  <c r="H354" i="1"/>
  <c r="I354" i="1"/>
  <c r="J354" i="1" s="1"/>
  <c r="K354" i="1" s="1"/>
  <c r="H355" i="1"/>
  <c r="I355" i="1"/>
  <c r="J355" i="1" s="1"/>
  <c r="H356" i="1"/>
  <c r="I356" i="1"/>
  <c r="J356" i="1" s="1"/>
  <c r="H357" i="1"/>
  <c r="I357" i="1"/>
  <c r="J357" i="1" s="1"/>
  <c r="H358" i="1"/>
  <c r="I358" i="1"/>
  <c r="J358" i="1" s="1"/>
  <c r="H359" i="1"/>
  <c r="I359" i="1"/>
  <c r="J359" i="1" s="1"/>
  <c r="H360" i="1"/>
  <c r="I360" i="1"/>
  <c r="J360" i="1" s="1"/>
  <c r="H361" i="1"/>
  <c r="I361" i="1"/>
  <c r="J361" i="1" s="1"/>
  <c r="H362" i="1"/>
  <c r="I362" i="1"/>
  <c r="J362" i="1" s="1"/>
  <c r="H363" i="1"/>
  <c r="I363" i="1"/>
  <c r="J363" i="1" s="1"/>
  <c r="H364" i="1"/>
  <c r="I364" i="1"/>
  <c r="J364" i="1" s="1"/>
  <c r="H365" i="1"/>
  <c r="I365" i="1"/>
  <c r="J365" i="1" s="1"/>
  <c r="H366" i="1"/>
  <c r="I366" i="1"/>
  <c r="J366" i="1" s="1"/>
  <c r="K366" i="1" s="1"/>
  <c r="H367" i="1"/>
  <c r="I367" i="1"/>
  <c r="J367" i="1" s="1"/>
  <c r="H368" i="1"/>
  <c r="I368" i="1"/>
  <c r="J368" i="1" s="1"/>
  <c r="H369" i="1"/>
  <c r="I369" i="1"/>
  <c r="J369" i="1" s="1"/>
  <c r="H370" i="1"/>
  <c r="I370" i="1"/>
  <c r="J370" i="1" s="1"/>
  <c r="H371" i="1"/>
  <c r="I371" i="1"/>
  <c r="J371" i="1" s="1"/>
  <c r="H372" i="1"/>
  <c r="I372" i="1"/>
  <c r="J372" i="1" s="1"/>
  <c r="H373" i="1"/>
  <c r="I373" i="1"/>
  <c r="J373" i="1" s="1"/>
  <c r="H374" i="1"/>
  <c r="I374" i="1"/>
  <c r="J374" i="1" s="1"/>
  <c r="H375" i="1"/>
  <c r="I375" i="1"/>
  <c r="J375" i="1" s="1"/>
  <c r="H376" i="1"/>
  <c r="I376" i="1"/>
  <c r="J376" i="1" s="1"/>
  <c r="H377" i="1"/>
  <c r="I377" i="1"/>
  <c r="J377" i="1" s="1"/>
  <c r="H378" i="1"/>
  <c r="I378" i="1"/>
  <c r="J378" i="1" s="1"/>
  <c r="H379" i="1"/>
  <c r="I379" i="1"/>
  <c r="J379" i="1" s="1"/>
  <c r="H380" i="1"/>
  <c r="I380" i="1"/>
  <c r="J380" i="1" s="1"/>
  <c r="H381" i="1"/>
  <c r="I381" i="1"/>
  <c r="J381" i="1" s="1"/>
  <c r="H382" i="1"/>
  <c r="I382" i="1"/>
  <c r="J382" i="1" s="1"/>
  <c r="H383" i="1"/>
  <c r="I383" i="1"/>
  <c r="J383" i="1" s="1"/>
  <c r="H384" i="1"/>
  <c r="I384" i="1"/>
  <c r="J384" i="1" s="1"/>
  <c r="H385" i="1"/>
  <c r="I385" i="1"/>
  <c r="J385" i="1" s="1"/>
  <c r="H386" i="1"/>
  <c r="I386" i="1"/>
  <c r="J386" i="1" s="1"/>
  <c r="H387" i="1"/>
  <c r="I387" i="1"/>
  <c r="J387" i="1" s="1"/>
  <c r="H388" i="1"/>
  <c r="I388" i="1"/>
  <c r="J388" i="1" s="1"/>
  <c r="H389" i="1"/>
  <c r="I389" i="1"/>
  <c r="J389" i="1" s="1"/>
  <c r="H390" i="1"/>
  <c r="I390" i="1"/>
  <c r="J390" i="1" s="1"/>
  <c r="H391" i="1"/>
  <c r="I391" i="1"/>
  <c r="J391" i="1" s="1"/>
  <c r="H392" i="1"/>
  <c r="I392" i="1"/>
  <c r="J392" i="1" s="1"/>
  <c r="H393" i="1"/>
  <c r="I393" i="1"/>
  <c r="J393" i="1" s="1"/>
  <c r="H394" i="1"/>
  <c r="I394" i="1"/>
  <c r="J394" i="1" s="1"/>
  <c r="H395" i="1"/>
  <c r="I395" i="1"/>
  <c r="J395" i="1" s="1"/>
  <c r="H396" i="1"/>
  <c r="I396" i="1"/>
  <c r="J396" i="1" s="1"/>
  <c r="H397" i="1"/>
  <c r="I397" i="1"/>
  <c r="J397" i="1" s="1"/>
  <c r="H398" i="1"/>
  <c r="I398" i="1"/>
  <c r="J398" i="1" s="1"/>
  <c r="H399" i="1"/>
  <c r="I399" i="1"/>
  <c r="J399" i="1" s="1"/>
  <c r="H400" i="1"/>
  <c r="I400" i="1"/>
  <c r="J400" i="1" s="1"/>
  <c r="H401" i="1"/>
  <c r="I401" i="1"/>
  <c r="J401" i="1" s="1"/>
  <c r="H402" i="1"/>
  <c r="I402" i="1"/>
  <c r="J402" i="1" s="1"/>
  <c r="H403" i="1"/>
  <c r="I403" i="1"/>
  <c r="J403" i="1" s="1"/>
  <c r="H404" i="1"/>
  <c r="I404" i="1"/>
  <c r="J404" i="1" s="1"/>
  <c r="H405" i="1"/>
  <c r="I405" i="1"/>
  <c r="J405" i="1" s="1"/>
  <c r="H406" i="1"/>
  <c r="I406" i="1"/>
  <c r="J406" i="1" s="1"/>
  <c r="H407" i="1"/>
  <c r="I407" i="1"/>
  <c r="J407" i="1" s="1"/>
  <c r="H408" i="1"/>
  <c r="I408" i="1"/>
  <c r="J408" i="1" s="1"/>
  <c r="H409" i="1"/>
  <c r="I409" i="1"/>
  <c r="J409" i="1" s="1"/>
  <c r="H410" i="1"/>
  <c r="I410" i="1"/>
  <c r="J410" i="1" s="1"/>
  <c r="H411" i="1"/>
  <c r="I411" i="1"/>
  <c r="J411" i="1" s="1"/>
  <c r="H412" i="1"/>
  <c r="I412" i="1"/>
  <c r="J412" i="1" s="1"/>
  <c r="H413" i="1"/>
  <c r="I413" i="1"/>
  <c r="J413" i="1" s="1"/>
  <c r="H414" i="1"/>
  <c r="I414" i="1"/>
  <c r="J414" i="1" s="1"/>
  <c r="H415" i="1"/>
  <c r="I415" i="1"/>
  <c r="J415" i="1" s="1"/>
  <c r="H416" i="1"/>
  <c r="I416" i="1"/>
  <c r="J416" i="1" s="1"/>
  <c r="H417" i="1"/>
  <c r="I417" i="1"/>
  <c r="J417" i="1" s="1"/>
  <c r="H418" i="1"/>
  <c r="I418" i="1"/>
  <c r="J418" i="1" s="1"/>
  <c r="H419" i="1"/>
  <c r="I419" i="1"/>
  <c r="J419" i="1" s="1"/>
  <c r="H420" i="1"/>
  <c r="I420" i="1"/>
  <c r="J420" i="1" s="1"/>
  <c r="H421" i="1"/>
  <c r="I421" i="1"/>
  <c r="J421" i="1" s="1"/>
  <c r="H422" i="1"/>
  <c r="I422" i="1"/>
  <c r="J422" i="1" s="1"/>
  <c r="H423" i="1"/>
  <c r="I423" i="1"/>
  <c r="J423" i="1" s="1"/>
  <c r="H424" i="1"/>
  <c r="I424" i="1"/>
  <c r="J424" i="1" s="1"/>
  <c r="H425" i="1"/>
  <c r="I425" i="1"/>
  <c r="J425" i="1" s="1"/>
  <c r="H426" i="1"/>
  <c r="I426" i="1"/>
  <c r="J426" i="1" s="1"/>
  <c r="H427" i="1"/>
  <c r="I427" i="1"/>
  <c r="J427" i="1" s="1"/>
  <c r="H428" i="1"/>
  <c r="I428" i="1"/>
  <c r="J428" i="1" s="1"/>
  <c r="H429" i="1"/>
  <c r="I429" i="1"/>
  <c r="J429" i="1" s="1"/>
  <c r="H430" i="1"/>
  <c r="I430" i="1"/>
  <c r="J430" i="1" s="1"/>
  <c r="H431" i="1"/>
  <c r="I431" i="1"/>
  <c r="J431" i="1" s="1"/>
  <c r="H432" i="1"/>
  <c r="I432" i="1"/>
  <c r="J432" i="1" s="1"/>
  <c r="H433" i="1"/>
  <c r="I433" i="1"/>
  <c r="J433" i="1" s="1"/>
  <c r="H434" i="1"/>
  <c r="I434" i="1"/>
  <c r="J434" i="1" s="1"/>
  <c r="H435" i="1"/>
  <c r="I435" i="1"/>
  <c r="J435" i="1" s="1"/>
  <c r="H436" i="1"/>
  <c r="I436" i="1"/>
  <c r="J436" i="1" s="1"/>
  <c r="H437" i="1"/>
  <c r="I437" i="1"/>
  <c r="J437" i="1" s="1"/>
  <c r="H438" i="1"/>
  <c r="I438" i="1"/>
  <c r="J438" i="1" s="1"/>
  <c r="K438" i="1" s="1"/>
  <c r="H439" i="1"/>
  <c r="I439" i="1"/>
  <c r="J439" i="1" s="1"/>
  <c r="H440" i="1"/>
  <c r="I440" i="1"/>
  <c r="J440" i="1" s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I458" i="1"/>
  <c r="J458" i="1" s="1"/>
  <c r="H459" i="1"/>
  <c r="I459" i="1"/>
  <c r="J459" i="1" s="1"/>
  <c r="H460" i="1"/>
  <c r="I460" i="1"/>
  <c r="J460" i="1" s="1"/>
  <c r="H461" i="1"/>
  <c r="I461" i="1"/>
  <c r="J461" i="1" s="1"/>
  <c r="H462" i="1"/>
  <c r="I462" i="1"/>
  <c r="J462" i="1" s="1"/>
  <c r="H463" i="1"/>
  <c r="I463" i="1"/>
  <c r="J463" i="1" s="1"/>
  <c r="H464" i="1"/>
  <c r="I464" i="1"/>
  <c r="J464" i="1" s="1"/>
  <c r="H465" i="1"/>
  <c r="I465" i="1"/>
  <c r="J465" i="1" s="1"/>
  <c r="H466" i="1"/>
  <c r="I466" i="1"/>
  <c r="J466" i="1" s="1"/>
  <c r="H467" i="1"/>
  <c r="I467" i="1"/>
  <c r="J467" i="1" s="1"/>
  <c r="H468" i="1"/>
  <c r="I468" i="1"/>
  <c r="J468" i="1" s="1"/>
  <c r="H469" i="1"/>
  <c r="I469" i="1"/>
  <c r="J469" i="1" s="1"/>
  <c r="H470" i="1"/>
  <c r="I470" i="1"/>
  <c r="J470" i="1" s="1"/>
  <c r="H471" i="1"/>
  <c r="I471" i="1"/>
  <c r="J471" i="1" s="1"/>
  <c r="H472" i="1"/>
  <c r="I472" i="1"/>
  <c r="J472" i="1" s="1"/>
  <c r="H473" i="1"/>
  <c r="I473" i="1"/>
  <c r="J473" i="1" s="1"/>
  <c r="H474" i="1"/>
  <c r="I474" i="1"/>
  <c r="J474" i="1" s="1"/>
  <c r="H475" i="1"/>
  <c r="I475" i="1"/>
  <c r="J475" i="1" s="1"/>
  <c r="H476" i="1"/>
  <c r="I476" i="1"/>
  <c r="J476" i="1" s="1"/>
  <c r="H477" i="1"/>
  <c r="I477" i="1"/>
  <c r="J477" i="1" s="1"/>
  <c r="H478" i="1"/>
  <c r="I478" i="1"/>
  <c r="J478" i="1" s="1"/>
  <c r="H479" i="1"/>
  <c r="I479" i="1"/>
  <c r="J479" i="1" s="1"/>
  <c r="H480" i="1"/>
  <c r="I480" i="1"/>
  <c r="J480" i="1" s="1"/>
  <c r="H481" i="1"/>
  <c r="I481" i="1"/>
  <c r="J481" i="1" s="1"/>
  <c r="H482" i="1"/>
  <c r="I482" i="1"/>
  <c r="J482" i="1" s="1"/>
  <c r="H483" i="1"/>
  <c r="I483" i="1"/>
  <c r="J483" i="1" s="1"/>
  <c r="H484" i="1"/>
  <c r="I484" i="1"/>
  <c r="J484" i="1" s="1"/>
  <c r="H485" i="1"/>
  <c r="I485" i="1"/>
  <c r="J485" i="1" s="1"/>
  <c r="H486" i="1"/>
  <c r="I486" i="1"/>
  <c r="J486" i="1" s="1"/>
  <c r="H487" i="1"/>
  <c r="I487" i="1"/>
  <c r="J487" i="1" s="1"/>
  <c r="H488" i="1"/>
  <c r="I488" i="1"/>
  <c r="J488" i="1" s="1"/>
  <c r="H489" i="1"/>
  <c r="I489" i="1"/>
  <c r="J489" i="1" s="1"/>
  <c r="H490" i="1"/>
  <c r="I490" i="1"/>
  <c r="J490" i="1" s="1"/>
  <c r="H491" i="1"/>
  <c r="I491" i="1"/>
  <c r="J491" i="1" s="1"/>
  <c r="H492" i="1"/>
  <c r="I492" i="1"/>
  <c r="J492" i="1" s="1"/>
  <c r="H493" i="1"/>
  <c r="I493" i="1"/>
  <c r="J493" i="1" s="1"/>
  <c r="H494" i="1"/>
  <c r="I494" i="1"/>
  <c r="J494" i="1" s="1"/>
  <c r="H495" i="1"/>
  <c r="I495" i="1"/>
  <c r="J495" i="1" s="1"/>
  <c r="H496" i="1"/>
  <c r="I496" i="1"/>
  <c r="J496" i="1" s="1"/>
  <c r="H497" i="1"/>
  <c r="I497" i="1"/>
  <c r="J497" i="1" s="1"/>
  <c r="H498" i="1"/>
  <c r="I498" i="1"/>
  <c r="J498" i="1" s="1"/>
  <c r="H499" i="1"/>
  <c r="I499" i="1"/>
  <c r="J499" i="1" s="1"/>
  <c r="H500" i="1"/>
  <c r="I500" i="1"/>
  <c r="J500" i="1" s="1"/>
  <c r="H501" i="1"/>
  <c r="I501" i="1"/>
  <c r="J501" i="1" s="1"/>
  <c r="H502" i="1"/>
  <c r="I502" i="1"/>
  <c r="J502" i="1" s="1"/>
  <c r="H503" i="1"/>
  <c r="I503" i="1"/>
  <c r="J503" i="1" s="1"/>
  <c r="H504" i="1"/>
  <c r="I504" i="1"/>
  <c r="J504" i="1" s="1"/>
  <c r="H505" i="1"/>
  <c r="I505" i="1"/>
  <c r="J505" i="1" s="1"/>
  <c r="H506" i="1"/>
  <c r="I506" i="1"/>
  <c r="J506" i="1" s="1"/>
  <c r="H507" i="1"/>
  <c r="I507" i="1"/>
  <c r="J507" i="1" s="1"/>
  <c r="H508" i="1"/>
  <c r="I508" i="1"/>
  <c r="J508" i="1" s="1"/>
  <c r="H509" i="1"/>
  <c r="I509" i="1"/>
  <c r="J509" i="1" s="1"/>
  <c r="H510" i="1"/>
  <c r="I510" i="1"/>
  <c r="J510" i="1" s="1"/>
  <c r="H511" i="1"/>
  <c r="I511" i="1"/>
  <c r="J511" i="1" s="1"/>
  <c r="H512" i="1"/>
  <c r="I512" i="1"/>
  <c r="J512" i="1" s="1"/>
  <c r="H513" i="1"/>
  <c r="I513" i="1"/>
  <c r="J513" i="1" s="1"/>
  <c r="H514" i="1"/>
  <c r="I514" i="1"/>
  <c r="J514" i="1" s="1"/>
  <c r="H515" i="1"/>
  <c r="I515" i="1"/>
  <c r="J515" i="1" s="1"/>
  <c r="H516" i="1"/>
  <c r="I516" i="1"/>
  <c r="J516" i="1" s="1"/>
  <c r="H517" i="1"/>
  <c r="I517" i="1"/>
  <c r="J517" i="1" s="1"/>
  <c r="H518" i="1"/>
  <c r="I518" i="1"/>
  <c r="J518" i="1" s="1"/>
  <c r="H519" i="1"/>
  <c r="I519" i="1"/>
  <c r="J519" i="1" s="1"/>
  <c r="H520" i="1"/>
  <c r="I520" i="1"/>
  <c r="J520" i="1" s="1"/>
  <c r="H521" i="1"/>
  <c r="I521" i="1"/>
  <c r="J521" i="1" s="1"/>
  <c r="H522" i="1"/>
  <c r="I522" i="1"/>
  <c r="J522" i="1" s="1"/>
  <c r="H523" i="1"/>
  <c r="I523" i="1"/>
  <c r="J523" i="1" s="1"/>
  <c r="H524" i="1"/>
  <c r="I524" i="1"/>
  <c r="J524" i="1" s="1"/>
  <c r="H525" i="1"/>
  <c r="I525" i="1"/>
  <c r="J525" i="1" s="1"/>
  <c r="H526" i="1"/>
  <c r="I526" i="1"/>
  <c r="J526" i="1" s="1"/>
  <c r="H527" i="1"/>
  <c r="I527" i="1"/>
  <c r="J527" i="1" s="1"/>
  <c r="H528" i="1"/>
  <c r="I528" i="1"/>
  <c r="J528" i="1" s="1"/>
  <c r="H529" i="1"/>
  <c r="I529" i="1"/>
  <c r="J529" i="1" s="1"/>
  <c r="H530" i="1"/>
  <c r="I530" i="1"/>
  <c r="J530" i="1" s="1"/>
  <c r="H531" i="1"/>
  <c r="I531" i="1"/>
  <c r="J531" i="1" s="1"/>
  <c r="H532" i="1"/>
  <c r="I532" i="1"/>
  <c r="J532" i="1" s="1"/>
  <c r="H533" i="1"/>
  <c r="I533" i="1"/>
  <c r="J533" i="1" s="1"/>
  <c r="H534" i="1"/>
  <c r="I534" i="1"/>
  <c r="J534" i="1" s="1"/>
  <c r="H535" i="1"/>
  <c r="I535" i="1"/>
  <c r="J535" i="1" s="1"/>
  <c r="H536" i="1"/>
  <c r="I536" i="1"/>
  <c r="J536" i="1" s="1"/>
  <c r="H537" i="1"/>
  <c r="I537" i="1"/>
  <c r="J537" i="1" s="1"/>
  <c r="H538" i="1"/>
  <c r="I538" i="1"/>
  <c r="J538" i="1" s="1"/>
  <c r="H539" i="1"/>
  <c r="I539" i="1"/>
  <c r="J539" i="1" s="1"/>
  <c r="H540" i="1"/>
  <c r="I540" i="1"/>
  <c r="J540" i="1" s="1"/>
  <c r="H541" i="1"/>
  <c r="I541" i="1"/>
  <c r="J541" i="1" s="1"/>
  <c r="H542" i="1"/>
  <c r="I542" i="1"/>
  <c r="J542" i="1" s="1"/>
  <c r="H543" i="1"/>
  <c r="I543" i="1"/>
  <c r="J543" i="1" s="1"/>
  <c r="H544" i="1"/>
  <c r="I544" i="1"/>
  <c r="J544" i="1" s="1"/>
  <c r="H545" i="1"/>
  <c r="I545" i="1"/>
  <c r="J545" i="1" s="1"/>
  <c r="H546" i="1"/>
  <c r="I546" i="1"/>
  <c r="J546" i="1" s="1"/>
  <c r="H547" i="1"/>
  <c r="I547" i="1"/>
  <c r="J547" i="1" s="1"/>
  <c r="H548" i="1"/>
  <c r="I548" i="1"/>
  <c r="J548" i="1" s="1"/>
  <c r="H549" i="1"/>
  <c r="I549" i="1"/>
  <c r="J549" i="1" s="1"/>
  <c r="H550" i="1"/>
  <c r="I550" i="1"/>
  <c r="J550" i="1" s="1"/>
  <c r="H551" i="1"/>
  <c r="I551" i="1"/>
  <c r="J551" i="1" s="1"/>
  <c r="H552" i="1"/>
  <c r="I552" i="1"/>
  <c r="J552" i="1" s="1"/>
  <c r="H553" i="1"/>
  <c r="I553" i="1"/>
  <c r="J553" i="1" s="1"/>
  <c r="H554" i="1"/>
  <c r="I554" i="1"/>
  <c r="J554" i="1" s="1"/>
  <c r="H555" i="1"/>
  <c r="I555" i="1"/>
  <c r="J555" i="1" s="1"/>
  <c r="H556" i="1"/>
  <c r="I556" i="1"/>
  <c r="J556" i="1" s="1"/>
  <c r="H557" i="1"/>
  <c r="I557" i="1"/>
  <c r="J557" i="1" s="1"/>
  <c r="H558" i="1"/>
  <c r="I558" i="1"/>
  <c r="J558" i="1" s="1"/>
  <c r="H559" i="1"/>
  <c r="I559" i="1"/>
  <c r="J559" i="1" s="1"/>
  <c r="H560" i="1"/>
  <c r="I560" i="1"/>
  <c r="J560" i="1" s="1"/>
  <c r="H561" i="1"/>
  <c r="I561" i="1"/>
  <c r="J561" i="1" s="1"/>
  <c r="H562" i="1"/>
  <c r="I562" i="1"/>
  <c r="J562" i="1" s="1"/>
  <c r="H563" i="1"/>
  <c r="I563" i="1"/>
  <c r="J563" i="1" s="1"/>
  <c r="H564" i="1"/>
  <c r="I564" i="1"/>
  <c r="J564" i="1" s="1"/>
  <c r="H565" i="1"/>
  <c r="I565" i="1"/>
  <c r="J565" i="1" s="1"/>
  <c r="H566" i="1"/>
  <c r="I566" i="1"/>
  <c r="J566" i="1" s="1"/>
  <c r="H567" i="1"/>
  <c r="I567" i="1"/>
  <c r="J567" i="1" s="1"/>
  <c r="H568" i="1"/>
  <c r="I568" i="1"/>
  <c r="J568" i="1" s="1"/>
  <c r="H569" i="1"/>
  <c r="I569" i="1"/>
  <c r="J569" i="1" s="1"/>
  <c r="H570" i="1"/>
  <c r="I570" i="1"/>
  <c r="J570" i="1" s="1"/>
  <c r="H571" i="1"/>
  <c r="I571" i="1"/>
  <c r="J571" i="1" s="1"/>
  <c r="H572" i="1"/>
  <c r="I572" i="1"/>
  <c r="J572" i="1" s="1"/>
  <c r="H573" i="1"/>
  <c r="I573" i="1"/>
  <c r="J573" i="1" s="1"/>
  <c r="H574" i="1"/>
  <c r="I574" i="1"/>
  <c r="J574" i="1" s="1"/>
  <c r="H575" i="1"/>
  <c r="I575" i="1"/>
  <c r="J575" i="1" s="1"/>
  <c r="H576" i="1"/>
  <c r="I576" i="1"/>
  <c r="J576" i="1" s="1"/>
  <c r="H577" i="1"/>
  <c r="I577" i="1"/>
  <c r="J577" i="1" s="1"/>
  <c r="H578" i="1"/>
  <c r="I578" i="1"/>
  <c r="J578" i="1" s="1"/>
  <c r="H579" i="1"/>
  <c r="I579" i="1"/>
  <c r="J579" i="1" s="1"/>
  <c r="H580" i="1"/>
  <c r="I580" i="1"/>
  <c r="J580" i="1" s="1"/>
  <c r="H581" i="1"/>
  <c r="I581" i="1"/>
  <c r="J581" i="1" s="1"/>
  <c r="H582" i="1"/>
  <c r="I582" i="1"/>
  <c r="J582" i="1" s="1"/>
  <c r="H583" i="1"/>
  <c r="I583" i="1"/>
  <c r="J583" i="1" s="1"/>
  <c r="H584" i="1"/>
  <c r="I584" i="1"/>
  <c r="J584" i="1" s="1"/>
  <c r="H585" i="1"/>
  <c r="I585" i="1"/>
  <c r="J585" i="1" s="1"/>
  <c r="H586" i="1"/>
  <c r="I586" i="1"/>
  <c r="J586" i="1" s="1"/>
  <c r="H587" i="1"/>
  <c r="I587" i="1"/>
  <c r="J587" i="1" s="1"/>
  <c r="H588" i="1"/>
  <c r="I588" i="1"/>
  <c r="J588" i="1" s="1"/>
  <c r="H589" i="1"/>
  <c r="I589" i="1"/>
  <c r="J589" i="1" s="1"/>
  <c r="H590" i="1"/>
  <c r="I590" i="1"/>
  <c r="J590" i="1" s="1"/>
  <c r="H591" i="1"/>
  <c r="I591" i="1"/>
  <c r="J591" i="1" s="1"/>
  <c r="H592" i="1"/>
  <c r="I592" i="1"/>
  <c r="J592" i="1" s="1"/>
  <c r="H593" i="1"/>
  <c r="I593" i="1"/>
  <c r="J593" i="1" s="1"/>
  <c r="H594" i="1"/>
  <c r="I594" i="1"/>
  <c r="J594" i="1" s="1"/>
  <c r="H595" i="1"/>
  <c r="I595" i="1"/>
  <c r="J595" i="1" s="1"/>
  <c r="H596" i="1"/>
  <c r="I596" i="1"/>
  <c r="J596" i="1" s="1"/>
  <c r="H597" i="1"/>
  <c r="I597" i="1"/>
  <c r="J597" i="1" s="1"/>
  <c r="H598" i="1"/>
  <c r="I598" i="1"/>
  <c r="J598" i="1" s="1"/>
  <c r="H599" i="1"/>
  <c r="I599" i="1"/>
  <c r="J599" i="1" s="1"/>
  <c r="H600" i="1"/>
  <c r="I600" i="1"/>
  <c r="J600" i="1" s="1"/>
  <c r="H601" i="1"/>
  <c r="I601" i="1"/>
  <c r="J601" i="1" s="1"/>
  <c r="H602" i="1"/>
  <c r="I602" i="1"/>
  <c r="J602" i="1" s="1"/>
  <c r="H603" i="1"/>
  <c r="I603" i="1"/>
  <c r="J603" i="1" s="1"/>
  <c r="H604" i="1"/>
  <c r="I604" i="1"/>
  <c r="J604" i="1" s="1"/>
  <c r="H605" i="1"/>
  <c r="I605" i="1"/>
  <c r="J605" i="1" s="1"/>
  <c r="H606" i="1"/>
  <c r="I606" i="1"/>
  <c r="J606" i="1" s="1"/>
  <c r="H607" i="1"/>
  <c r="I607" i="1"/>
  <c r="J607" i="1" s="1"/>
  <c r="H608" i="1"/>
  <c r="I608" i="1"/>
  <c r="J608" i="1" s="1"/>
  <c r="H609" i="1"/>
  <c r="I609" i="1"/>
  <c r="J609" i="1" s="1"/>
  <c r="H610" i="1"/>
  <c r="I610" i="1"/>
  <c r="J610" i="1" s="1"/>
  <c r="H611" i="1"/>
  <c r="I611" i="1"/>
  <c r="J611" i="1" s="1"/>
  <c r="H612" i="1"/>
  <c r="I612" i="1"/>
  <c r="J612" i="1" s="1"/>
  <c r="H613" i="1"/>
  <c r="I613" i="1"/>
  <c r="J613" i="1" s="1"/>
  <c r="H614" i="1"/>
  <c r="I614" i="1"/>
  <c r="J614" i="1" s="1"/>
  <c r="H615" i="1"/>
  <c r="I615" i="1"/>
  <c r="J615" i="1" s="1"/>
  <c r="H616" i="1"/>
  <c r="I616" i="1"/>
  <c r="J616" i="1" s="1"/>
  <c r="H617" i="1"/>
  <c r="I617" i="1"/>
  <c r="J617" i="1" s="1"/>
  <c r="H618" i="1"/>
  <c r="I618" i="1"/>
  <c r="J618" i="1" s="1"/>
  <c r="H619" i="1"/>
  <c r="I619" i="1"/>
  <c r="J619" i="1" s="1"/>
  <c r="H620" i="1"/>
  <c r="I620" i="1"/>
  <c r="J620" i="1" s="1"/>
  <c r="H621" i="1"/>
  <c r="I621" i="1"/>
  <c r="J621" i="1" s="1"/>
  <c r="H622" i="1"/>
  <c r="I622" i="1"/>
  <c r="J622" i="1" s="1"/>
  <c r="H623" i="1"/>
  <c r="I623" i="1"/>
  <c r="J623" i="1" s="1"/>
  <c r="H624" i="1"/>
  <c r="I624" i="1"/>
  <c r="J624" i="1" s="1"/>
  <c r="H625" i="1"/>
  <c r="I625" i="1"/>
  <c r="J625" i="1" s="1"/>
  <c r="H626" i="1"/>
  <c r="I626" i="1"/>
  <c r="J626" i="1" s="1"/>
  <c r="H627" i="1"/>
  <c r="I627" i="1"/>
  <c r="J627" i="1" s="1"/>
  <c r="H628" i="1"/>
  <c r="I628" i="1"/>
  <c r="J628" i="1" s="1"/>
  <c r="H629" i="1"/>
  <c r="I629" i="1"/>
  <c r="J629" i="1" s="1"/>
  <c r="H630" i="1"/>
  <c r="I630" i="1"/>
  <c r="J630" i="1" s="1"/>
  <c r="H631" i="1"/>
  <c r="I631" i="1"/>
  <c r="J631" i="1" s="1"/>
  <c r="H632" i="1"/>
  <c r="I632" i="1"/>
  <c r="J632" i="1" s="1"/>
  <c r="H633" i="1"/>
  <c r="I633" i="1"/>
  <c r="J633" i="1" s="1"/>
  <c r="K633" i="1" s="1"/>
  <c r="H634" i="1"/>
  <c r="I634" i="1"/>
  <c r="J634" i="1" s="1"/>
  <c r="H635" i="1"/>
  <c r="I635" i="1"/>
  <c r="J635" i="1" s="1"/>
  <c r="H636" i="1"/>
  <c r="I636" i="1"/>
  <c r="J636" i="1" s="1"/>
  <c r="H637" i="1"/>
  <c r="I637" i="1"/>
  <c r="J637" i="1" s="1"/>
  <c r="K637" i="1" s="1"/>
  <c r="H638" i="1"/>
  <c r="I638" i="1"/>
  <c r="J638" i="1" s="1"/>
  <c r="H639" i="1"/>
  <c r="I639" i="1"/>
  <c r="J639" i="1" s="1"/>
  <c r="H640" i="1"/>
  <c r="I640" i="1"/>
  <c r="J640" i="1" s="1"/>
  <c r="H641" i="1"/>
  <c r="I641" i="1"/>
  <c r="J641" i="1" s="1"/>
  <c r="H642" i="1"/>
  <c r="I642" i="1"/>
  <c r="J642" i="1" s="1"/>
  <c r="H643" i="1"/>
  <c r="I643" i="1"/>
  <c r="J643" i="1" s="1"/>
  <c r="H644" i="1"/>
  <c r="I644" i="1"/>
  <c r="J644" i="1" s="1"/>
  <c r="H645" i="1"/>
  <c r="I645" i="1"/>
  <c r="J645" i="1" s="1"/>
  <c r="K645" i="1" s="1"/>
  <c r="H646" i="1"/>
  <c r="I646" i="1"/>
  <c r="J646" i="1" s="1"/>
  <c r="H647" i="1"/>
  <c r="I647" i="1"/>
  <c r="J647" i="1" s="1"/>
  <c r="H648" i="1"/>
  <c r="I648" i="1"/>
  <c r="J648" i="1" s="1"/>
  <c r="H649" i="1"/>
  <c r="I649" i="1"/>
  <c r="J649" i="1" s="1"/>
  <c r="H650" i="1"/>
  <c r="I650" i="1"/>
  <c r="J650" i="1" s="1"/>
  <c r="H651" i="1"/>
  <c r="I651" i="1"/>
  <c r="J651" i="1" s="1"/>
  <c r="H652" i="1"/>
  <c r="I652" i="1"/>
  <c r="J652" i="1" s="1"/>
  <c r="H653" i="1"/>
  <c r="I653" i="1"/>
  <c r="J653" i="1" s="1"/>
  <c r="H654" i="1"/>
  <c r="I654" i="1"/>
  <c r="J654" i="1" s="1"/>
  <c r="H655" i="1"/>
  <c r="I655" i="1"/>
  <c r="J655" i="1" s="1"/>
  <c r="H656" i="1"/>
  <c r="I656" i="1"/>
  <c r="J656" i="1" s="1"/>
  <c r="H657" i="1"/>
  <c r="I657" i="1"/>
  <c r="J657" i="1" s="1"/>
  <c r="K657" i="1" s="1"/>
  <c r="H658" i="1"/>
  <c r="I658" i="1"/>
  <c r="J658" i="1" s="1"/>
  <c r="H659" i="1"/>
  <c r="I659" i="1"/>
  <c r="J659" i="1" s="1"/>
  <c r="H660" i="1"/>
  <c r="I660" i="1"/>
  <c r="J660" i="1" s="1"/>
  <c r="H661" i="1"/>
  <c r="I661" i="1"/>
  <c r="J661" i="1" s="1"/>
  <c r="H662" i="1"/>
  <c r="I662" i="1"/>
  <c r="J662" i="1" s="1"/>
  <c r="H663" i="1"/>
  <c r="I663" i="1"/>
  <c r="J663" i="1" s="1"/>
  <c r="H664" i="1"/>
  <c r="I664" i="1"/>
  <c r="J664" i="1" s="1"/>
  <c r="H665" i="1"/>
  <c r="I665" i="1"/>
  <c r="J665" i="1" s="1"/>
  <c r="H666" i="1"/>
  <c r="I666" i="1"/>
  <c r="J666" i="1" s="1"/>
  <c r="H667" i="1"/>
  <c r="I667" i="1"/>
  <c r="J667" i="1" s="1"/>
  <c r="H668" i="1"/>
  <c r="I668" i="1"/>
  <c r="J668" i="1" s="1"/>
  <c r="H669" i="1"/>
  <c r="I669" i="1"/>
  <c r="J669" i="1" s="1"/>
  <c r="H670" i="1"/>
  <c r="I670" i="1"/>
  <c r="J670" i="1" s="1"/>
  <c r="H671" i="1"/>
  <c r="I671" i="1"/>
  <c r="J671" i="1" s="1"/>
  <c r="H672" i="1"/>
  <c r="I672" i="1"/>
  <c r="J672" i="1" s="1"/>
  <c r="H673" i="1"/>
  <c r="I673" i="1"/>
  <c r="J673" i="1" s="1"/>
  <c r="H674" i="1"/>
  <c r="I674" i="1"/>
  <c r="J674" i="1" s="1"/>
  <c r="H675" i="1"/>
  <c r="I675" i="1"/>
  <c r="J675" i="1" s="1"/>
  <c r="H676" i="1"/>
  <c r="I676" i="1"/>
  <c r="J676" i="1" s="1"/>
  <c r="H677" i="1"/>
  <c r="I677" i="1"/>
  <c r="J677" i="1" s="1"/>
  <c r="H678" i="1"/>
  <c r="I678" i="1"/>
  <c r="J678" i="1" s="1"/>
  <c r="H679" i="1"/>
  <c r="I679" i="1"/>
  <c r="J679" i="1" s="1"/>
  <c r="H680" i="1"/>
  <c r="I680" i="1"/>
  <c r="J680" i="1" s="1"/>
  <c r="H681" i="1"/>
  <c r="I681" i="1"/>
  <c r="J681" i="1" s="1"/>
  <c r="H682" i="1"/>
  <c r="I682" i="1"/>
  <c r="J682" i="1" s="1"/>
  <c r="H683" i="1"/>
  <c r="I683" i="1"/>
  <c r="J683" i="1" s="1"/>
  <c r="H684" i="1"/>
  <c r="I684" i="1"/>
  <c r="J684" i="1" s="1"/>
  <c r="H685" i="1"/>
  <c r="I685" i="1"/>
  <c r="J685" i="1" s="1"/>
  <c r="H686" i="1"/>
  <c r="I686" i="1"/>
  <c r="J686" i="1" s="1"/>
  <c r="H687" i="1"/>
  <c r="I687" i="1"/>
  <c r="J687" i="1" s="1"/>
  <c r="H688" i="1"/>
  <c r="I688" i="1"/>
  <c r="J688" i="1" s="1"/>
  <c r="H689" i="1"/>
  <c r="I689" i="1"/>
  <c r="J689" i="1" s="1"/>
  <c r="H690" i="1"/>
  <c r="I690" i="1"/>
  <c r="J690" i="1" s="1"/>
  <c r="H691" i="1"/>
  <c r="I691" i="1"/>
  <c r="J691" i="1" s="1"/>
  <c r="H692" i="1"/>
  <c r="I692" i="1"/>
  <c r="J692" i="1" s="1"/>
  <c r="H693" i="1"/>
  <c r="I693" i="1"/>
  <c r="J693" i="1" s="1"/>
  <c r="H694" i="1"/>
  <c r="I694" i="1"/>
  <c r="J694" i="1" s="1"/>
  <c r="H695" i="1"/>
  <c r="I695" i="1"/>
  <c r="J695" i="1" s="1"/>
  <c r="H696" i="1"/>
  <c r="I696" i="1"/>
  <c r="J696" i="1" s="1"/>
  <c r="H697" i="1"/>
  <c r="I697" i="1"/>
  <c r="J697" i="1" s="1"/>
  <c r="H698" i="1"/>
  <c r="I698" i="1"/>
  <c r="J698" i="1" s="1"/>
  <c r="H699" i="1"/>
  <c r="I699" i="1"/>
  <c r="J699" i="1" s="1"/>
  <c r="H700" i="1"/>
  <c r="I700" i="1"/>
  <c r="J700" i="1" s="1"/>
  <c r="H701" i="1"/>
  <c r="I701" i="1"/>
  <c r="J701" i="1" s="1"/>
  <c r="H702" i="1"/>
  <c r="I702" i="1"/>
  <c r="J702" i="1" s="1"/>
  <c r="H703" i="1"/>
  <c r="I703" i="1"/>
  <c r="J703" i="1" s="1"/>
  <c r="H704" i="1"/>
  <c r="I704" i="1"/>
  <c r="J704" i="1" s="1"/>
  <c r="H705" i="1"/>
  <c r="I705" i="1"/>
  <c r="J705" i="1" s="1"/>
  <c r="H706" i="1"/>
  <c r="I706" i="1"/>
  <c r="J706" i="1" s="1"/>
  <c r="H707" i="1"/>
  <c r="I707" i="1"/>
  <c r="J707" i="1" s="1"/>
  <c r="H708" i="1"/>
  <c r="I708" i="1"/>
  <c r="J708" i="1" s="1"/>
  <c r="H709" i="1"/>
  <c r="I709" i="1"/>
  <c r="J709" i="1" s="1"/>
  <c r="H710" i="1"/>
  <c r="I710" i="1"/>
  <c r="J710" i="1" s="1"/>
  <c r="H711" i="1"/>
  <c r="I711" i="1"/>
  <c r="J711" i="1" s="1"/>
  <c r="H712" i="1"/>
  <c r="I712" i="1"/>
  <c r="J712" i="1" s="1"/>
  <c r="H713" i="1"/>
  <c r="I713" i="1"/>
  <c r="J713" i="1" s="1"/>
  <c r="H714" i="1"/>
  <c r="I714" i="1"/>
  <c r="J714" i="1" s="1"/>
  <c r="H715" i="1"/>
  <c r="I715" i="1"/>
  <c r="J715" i="1" s="1"/>
  <c r="H716" i="1"/>
  <c r="I716" i="1"/>
  <c r="J716" i="1" s="1"/>
  <c r="H717" i="1"/>
  <c r="I717" i="1"/>
  <c r="J717" i="1" s="1"/>
  <c r="H718" i="1"/>
  <c r="I718" i="1"/>
  <c r="J718" i="1" s="1"/>
  <c r="H719" i="1"/>
  <c r="I719" i="1"/>
  <c r="J719" i="1" s="1"/>
  <c r="H720" i="1"/>
  <c r="I720" i="1"/>
  <c r="J720" i="1" s="1"/>
  <c r="H721" i="1"/>
  <c r="I721" i="1"/>
  <c r="J721" i="1" s="1"/>
  <c r="H722" i="1"/>
  <c r="I722" i="1"/>
  <c r="J722" i="1" s="1"/>
  <c r="H723" i="1"/>
  <c r="I723" i="1"/>
  <c r="J723" i="1" s="1"/>
  <c r="H724" i="1"/>
  <c r="I724" i="1"/>
  <c r="J724" i="1" s="1"/>
  <c r="H725" i="1"/>
  <c r="I725" i="1"/>
  <c r="J725" i="1" s="1"/>
  <c r="H726" i="1"/>
  <c r="I726" i="1"/>
  <c r="J726" i="1" s="1"/>
  <c r="H727" i="1"/>
  <c r="I727" i="1"/>
  <c r="J727" i="1" s="1"/>
  <c r="H728" i="1"/>
  <c r="I728" i="1"/>
  <c r="J728" i="1" s="1"/>
  <c r="H729" i="1"/>
  <c r="I729" i="1"/>
  <c r="J729" i="1" s="1"/>
  <c r="H730" i="1"/>
  <c r="I730" i="1"/>
  <c r="J730" i="1" s="1"/>
  <c r="H731" i="1"/>
  <c r="I731" i="1"/>
  <c r="J731" i="1" s="1"/>
  <c r="H732" i="1"/>
  <c r="I732" i="1"/>
  <c r="J732" i="1" s="1"/>
  <c r="H733" i="1"/>
  <c r="I733" i="1"/>
  <c r="J733" i="1" s="1"/>
  <c r="H734" i="1"/>
  <c r="I734" i="1"/>
  <c r="J734" i="1" s="1"/>
  <c r="H735" i="1"/>
  <c r="I735" i="1"/>
  <c r="J735" i="1" s="1"/>
  <c r="H736" i="1"/>
  <c r="I736" i="1"/>
  <c r="J736" i="1" s="1"/>
  <c r="H737" i="1"/>
  <c r="I737" i="1"/>
  <c r="J737" i="1" s="1"/>
  <c r="H738" i="1"/>
  <c r="I738" i="1"/>
  <c r="J738" i="1" s="1"/>
  <c r="H739" i="1"/>
  <c r="I739" i="1"/>
  <c r="J739" i="1" s="1"/>
  <c r="H740" i="1"/>
  <c r="I740" i="1"/>
  <c r="J740" i="1" s="1"/>
  <c r="H741" i="1"/>
  <c r="I741" i="1"/>
  <c r="J741" i="1" s="1"/>
  <c r="H742" i="1"/>
  <c r="I742" i="1"/>
  <c r="J742" i="1" s="1"/>
  <c r="H743" i="1"/>
  <c r="I743" i="1"/>
  <c r="J743" i="1" s="1"/>
  <c r="H744" i="1"/>
  <c r="I744" i="1"/>
  <c r="J744" i="1" s="1"/>
  <c r="H745" i="1"/>
  <c r="I745" i="1"/>
  <c r="J745" i="1" s="1"/>
  <c r="H746" i="1"/>
  <c r="I746" i="1"/>
  <c r="J746" i="1" s="1"/>
  <c r="H747" i="1"/>
  <c r="I747" i="1"/>
  <c r="J747" i="1" s="1"/>
  <c r="H748" i="1"/>
  <c r="I748" i="1"/>
  <c r="J748" i="1" s="1"/>
  <c r="H749" i="1"/>
  <c r="I749" i="1"/>
  <c r="J749" i="1" s="1"/>
  <c r="H750" i="1"/>
  <c r="I750" i="1"/>
  <c r="J750" i="1" s="1"/>
  <c r="H751" i="1"/>
  <c r="I751" i="1"/>
  <c r="J751" i="1" s="1"/>
  <c r="H752" i="1"/>
  <c r="I752" i="1"/>
  <c r="J752" i="1" s="1"/>
  <c r="H753" i="1"/>
  <c r="I753" i="1"/>
  <c r="J753" i="1" s="1"/>
  <c r="H754" i="1"/>
  <c r="I754" i="1"/>
  <c r="J754" i="1" s="1"/>
  <c r="H755" i="1"/>
  <c r="I755" i="1"/>
  <c r="J755" i="1" s="1"/>
  <c r="I756" i="1"/>
  <c r="J756" i="1" s="1"/>
  <c r="K756" i="1" s="1"/>
  <c r="K750" i="1" l="1"/>
  <c r="K658" i="1"/>
  <c r="K654" i="1"/>
  <c r="K634" i="1"/>
  <c r="K630" i="1"/>
  <c r="K376" i="1"/>
  <c r="K372" i="1"/>
  <c r="K368" i="1"/>
  <c r="K356" i="1"/>
  <c r="K352" i="1"/>
  <c r="K344" i="1"/>
  <c r="K328" i="1"/>
  <c r="K320" i="1"/>
  <c r="K316" i="1"/>
  <c r="K312" i="1"/>
  <c r="K308" i="1"/>
  <c r="K304" i="1"/>
  <c r="K300" i="1"/>
  <c r="K648" i="1"/>
  <c r="K644" i="1"/>
  <c r="K758" i="1"/>
  <c r="K755" i="1"/>
  <c r="K757" i="1"/>
  <c r="K753" i="1"/>
  <c r="K733" i="1"/>
  <c r="K725" i="1"/>
  <c r="K717" i="1"/>
  <c r="K713" i="1"/>
  <c r="K709" i="1"/>
  <c r="K705" i="1"/>
  <c r="K518" i="1"/>
  <c r="K514" i="1"/>
  <c r="K510" i="1"/>
  <c r="K506" i="1"/>
  <c r="K502" i="1"/>
  <c r="K498" i="1"/>
  <c r="K490" i="1"/>
  <c r="K474" i="1"/>
  <c r="K470" i="1"/>
  <c r="K462" i="1"/>
  <c r="K458" i="1"/>
  <c r="K169" i="1"/>
  <c r="K161" i="1"/>
  <c r="K133" i="1"/>
  <c r="K117" i="1"/>
  <c r="K97" i="1"/>
  <c r="K81" i="1"/>
  <c r="K53" i="1"/>
  <c r="K49" i="1"/>
  <c r="K37" i="1"/>
  <c r="K33" i="1"/>
  <c r="K740" i="1"/>
  <c r="K724" i="1"/>
  <c r="K716" i="1"/>
  <c r="K700" i="1"/>
  <c r="K501" i="1"/>
  <c r="K497" i="1"/>
  <c r="K481" i="1"/>
  <c r="K469" i="1"/>
  <c r="K465" i="1"/>
  <c r="K636" i="1"/>
  <c r="K628" i="1"/>
  <c r="K612" i="1"/>
  <c r="K291" i="1"/>
  <c r="K287" i="1"/>
  <c r="K275" i="1"/>
  <c r="K271" i="1"/>
  <c r="K263" i="1"/>
  <c r="K259" i="1"/>
  <c r="K255" i="1"/>
  <c r="K243" i="1"/>
  <c r="K239" i="1"/>
  <c r="K227" i="1"/>
  <c r="K215" i="1"/>
  <c r="K516" i="1"/>
  <c r="K496" i="1"/>
  <c r="K480" i="1"/>
  <c r="K306" i="1"/>
  <c r="K302" i="1"/>
  <c r="K742" i="1"/>
  <c r="K734" i="1"/>
  <c r="K726" i="1"/>
  <c r="K722" i="1"/>
  <c r="K706" i="1"/>
  <c r="K495" i="1"/>
  <c r="K483" i="1"/>
  <c r="K471" i="1"/>
  <c r="K467" i="1"/>
  <c r="K463" i="1"/>
  <c r="K414" i="1"/>
  <c r="K618" i="1"/>
  <c r="K614" i="1"/>
  <c r="K606" i="1"/>
  <c r="K602" i="1"/>
  <c r="K598" i="1"/>
  <c r="K594" i="1"/>
  <c r="K590" i="1"/>
  <c r="K269" i="1"/>
  <c r="K584" i="1"/>
  <c r="K548" i="1"/>
  <c r="K532" i="1"/>
  <c r="K435" i="1"/>
  <c r="K431" i="1"/>
  <c r="K415" i="1"/>
  <c r="K399" i="1"/>
  <c r="K686" i="1"/>
  <c r="K674" i="1"/>
  <c r="K670" i="1"/>
  <c r="K434" i="1"/>
  <c r="K418" i="1"/>
  <c r="K402" i="1"/>
  <c r="K398" i="1"/>
  <c r="K390" i="1"/>
  <c r="K382" i="1"/>
  <c r="K199" i="1"/>
  <c r="K195" i="1"/>
  <c r="K179" i="1"/>
  <c r="K175" i="1"/>
  <c r="K697" i="1"/>
  <c r="K689" i="1"/>
  <c r="K681" i="1"/>
  <c r="K677" i="1"/>
  <c r="K673" i="1"/>
  <c r="K665" i="1"/>
  <c r="K661" i="1"/>
  <c r="K586" i="1"/>
  <c r="K582" i="1"/>
  <c r="K578" i="1"/>
  <c r="K570" i="1"/>
  <c r="K566" i="1"/>
  <c r="K562" i="1"/>
  <c r="K554" i="1"/>
  <c r="K550" i="1"/>
  <c r="K546" i="1"/>
  <c r="K542" i="1"/>
  <c r="K538" i="1"/>
  <c r="K534" i="1"/>
  <c r="K530" i="1"/>
  <c r="K526" i="1"/>
  <c r="K522" i="1"/>
  <c r="K437" i="1"/>
  <c r="K433" i="1"/>
  <c r="K425" i="1"/>
  <c r="K421" i="1"/>
  <c r="K413" i="1"/>
  <c r="K409" i="1"/>
  <c r="K405" i="1"/>
  <c r="K397" i="1"/>
  <c r="K680" i="1"/>
  <c r="K676" i="1"/>
  <c r="K664" i="1"/>
  <c r="K660" i="1"/>
  <c r="K436" i="1"/>
  <c r="K428" i="1"/>
  <c r="K412" i="1"/>
  <c r="K396" i="1"/>
  <c r="K388" i="1"/>
  <c r="K257" i="1"/>
  <c r="K416" i="1"/>
  <c r="K400" i="1"/>
  <c r="K632" i="1"/>
  <c r="K492" i="1"/>
  <c r="K488" i="1"/>
  <c r="K484" i="1"/>
  <c r="K591" i="1"/>
  <c r="K85" i="1"/>
  <c r="K712" i="1"/>
  <c r="K708" i="1"/>
  <c r="K112" i="1"/>
  <c r="K108" i="1"/>
  <c r="K104" i="1"/>
  <c r="K48" i="1"/>
  <c r="K44" i="1"/>
  <c r="K40" i="1"/>
  <c r="K406" i="1"/>
  <c r="K656" i="1"/>
  <c r="K652" i="1"/>
  <c r="K185" i="1"/>
  <c r="K640" i="1"/>
  <c r="K466" i="1"/>
  <c r="K129" i="1"/>
  <c r="K113" i="1"/>
  <c r="K109" i="1"/>
  <c r="K105" i="1"/>
  <c r="K101" i="1"/>
  <c r="K719" i="1"/>
  <c r="K21" i="1"/>
  <c r="K17" i="1"/>
  <c r="K13" i="1"/>
  <c r="K9" i="1"/>
  <c r="K692" i="1"/>
  <c r="K684" i="1"/>
  <c r="K476" i="1"/>
  <c r="K491" i="1"/>
  <c r="K424" i="1"/>
  <c r="K420" i="1"/>
  <c r="K279" i="1"/>
  <c r="K87" i="1"/>
  <c r="K67" i="1"/>
  <c r="K35" i="1"/>
  <c r="K728" i="1"/>
  <c r="K408" i="1"/>
  <c r="K404" i="1"/>
  <c r="K221" i="1"/>
  <c r="K141" i="1"/>
  <c r="K137" i="1"/>
  <c r="K330" i="1"/>
  <c r="K663" i="1"/>
  <c r="K430" i="1"/>
  <c r="K426" i="1"/>
  <c r="K363" i="1"/>
  <c r="K326" i="1"/>
  <c r="K295" i="1"/>
  <c r="K277" i="1"/>
  <c r="K251" i="1"/>
  <c r="K233" i="1"/>
  <c r="K69" i="1"/>
  <c r="K65" i="1"/>
  <c r="K11" i="1"/>
  <c r="K7" i="1"/>
  <c r="K732" i="1"/>
  <c r="K746" i="1"/>
  <c r="K735" i="1"/>
  <c r="K720" i="1"/>
  <c r="K699" i="1"/>
  <c r="K384" i="1"/>
  <c r="K440" i="1"/>
  <c r="K380" i="1"/>
  <c r="K314" i="1"/>
  <c r="K131" i="1"/>
  <c r="K123" i="1"/>
  <c r="K119" i="1"/>
  <c r="K80" i="1"/>
  <c r="K76" i="1"/>
  <c r="K72" i="1"/>
  <c r="K45" i="1"/>
  <c r="K41" i="1"/>
  <c r="K698" i="1"/>
  <c r="K679" i="1"/>
  <c r="K672" i="1"/>
  <c r="K668" i="1"/>
  <c r="K647" i="1"/>
  <c r="K342" i="1"/>
  <c r="K107" i="1"/>
  <c r="K103" i="1"/>
  <c r="K348" i="1"/>
  <c r="K166" i="1"/>
  <c r="K149" i="1"/>
  <c r="K145" i="1"/>
  <c r="K75" i="1"/>
  <c r="K748" i="1"/>
  <c r="K704" i="1"/>
  <c r="K493" i="1"/>
  <c r="K482" i="1"/>
  <c r="K152" i="1"/>
  <c r="K715" i="1"/>
  <c r="K395" i="1"/>
  <c r="K364" i="1"/>
  <c r="K358" i="1"/>
  <c r="K274" i="1"/>
  <c r="K144" i="1"/>
  <c r="K140" i="1"/>
  <c r="K136" i="1"/>
  <c r="K43" i="1"/>
  <c r="K39" i="1"/>
  <c r="K16" i="1"/>
  <c r="K12" i="1"/>
  <c r="K8" i="1"/>
  <c r="K711" i="1"/>
  <c r="K639" i="1"/>
  <c r="K707" i="1"/>
  <c r="K703" i="1"/>
  <c r="K696" i="1"/>
  <c r="K683" i="1"/>
  <c r="K667" i="1"/>
  <c r="K651" i="1"/>
  <c r="K181" i="1"/>
  <c r="K619" i="1"/>
  <c r="K747" i="1"/>
  <c r="K730" i="1"/>
  <c r="K749" i="1"/>
  <c r="K743" i="1"/>
  <c r="K736" i="1"/>
  <c r="K729" i="1"/>
  <c r="K723" i="1"/>
  <c r="K702" i="1"/>
  <c r="K685" i="1"/>
  <c r="K682" i="1"/>
  <c r="K669" i="1"/>
  <c r="K666" i="1"/>
  <c r="K653" i="1"/>
  <c r="K650" i="1"/>
  <c r="K610" i="1"/>
  <c r="K607" i="1"/>
  <c r="K600" i="1"/>
  <c r="K580" i="1"/>
  <c r="K504" i="1"/>
  <c r="K155" i="1"/>
  <c r="K691" i="1"/>
  <c r="K727" i="1"/>
  <c r="K635" i="1"/>
  <c r="K752" i="1"/>
  <c r="K745" i="1"/>
  <c r="K739" i="1"/>
  <c r="K718" i="1"/>
  <c r="K701" i="1"/>
  <c r="K695" i="1"/>
  <c r="K688" i="1"/>
  <c r="K678" i="1"/>
  <c r="K662" i="1"/>
  <c r="K649" i="1"/>
  <c r="K646" i="1"/>
  <c r="K643" i="1"/>
  <c r="K626" i="1"/>
  <c r="K623" i="1"/>
  <c r="K616" i="1"/>
  <c r="K603" i="1"/>
  <c r="K596" i="1"/>
  <c r="K558" i="1"/>
  <c r="K479" i="1"/>
  <c r="K422" i="1"/>
  <c r="K370" i="1"/>
  <c r="K741" i="1"/>
  <c r="K738" i="1"/>
  <c r="K721" i="1"/>
  <c r="K694" i="1"/>
  <c r="K675" i="1"/>
  <c r="K659" i="1"/>
  <c r="K642" i="1"/>
  <c r="K622" i="1"/>
  <c r="K336" i="1"/>
  <c r="K472" i="1"/>
  <c r="K214" i="1"/>
  <c r="K754" i="1"/>
  <c r="K751" i="1"/>
  <c r="K744" i="1"/>
  <c r="K737" i="1"/>
  <c r="K731" i="1"/>
  <c r="K714" i="1"/>
  <c r="K710" i="1"/>
  <c r="K693" i="1"/>
  <c r="K690" i="1"/>
  <c r="K687" i="1"/>
  <c r="K671" i="1"/>
  <c r="K655" i="1"/>
  <c r="K641" i="1"/>
  <c r="K638" i="1"/>
  <c r="K574" i="1"/>
  <c r="K564" i="1"/>
  <c r="K410" i="1"/>
  <c r="K575" i="1"/>
  <c r="K568" i="1"/>
  <c r="K559" i="1"/>
  <c r="K552" i="1"/>
  <c r="K543" i="1"/>
  <c r="K536" i="1"/>
  <c r="K527" i="1"/>
  <c r="K520" i="1"/>
  <c r="K511" i="1"/>
  <c r="K475" i="1"/>
  <c r="K459" i="1"/>
  <c r="K439" i="1"/>
  <c r="K429" i="1"/>
  <c r="K419" i="1"/>
  <c r="K403" i="1"/>
  <c r="K360" i="1"/>
  <c r="K273" i="1"/>
  <c r="K250" i="1"/>
  <c r="K230" i="1"/>
  <c r="K223" i="1"/>
  <c r="K217" i="1"/>
  <c r="K197" i="1"/>
  <c r="K187" i="1"/>
  <c r="K157" i="1"/>
  <c r="K115" i="1"/>
  <c r="K111" i="1"/>
  <c r="K93" i="1"/>
  <c r="K89" i="1"/>
  <c r="K64" i="1"/>
  <c r="K60" i="1"/>
  <c r="K56" i="1"/>
  <c r="K27" i="1"/>
  <c r="K253" i="1"/>
  <c r="K163" i="1"/>
  <c r="K468" i="1"/>
  <c r="K432" i="1"/>
  <c r="K332" i="1"/>
  <c r="K310" i="1"/>
  <c r="K272" i="1"/>
  <c r="K249" i="1"/>
  <c r="K213" i="1"/>
  <c r="K147" i="1"/>
  <c r="K125" i="1"/>
  <c r="K121" i="1"/>
  <c r="K96" i="1"/>
  <c r="K92" i="1"/>
  <c r="K88" i="1"/>
  <c r="K59" i="1"/>
  <c r="K19" i="1"/>
  <c r="K15" i="1"/>
  <c r="K500" i="1"/>
  <c r="K494" i="1"/>
  <c r="K487" i="1"/>
  <c r="K478" i="1"/>
  <c r="K378" i="1"/>
  <c r="K325" i="1"/>
  <c r="K319" i="1"/>
  <c r="K303" i="1"/>
  <c r="K262" i="1"/>
  <c r="K229" i="1"/>
  <c r="K219" i="1"/>
  <c r="K209" i="1"/>
  <c r="K165" i="1"/>
  <c r="K139" i="1"/>
  <c r="K99" i="1"/>
  <c r="K77" i="1"/>
  <c r="K73" i="1"/>
  <c r="K631" i="1"/>
  <c r="K624" i="1"/>
  <c r="K615" i="1"/>
  <c r="K608" i="1"/>
  <c r="K599" i="1"/>
  <c r="K592" i="1"/>
  <c r="K583" i="1"/>
  <c r="K576" i="1"/>
  <c r="K567" i="1"/>
  <c r="K560" i="1"/>
  <c r="K551" i="1"/>
  <c r="K544" i="1"/>
  <c r="K535" i="1"/>
  <c r="K528" i="1"/>
  <c r="K519" i="1"/>
  <c r="K512" i="1"/>
  <c r="K503" i="1"/>
  <c r="K486" i="1"/>
  <c r="K477" i="1"/>
  <c r="K461" i="1"/>
  <c r="K427" i="1"/>
  <c r="K411" i="1"/>
  <c r="K392" i="1"/>
  <c r="K386" i="1"/>
  <c r="K362" i="1"/>
  <c r="K340" i="1"/>
  <c r="K335" i="1"/>
  <c r="K324" i="1"/>
  <c r="K309" i="1"/>
  <c r="K258" i="1"/>
  <c r="K235" i="1"/>
  <c r="K231" i="1"/>
  <c r="K189" i="1"/>
  <c r="K182" i="1"/>
  <c r="K156" i="1"/>
  <c r="K153" i="1"/>
  <c r="K128" i="1"/>
  <c r="K124" i="1"/>
  <c r="K120" i="1"/>
  <c r="K91" i="1"/>
  <c r="K51" i="1"/>
  <c r="K47" i="1"/>
  <c r="K29" i="1"/>
  <c r="K25" i="1"/>
  <c r="K473" i="1"/>
  <c r="K417" i="1"/>
  <c r="K401" i="1"/>
  <c r="K289" i="1"/>
  <c r="K247" i="1"/>
  <c r="K211" i="1"/>
  <c r="K205" i="1"/>
  <c r="K198" i="1"/>
  <c r="K191" i="1"/>
  <c r="K168" i="1"/>
  <c r="K627" i="1"/>
  <c r="K620" i="1"/>
  <c r="K611" i="1"/>
  <c r="K604" i="1"/>
  <c r="K588" i="1"/>
  <c r="K572" i="1"/>
  <c r="K556" i="1"/>
  <c r="K540" i="1"/>
  <c r="K524" i="1"/>
  <c r="K508" i="1"/>
  <c r="K499" i="1"/>
  <c r="K485" i="1"/>
  <c r="K464" i="1"/>
  <c r="K460" i="1"/>
  <c r="K423" i="1"/>
  <c r="K407" i="1"/>
  <c r="K389" i="1"/>
  <c r="K374" i="1"/>
  <c r="K355" i="1"/>
  <c r="K346" i="1"/>
  <c r="K293" i="1"/>
  <c r="K207" i="1"/>
  <c r="K171" i="1"/>
  <c r="K83" i="1"/>
  <c r="K79" i="1"/>
  <c r="K61" i="1"/>
  <c r="K57" i="1"/>
  <c r="K32" i="1"/>
  <c r="K28" i="1"/>
  <c r="K24" i="1"/>
  <c r="K595" i="1"/>
  <c r="K587" i="1"/>
  <c r="K579" i="1"/>
  <c r="K571" i="1"/>
  <c r="K563" i="1"/>
  <c r="K555" i="1"/>
  <c r="K547" i="1"/>
  <c r="K539" i="1"/>
  <c r="K531" i="1"/>
  <c r="K523" i="1"/>
  <c r="K515" i="1"/>
  <c r="K507" i="1"/>
  <c r="K629" i="1"/>
  <c r="K621" i="1"/>
  <c r="K613" i="1"/>
  <c r="K605" i="1"/>
  <c r="K597" i="1"/>
  <c r="K589" i="1"/>
  <c r="K581" i="1"/>
  <c r="K573" i="1"/>
  <c r="K565" i="1"/>
  <c r="K557" i="1"/>
  <c r="K549" i="1"/>
  <c r="K541" i="1"/>
  <c r="K533" i="1"/>
  <c r="K525" i="1"/>
  <c r="K517" i="1"/>
  <c r="K509" i="1"/>
  <c r="K625" i="1"/>
  <c r="K617" i="1"/>
  <c r="K601" i="1"/>
  <c r="K585" i="1"/>
  <c r="K577" i="1"/>
  <c r="K569" i="1"/>
  <c r="K561" i="1"/>
  <c r="K553" i="1"/>
  <c r="K545" i="1"/>
  <c r="K537" i="1"/>
  <c r="K529" i="1"/>
  <c r="K521" i="1"/>
  <c r="K513" i="1"/>
  <c r="K505" i="1"/>
  <c r="K489" i="1"/>
  <c r="K609" i="1"/>
  <c r="K593" i="1"/>
  <c r="K394" i="1"/>
  <c r="K357" i="1"/>
  <c r="K298" i="1"/>
  <c r="K383" i="1"/>
  <c r="K371" i="1"/>
  <c r="K351" i="1"/>
  <c r="K339" i="1"/>
  <c r="K285" i="1"/>
  <c r="K393" i="1"/>
  <c r="K379" i="1"/>
  <c r="K347" i="1"/>
  <c r="K373" i="1"/>
  <c r="K341" i="1"/>
  <c r="K323" i="1"/>
  <c r="K387" i="1"/>
  <c r="K367" i="1"/>
  <c r="K391" i="1"/>
  <c r="K375" i="1"/>
  <c r="K359" i="1"/>
  <c r="K343" i="1"/>
  <c r="K327" i="1"/>
  <c r="K311" i="1"/>
  <c r="K292" i="1"/>
  <c r="K281" i="1"/>
  <c r="K267" i="1"/>
  <c r="K261" i="1"/>
  <c r="K242" i="1"/>
  <c r="K203" i="1"/>
  <c r="K183" i="1"/>
  <c r="K177" i="1"/>
  <c r="K173" i="1"/>
  <c r="K377" i="1"/>
  <c r="K361" i="1"/>
  <c r="K345" i="1"/>
  <c r="K329" i="1"/>
  <c r="K313" i="1"/>
  <c r="K297" i="1"/>
  <c r="K278" i="1"/>
  <c r="K245" i="1"/>
  <c r="K193" i="1"/>
  <c r="K331" i="1"/>
  <c r="K315" i="1"/>
  <c r="K299" i="1"/>
  <c r="K294" i="1"/>
  <c r="K381" i="1"/>
  <c r="K365" i="1"/>
  <c r="K349" i="1"/>
  <c r="K333" i="1"/>
  <c r="K317" i="1"/>
  <c r="K301" i="1"/>
  <c r="K288" i="1"/>
  <c r="K283" i="1"/>
  <c r="K266" i="1"/>
  <c r="K241" i="1"/>
  <c r="K225" i="1"/>
  <c r="K385" i="1"/>
  <c r="K369" i="1"/>
  <c r="K353" i="1"/>
  <c r="K337" i="1"/>
  <c r="K321" i="1"/>
  <c r="K305" i="1"/>
  <c r="K290" i="1"/>
  <c r="K265" i="1"/>
  <c r="K201" i="1"/>
  <c r="K307" i="1"/>
  <c r="K282" i="1"/>
  <c r="K246" i="1"/>
  <c r="K237" i="1"/>
  <c r="K296" i="1"/>
  <c r="K280" i="1"/>
  <c r="K264" i="1"/>
  <c r="K248" i="1"/>
  <c r="K232" i="1"/>
  <c r="K216" i="1"/>
  <c r="K200" i="1"/>
  <c r="K184" i="1"/>
  <c r="K160" i="1"/>
  <c r="K234" i="1"/>
  <c r="K218" i="1"/>
  <c r="K202" i="1"/>
  <c r="K186" i="1"/>
  <c r="K172" i="1"/>
  <c r="K284" i="1"/>
  <c r="K268" i="1"/>
  <c r="K252" i="1"/>
  <c r="K236" i="1"/>
  <c r="K220" i="1"/>
  <c r="K204" i="1"/>
  <c r="K188" i="1"/>
  <c r="K174" i="1"/>
  <c r="K167" i="1"/>
  <c r="K164" i="1"/>
  <c r="K286" i="1"/>
  <c r="K270" i="1"/>
  <c r="K254" i="1"/>
  <c r="K238" i="1"/>
  <c r="K222" i="1"/>
  <c r="K206" i="1"/>
  <c r="K190" i="1"/>
  <c r="K159" i="1"/>
  <c r="K256" i="1"/>
  <c r="K240" i="1"/>
  <c r="K224" i="1"/>
  <c r="K208" i="1"/>
  <c r="K192" i="1"/>
  <c r="K176" i="1"/>
  <c r="K226" i="1"/>
  <c r="K210" i="1"/>
  <c r="K194" i="1"/>
  <c r="K178" i="1"/>
  <c r="K158" i="1"/>
  <c r="K276" i="1"/>
  <c r="K260" i="1"/>
  <c r="K244" i="1"/>
  <c r="K228" i="1"/>
  <c r="K212" i="1"/>
  <c r="K196" i="1"/>
  <c r="K180" i="1"/>
  <c r="K162" i="1"/>
  <c r="K146" i="1"/>
  <c r="K130" i="1"/>
  <c r="K114" i="1"/>
  <c r="K98" i="1"/>
  <c r="K82" i="1"/>
  <c r="K66" i="1"/>
  <c r="K50" i="1"/>
  <c r="K34" i="1"/>
  <c r="K18" i="1"/>
  <c r="K142" i="1"/>
  <c r="K126" i="1"/>
  <c r="K110" i="1"/>
  <c r="K94" i="1"/>
  <c r="K78" i="1"/>
  <c r="K62" i="1"/>
  <c r="K46" i="1"/>
  <c r="K30" i="1"/>
  <c r="K14" i="1"/>
  <c r="K154" i="1"/>
  <c r="K148" i="1"/>
  <c r="K132" i="1"/>
  <c r="K116" i="1"/>
  <c r="K100" i="1"/>
  <c r="K84" i="1"/>
  <c r="K68" i="1"/>
  <c r="K52" i="1"/>
  <c r="K36" i="1"/>
  <c r="K20" i="1"/>
  <c r="K170" i="1"/>
  <c r="K138" i="1"/>
  <c r="K122" i="1"/>
  <c r="K106" i="1"/>
  <c r="K90" i="1"/>
  <c r="K74" i="1"/>
  <c r="K58" i="1"/>
  <c r="K42" i="1"/>
  <c r="K26" i="1"/>
  <c r="K10" i="1"/>
  <c r="K150" i="1"/>
  <c r="K134" i="1"/>
  <c r="K118" i="1"/>
  <c r="K102" i="1"/>
  <c r="K86" i="1"/>
  <c r="K70" i="1"/>
  <c r="K54" i="1"/>
  <c r="K38" i="1"/>
  <c r="K22" i="1"/>
  <c r="K6" i="1"/>
  <c r="I817" i="1"/>
  <c r="J817" i="1" s="1"/>
  <c r="K817" i="1" s="1"/>
  <c r="I816" i="1"/>
  <c r="J816" i="1" s="1"/>
  <c r="K816" i="1" s="1"/>
  <c r="I815" i="1"/>
  <c r="J815" i="1" s="1"/>
  <c r="K815" i="1" s="1"/>
  <c r="I814" i="1"/>
  <c r="J814" i="1" s="1"/>
  <c r="K814" i="1" s="1"/>
  <c r="I813" i="1"/>
  <c r="J813" i="1" s="1"/>
  <c r="K813" i="1" s="1"/>
  <c r="I812" i="1"/>
  <c r="J812" i="1" s="1"/>
  <c r="K812" i="1" s="1"/>
  <c r="I811" i="1"/>
  <c r="J811" i="1" s="1"/>
  <c r="K811" i="1" s="1"/>
  <c r="I810" i="1"/>
  <c r="J810" i="1" s="1"/>
  <c r="K810" i="1" s="1"/>
  <c r="I809" i="1"/>
  <c r="J809" i="1" s="1"/>
  <c r="K809" i="1" s="1"/>
  <c r="I808" i="1"/>
  <c r="J808" i="1" s="1"/>
  <c r="K808" i="1" s="1"/>
  <c r="I807" i="1"/>
  <c r="J807" i="1" s="1"/>
  <c r="K807" i="1" s="1"/>
  <c r="I806" i="1"/>
  <c r="J806" i="1" s="1"/>
  <c r="K806" i="1" s="1"/>
  <c r="I805" i="1"/>
  <c r="J805" i="1" s="1"/>
  <c r="K805" i="1" s="1"/>
  <c r="I804" i="1"/>
  <c r="J804" i="1" s="1"/>
  <c r="K804" i="1" s="1"/>
  <c r="I803" i="1"/>
  <c r="J803" i="1" s="1"/>
  <c r="K803" i="1" s="1"/>
  <c r="I802" i="1"/>
  <c r="J802" i="1" s="1"/>
  <c r="K802" i="1" s="1"/>
  <c r="I801" i="1"/>
  <c r="J801" i="1" s="1"/>
  <c r="K801" i="1" s="1"/>
  <c r="I800" i="1"/>
  <c r="J800" i="1" s="1"/>
  <c r="K800" i="1" s="1"/>
  <c r="I799" i="1"/>
  <c r="J799" i="1" s="1"/>
  <c r="K799" i="1" s="1"/>
  <c r="I798" i="1"/>
  <c r="J798" i="1" s="1"/>
  <c r="K798" i="1" s="1"/>
  <c r="I797" i="1"/>
  <c r="J797" i="1" s="1"/>
  <c r="K797" i="1" s="1"/>
  <c r="I796" i="1"/>
  <c r="J796" i="1" s="1"/>
  <c r="K796" i="1" s="1"/>
  <c r="I795" i="1"/>
  <c r="J795" i="1" s="1"/>
  <c r="K795" i="1" s="1"/>
  <c r="I794" i="1"/>
  <c r="J794" i="1" s="1"/>
  <c r="K794" i="1" s="1"/>
  <c r="I793" i="1"/>
  <c r="J793" i="1" s="1"/>
  <c r="K793" i="1" s="1"/>
  <c r="I792" i="1"/>
  <c r="J792" i="1" s="1"/>
  <c r="K792" i="1" s="1"/>
  <c r="I791" i="1"/>
  <c r="J791" i="1" s="1"/>
  <c r="K791" i="1" s="1"/>
  <c r="I790" i="1"/>
  <c r="J790" i="1" s="1"/>
  <c r="K790" i="1" s="1"/>
  <c r="I789" i="1"/>
  <c r="J789" i="1" s="1"/>
  <c r="K789" i="1" s="1"/>
  <c r="I788" i="1"/>
  <c r="J788" i="1" s="1"/>
  <c r="K788" i="1" s="1"/>
  <c r="I787" i="1"/>
  <c r="J787" i="1" s="1"/>
  <c r="K787" i="1" s="1"/>
  <c r="I786" i="1"/>
  <c r="J786" i="1" s="1"/>
  <c r="K786" i="1" s="1"/>
  <c r="I785" i="1"/>
  <c r="J785" i="1" s="1"/>
  <c r="K785" i="1" s="1"/>
  <c r="I784" i="1"/>
  <c r="J784" i="1" s="1"/>
  <c r="K784" i="1" s="1"/>
  <c r="I783" i="1"/>
  <c r="J783" i="1" s="1"/>
  <c r="K783" i="1" s="1"/>
  <c r="I782" i="1"/>
  <c r="J782" i="1" s="1"/>
  <c r="K782" i="1" s="1"/>
  <c r="I781" i="1"/>
  <c r="J781" i="1" s="1"/>
  <c r="K781" i="1" s="1"/>
  <c r="I780" i="1"/>
  <c r="J780" i="1" s="1"/>
  <c r="K780" i="1" s="1"/>
  <c r="I779" i="1"/>
  <c r="J779" i="1" s="1"/>
  <c r="K779" i="1" s="1"/>
  <c r="I778" i="1"/>
  <c r="J778" i="1" s="1"/>
  <c r="K778" i="1" s="1"/>
  <c r="I777" i="1"/>
  <c r="J777" i="1" s="1"/>
  <c r="K777" i="1" s="1"/>
  <c r="I776" i="1"/>
  <c r="J776" i="1" s="1"/>
  <c r="K776" i="1" s="1"/>
  <c r="I775" i="1"/>
  <c r="J775" i="1" s="1"/>
  <c r="K775" i="1" s="1"/>
  <c r="I774" i="1"/>
  <c r="J774" i="1" s="1"/>
  <c r="K774" i="1" s="1"/>
  <c r="I773" i="1"/>
  <c r="J773" i="1" s="1"/>
  <c r="K773" i="1" s="1"/>
  <c r="I772" i="1"/>
  <c r="J772" i="1" s="1"/>
  <c r="K772" i="1" s="1"/>
  <c r="I771" i="1"/>
  <c r="J771" i="1" s="1"/>
  <c r="K771" i="1" s="1"/>
  <c r="I770" i="1"/>
  <c r="J770" i="1" s="1"/>
  <c r="K770" i="1" s="1"/>
  <c r="I769" i="1"/>
  <c r="J769" i="1" s="1"/>
  <c r="K769" i="1" s="1"/>
  <c r="I768" i="1"/>
  <c r="J768" i="1" s="1"/>
  <c r="K768" i="1" s="1"/>
  <c r="I767" i="1"/>
  <c r="J767" i="1" s="1"/>
  <c r="K767" i="1" s="1"/>
  <c r="I766" i="1"/>
  <c r="J766" i="1" s="1"/>
  <c r="K766" i="1" s="1"/>
  <c r="I765" i="1"/>
  <c r="J765" i="1" s="1"/>
  <c r="K765" i="1" s="1"/>
  <c r="I764" i="1"/>
  <c r="J764" i="1" s="1"/>
  <c r="K764" i="1" s="1"/>
  <c r="I763" i="1"/>
  <c r="J763" i="1" s="1"/>
  <c r="K763" i="1" s="1"/>
  <c r="I762" i="1"/>
  <c r="J762" i="1" s="1"/>
  <c r="K762" i="1" s="1"/>
  <c r="I761" i="1"/>
  <c r="J761" i="1" s="1"/>
  <c r="K761" i="1" s="1"/>
  <c r="I760" i="1"/>
  <c r="J760" i="1" s="1"/>
  <c r="K760" i="1" s="1"/>
  <c r="I759" i="1"/>
  <c r="J759" i="1" s="1"/>
  <c r="K759" i="1" s="1"/>
  <c r="C25" i="5"/>
  <c r="C37" i="5" s="1"/>
  <c r="C26" i="5"/>
  <c r="I444" i="1" s="1"/>
  <c r="J444" i="1" s="1"/>
  <c r="K444" i="1" s="1"/>
  <c r="C27" i="5"/>
  <c r="I443" i="1" s="1"/>
  <c r="J443" i="1" s="1"/>
  <c r="K443" i="1" s="1"/>
  <c r="C28" i="5"/>
  <c r="I446" i="1" s="1"/>
  <c r="J446" i="1" s="1"/>
  <c r="K446" i="1" s="1"/>
  <c r="C24" i="5"/>
  <c r="I442" i="1" s="1"/>
  <c r="J442" i="1" s="1"/>
  <c r="K442" i="1" s="1"/>
  <c r="C40" i="5" l="1"/>
  <c r="I457" i="1" s="1"/>
  <c r="J457" i="1" s="1"/>
  <c r="K457" i="1" s="1"/>
  <c r="C39" i="5"/>
  <c r="C41" i="5"/>
  <c r="C38" i="5"/>
  <c r="C32" i="5"/>
  <c r="C30" i="5"/>
  <c r="I452" i="1" s="1"/>
  <c r="J452" i="1" s="1"/>
  <c r="K452" i="1" s="1"/>
  <c r="C31" i="5"/>
  <c r="C36" i="5"/>
  <c r="C35" i="5"/>
  <c r="C29" i="5"/>
  <c r="I445" i="1" s="1"/>
  <c r="J445" i="1" s="1"/>
  <c r="K445" i="1" s="1"/>
  <c r="I441" i="1"/>
  <c r="J441" i="1" s="1"/>
  <c r="K441" i="1" s="1"/>
  <c r="C34" i="5"/>
  <c r="C33" i="5"/>
  <c r="I447" i="1"/>
  <c r="J447" i="1" s="1"/>
  <c r="K447" i="1" s="1"/>
  <c r="C19" i="5"/>
  <c r="C20" i="5"/>
  <c r="C21" i="5"/>
  <c r="C22" i="5"/>
  <c r="C23" i="5"/>
  <c r="C18" i="5"/>
  <c r="I450" i="1" l="1"/>
  <c r="J450" i="1" s="1"/>
  <c r="K450" i="1" s="1"/>
  <c r="I455" i="1"/>
  <c r="J455" i="1" s="1"/>
  <c r="K455" i="1" s="1"/>
  <c r="I448" i="1"/>
  <c r="J448" i="1" s="1"/>
  <c r="K448" i="1" s="1"/>
  <c r="I453" i="1"/>
  <c r="J453" i="1" s="1"/>
  <c r="K453" i="1" s="1"/>
  <c r="I451" i="1"/>
  <c r="J451" i="1" s="1"/>
  <c r="K451" i="1" s="1"/>
  <c r="I456" i="1"/>
  <c r="J456" i="1" s="1"/>
  <c r="K456" i="1" s="1"/>
  <c r="I449" i="1"/>
  <c r="J449" i="1" s="1"/>
  <c r="K449" i="1" s="1"/>
  <c r="I454" i="1"/>
  <c r="J454" i="1" s="1"/>
  <c r="K454" i="1" s="1"/>
</calcChain>
</file>

<file path=xl/sharedStrings.xml><?xml version="1.0" encoding="utf-8"?>
<sst xmlns="http://schemas.openxmlformats.org/spreadsheetml/2006/main" count="4505" uniqueCount="1800">
  <si>
    <t>InputData</t>
  </si>
  <si>
    <t>acronym-key.xlsx</t>
  </si>
  <si>
    <t>cpi.xlsx</t>
  </si>
  <si>
    <t>filelist.txt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</si>
  <si>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</si>
  <si>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</si>
  <si>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</si>
  <si>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</si>
  <si>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</si>
  <si>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</si>
  <si>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</si>
  <si>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</si>
  <si>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</si>
  <si>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</si>
  <si>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</si>
  <si>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</si>
  <si>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</si>
  <si>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</si>
  <si>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</si>
  <si>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</si>
  <si>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</si>
  <si>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</si>
  <si>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</si>
  <si>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</si>
  <si>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</si>
  <si>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</si>
  <si>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</si>
  <si>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</si>
  <si>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</si>
  <si>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</si>
  <si>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</si>
  <si>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</si>
  <si>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</si>
  <si>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</si>
  <si>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</si>
  <si>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</si>
  <si>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</si>
  <si>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</si>
  <si>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</si>
  <si>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</si>
  <si>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</si>
  <si>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</si>
  <si>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</si>
  <si>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</si>
  <si>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</si>
  <si>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</si>
  <si>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</si>
  <si>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</si>
  <si>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</si>
  <si>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</si>
  <si>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</si>
  <si>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</si>
  <si>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</si>
  <si>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</si>
  <si>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</si>
  <si>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</si>
  <si>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</si>
  <si>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</si>
  <si>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</si>
  <si>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</si>
  <si>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</si>
  <si>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</si>
  <si>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</si>
  <si>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</si>
  <si>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</si>
  <si>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</si>
  <si>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</si>
  <si>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</si>
  <si>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</si>
  <si>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</si>
  <si>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</si>
  <si>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</si>
  <si>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</si>
  <si>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</si>
  <si>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</si>
  <si>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</si>
  <si>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</si>
  <si>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</si>
  <si>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</si>
  <si>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</si>
  <si>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</si>
  <si>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</si>
  <si>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</si>
  <si>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</si>
  <si>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</si>
  <si>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</si>
  <si>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</si>
  <si>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</si>
  <si>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</si>
  <si>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</si>
  <si>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</si>
  <si>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</si>
  <si>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</si>
  <si>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</si>
  <si>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</si>
  <si>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</si>
  <si>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</si>
  <si>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</si>
  <si>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</si>
  <si>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</si>
  <si>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</si>
  <si>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</si>
  <si>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</si>
  <si>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</si>
  <si>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</si>
  <si>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</si>
  <si>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</si>
  <si>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</si>
  <si>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</si>
  <si>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</si>
  <si>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</si>
  <si>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</si>
  <si>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</si>
  <si>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CPbE</t>
  </si>
  <si>
    <t>CCS Percentages by Entity.xlsx</t>
  </si>
  <si>
    <t>CPbE-FoCSbS.csv</t>
  </si>
  <si>
    <t>CPbE-FoESCbES.csv</t>
  </si>
  <si>
    <t>CPbE-PoICbI.csv</t>
  </si>
  <si>
    <t>CSA</t>
  </si>
  <si>
    <t>Carbon Sequestration Amounts.xlsx</t>
  </si>
  <si>
    <t>CSA-ACP.csv</t>
  </si>
  <si>
    <t>CSA-BTCS.csv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</si>
  <si>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</si>
  <si>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</si>
  <si>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</si>
  <si>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</si>
  <si>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</si>
  <si>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</si>
  <si>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</si>
  <si>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</si>
  <si>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</si>
  <si>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</si>
  <si>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</si>
  <si>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</si>
  <si>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</si>
  <si>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</si>
  <si>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</si>
  <si>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</si>
  <si>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</si>
  <si>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</si>
  <si>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</si>
  <si>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</si>
  <si>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</si>
  <si>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</si>
  <si>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</si>
  <si>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</si>
  <si>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</si>
  <si>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</si>
  <si>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</si>
  <si>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</si>
  <si>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</si>
  <si>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</si>
  <si>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</si>
  <si>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</si>
  <si>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</si>
  <si>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</si>
  <si>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</si>
  <si>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</si>
  <si>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</si>
  <si>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</si>
  <si>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</si>
  <si>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</si>
  <si>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</si>
  <si>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</si>
  <si>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</si>
  <si>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</si>
  <si>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</si>
  <si>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</si>
  <si>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</si>
  <si>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</si>
  <si>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</si>
  <si>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</si>
  <si>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</si>
  <si>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</si>
  <si>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</si>
  <si>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</si>
  <si>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</si>
  <si>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</si>
  <si>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</si>
  <si>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</si>
  <si>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</si>
  <si>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</si>
  <si>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</si>
  <si>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</si>
  <si>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</si>
  <si>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</si>
  <si>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</si>
  <si>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</si>
  <si>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</si>
  <si>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</si>
  <si>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</si>
  <si>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</si>
  <si>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</si>
  <si>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</si>
  <si>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</si>
  <si>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</si>
  <si>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</si>
  <si>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</si>
  <si>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</si>
  <si>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</si>
  <si>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</si>
  <si>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</si>
  <si>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</si>
  <si>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</si>
  <si>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</si>
  <si>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</si>
  <si>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</si>
  <si>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</si>
  <si>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</si>
  <si>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</si>
  <si>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</si>
  <si>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</si>
  <si>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</si>
  <si>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</si>
  <si>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</si>
  <si>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</si>
  <si>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</si>
  <si>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</si>
  <si>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</si>
  <si>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</si>
  <si>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</si>
  <si>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</si>
  <si>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</si>
  <si>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</si>
  <si>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</si>
  <si>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</si>
  <si>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</si>
  <si>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</si>
  <si>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</si>
  <si>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</si>
  <si>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</si>
  <si>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</si>
  <si>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</si>
  <si>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</si>
  <si>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</si>
  <si>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FPC-FPPpUTCaMRB.csv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</si>
  <si>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</si>
  <si>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</si>
  <si>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</si>
  <si>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</si>
  <si>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</si>
  <si>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</si>
  <si>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</si>
  <si>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</si>
  <si>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</si>
  <si>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</si>
  <si>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</si>
  <si>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</si>
  <si>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</si>
  <si>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</si>
  <si>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</si>
  <si>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</si>
  <si>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</si>
  <si>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</si>
  <si>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</si>
  <si>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</si>
  <si>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</si>
  <si>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</si>
  <si>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</si>
  <si>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</si>
  <si>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</si>
  <si>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</si>
  <si>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</si>
  <si>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</si>
  <si>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</si>
  <si>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</si>
  <si>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</si>
  <si>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</si>
  <si>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</si>
  <si>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</si>
  <si>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</si>
  <si>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</si>
  <si>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</si>
  <si>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</si>
  <si>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</si>
  <si>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</si>
  <si>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</si>
  <si>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</si>
  <si>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</si>
  <si>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</si>
  <si>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</si>
  <si>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</si>
  <si>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</si>
  <si>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</si>
  <si>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</si>
  <si>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</si>
  <si>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</si>
  <si>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</si>
  <si>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</si>
  <si>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</si>
  <si>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</si>
  <si>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</si>
  <si>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</si>
  <si>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</si>
  <si>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</si>
  <si>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</si>
  <si>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</si>
  <si>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</si>
  <si>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</si>
  <si>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</si>
  <si>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</si>
  <si>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</si>
  <si>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</si>
  <si>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</si>
  <si>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</si>
  <si>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</si>
  <si>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</si>
  <si>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</si>
  <si>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</si>
  <si>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</si>
  <si>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</si>
  <si>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</si>
  <si>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</si>
  <si>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</si>
  <si>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</si>
  <si>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</si>
  <si>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</si>
  <si>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</si>
  <si>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</si>
  <si>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SYSoCCtaSC.csv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</si>
  <si>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</si>
  <si>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</si>
  <si>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</si>
  <si>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</si>
  <si>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</si>
  <si>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</si>
  <si>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</si>
  <si>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</si>
  <si>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</si>
  <si>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</si>
  <si>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</si>
  <si>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</si>
  <si>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</si>
  <si>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</si>
  <si>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</si>
  <si>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</si>
  <si>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</si>
  <si>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</si>
  <si>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</si>
  <si>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</si>
  <si>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</si>
  <si>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</si>
  <si>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</si>
  <si>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</si>
  <si>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</si>
  <si>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</si>
  <si>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</si>
  <si>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</si>
  <si>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</si>
  <si>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</si>
  <si>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</si>
  <si>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</si>
  <si>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</si>
  <si>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</si>
  <si>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</si>
  <si>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</si>
  <si>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</si>
  <si>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</si>
  <si>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</si>
  <si>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</si>
  <si>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</si>
  <si>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</si>
  <si>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</si>
  <si>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</si>
  <si>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</si>
  <si>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</si>
  <si>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</si>
  <si>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</si>
  <si>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</si>
  <si>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</si>
  <si>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</si>
  <si>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</si>
  <si>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</si>
  <si>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</si>
  <si>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</si>
  <si>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</si>
  <si>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</si>
  <si>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</si>
  <si>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</si>
  <si>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</si>
  <si>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</si>
  <si>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</si>
  <si>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</si>
  <si>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</si>
  <si>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</si>
  <si>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</si>
  <si>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</si>
  <si>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</si>
  <si>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</si>
  <si>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</si>
  <si>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</si>
  <si>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</si>
  <si>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</si>
  <si>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</si>
  <si>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</si>
  <si>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</si>
  <si>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</si>
  <si>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</si>
  <si>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</si>
  <si>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</si>
  <si>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</si>
  <si>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</si>
  <si>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</si>
  <si>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</si>
  <si>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</si>
  <si>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</si>
  <si>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</si>
  <si>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</si>
  <si>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</si>
  <si>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</si>
  <si>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</si>
  <si>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</si>
  <si>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</si>
  <si>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</si>
  <si>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</si>
  <si>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</si>
  <si>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</si>
  <si>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</si>
  <si>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</si>
  <si>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</si>
  <si>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</si>
  <si>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</si>
  <si>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</si>
  <si>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</si>
  <si>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</si>
  <si>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</si>
  <si>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</si>
  <si>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</si>
  <si>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</si>
  <si>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</si>
  <si>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</si>
  <si>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</si>
  <si>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</si>
  <si>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</si>
  <si>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</si>
  <si>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</si>
  <si>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</si>
  <si>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</si>
  <si>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</si>
  <si>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</si>
  <si>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</si>
  <si>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</si>
  <si>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</si>
  <si>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</si>
  <si>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</si>
  <si>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</si>
  <si>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</si>
  <si>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</si>
  <si>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</si>
  <si>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</si>
  <si>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</si>
  <si>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</si>
  <si>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</si>
  <si>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</si>
  <si>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</si>
  <si>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</si>
  <si>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</si>
  <si>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</si>
  <si>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</si>
  <si>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</si>
  <si>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</si>
  <si>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</si>
  <si>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</si>
  <si>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</si>
  <si>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</si>
  <si>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</si>
  <si>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</si>
  <si>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</si>
  <si>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</si>
  <si>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</si>
  <si>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</si>
  <si>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</si>
  <si>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</si>
  <si>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</si>
  <si>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</si>
  <si>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</si>
  <si>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</si>
  <si>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</si>
  <si>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</si>
  <si>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</si>
  <si>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</si>
  <si>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</si>
  <si>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</si>
  <si>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</si>
  <si>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</si>
  <si>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</si>
  <si>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</si>
  <si>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</si>
  <si>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</si>
  <si>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</si>
  <si>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PERAC-MCAbMC-ag-CM.csv</t>
  </si>
  <si>
    <t>PERAC-MCAbMC-ag-LM.csv</t>
  </si>
  <si>
    <t>PERAC-MCAbMC-ag-RC.csv</t>
  </si>
  <si>
    <t>PERAC-MCAbMC-cement-CC.csv</t>
  </si>
  <si>
    <t>PERAC-MCAbMC-chemicals-CP.csv</t>
  </si>
  <si>
    <t>PERAC-MCAbMC-mining-MD.csv</t>
  </si>
  <si>
    <t>PERAC-MCAbMC-mining-MR.csv</t>
  </si>
  <si>
    <t>PERAC-MCAbMC-ngps-MR.csv</t>
  </si>
  <si>
    <t>PERAC-MCAbMC-ngps-WT.csv</t>
  </si>
  <si>
    <t>PERAC-MCAbMC-other-CP.csv</t>
  </si>
  <si>
    <t>PERAC-MCAbMC-other-WT.csv</t>
  </si>
  <si>
    <t>PERAC-MCAbMC-waste-MD.csv</t>
  </si>
  <si>
    <t>PERAC-MCAbMC-waste-MR.csv</t>
  </si>
  <si>
    <t>PERAC-PPRiPEfC.csv</t>
  </si>
  <si>
    <t>Step1</t>
  </si>
  <si>
    <t>Chemicals MAC.xlsx</t>
  </si>
  <si>
    <t>Other MAC.xlsx</t>
  </si>
  <si>
    <t>Waste Mgmt MAC.xlsx</t>
  </si>
  <si>
    <t>Step2</t>
  </si>
  <si>
    <t>Agriculture Cost Tiers.xlsx</t>
  </si>
  <si>
    <t>Policy Assignment to Cost Tiers.xlsx</t>
  </si>
  <si>
    <t>Mass CO2e Avoidable by Marginal Cost.xlsx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</si>
  <si>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</si>
  <si>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</si>
  <si>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</si>
  <si>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</si>
  <si>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</si>
  <si>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</si>
  <si>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</si>
  <si>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</si>
  <si>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</si>
  <si>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</si>
  <si>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</si>
  <si>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</si>
  <si>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</si>
  <si>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</si>
  <si>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</si>
  <si>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</si>
  <si>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</si>
  <si>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</si>
  <si>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</si>
  <si>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</si>
  <si>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</si>
  <si>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</si>
  <si>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</si>
  <si>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</si>
  <si>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</si>
  <si>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</si>
  <si>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</si>
  <si>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</si>
  <si>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</si>
  <si>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</si>
  <si>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</si>
  <si>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</si>
  <si>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</si>
  <si>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</si>
  <si>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</si>
  <si>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</si>
  <si>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</si>
  <si>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</si>
  <si>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</si>
  <si>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</si>
  <si>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</si>
  <si>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</si>
  <si>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</si>
  <si>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</si>
  <si>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</si>
  <si>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</si>
  <si>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</si>
  <si>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</si>
  <si>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</si>
  <si>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</si>
  <si>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</si>
  <si>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</si>
  <si>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</si>
  <si>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</si>
  <si>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</si>
  <si>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</si>
  <si>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</si>
  <si>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</si>
  <si>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</si>
  <si>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</si>
  <si>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</si>
  <si>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</si>
  <si>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plcy-ctrl-ctr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</si>
  <si>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</si>
  <si>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</si>
  <si>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</si>
  <si>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</si>
  <si>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</si>
  <si>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</si>
  <si>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</si>
  <si>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</si>
  <si>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</si>
  <si>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</si>
  <si>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</si>
  <si>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</si>
  <si>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</si>
  <si>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</si>
  <si>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</si>
  <si>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</si>
  <si>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</si>
  <si>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</si>
  <si>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</si>
  <si>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</si>
  <si>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</si>
  <si>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</si>
  <si>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</si>
  <si>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</si>
  <si>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</si>
  <si>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</si>
  <si>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</si>
  <si>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</si>
  <si>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</si>
  <si>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</si>
  <si>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</si>
  <si>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</si>
  <si>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</si>
  <si>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</si>
  <si>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</si>
  <si>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</si>
  <si>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</si>
  <si>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</si>
  <si>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</si>
  <si>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</si>
  <si>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</si>
  <si>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</si>
  <si>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</si>
  <si>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</si>
  <si>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</si>
  <si>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</si>
  <si>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</si>
  <si>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</si>
  <si>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</si>
  <si>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</si>
  <si>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</si>
  <si>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</si>
  <si>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</si>
  <si>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</si>
  <si>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</si>
  <si>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</si>
  <si>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</si>
  <si>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</si>
  <si>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</si>
  <si>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</si>
  <si>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</si>
  <si>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</si>
  <si>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</si>
  <si>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</si>
  <si>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</si>
  <si>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</si>
  <si>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</si>
  <si>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</si>
  <si>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</si>
  <si>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</si>
  <si>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</si>
  <si>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</si>
  <si>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</si>
  <si>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</si>
  <si>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</si>
  <si>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</si>
  <si>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</si>
  <si>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</si>
  <si>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</si>
  <si>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</si>
  <si>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</si>
  <si>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</si>
  <si>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</si>
  <si>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</si>
  <si>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</si>
  <si>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</si>
  <si>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</si>
  <si>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</si>
  <si>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</si>
  <si>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</si>
  <si>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</si>
  <si>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</si>
  <si>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</si>
  <si>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</si>
  <si>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</si>
  <si>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</si>
  <si>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</si>
  <si>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</si>
  <si>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</si>
  <si>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</si>
  <si>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</si>
  <si>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</si>
  <si>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</si>
  <si>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</si>
  <si>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</si>
  <si>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</si>
  <si>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</si>
  <si>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</si>
  <si>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</si>
  <si>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</si>
  <si>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</si>
  <si>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</si>
  <si>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</si>
  <si>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</si>
  <si>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</si>
  <si>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</si>
  <si>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</si>
  <si>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</si>
  <si>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</si>
  <si>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</si>
  <si>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</si>
  <si>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</si>
  <si>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</si>
  <si>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</si>
  <si>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</si>
  <si>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</si>
  <si>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</si>
  <si>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</si>
  <si>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</si>
  <si>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</si>
  <si>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</si>
  <si>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</si>
  <si>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</si>
  <si>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</si>
  <si>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</si>
  <si>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</si>
  <si>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</si>
  <si>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</si>
  <si>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</si>
  <si>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</si>
  <si>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</si>
  <si>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</si>
  <si>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</si>
  <si>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</si>
  <si>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</si>
  <si>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</si>
  <si>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</si>
  <si>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</si>
  <si>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</si>
  <si>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</si>
  <si>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</si>
  <si>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</si>
  <si>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</si>
  <si>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</si>
  <si>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</si>
  <si>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</si>
  <si>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</si>
  <si>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</si>
  <si>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</si>
  <si>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</si>
  <si>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</si>
  <si>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</si>
  <si>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</si>
  <si>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</si>
  <si>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</si>
  <si>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</si>
  <si>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</si>
  <si>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</si>
  <si>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</si>
  <si>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</si>
  <si>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</si>
  <si>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</si>
  <si>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</si>
  <si>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</si>
  <si>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</si>
  <si>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</si>
  <si>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</si>
  <si>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</si>
  <si>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</si>
  <si>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</si>
  <si>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</si>
  <si>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</si>
  <si>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</si>
  <si>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</si>
  <si>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</si>
  <si>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</si>
  <si>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</si>
  <si>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</si>
  <si>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</si>
  <si>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</si>
  <si>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</si>
  <si>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</si>
  <si>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</si>
  <si>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</si>
  <si>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</si>
  <si>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</si>
  <si>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</si>
  <si>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</si>
  <si>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</si>
  <si>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</si>
  <si>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</si>
  <si>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</si>
  <si>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</si>
  <si>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</si>
  <si>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</si>
  <si>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</si>
  <si>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</si>
  <si>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</si>
  <si>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</si>
  <si>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</si>
  <si>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</si>
  <si>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</si>
  <si>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</si>
  <si>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</si>
  <si>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</si>
  <si>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</si>
  <si>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</si>
  <si>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</si>
  <si>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</si>
  <si>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</si>
  <si>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</si>
  <si>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</si>
  <si>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</si>
  <si>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</si>
  <si>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</si>
  <si>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</si>
  <si>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</si>
  <si>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</si>
  <si>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</si>
  <si>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</si>
  <si>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</si>
  <si>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</si>
  <si>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</si>
  <si>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</si>
  <si>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</si>
  <si>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</si>
  <si>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</si>
  <si>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</si>
  <si>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</si>
  <si>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</si>
  <si>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</si>
  <si>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</si>
  <si>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</si>
  <si>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</si>
  <si>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</si>
  <si>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</si>
  <si>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</si>
  <si>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</si>
  <si>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</si>
  <si>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</si>
  <si>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</si>
  <si>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</si>
  <si>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</si>
  <si>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</si>
  <si>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</si>
  <si>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</si>
  <si>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</si>
  <si>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</si>
  <si>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</si>
  <si>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</si>
  <si>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</si>
  <si>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</si>
  <si>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</si>
  <si>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</si>
  <si>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</si>
  <si>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</si>
  <si>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</si>
  <si>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</si>
  <si>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</si>
  <si>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</si>
  <si>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</si>
  <si>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</si>
  <si>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</si>
  <si>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</si>
  <si>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</si>
  <si>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</si>
  <si>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</si>
  <si>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</si>
  <si>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</si>
  <si>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</si>
  <si>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</si>
  <si>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</si>
  <si>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</si>
  <si>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</si>
  <si>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</si>
  <si>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</si>
  <si>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</si>
  <si>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</si>
  <si>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</si>
  <si>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</si>
  <si>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</si>
  <si>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</si>
  <si>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</si>
  <si>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</si>
  <si>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</si>
  <si>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</si>
  <si>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</si>
  <si>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</si>
  <si>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</si>
  <si>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</si>
  <si>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</si>
  <si>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</si>
  <si>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</si>
  <si>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</si>
  <si>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</si>
  <si>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</si>
  <si>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</si>
  <si>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</si>
  <si>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</si>
  <si>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</si>
  <si>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</si>
  <si>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</si>
  <si>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</si>
  <si>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</si>
  <si>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</si>
  <si>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</si>
  <si>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</si>
  <si>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</si>
  <si>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</si>
  <si>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</si>
  <si>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</si>
  <si>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</si>
  <si>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</si>
  <si>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</si>
  <si>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</si>
  <si>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</si>
  <si>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</si>
  <si>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</si>
  <si>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</si>
  <si>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</si>
  <si>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</si>
  <si>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</si>
  <si>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</si>
  <si>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</si>
  <si>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</si>
  <si>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</si>
  <si>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</si>
  <si>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</si>
  <si>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</si>
  <si>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</si>
  <si>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</si>
  <si>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</si>
  <si>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</si>
  <si>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</si>
  <si>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</si>
  <si>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</si>
  <si>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</si>
  <si>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</si>
  <si>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</si>
  <si>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</si>
  <si>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</si>
  <si>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</si>
  <si>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</si>
  <si>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</si>
  <si>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</si>
  <si>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</si>
  <si>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</si>
  <si>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</si>
  <si>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</si>
  <si>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</si>
  <si>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</si>
  <si>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</si>
  <si>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</si>
  <si>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</si>
  <si>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</si>
  <si>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</si>
  <si>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</si>
  <si>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</si>
  <si>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</si>
  <si>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</si>
  <si>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</si>
  <si>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</si>
  <si>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</si>
  <si>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</si>
  <si>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</si>
  <si>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</si>
  <si>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</si>
  <si>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</si>
  <si>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Root Folder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</si>
  <si>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</si>
  <si>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</si>
  <si>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</si>
  <si>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</si>
  <si>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</si>
  <si>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</si>
  <si>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</si>
  <si>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</si>
  <si>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</si>
  <si>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</si>
  <si>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</si>
  <si>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</si>
  <si>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</si>
  <si>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</si>
  <si>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t>Export CSVs?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</si>
  <si>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</si>
  <si>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</si>
  <si>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</si>
  <si>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If you update the InputData variables or CSV names, you need to reproduce the </t>
  </si>
  <si>
    <t>To get this list, open a windows terminal, set the directory to the InputData directory</t>
  </si>
  <si>
    <t>in the EPS folder, and run the following command:</t>
  </si>
  <si>
    <t>dir /s /a-d /b&gt;filelist.txt</t>
  </si>
  <si>
    <t xml:space="preserve">2. Click on the "Export CSVs" button to the right. Give Excel a few minutes (up to </t>
  </si>
  <si>
    <t>Potential Perc Reduction for Cement.xlsx</t>
  </si>
  <si>
    <t>~README for Process Emissions Reductions and Costs.xlsx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</si>
  <si>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</si>
  <si>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</si>
  <si>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</si>
  <si>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</si>
  <si>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</si>
  <si>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</si>
  <si>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</si>
  <si>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</si>
  <si>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</si>
  <si>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</si>
  <si>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</si>
  <si>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</si>
  <si>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InputData\acronym-key.xlsx</t>
  </si>
  <si>
    <t>InputData\cpi.xlsx</t>
  </si>
  <si>
    <t>InputData\CSV Export Tool.xlsm</t>
  </si>
  <si>
    <t>InputData\filelist.txt</t>
  </si>
  <si>
    <t>InputData\output_shares_by_industry.xlsx</t>
  </si>
  <si>
    <t>InputData\~$CSV Export Tool.xlsm</t>
  </si>
  <si>
    <t>InputData\add-outputs\BGDP\BAU GDP.xlsx</t>
  </si>
  <si>
    <t>InputData\add-outputs\BGDP\BGDP.csv</t>
  </si>
  <si>
    <t>InputData\add-outputs\SCoC\SCoC.csv</t>
  </si>
  <si>
    <t>InputData\add-outputs\SCoC\Social Cost of Carbon.xlsx</t>
  </si>
  <si>
    <t>InputData\add-outputs\SCoHIbP\SCoHIbP-bldgs.csv</t>
  </si>
  <si>
    <t>InputData\add-outputs\SCoHIbP\SCoHIbP-elec-distheat.csv</t>
  </si>
  <si>
    <t>InputData\add-outputs\SCoHIbP\SCoHIbP-indst.csv</t>
  </si>
  <si>
    <t>InputData\add-outputs\SCoHIbP\SCoHIbP-LULUCF.csv</t>
  </si>
  <si>
    <t>InputData\add-outputs\SCoHIbP\SCoHIbP-transportation.csv</t>
  </si>
  <si>
    <t>InputData\add-outputs\SCoHIbP\Social Cost of Health Impacts by Pollutant.xlsx</t>
  </si>
  <si>
    <t>InputData\add-outputs\VoaSL\Value of a Statistical Life.xlsx</t>
  </si>
  <si>
    <t>InputData\add-outputs\VoaSL\VoaSL.csv</t>
  </si>
  <si>
    <t>InputData\bldgs\BASoBC\BASoBC-commercial.csv</t>
  </si>
  <si>
    <t>InputData\bldgs\BASoBC\BASoBC-rural-residential.csv</t>
  </si>
  <si>
    <t>InputData\bldgs\BASoBC\BASoBC-urban-residential.csv</t>
  </si>
  <si>
    <t>InputData\bldgs\BASoBC\BAU Amt Spent on Bldg Components.xlsx</t>
  </si>
  <si>
    <t>InputData\bldgs\BCEU\BAU Components Energy Use.xlsx</t>
  </si>
  <si>
    <t>InputData\bldgs\BCEU\BCEU-commercial-appl.csv</t>
  </si>
  <si>
    <t>InputData\bldgs\BCEU\BCEU-commercial-cooling.csv</t>
  </si>
  <si>
    <t>InputData\bldgs\BCEU\BCEU-commercial-heating.csv</t>
  </si>
  <si>
    <t>InputData\bldgs\BCEU\BCEU-commercial-lighting.csv</t>
  </si>
  <si>
    <t>InputData\bldgs\BCEU\BCEU-commercial-other.csv</t>
  </si>
  <si>
    <t>InputData\bldgs\BCEU\BCEU-rural-residential-appl.csv</t>
  </si>
  <si>
    <t>InputData\bldgs\BCEU\BCEU-rural-residential-cooling.csv</t>
  </si>
  <si>
    <t>InputData\bldgs\BCEU\BCEU-rural-residential-heating.csv</t>
  </si>
  <si>
    <t>InputData\bldgs\BCEU\BCEU-rural-residential-lighting.csv</t>
  </si>
  <si>
    <t>InputData\bldgs\BCEU\BCEU-rural-residential-other.csv</t>
  </si>
  <si>
    <t>InputData\bldgs\BCEU\BCEU-urban-residential-appl.csv</t>
  </si>
  <si>
    <t>InputData\bldgs\BCEU\BCEU-urban-residential-cooling.csv</t>
  </si>
  <si>
    <t>InputData\bldgs\BCEU\BCEU-urban-residential-heating.csv</t>
  </si>
  <si>
    <t>InputData\bldgs\BCEU\BCEU-urban-residential-lighting.csv</t>
  </si>
  <si>
    <t>InputData\bldgs\BCEU\BCEU-urban-residential-other.csv</t>
  </si>
  <si>
    <t>InputData\bldgs\BDEQ\BAU Distribued Electricity Quantities.xlsx</t>
  </si>
  <si>
    <t>InputData\bldgs\BDEQ\BDEQ-BDESC-commercial.csv</t>
  </si>
  <si>
    <t>InputData\bldgs\BDEQ\BDEQ-BDESC-rural-residential.csv</t>
  </si>
  <si>
    <t>InputData\bldgs\BDEQ\BDEQ-BDESC-urban-residential.csv</t>
  </si>
  <si>
    <t>InputData\bldgs\BDEQ\BDEQ-BEOfDS-commercial.csv</t>
  </si>
  <si>
    <t>InputData\bldgs\BDEQ\BDEQ-BEOfDS-rural-residential.csv</t>
  </si>
  <si>
    <t>InputData\bldgs\BDEQ\BDEQ-BEOfDS-urban-residential.csv</t>
  </si>
  <si>
    <t>InputData\bldgs\BFoCSbQL\BAU Frac of Components Sold by Quality Lvl.xlsx</t>
  </si>
  <si>
    <t>InputData\bldgs\BFoCSbQL\BFoCSbQL-commercial.csv</t>
  </si>
  <si>
    <t>InputData\bldgs\BFoCSbQL\BFoCSbQL-rural-residential.csv</t>
  </si>
  <si>
    <t>InputData\bldgs\BFoCSbQL\BFoCSbQL-urban-residential.csv</t>
  </si>
  <si>
    <t>InputData\bldgs\BRESaC\Bldg Retrofitting E Savings and Costs.xlsx</t>
  </si>
  <si>
    <t>InputData\bldgs\BRESaC\BRESaC-cost.csv</t>
  </si>
  <si>
    <t>InputData\bldgs\BRESaC\BRESaC-energy.csv</t>
  </si>
  <si>
    <t>InputData\bldgs\CL\CL.csv</t>
  </si>
  <si>
    <t>InputData\bldgs\CL\Component Lifetime.xlsx</t>
  </si>
  <si>
    <t>InputData\bldgs\CpUDSC\Cost per Unit Dist Solar Cap.xlsx</t>
  </si>
  <si>
    <t>InputData\bldgs\CpUDSC\CpUDSC.csv</t>
  </si>
  <si>
    <t>InputData\bldgs\DSCF\Distributed Solar Cap Factor.xlsx</t>
  </si>
  <si>
    <t>InputData\bldgs\DSCF\DSCF.csv</t>
  </si>
  <si>
    <t>InputData\bldgs\ECiCpCU\ECiCpCU.csv</t>
  </si>
  <si>
    <t>InputData\bldgs\ECiCpCU\Embedded Carbon in Components per Currency Unit.xlsx</t>
  </si>
  <si>
    <t>InputData\bldgs\EoBSDwEC\Elast of Bldg Svc Demand wrt E Cost.xlsx</t>
  </si>
  <si>
    <t>InputData\bldgs\EoBSDwEC\EoBSDwEC.csv</t>
  </si>
  <si>
    <t>InputData\bldgs\EoCEDwEC\Elast of Component E Demand wrt E Cost.xlsx</t>
  </si>
  <si>
    <t>InputData\bldgs\EoCEDwEC\EoCEDwEC.csv</t>
  </si>
  <si>
    <t>InputData\bldgs\EoCPwEU\Elast of Component Price wrt E Use.xlsx</t>
  </si>
  <si>
    <t>InputData\bldgs\EoCPwEU\EoCPwEU.csv</t>
  </si>
  <si>
    <t>InputData\bldgs\EoDSDwSP\Elasticity of Dist Solar Deployment wrt Subsidy Perc.xlsx</t>
  </si>
  <si>
    <t>InputData\bldgs\EoDSDwSP\EoDSDwSP.csv</t>
  </si>
  <si>
    <t>InputData\bldgs\FoBObE\FoBObE.csv</t>
  </si>
  <si>
    <t>InputData\bldgs\FoBObE\Frac of Bldgs Owned by Entity.xlsx</t>
  </si>
  <si>
    <t>InputData\bldgs\MSCdtRPbQL\Market Share Changes due to Rebate Prog by Qual Lvl.xlsx</t>
  </si>
  <si>
    <t>InputData\bldgs\MSCdtRPbQL\MSCdtRPbQL.csv</t>
  </si>
  <si>
    <t>InputData\bldgs\PCFURfE\PCFURfE.csv</t>
  </si>
  <si>
    <t>InputData\bldgs\PCFURfE\Perc Components Fuel Use Reduction for Electricity.xlsx</t>
  </si>
  <si>
    <t>InputData\bldgs\PEUDfSbQL\Perc E Use Difference from Std by Qual Level.xlsx</t>
  </si>
  <si>
    <t>InputData\bldgs\PEUDfSbQL\PEUDfSbQL.csv</t>
  </si>
  <si>
    <t>InputData\bldgs\PPEIdtICEaT\Pot Perc Eff Impr due to Impr Contractor Edu and Training.xlsx</t>
  </si>
  <si>
    <t>InputData\bldgs\PPEIdtICEaT\PPEIdtICEaT.csv</t>
  </si>
  <si>
    <t>InputData\bldgs\PPEIdtIL\Potential Perc Eff Improvement due to Impr Labeling.xlsx</t>
  </si>
  <si>
    <t>InputData\bldgs\PPEIdtIL\PPEIdtIL.csv</t>
  </si>
  <si>
    <t>InputData\bldgs\RBFF\RBFF.csv</t>
  </si>
  <si>
    <t>InputData\bldgs\RBFF\Recipient Buildings Fuel Fractions.xlsx</t>
  </si>
  <si>
    <t>InputData\bldgs\SoCEUtiNTY\Share of Cpnt E Use that is New This Year.xlsx</t>
  </si>
  <si>
    <t>InputData\bldgs\SoCEUtiNTY\SoCEUtiNTY.csv</t>
  </si>
  <si>
    <t>InputData\ccs\CC\CC-CCoEtSOToCpY.csv</t>
  </si>
  <si>
    <t>InputData\ccs\CC\CC-EUpTCS.csv</t>
  </si>
  <si>
    <t>InputData\ccs\CC\CC-TOMCpTS.csv</t>
  </si>
  <si>
    <t>InputData\ccs\CC\CCS Costs.xlsx</t>
  </si>
  <si>
    <t>InputData\ccs\CPbE\CCS Percentages by Entity.xlsx</t>
  </si>
  <si>
    <t>InputData\ccs\CPbE\CPbE-FoCSbS.csv</t>
  </si>
  <si>
    <t>InputData\ccs\CPbE\CPbE-FoESCbES.csv</t>
  </si>
  <si>
    <t>InputData\ccs\CPbE\CPbE-PoICbI.csv</t>
  </si>
  <si>
    <t>InputData\ccs\CSA\Carbon Sequestration Amounts.xlsx</t>
  </si>
  <si>
    <t>InputData\ccs\CSA\CSA-ACP.csv</t>
  </si>
  <si>
    <t>InputData\ccs\CSA\CSA-BTCS.csv</t>
  </si>
  <si>
    <t>InputData\cost-outputs\CFQS\Cash Flow Quantization Size.xlsx</t>
  </si>
  <si>
    <t>InputData\cost-outputs\CFQS\CFQS.csv</t>
  </si>
  <si>
    <t>InputData\cost-outputs\DR\Discount Rate.xlsx</t>
  </si>
  <si>
    <t>InputData\cost-outputs\DR\DR.csv</t>
  </si>
  <si>
    <t>InputData\cumulators\PQS\Pollutant Quantization Size.xlsx</t>
  </si>
  <si>
    <t>InputData\cumulators\PQS\PQS.csv</t>
  </si>
  <si>
    <t>InputData\dist-heat\BFoHfC\BAU Fraction of Heat from CHP.xlsx</t>
  </si>
  <si>
    <t>InputData\dist-heat\BFoHfC\BFoHfC.csv</t>
  </si>
  <si>
    <t>InputData\dist-heat\BFoHPbF\BAU Frac of Heat Provided by Fuel.xlsx</t>
  </si>
  <si>
    <t>InputData\dist-heat\BFoHPbF\BFoHPbF.csv</t>
  </si>
  <si>
    <t>InputData\dist-heat\EoCtUH\Efficiency of Conversion to Usable Heat.xlsx</t>
  </si>
  <si>
    <t>InputData\dist-heat\EoCtUH\EoCtUH.csv</t>
  </si>
  <si>
    <t>InputData\dist-heat\RHFF\Recipient Heat Fuel Fractions.xlsx</t>
  </si>
  <si>
    <t>InputData\dist-heat\RHFF\RHFF.csv</t>
  </si>
  <si>
    <t>InputData\elec\ARpUIiRC\Ann Ret per Unit Inc in Relative Cost.xlsx</t>
  </si>
  <si>
    <t>InputData\elec\ARpUIiRC\ARpUIiRC.csv</t>
  </si>
  <si>
    <t>InputData\elec\BCpUC\Battery Cost per Unit Cap.xlsx</t>
  </si>
  <si>
    <t>InputData\elec\BCpUC\BCpUC.csv</t>
  </si>
  <si>
    <t>InputData\elec\BCRbQ\BAU Cap Retirements before Quantization.xlsx</t>
  </si>
  <si>
    <t>InputData\elec\BCRbQ\BCRbQ.csv</t>
  </si>
  <si>
    <t>InputData\elec\BDPbES\BAU Dispatch Priority by Elec Source.xlsx</t>
  </si>
  <si>
    <t>InputData\elec\BDPbES\BDPbES.csv</t>
  </si>
  <si>
    <t>InputData\elec\BDSBaPCF\BDSBaPCF.csv</t>
  </si>
  <si>
    <t>InputData\elec\BDSBaPCF\Boolean Do Suppliers Bid at Peak Capacity Factors.xlsx</t>
  </si>
  <si>
    <t>InputData\elec\BECF\BAU Expected Capacity Factors.xlsx</t>
  </si>
  <si>
    <t>InputData\elec\BECF\BECF-new.csv</t>
  </si>
  <si>
    <t>InputData\elec\BECF\BECF-pre-nonret.csv</t>
  </si>
  <si>
    <t>InputData\elec\BECF\BECF-pre-ret.csv</t>
  </si>
  <si>
    <t>InputData\elec\BGCL\BAU Generation Capacity Lifetime.xlsx</t>
  </si>
  <si>
    <t>InputData\elec\BGCL\BGCL.csv</t>
  </si>
  <si>
    <t>InputData\elec\BGDPbES\BAU Guaranteed Dispatch Perc by Elec Source.xlsx</t>
  </si>
  <si>
    <t>InputData\elec\BGDPbES\BGDPbES.csv</t>
  </si>
  <si>
    <t>InputData\elec\BGrBSC\BAU Grid Battery Storage Cap.xlsx</t>
  </si>
  <si>
    <t>InputData\elec\BGrBSC\BGrBSC.csv</t>
  </si>
  <si>
    <t>InputData\elec\BHRbEF\BAU Heat Rate by Electricity Fuel.xlsx</t>
  </si>
  <si>
    <t>InputData\elec\BHRbEF\BHRbEF.csv</t>
  </si>
  <si>
    <t>InputData\elec\BPaFF\Boolean Peaking and Flexibility Flags.xlsx</t>
  </si>
  <si>
    <t>InputData\elec\BPaFF\BPaFF-BDTPTPF.csv</t>
  </si>
  <si>
    <t>InputData\elec\BPaFF\BPaFF-BITPTaP.csv</t>
  </si>
  <si>
    <t>InputData\elec\BPHC\BAU Pumped Hydro Cap.xlsx</t>
  </si>
  <si>
    <t>InputData\elec\BPHC\BPHC.csv</t>
  </si>
  <si>
    <t>InputData\elec\BPMCCS\BAU Pol Mandated Cap Const Sched.xlsx</t>
  </si>
  <si>
    <t>InputData\elec\BPMCCS\BPMCCS.csv</t>
  </si>
  <si>
    <t>InputData\elec\BRPSPTY\BAU RPS Percentage This Year.xlsx</t>
  </si>
  <si>
    <t>InputData\elec\BRPSPTY\BRPSPTY.csv</t>
  </si>
  <si>
    <t>InputData\elec\BTaDLP\BAU Trans and Distr Loss Perc.xlsx</t>
  </si>
  <si>
    <t>InputData\elec\BTaDLP\BTaDLP.csv</t>
  </si>
  <si>
    <t>InputData\elec\BTC\BAU Transmission Capacity.xlsx</t>
  </si>
  <si>
    <t>InputData\elec\BTC\BTC.csv</t>
  </si>
  <si>
    <t>InputData\elec\CCaMC\Capacity Construction and Maint Costs.xlsx</t>
  </si>
  <si>
    <t>InputData\elec\CCaMC\CCaMC-AFOaMCpUC.csv</t>
  </si>
  <si>
    <t>InputData\elec\CCaMC\CCaMC-BCCpUC.csv</t>
  </si>
  <si>
    <t>InputData\elec\CCaMC\CCaMC-VOaMCpUC.csv</t>
  </si>
  <si>
    <t>InputData\elec\DCpUC\DCpUC.csv</t>
  </si>
  <si>
    <t>InputData\elec\DCpUC\Decommissioning Cost per Unit Cap.xlsx</t>
  </si>
  <si>
    <t>InputData\elec\DPbES\Dispatch Priority by Elec Source.xlsx</t>
  </si>
  <si>
    <t>InputData\elec\DPbES\DPbES.csv</t>
  </si>
  <si>
    <t>InputData\elec\DRC\Demand Response Capacity.xlsx</t>
  </si>
  <si>
    <t>InputData\elec\DRC\DRC-BDRC.csv</t>
  </si>
  <si>
    <t>InputData\elec\DRC\DRC-PADRC.csv</t>
  </si>
  <si>
    <t>InputData\elec\DRCo\Demand Response Costs.xlsx</t>
  </si>
  <si>
    <t>InputData\elec\DRCo\DRCo-ACpUDRC.csv</t>
  </si>
  <si>
    <t>InputData\elec\DRCo\DRCo-SoDRbP.csv</t>
  </si>
  <si>
    <t>InputData\elec\EIaE\EIaE-BEE.csv</t>
  </si>
  <si>
    <t>InputData\elec\EIaE\EIaE-BIE.csv</t>
  </si>
  <si>
    <t>InputData\elec\EIaE\Elec Imports and Exports.xlsx</t>
  </si>
  <si>
    <t>InputData\elec\EoPPFTSwFP\Elasticity of Power Plant Fuel Type Shifting wrt Fuel Price.xlsx</t>
  </si>
  <si>
    <t>InputData\elec\EoPPFTSwFP\EoPPFTSwFP.csv</t>
  </si>
  <si>
    <t>InputData\elec\FoOMCtiL\FoOMCtiL.csv</t>
  </si>
  <si>
    <t>InputData\elec\FoOMCtiL\Fraction of OM Costs that is Labor.xlsx</t>
  </si>
  <si>
    <t>InputData\elec\FoTCAMRBtPF\FoTCAMRBtPF.csv</t>
  </si>
  <si>
    <t>InputData\elec\FoTCAMRBtPF\Frac of TCAMRB that Provides Flexibility.xlsx</t>
  </si>
  <si>
    <t>InputData\elec\FPC\Flexibility Point Calculations.xlsx</t>
  </si>
  <si>
    <t>InputData\elec\FPC\FPC-BTCC.csv</t>
  </si>
  <si>
    <t>InputData\elec\FPC\FPC-CFOC.csv</t>
  </si>
  <si>
    <t>InputData\elec\FPC\FPC-CSOC.csv</t>
  </si>
  <si>
    <t>InputData\elec\FPC\FPC-CTOC.csv</t>
  </si>
  <si>
    <t>InputData\elec\FPC\FPC-CZOC.csv</t>
  </si>
  <si>
    <t>InputData\elec\FPC\FPC-FPPpEV.csv</t>
  </si>
  <si>
    <t>InputData\elec\FPC\FPC-FPPpUBS.csv</t>
  </si>
  <si>
    <t>InputData\elec\FPC\FPC-FPPpUDRC.csv</t>
  </si>
  <si>
    <t>InputData\elec\FPC\FPC-FPPpUPC.csv</t>
  </si>
  <si>
    <t>InputData\elec\FPC\FPC-FPPpUPH.csv</t>
  </si>
  <si>
    <t>InputData\elec\FPC\FPC-FPPpUTCaMRB.csv</t>
  </si>
  <si>
    <t>InputData\elec\FPC\FPC-TMFoFPU.csv</t>
  </si>
  <si>
    <t>InputData\elec\FPCbS\Flexibility Points Consumed by Source.xlsx</t>
  </si>
  <si>
    <t>InputData\elec\FPCbS\FPCbS.csv</t>
  </si>
  <si>
    <t>InputData\elec\FSCaFoCC\FSCaFoCC.csv</t>
  </si>
  <si>
    <t>InputData\elec\FSCaFoCC\Fuel Shifting Cost as Frac of Const Cost.xlsx</t>
  </si>
  <si>
    <t>InputData\elec\GDPbES\GDPbES.csv</t>
  </si>
  <si>
    <t>InputData\elec\GDPbES\Guaranteed Dispatch Perc by Elec Source.xlsx</t>
  </si>
  <si>
    <t>InputData\elec\MCGLT\Max Cap Growth Lookup Table.xlsx</t>
  </si>
  <si>
    <t>InputData\elec\MCGLT\MCGLT.csv</t>
  </si>
  <si>
    <t>InputData\elec\MPCbS\Max Potential Capacity by Source.xlsx</t>
  </si>
  <si>
    <t>InputData\elec\MPCbS\MPCbS.csv</t>
  </si>
  <si>
    <t>InputData\elec\MPPC\Minimum Power Plant Capacity.xlsx</t>
  </si>
  <si>
    <t>InputData\elec\MPPC\MPPC.csv</t>
  </si>
  <si>
    <t>InputData\elec\NGEpUO\NGEpUO.csv</t>
  </si>
  <si>
    <t>InputData\elec\NGEpUO\Nonfuel GHG Emis per Unit Output.xlsx</t>
  </si>
  <si>
    <t>InputData\elec\NSDoDC\Normalized Standard Deviation of Dispatch Costs.xlsx</t>
  </si>
  <si>
    <t>InputData\elec\NSDoDC\NSDoDC.csv</t>
  </si>
  <si>
    <t>InputData\elec\NSDoNCC\Norm St Dev of New Cap Costs.xlsx</t>
  </si>
  <si>
    <t>InputData\elec\NSDoNCC\NSDoNCC.csv</t>
  </si>
  <si>
    <t>InputData\elec\PMCCS\PMCCS.csv</t>
  </si>
  <si>
    <t>InputData\elec\PMCCS\Pol Mandated Cap Const Sched.xlsx</t>
  </si>
  <si>
    <t>InputData\elec\PTCF\Peak Time Capacity Factors.xlsx</t>
  </si>
  <si>
    <t>InputData\elec\PTCF\PTCF.csv</t>
  </si>
  <si>
    <t>InputData\elec\RM\Reserve Margin.xlsx</t>
  </si>
  <si>
    <t>InputData\elec\RM\RM.csv</t>
  </si>
  <si>
    <t>InputData\elec\RQSD\RPS Qualifying Source Definitions.xlsx</t>
  </si>
  <si>
    <t>InputData\elec\RQSD\RQSD-BRQSD.csv</t>
  </si>
  <si>
    <t>InputData\elec\RQSD\RQSD-RQSD.csv</t>
  </si>
  <si>
    <t>InputData\elec\SLF\SLF.csv</t>
  </si>
  <si>
    <t>InputData\elec\SLF\System Load Factor.xlsx</t>
  </si>
  <si>
    <t>InputData\elec\SYC\Start Year Capacities.xlsx</t>
  </si>
  <si>
    <t>InputData\elec\SYC\SYC-FoPtPFP.csv</t>
  </si>
  <si>
    <t>InputData\elec\SYC\SYC-SYEGC.csv</t>
  </si>
  <si>
    <t>InputData\elec\TCAMRB\TCAMRB.csv</t>
  </si>
  <si>
    <t>InputData\elec\TCAMRB\Trans Cap Across Modeled Region Border.xlsx</t>
  </si>
  <si>
    <t>InputData\elec\TCCpUCD\TCCpUCD.csv</t>
  </si>
  <si>
    <t>InputData\elec\TCCpUCD\Trans Const Cost per Unit Cap Dist.xlsx</t>
  </si>
  <si>
    <t>InputData\elec\WUbPPT\Water Use by Power Plant Type.xlsx</t>
  </si>
  <si>
    <t>InputData\elec\WUbPPT\WUbPPT-consumption.csv</t>
  </si>
  <si>
    <t>InputData\elec\WUbPPT\WUbPPT-withdrawals.csv</t>
  </si>
  <si>
    <t>InputData\endo-learn\BCbVT\Battery Cap by Veh Type.xlsx</t>
  </si>
  <si>
    <t>InputData\endo-learn\BCbVT\BCbVT-freight.csv</t>
  </si>
  <si>
    <t>InputData\endo-learn\BCbVT\BCbVT-passenger.csv</t>
  </si>
  <si>
    <t>InputData\endo-learn\BCSG\BAU CO2 Sequestered Globally.xlsx</t>
  </si>
  <si>
    <t>InputData\endo-learn\BCSG\BCSG.csv</t>
  </si>
  <si>
    <t>InputData\endo-learn\BGBSC\BAU Global Battery Storage Cap.xlsx</t>
  </si>
  <si>
    <t>InputData\endo-learn\BGBSC\BGBSC.csv</t>
  </si>
  <si>
    <t>InputData\endo-learn\BGSaWC\BAU Global Solar and Wind Cap.xlsx</t>
  </si>
  <si>
    <t>InputData\endo-learn\BGSaWC\BGSaWC.csv</t>
  </si>
  <si>
    <t>InputData\endo-learn\GBEtPR\GBEtPR.csv</t>
  </si>
  <si>
    <t>InputData\endo-learn\GBEtPR\Grid Battery Energy to Power Ratio.xlsx</t>
  </si>
  <si>
    <t>InputData\endo-learn\PDiBCpDoC\PDiBCpDoC.csv</t>
  </si>
  <si>
    <t>InputData\endo-learn\PDiBCpDoC\Perc Decline in Battery Cost per Doubling of Cap.xlsx</t>
  </si>
  <si>
    <t>InputData\endo-learn\PDiCCpDoC\PDiCCpDoC.csv</t>
  </si>
  <si>
    <t>InputData\endo-learn\PDiCCpDoC\Perc Decline in Cap Cost per Doubling of Cap.xlsx</t>
  </si>
  <si>
    <t>InputData\endo-learn\PDiCECpDoC\PDiCECpDoC.csv</t>
  </si>
  <si>
    <t>InputData\endo-learn\PDiCECpDoC\Perc Decline in CCS Eqpt Cost per Doubling of Capacity.xlsx</t>
  </si>
  <si>
    <t>InputData\endo-learn\SYSoCCtaSC\Start Yr Shares of Capacity Costs that are Soft Costs.xlsx</t>
  </si>
  <si>
    <t>InputData\endo-learn\SYSoCCtaSC\SYSoCCtaSC.csv</t>
  </si>
  <si>
    <t>InputData\fuels\BFCpUEbS\BAU Fuel Cost per Unit Energy by Sector.xlsx</t>
  </si>
  <si>
    <t>InputData\fuels\BFCpUEbS\BFCpUEbS-biofuel-diesel.csv</t>
  </si>
  <si>
    <t>InputData\fuels\BFCpUEbS\BFCpUEbS-biofuel-gasoline.csv</t>
  </si>
  <si>
    <t>InputData\fuels\BFCpUEbS\BFCpUEbS-biomass.csv</t>
  </si>
  <si>
    <t>InputData\fuels\BFCpUEbS\BFCpUEbS-coal.csv</t>
  </si>
  <si>
    <t>InputData\fuels\BFCpUEbS\BFCpUEbS-crude-oil.csv</t>
  </si>
  <si>
    <t>InputData\fuels\BFCpUEbS\BFCpUEbS-electricity.csv</t>
  </si>
  <si>
    <t>InputData\fuels\BFCpUEbS\BFCpUEbS-geothermal.csv</t>
  </si>
  <si>
    <t>InputData\fuels\BFCpUEbS\BFCpUEbS-heat.csv</t>
  </si>
  <si>
    <t>InputData\fuels\BFCpUEbS\BFCpUEbS-heavy-fuel-oil.csv</t>
  </si>
  <si>
    <t>InputData\fuels\BFCpUEbS\BFCpUEbS-hydro.csv</t>
  </si>
  <si>
    <t>InputData\fuels\BFCpUEbS\BFCpUEbS-hydrogen.csv</t>
  </si>
  <si>
    <t>InputData\fuels\BFCpUEbS\BFCpUEbS-jet-fuel-or-kerosene.csv</t>
  </si>
  <si>
    <t>InputData\fuels\BFCpUEbS\BFCpUEbS-lignite.csv</t>
  </si>
  <si>
    <t>InputData\fuels\BFCpUEbS\BFCpUEbS-lpg-propane-or-butane.csv</t>
  </si>
  <si>
    <t>InputData\fuels\BFCpUEbS\BFCpUEbS-municipal-solid-waste.csv</t>
  </si>
  <si>
    <t>InputData\fuels\BFCpUEbS\BFCpUEbS-natural-gas.csv</t>
  </si>
  <si>
    <t>InputData\fuels\BFCpUEbS\BFCpUEbS-nuclear.csv</t>
  </si>
  <si>
    <t>InputData\fuels\BFCpUEbS\BFCpUEbS-petroleum-diesel.csv</t>
  </si>
  <si>
    <t>InputData\fuels\BFCpUEbS\BFCpUEbS-petroleum-gasoline.csv</t>
  </si>
  <si>
    <t>InputData\fuels\BFCpUEbS\BFCpUEbS-solar.csv</t>
  </si>
  <si>
    <t>InputData\fuels\BFCpUEbS\BFCpUEbS-wind.csv</t>
  </si>
  <si>
    <t>InputData\fuels\BFPIaE\BAU Fuel Production Imports and Exports.xlsx</t>
  </si>
  <si>
    <t>InputData\fuels\BFPIaE\BFPIaE-exports.csv</t>
  </si>
  <si>
    <t>InputData\fuels\BFPIaE\BFPIaE-imports.csv</t>
  </si>
  <si>
    <t>InputData\fuels\BFPIaE\BFPIaE-production.csv</t>
  </si>
  <si>
    <t>InputData\fuels\BS\BAU Subsidies.xlsx</t>
  </si>
  <si>
    <t>InputData\fuels\BS\BS-BSfTFpEUP.csv</t>
  </si>
  <si>
    <t>InputData\fuels\BS\BS-BSpUECB.csv</t>
  </si>
  <si>
    <t>InputData\fuels\BS\BS-BSpUEO.csv</t>
  </si>
  <si>
    <t>InputData\fuels\BSoFPtiT\BAU Share of Fuel Price that is Tax.xlsx</t>
  </si>
  <si>
    <t>InputData\fuels\BSoFPtiT\BSoFPtiT.csv</t>
  </si>
  <si>
    <t>InputData\fuels\EQS\Energy Quantization Size.xlsx</t>
  </si>
  <si>
    <t>InputData\fuels\EQS\EQS.csv</t>
  </si>
  <si>
    <t>InputData\fuels\ETRbF\ETRbF.csv</t>
  </si>
  <si>
    <t>InputData\fuels\ETRbF\Export Tax Rate by Fuel.xlsx</t>
  </si>
  <si>
    <t>InputData\fuels\GbPbT\GbPbT.csv</t>
  </si>
  <si>
    <t>InputData\fuels\GbPbT\GWP by Pollutant by Timeframe.xlsx</t>
  </si>
  <si>
    <t>InputData\fuels\IMFPbFT\IMFPbFT.csv</t>
  </si>
  <si>
    <t>InputData\fuels\IMFPbFT\Intnl Market Fuel Price by Fuel Type.xlsx</t>
  </si>
  <si>
    <t>InputData\fuels\MPIiFE\Max Perc Inc in Fuel Exports.xlsx</t>
  </si>
  <si>
    <t>InputData\fuels\MPIiFE\MPIiFE.csv</t>
  </si>
  <si>
    <t>InputData\fuels\MPIiFI\Max Perc Inc in Fuel Imports.xlsx</t>
  </si>
  <si>
    <t>InputData\fuels\MPIiFI\MPIiFI.csv</t>
  </si>
  <si>
    <t>InputData\fuels\MPIiFP\Max Perc Inc in Fuel Production.xlsx</t>
  </si>
  <si>
    <t>InputData\fuels\MPIiFP\MPIiFP.csv</t>
  </si>
  <si>
    <t>InputData\fuels\PEI\PEI-BFPEI.csv</t>
  </si>
  <si>
    <t>InputData\fuels\PEI\PEI-EFPEI.csv</t>
  </si>
  <si>
    <t>InputData\fuels\PEI\PEI-IFPEI-agriculture.csv</t>
  </si>
  <si>
    <t>InputData\fuels\PEI\PEI-IFPEI-cement.csv</t>
  </si>
  <si>
    <t>InputData\fuels\PEI\PEI-IFPEI-chemicals.csv</t>
  </si>
  <si>
    <t>InputData\fuels\PEI\PEI-IFPEI-mining.csv</t>
  </si>
  <si>
    <t>InputData\fuels\PEI\PEI-IFPEI-ngps.csv</t>
  </si>
  <si>
    <t>InputData\fuels\PEI\PEI-IFPEI-other-industries.csv</t>
  </si>
  <si>
    <t>InputData\fuels\PEI\PEI-IFPEI-steel.csv</t>
  </si>
  <si>
    <t>InputData\fuels\PEI\PEI-IFPEI-waste-mgmt.csv</t>
  </si>
  <si>
    <t>InputData\fuels\PEI\PEI-TFPEI-aircraft.csv</t>
  </si>
  <si>
    <t>InputData\fuels\PEI\PEI-TFPEI-HDVs.csv</t>
  </si>
  <si>
    <t>InputData\fuels\PEI\PEI-TFPEI-LDVs.csv</t>
  </si>
  <si>
    <t>InputData\fuels\PEI\PEI-TFPEI-motorbikes.csv</t>
  </si>
  <si>
    <t>InputData\fuels\PEI\PEI-TFPEI-rail.csv</t>
  </si>
  <si>
    <t>InputData\fuels\PEI\PEI-TFPEI-ships.csv</t>
  </si>
  <si>
    <t>InputData\fuels\PEI\Pollutant Emissions Intensities.xlsx</t>
  </si>
  <si>
    <t>InputData\fuels\PEIIR\PEIIR-BFPEIIR.csv</t>
  </si>
  <si>
    <t>InputData\fuels\PEIIR\PEIIR-EFPEIIR.csv</t>
  </si>
  <si>
    <t>InputData\fuels\PEIIR\PEIIR-IFPEIIR-agriculture.csv</t>
  </si>
  <si>
    <t>InputData\fuels\PEIIR\PEIIR-IFPEIIR-cement.csv</t>
  </si>
  <si>
    <t>InputData\fuels\PEIIR\PEIIR-IFPEIIR-chemicals.csv</t>
  </si>
  <si>
    <t>InputData\fuels\PEIIR\PEIIR-IFPEIIR-mining.csv</t>
  </si>
  <si>
    <t>InputData\fuels\PEIIR\PEIIR-IFPEIIR-ngps.csv</t>
  </si>
  <si>
    <t>InputData\fuels\PEIIR\PEIIR-IFPEIIR-other-industries.csv</t>
  </si>
  <si>
    <t>InputData\fuels\PEIIR\PEIIR-IFPEIIR-steel.csv</t>
  </si>
  <si>
    <t>InputData\fuels\PEIIR\PEIIR-IFPEIIR-waste-mgmt.csv</t>
  </si>
  <si>
    <t>InputData\fuels\PEIIR\PEIIR-TFPEIIR-aircraft.csv</t>
  </si>
  <si>
    <t>InputData\fuels\PEIIR\PEIIR-TFPEIIR-HDVs.csv</t>
  </si>
  <si>
    <t>InputData\fuels\PEIIR\PEIIR-TFPEIIR-LDVs.csv</t>
  </si>
  <si>
    <t>InputData\fuels\PEIIR\PEIIR-TFPEIIR-motorbikes.csv</t>
  </si>
  <si>
    <t>InputData\fuels\PEIIR\PEIIR-TFPEIIR-rail.csv</t>
  </si>
  <si>
    <t>InputData\fuels\PEIIR\PEIIR-TFPEIIR-ships.csv</t>
  </si>
  <si>
    <t>InputData\fuels\PEIIR\Pollutant Emissions Intensity Improvement Rate.xlsx</t>
  </si>
  <si>
    <t>InputData\fuels\PoFDCtAE\Perc of Fuel Demand Changes that Affect Exports.xlsx</t>
  </si>
  <si>
    <t>InputData\fuels\PoFDCtAE\PoFDCtAE.csv</t>
  </si>
  <si>
    <t>InputData\geoeng\DACD\DACD-capex.csv</t>
  </si>
  <si>
    <t>InputData\geoeng\DACD\DACD-energyintensity.csv</t>
  </si>
  <si>
    <t>InputData\geoeng\DACD\DACD-potential.csv</t>
  </si>
  <si>
    <t>InputData\geoeng\DACD\Direct Air Capture Data.xlsx</t>
  </si>
  <si>
    <t>InputData\hydgn\BHPSbP\BAU Hydrogen Production Shr by Pathway.xlsx</t>
  </si>
  <si>
    <t>InputData\hydgn\BHPSbP\BHPSbP.csv</t>
  </si>
  <si>
    <t>InputData\hydgn\EHPpUC\EHPpUC.csv</t>
  </si>
  <si>
    <t>InputData\hydgn\EHPpUC\Electrolyzer Hydrogen Production per Unit Capacity.xlsx</t>
  </si>
  <si>
    <t>InputData\hydgn\HPEbP\HPEbP.csv</t>
  </si>
  <si>
    <t>InputData\hydgn\HPEbP\Hydgn Production Eff by Pathway.xlsx</t>
  </si>
  <si>
    <t>InputData\hydgn\HPEC\HPEC.csv</t>
  </si>
  <si>
    <t>InputData\hydgn\HPEC\HPEO.csv</t>
  </si>
  <si>
    <t>InputData\hydgn\HPEC\Hydrogen Production Eqpt Costs.xlsx</t>
  </si>
  <si>
    <t>InputData\hydgn\HPPECbP\HPPECbP.csv</t>
  </si>
  <si>
    <t>InputData\hydgn\HPPECbP\Hydgn Prod Perc Excess Cap by Pathway.xlsx</t>
  </si>
  <si>
    <t>InputData\hydgn\HPtFM\HPtFM.csv</t>
  </si>
  <si>
    <t>InputData\hydgn\HPtFM\Hydrogen Pathway to Fuel Mappings.xlsx</t>
  </si>
  <si>
    <t>InputData\hydgn\RHPF\Recipient Hydrogen Pathway Fractions.xlsx</t>
  </si>
  <si>
    <t>InputData\hydgn\RHPF\RHPF.csv</t>
  </si>
  <si>
    <t>InputData\indst\BIFUbC\BAU Industrial Fuel Use before CCS.xlsx</t>
  </si>
  <si>
    <t>InputData\indst\BIFUbC\BIFUbC-biomass.csv</t>
  </si>
  <si>
    <t>InputData\indst\BIFUbC\BIFUbC-coal.csv</t>
  </si>
  <si>
    <t>InputData\indst\BIFUbC\BIFUbC-crude-oil.csv</t>
  </si>
  <si>
    <t>InputData\indst\BIFUbC\BIFUbC-electricity.csv</t>
  </si>
  <si>
    <t>InputData\indst\BIFUbC\BIFUbC-heat.csv</t>
  </si>
  <si>
    <t>InputData\indst\BIFUbC\BIFUbC-heavy-or-residual-oil.csv</t>
  </si>
  <si>
    <t>InputData\indst\BIFUbC\BIFUbC-hydrogen.csv</t>
  </si>
  <si>
    <t>InputData\indst\BIFUbC\BIFUbC-LPG-propane-or-butane.csv</t>
  </si>
  <si>
    <t>InputData\indst\BIFUbC\BIFUbC-natural-gas.csv</t>
  </si>
  <si>
    <t>InputData\indst\BIFUbC\BIFUbC-petroleum-diesel.csv</t>
  </si>
  <si>
    <t>InputData\indst\BPEiC\BAU Process Emis in CO2e.xlsx</t>
  </si>
  <si>
    <t>InputData\indst\BPEiC\BPEiC-CH4.csv</t>
  </si>
  <si>
    <t>InputData\indst\BPEiC\BPEiC-CO2.csv</t>
  </si>
  <si>
    <t>InputData\indst\BPEiC\BPEiC-F-gases.csv</t>
  </si>
  <si>
    <t>InputData\indst\BPEiC\BPEiC-N2O.csv</t>
  </si>
  <si>
    <t>InputData\indst\BPEiC\BPEiC-SoAPEfA.csv</t>
  </si>
  <si>
    <t>InputData\indst\BPoIFUfE\BAU Proportion of Industrial Fuel Used for Energy.xlsx</t>
  </si>
  <si>
    <t>InputData\indst\BPoIFUfE\BPoIFUfE.csv</t>
  </si>
  <si>
    <t>InputData\indst\BSoAIGtAP\BAU Shr of Ag Indst Going to Anml Prdcts.xlsx</t>
  </si>
  <si>
    <t>InputData\indst\BSoAIGtAP\BSoAIGtAP.csv</t>
  </si>
  <si>
    <t>InputData\indst\CESTR\Capital Eqpt Sales Tax Rate.xlsx</t>
  </si>
  <si>
    <t>InputData\indst\CESTR\CESTR.csv</t>
  </si>
  <si>
    <t>InputData\indst\CtIEPpUESoS\Cost to Impl Eff Policy per Unit E Saved or Shifted.xlsx</t>
  </si>
  <si>
    <t>InputData\indst\CtIEPpUESoS\CtIEPpUESoS.csv</t>
  </si>
  <si>
    <t>InputData\indst\EoP\Elasticities of Production.xlsx</t>
  </si>
  <si>
    <t>InputData\indst\EoP\EoP-EoPwFC.csv</t>
  </si>
  <si>
    <t>InputData\indst\EoP\EoP-PCiPpUCTdtNI.csv</t>
  </si>
  <si>
    <t>InputData\indst\FLRbI\FLRbI.csv</t>
  </si>
  <si>
    <t>InputData\indst\FLRbI\Foreign Leakage Rate by Industry.xlsx</t>
  </si>
  <si>
    <t>InputData\indst\FoISaGPbE\FoISaGPbE-FoGPbE.csv</t>
  </si>
  <si>
    <t>InputData\indst\FoISaGPbE\FoISaGPbE-NIbSEaSoGO.csv</t>
  </si>
  <si>
    <t>InputData\indst\FoISaGPbE\Fraction of Inputs Supplied and Goods Purchased by Entity.xlsx</t>
  </si>
  <si>
    <t>InputData\indst\FoNEtVwP\FoNEtVwP.csv</t>
  </si>
  <si>
    <t>InputData\indst\FoNEtVwP\Frac of Nonenergy Expenses that Vary with Production.xlsx</t>
  </si>
  <si>
    <t>InputData\indst\MHV\Methane Heating Value.xlsx</t>
  </si>
  <si>
    <t>InputData\indst\MHV\MHV.csv</t>
  </si>
  <si>
    <t>InputData\indst\PERAC\PERAC-cement.csv</t>
  </si>
  <si>
    <t>InputData\indst\PERAC\PERAC-coalmining-mthncptr.csv</t>
  </si>
  <si>
    <t>InputData\indst\PERAC\PERAC-coalmining-mthndstr.csv</t>
  </si>
  <si>
    <t>InputData\indst\PERAC\PERAC-cropsrice.csv</t>
  </si>
  <si>
    <t>InputData\indst\PERAC\PERAC-fgasdestruction.csv</t>
  </si>
  <si>
    <t>InputData\indst\PERAC\PERAC-fgasrecovery.csv</t>
  </si>
  <si>
    <t>InputData\indst\PERAC\PERAC-fgassubstitution.csv</t>
  </si>
  <si>
    <t>InputData\indst\PERAC\PERAC-inspctmaintretrofit.csv</t>
  </si>
  <si>
    <t>InputData\indst\PERAC\PERAC-livestock.csv</t>
  </si>
  <si>
    <t>InputData\indst\PERAC\PERAC-MCD.csv</t>
  </si>
  <si>
    <t>InputData\indst\PERAC\PERAC-ngps-mthncptr.csv</t>
  </si>
  <si>
    <t>InputData\indst\PERAC\PERAC-ngps-mthndstr.csv</t>
  </si>
  <si>
    <t>InputData\indst\PERAC\PERAC-waste-mthncptr.csv</t>
  </si>
  <si>
    <t>InputData\indst\PERAC\PERAC-waste-mthndstr.csv</t>
  </si>
  <si>
    <t>InputData\indst\PERAC\Proc Emis Reductions and Costs.xlsx</t>
  </si>
  <si>
    <t>InputData\indst\PIFURfE\Perc Indst Fuel Use Reduction for Elec.xlsx</t>
  </si>
  <si>
    <t>InputData\indst\PIFURfE\PIFURfE.csv</t>
  </si>
  <si>
    <t>InputData\indst\PPRiFUfERoIF\Pot Perc Reduction in Fuel Use from Early Retirement.xlsx</t>
  </si>
  <si>
    <t>InputData\indst\PPRiFUfERoIF\PPRiFUfERoIF.csv</t>
  </si>
  <si>
    <t>InputData\indst\PPRiFUfICaWHR\Pot Perc Red in Fuel Use fr Inc Cogen and WHR.xlsx</t>
  </si>
  <si>
    <t>InputData\indst\PPRiFUfICaWHR\PPRiFUfICaWHR.csv</t>
  </si>
  <si>
    <t>InputData\indst\PPRiFUfIIaIoE\Pot Perc Red in Fuel Use fr Impr Inst and Integ of Eqpt.xlsx</t>
  </si>
  <si>
    <t>InputData\indst\PPRiFUfIIaIoE\PPRiFUfIIaIoE.csv</t>
  </si>
  <si>
    <t>InputData\indst\RIFF\Recipient Industrial Fuel Fractions.xlsx</t>
  </si>
  <si>
    <t>InputData\indst\RIFF\RIFF-agriculture.csv</t>
  </si>
  <si>
    <t>InputData\indst\RIFF\RIFF-cement.csv</t>
  </si>
  <si>
    <t>InputData\indst\RIFF\RIFF-chemicals.csv</t>
  </si>
  <si>
    <t>InputData\indst\RIFF\RIFF-mining.csv</t>
  </si>
  <si>
    <t>InputData\indst\RIFF\RIFF-ngps.csv</t>
  </si>
  <si>
    <t>InputData\indst\RIFF\RIFF-other-industries.csv</t>
  </si>
  <si>
    <t>InputData\indst\RIFF\RIFF-steel.csv</t>
  </si>
  <si>
    <t>InputData\indst\RIFF\RIFF-waste-mgmt.csv</t>
  </si>
  <si>
    <t>InputData\indst\RoPSoPBvOD\Ratio of ppl supportable on plt bsd vs omnivorous diet.xlsx</t>
  </si>
  <si>
    <t>InputData\indst\RoPSoPBvOD\RoPSoPBvOD.csv</t>
  </si>
  <si>
    <t>InputData\indst\TNRbI\TNRbI.csv</t>
  </si>
  <si>
    <t>InputData\indst\TNRbI\Total Nonfuel Revenue by Industry.xlsx</t>
  </si>
  <si>
    <t>InputData\indst\WMITR\WMITR.csv</t>
  </si>
  <si>
    <t>InputData\indst\WMITR\Worker Marg Income Tax Rate.xlsx</t>
  </si>
  <si>
    <t>InputData\land\AOCoLUPpUA\Annual Ongoing Cost of Land Use Pol per Unit Area.xlsx</t>
  </si>
  <si>
    <t>InputData\land\AOCoLUPpUA\AOCoLUPpUA.csv</t>
  </si>
  <si>
    <t>InputData\land\BLAPE\BAU LULUCF Anthro Pollutant Emis.xlsx</t>
  </si>
  <si>
    <t>InputData\land\BLAPE\BLAPE.csv</t>
  </si>
  <si>
    <t>InputData\land\CApULAbIFM\CApULAbIFM.csv</t>
  </si>
  <si>
    <t>InputData\land\CApULAbIFM\CO2 Abated per Unit Land Area by Impr For Mgmt.xlsx</t>
  </si>
  <si>
    <t>InputData\land\CiLVpUAAbP\Chg in Land Val per Unit Area Affected by Pol.xlsx</t>
  </si>
  <si>
    <t>InputData\land\CiLVpUAAbP\CiLVpUAAbP.csv</t>
  </si>
  <si>
    <t>InputData\land\CSpULApYbP\CO2 Sequestered per Unit Land Area per Year by Pol.xlsx</t>
  </si>
  <si>
    <t>InputData\land\CSpULApYbP\CSpULApYbP.csv</t>
  </si>
  <si>
    <t>InputData\land\FoFEtiL\FoFEtiL.csv</t>
  </si>
  <si>
    <t>InputData\land\FoFEtiL\Frac of Forestry Expenses that is Labor.xlsx</t>
  </si>
  <si>
    <t>InputData\land\FoFObE\FoFObE.csv</t>
  </si>
  <si>
    <t>InputData\land\FoFObE\Fraction of Forests Owned by Entity.xlsx</t>
  </si>
  <si>
    <t>InputData\land\ICoLUPpUA\ICoLUPpUA.csv</t>
  </si>
  <si>
    <t>InputData\land\ICoLUPpUA\Impl Cost of Land Use Policies per Unit Area.xlsx</t>
  </si>
  <si>
    <t>InputData\land\PLANAbPiaSY\PLANAbPiaSY.csv</t>
  </si>
  <si>
    <t>InputData\land\PLANAbPiaSY\Potential Land Area Newly Affected by Pol in a Single Yr.xlsx</t>
  </si>
  <si>
    <t>InputData\land\RPEpUACE\Rebound Pol Emis per Unit Avoided CO2 Emis.xlsx</t>
  </si>
  <si>
    <t>InputData\land\RPEpUACE\RPEpUACE.csv</t>
  </si>
  <si>
    <t>InputData\plcy-ctrl-ctr\BAEPAbCiPC\BAEPAbCiPC.csv</t>
  </si>
  <si>
    <t>InputData\plcy-ctrl-ctr\BAEPAbCiPC\Bool Are Energy Prices Affected by Chng in Production Costs.xlsx</t>
  </si>
  <si>
    <t>InputData\plcy-ctrl-ctr\BENCEfCT\BENCEfCT.csv</t>
  </si>
  <si>
    <t>InputData\plcy-ctrl-ctr\BENCEfCT\Boolean Exempt Non CO2 Emissions from Carbon Tax.xlsx</t>
  </si>
  <si>
    <t>InputData\plcy-ctrl-ctr\BEPEFCT\BEPEfCT.csv</t>
  </si>
  <si>
    <t>InputData\plcy-ctrl-ctr\BEPEFCT\Boolean Exempt Process Emissions From Carbon Tax.xlsx</t>
  </si>
  <si>
    <t>InputData\plcy-ctrl-ctr\BIEfIE\BIEfIE.csv</t>
  </si>
  <si>
    <t>InputData\plcy-ctrl-ctr\BIEfIE\Boolean Include Emissions from Imported Electricity.xlsx</t>
  </si>
  <si>
    <t>InputData\plcy-ctrl-ctr\BUTYGV\Boolean Use Twenty Year GWP Values.xlsx</t>
  </si>
  <si>
    <t>InputData\plcy-ctrl-ctr\BUTYGV\BUTYGV.csv</t>
  </si>
  <si>
    <t>InputData\plcy-schd\FoPITY\FoPITY-1-WebApp.csv</t>
  </si>
  <si>
    <t>InputData\plcy-schd\FoPITY\FoPITY-1.csv</t>
  </si>
  <si>
    <t>InputData\plcy-schd\FoPITY\FoPITY-2-WebApp.csv</t>
  </si>
  <si>
    <t>InputData\plcy-schd\FoPITY\FoPITY-2.csv</t>
  </si>
  <si>
    <t>InputData\plcy-schd\FoPITY\FoPITY-3-WebApp.csv</t>
  </si>
  <si>
    <t>InputData\plcy-schd\FoPITY\FoPITY-3.csv</t>
  </si>
  <si>
    <t>InputData\plcy-schd\FoPITY\FoPITY-4.csv</t>
  </si>
  <si>
    <t>InputData\plcy-schd\FoPITY\FoPITY-5.csv</t>
  </si>
  <si>
    <t>InputData\plcy-schd\FoPITY\FoPITY-6.csv</t>
  </si>
  <si>
    <t>InputData\plcy-schd\FoPITY\FoPITY-7.csv</t>
  </si>
  <si>
    <t>InputData\plcy-schd\FoPITY\FoPITY-8.csv</t>
  </si>
  <si>
    <t>InputData\plcy-schd\FoPITY\FoPITY-9.csv</t>
  </si>
  <si>
    <t>InputData\plcy-schd\FoPITY\Frac of Pol Impl This Yr - 1 - Default.xlsx</t>
  </si>
  <si>
    <t>InputData\plcy-schd\FoPITY\Frac of Pol Impl This Yr - 2 - Net Zero.xlsx</t>
  </si>
  <si>
    <t>InputData\plcy-schd\FoPITY\Frac of Pol Impl This Yr - 3 - NDC.xlsx</t>
  </si>
  <si>
    <t>InputData\plcy-schd\FT\Final Time.xlsx</t>
  </si>
  <si>
    <t>InputData\plcy-schd\FT\FT.csv</t>
  </si>
  <si>
    <t>InputData\plcy-schd\IT\Initial Time.xlsx</t>
  </si>
  <si>
    <t>InputData\plcy-schd\IT\IT.csv</t>
  </si>
  <si>
    <t>InputData\trans\AVL\Avg Vehicle Lifetime.xlsx</t>
  </si>
  <si>
    <t>InputData\trans\AVL\AVL.csv</t>
  </si>
  <si>
    <t>InputData\trans\AVLo\Avg Vehicle Loading.xlsx</t>
  </si>
  <si>
    <t>InputData\trans\AVLo\AVLo-freight.csv</t>
  </si>
  <si>
    <t>InputData\trans\AVLo\AVLo-passengers.csv</t>
  </si>
  <si>
    <t>InputData\trans\BAADTbVT\BAADTbVT-freight.csv</t>
  </si>
  <si>
    <t>InputData\trans\BAADTbVT\BAADTbVT-passengers.csv</t>
  </si>
  <si>
    <t>InputData\trans\BAADTbVT\BAU Avg Annual Dist Traveled by Veh Type.xlsx</t>
  </si>
  <si>
    <t>InputData\trans\BCDTRtSY\BAU Cargo Dist Transported Relative to Start Yr.xlsx</t>
  </si>
  <si>
    <t>InputData\trans\BCDTRtSY\BCDTRtSY-frgt.csv</t>
  </si>
  <si>
    <t>InputData\trans\BCDTRtSY\BCDTRtSY-psgr.csv</t>
  </si>
  <si>
    <t>InputData\trans\BESP\BAU EV Subsidy Perc.xlsx</t>
  </si>
  <si>
    <t>InputData\trans\BESP\BESP-freight.csv</t>
  </si>
  <si>
    <t>InputData\trans\BESP\BESP-passengers.csv</t>
  </si>
  <si>
    <t>InputData\trans\BHNVFEAL\BAU Historical New Veh Fuel Economy After Lifetime.xlsx</t>
  </si>
  <si>
    <t>InputData\trans\BHNVFEAL\BHNVFEAL-aircraft-frgt.csv</t>
  </si>
  <si>
    <t>InputData\trans\BHNVFEAL\BHNVFEAL-aircraft-psgr.csv</t>
  </si>
  <si>
    <t>InputData\trans\BHNVFEAL\BHNVFEAL-HDVs-frgt.csv</t>
  </si>
  <si>
    <t>InputData\trans\BHNVFEAL\BHNVFEAL-HDVs-psgr.csv</t>
  </si>
  <si>
    <t>InputData\trans\BHNVFEAL\BHNVFEAL-LDVs-frgt.csv</t>
  </si>
  <si>
    <t>InputData\trans\BHNVFEAL\BHNVFEAL-LDVs-psgr.csv</t>
  </si>
  <si>
    <t>InputData\trans\BHNVFEAL\BHNVFEAL-motorbikes-frgt.csv</t>
  </si>
  <si>
    <t>InputData\trans\BHNVFEAL\BHNVFEAL-motorbikes-psgr.csv</t>
  </si>
  <si>
    <t>InputData\trans\BHNVFEAL\BHNVFEAL-rail-frgt.csv</t>
  </si>
  <si>
    <t>InputData\trans\BHNVFEAL\BHNVFEAL-rail-psgr.csv</t>
  </si>
  <si>
    <t>InputData\trans\BHNVFEAL\BHNVFEAL-ships-frgt.csv</t>
  </si>
  <si>
    <t>InputData\trans\BHNVFEAL\BHNVFEAL-ships-psgr.csv</t>
  </si>
  <si>
    <t>InputData\trans\BLP\BAU LCFS Perc.xlsx</t>
  </si>
  <si>
    <t>InputData\trans\BLP\BLP.csv</t>
  </si>
  <si>
    <t>InputData\trans\BMRESP\BAU Min Req EV Sales Perc.xlsx</t>
  </si>
  <si>
    <t>InputData\trans\BMRESP\BMRESP-freight.csv</t>
  </si>
  <si>
    <t>InputData\trans\BMRESP\BMRESP-passenger.csv</t>
  </si>
  <si>
    <t>InputData\trans\BNVFE\BAU New Veh Fuel Economy.xlsx</t>
  </si>
  <si>
    <t>InputData\trans\BNVFE\BNVFE-aircraft-frgt.csv</t>
  </si>
  <si>
    <t>InputData\trans\BNVFE\BNVFE-aircraft-psgr.csv</t>
  </si>
  <si>
    <t>InputData\trans\BNVFE\BNVFE-HDVs-frgt.csv</t>
  </si>
  <si>
    <t>InputData\trans\BNVFE\BNVFE-HDVs-psgr.csv</t>
  </si>
  <si>
    <t>InputData\trans\BNVFE\BNVFE-LDVs-frgt.csv</t>
  </si>
  <si>
    <t>InputData\trans\BNVFE\BNVFE-LDVs-psgr.csv</t>
  </si>
  <si>
    <t>InputData\trans\BNVFE\BNVFE-motorbikes-frgt.csv</t>
  </si>
  <si>
    <t>InputData\trans\BNVFE\BNVFE-motorbikes-psgr.csv</t>
  </si>
  <si>
    <t>InputData\trans\BNVFE\BNVFE-rail-frgt.csv</t>
  </si>
  <si>
    <t>InputData\trans\BNVFE\BNVFE-rail-psgr.csv</t>
  </si>
  <si>
    <t>InputData\trans\BNVFE\BNVFE-ships-frgt.csv</t>
  </si>
  <si>
    <t>InputData\trans\BNVFE\BNVFE-ships-psgr.csv</t>
  </si>
  <si>
    <t>InputData\trans\BNVP\BAU New Vehicle Price.xlsx</t>
  </si>
  <si>
    <t>InputData\trans\BNVP\BNVP-aircraft-frgt.csv</t>
  </si>
  <si>
    <t>InputData\trans\BNVP\BNVP-aircraft-psgr.csv</t>
  </si>
  <si>
    <t>InputData\trans\BNVP\BNVP-HDVs-frgt.csv</t>
  </si>
  <si>
    <t>InputData\trans\BNVP\BNVP-HDVs-psgr.csv</t>
  </si>
  <si>
    <t>InputData\trans\BNVP\BNVP-LDVs-frgt.csv</t>
  </si>
  <si>
    <t>InputData\trans\BNVP\BNVP-LDVs-psgr.csv</t>
  </si>
  <si>
    <t>InputData\trans\BNVP\BNVP-motorbikes-frgt.csv</t>
  </si>
  <si>
    <t>InputData\trans\BNVP\BNVP-motorbikes-psgr.csv</t>
  </si>
  <si>
    <t>InputData\trans\BNVP\BNVP-rail-frgt.csv</t>
  </si>
  <si>
    <t>InputData\trans\BNVP\BNVP-rail-psgr.csv</t>
  </si>
  <si>
    <t>InputData\trans\BNVP\BNVP-ships-frgt.csv</t>
  </si>
  <si>
    <t>InputData\trans\BNVP\BNVP-ships-psgr.csv</t>
  </si>
  <si>
    <t>InputData\trans\BPoEFUbVT\BAU Perc of Each Fuel Used by Veh Tech.xlsx</t>
  </si>
  <si>
    <t>InputData\trans\BPoEFUbVT\BPoEFUbVT-aircraft-frgt-batelc.csv</t>
  </si>
  <si>
    <t>InputData\trans\BPoEFUbVT\BPoEFUbVT-aircraft-frgt-dslveh.csv</t>
  </si>
  <si>
    <t>InputData\trans\BPoEFUbVT\BPoEFUbVT-aircraft-frgt-gasveh.csv</t>
  </si>
  <si>
    <t>InputData\trans\BPoEFUbVT\BPoEFUbVT-aircraft-frgt-hydgn.csv</t>
  </si>
  <si>
    <t>InputData\trans\BPoEFUbVT\BPoEFUbVT-aircraft-frgt-natgas.csv</t>
  </si>
  <si>
    <t>InputData\trans\BPoEFUbVT\BPoEFUbVT-aircraft-psgr-batelc.csv</t>
  </si>
  <si>
    <t>InputData\trans\BPoEFUbVT\BPoEFUbVT-aircraft-psgr-dslveh.csv</t>
  </si>
  <si>
    <t>InputData\trans\BPoEFUbVT\BPoEFUbVT-aircraft-psgr-gasveh.csv</t>
  </si>
  <si>
    <t>InputData\trans\BPoEFUbVT\BPoEFUbVT-aircraft-psgr-hydgn.csv</t>
  </si>
  <si>
    <t>InputData\trans\BPoEFUbVT\BPoEFUbVT-aircraft-psgr-natgas.csv</t>
  </si>
  <si>
    <t>InputData\trans\BPoEFUbVT\BPoEFUbVT-HDVs-frgt-batelc.csv</t>
  </si>
  <si>
    <t>InputData\trans\BPoEFUbVT\BPoEFUbVT-HDVs-frgt-dslveh.csv</t>
  </si>
  <si>
    <t>InputData\trans\BPoEFUbVT\BPoEFUbVT-HDVs-frgt-gasveh.csv</t>
  </si>
  <si>
    <t>InputData\trans\BPoEFUbVT\BPoEFUbVT-HDVs-frgt-hydgn.csv</t>
  </si>
  <si>
    <t>InputData\trans\BPoEFUbVT\BPoEFUbVT-HDVs-frgt-LPG.csv</t>
  </si>
  <si>
    <t>InputData\trans\BPoEFUbVT\BPoEFUbVT-HDVs-frgt-natgas.csv</t>
  </si>
  <si>
    <t>InputData\trans\BPoEFUbVT\BPoEFUbVT-HDVs-frgt-plghyb.csv</t>
  </si>
  <si>
    <t>InputData\trans\BPoEFUbVT\BPoEFUbVT-HDVs-psgr-batelc.csv</t>
  </si>
  <si>
    <t>InputData\trans\BPoEFUbVT\BPoEFUbVT-HDVs-psgr-dslveh.csv</t>
  </si>
  <si>
    <t>InputData\trans\BPoEFUbVT\BPoEFUbVT-HDVs-psgr-gasveh.csv</t>
  </si>
  <si>
    <t>InputData\trans\BPoEFUbVT\BPoEFUbVT-HDVs-psgr-hydgn.csv</t>
  </si>
  <si>
    <t>InputData\trans\BPoEFUbVT\BPoEFUbVT-HDVs-psgr-LPG.csv</t>
  </si>
  <si>
    <t>InputData\trans\BPoEFUbVT\BPoEFUbVT-HDVs-psgr-natgas.csv</t>
  </si>
  <si>
    <t>InputData\trans\BPoEFUbVT\BPoEFUbVT-HDVs-psgr-plghyb.csv</t>
  </si>
  <si>
    <t>InputData\trans\BPoEFUbVT\BPoEFUbVT-LDVs-frgt-batelc.csv</t>
  </si>
  <si>
    <t>InputData\trans\BPoEFUbVT\BPoEFUbVT-LDVs-frgt-dslveh.csv</t>
  </si>
  <si>
    <t>InputData\trans\BPoEFUbVT\BPoEFUbVT-LDVs-frgt-gasveh.csv</t>
  </si>
  <si>
    <t>InputData\trans\BPoEFUbVT\BPoEFUbVT-LDVs-frgt-hydgn.csv</t>
  </si>
  <si>
    <t>InputData\trans\BPoEFUbVT\BPoEFUbVT-LDVs-frgt-LPG.csv</t>
  </si>
  <si>
    <t>InputData\trans\BPoEFUbVT\BPoEFUbVT-LDVs-frgt-natgas.csv</t>
  </si>
  <si>
    <t>InputData\trans\BPoEFUbVT\BPoEFUbVT-LDVs-frgt-plghyb.csv</t>
  </si>
  <si>
    <t>InputData\trans\BPoEFUbVT\BPoEFUbVT-LDVs-psgr-batelc.csv</t>
  </si>
  <si>
    <t>InputData\trans\BPoEFUbVT\BPoEFUbVT-LDVs-psgr-dslveh.csv</t>
  </si>
  <si>
    <t>InputData\trans\BPoEFUbVT\BPoEFUbVT-LDVs-psgr-gasveh.csv</t>
  </si>
  <si>
    <t>InputData\trans\BPoEFUbVT\BPoEFUbVT-LDVs-psgr-hydgn.csv</t>
  </si>
  <si>
    <t>InputData\trans\BPoEFUbVT\BPoEFUbVT-LDVs-psgr-LPG.csv</t>
  </si>
  <si>
    <t>InputData\trans\BPoEFUbVT\BPoEFUbVT-LDVs-psgr-natgas.csv</t>
  </si>
  <si>
    <t>InputData\trans\BPoEFUbVT\BPoEFUbVT-LDVs-psgr-plghyb.csv</t>
  </si>
  <si>
    <t>InputData\trans\BPoEFUbVT\BPoEFUbVT-mtrbks-frgt-batelc.csv</t>
  </si>
  <si>
    <t>InputData\trans\BPoEFUbVT\BPoEFUbVT-mtrbks-frgt-dslveh.csv</t>
  </si>
  <si>
    <t>InputData\trans\BPoEFUbVT\BPoEFUbVT-mtrbks-frgt-gasveh.csv</t>
  </si>
  <si>
    <t>InputData\trans\BPoEFUbVT\BPoEFUbVT-mtrbks-frgt-hydgn.csv</t>
  </si>
  <si>
    <t>InputData\trans\BPoEFUbVT\BPoEFUbVT-mtrbks-frgt-LPG.csv</t>
  </si>
  <si>
    <t>InputData\trans\BPoEFUbVT\BPoEFUbVT-mtrbks-frgt-natgas.csv</t>
  </si>
  <si>
    <t>InputData\trans\BPoEFUbVT\BPoEFUbVT-mtrbks-frgt-plghyb.csv</t>
  </si>
  <si>
    <t>InputData\trans\BPoEFUbVT\BPoEFUbVT-mtrbks-psgr-batelc.csv</t>
  </si>
  <si>
    <t>InputData\trans\BPoEFUbVT\BPoEFUbVT-mtrbks-psgr-dslveh.csv</t>
  </si>
  <si>
    <t>InputData\trans\BPoEFUbVT\BPoEFUbVT-mtrbks-psgr-gasveh.csv</t>
  </si>
  <si>
    <t>InputData\trans\BPoEFUbVT\BPoEFUbVT-mtrbks-psgr-hydgn.csv</t>
  </si>
  <si>
    <t>InputData\trans\BPoEFUbVT\BPoEFUbVT-mtrbks-psgr-LPG.csv</t>
  </si>
  <si>
    <t>InputData\trans\BPoEFUbVT\BPoEFUbVT-mtrbks-psgr-natgas.csv</t>
  </si>
  <si>
    <t>InputData\trans\BPoEFUbVT\BPoEFUbVT-mtrbks-psgr-plghyb.csv</t>
  </si>
  <si>
    <t>InputData\trans\BPoEFUbVT\BPoEFUbVT-rail-frgt-batelc.csv</t>
  </si>
  <si>
    <t>InputData\trans\BPoEFUbVT\BPoEFUbVT-rail-frgt-dslveh.csv</t>
  </si>
  <si>
    <t>InputData\trans\BPoEFUbVT\BPoEFUbVT-rail-frgt-gasveh.csv</t>
  </si>
  <si>
    <t>InputData\trans\BPoEFUbVT\BPoEFUbVT-rail-frgt-hydgn.csv</t>
  </si>
  <si>
    <t>InputData\trans\BPoEFUbVT\BPoEFUbVT-rail-frgt-natgas.csv</t>
  </si>
  <si>
    <t>InputData\trans\BPoEFUbVT\BPoEFUbVT-rail-psgr-batelc.csv</t>
  </si>
  <si>
    <t>InputData\trans\BPoEFUbVT\BPoEFUbVT-rail-psgr-dslveh.csv</t>
  </si>
  <si>
    <t>InputData\trans\BPoEFUbVT\BPoEFUbVT-rail-psgr-gasveh.csv</t>
  </si>
  <si>
    <t>InputData\trans\BPoEFUbVT\BPoEFUbVT-rail-psgr-hydgn.csv</t>
  </si>
  <si>
    <t>InputData\trans\BPoEFUbVT\BPoEFUbVT-rail-psgr-natgas.csv</t>
  </si>
  <si>
    <t>InputData\trans\BPoEFUbVT\BPoEFUbVT-ships-frgt-batelc.csv</t>
  </si>
  <si>
    <t>InputData\trans\BPoEFUbVT\BPoEFUbVT-ships-frgt-dslveh.csv</t>
  </si>
  <si>
    <t>InputData\trans\BPoEFUbVT\BPoEFUbVT-ships-frgt-gasveh.csv</t>
  </si>
  <si>
    <t>InputData\trans\BPoEFUbVT\BPoEFUbVT-ships-frgt-hydgn.csv</t>
  </si>
  <si>
    <t>InputData\trans\BPoEFUbVT\BPoEFUbVT-ships-frgt-natgas.csv</t>
  </si>
  <si>
    <t>InputData\trans\BPoEFUbVT\BPoEFUbVT-ships-psgr-batelc.csv</t>
  </si>
  <si>
    <t>InputData\trans\BPoEFUbVT\BPoEFUbVT-ships-psgr-dslveh.csv</t>
  </si>
  <si>
    <t>InputData\trans\BPoEFUbVT\BPoEFUbVT-ships-psgr-gasveh.csv</t>
  </si>
  <si>
    <t>InputData\trans\BPoEFUbVT\BPoEFUbVT-ships-psgr-hydgn.csv</t>
  </si>
  <si>
    <t>InputData\trans\BPoEFUbVT\BPoEFUbVT-ships-psgr-natgas.csv</t>
  </si>
  <si>
    <t>InputData\trans\BRAaCTSC\BAU Rng Anxiety and Charge Time Shadow Costs.xlsx</t>
  </si>
  <si>
    <t>InputData\trans\BRAaCTSC\BRAaCTSC.csv</t>
  </si>
  <si>
    <t>InputData\trans\BVTStL\Boolean Veh Types Subject to LCFS.xlsx</t>
  </si>
  <si>
    <t>InputData\trans\BVTStL\BVTStL.csv</t>
  </si>
  <si>
    <t>InputData\trans\CIRbTF\Carbon Intensity Ratios by Transport Fuel.xlsx</t>
  </si>
  <si>
    <t>InputData\trans\CIRbTF\CIRbTF.csv</t>
  </si>
  <si>
    <t>InputData\trans\ECpV\ECpV-frgt.csv</t>
  </si>
  <si>
    <t>InputData\trans\ECpV\ECpV-psgr.csv</t>
  </si>
  <si>
    <t>InputData\trans\ECpV\Embedded Carbon per Vehicle.xlsx</t>
  </si>
  <si>
    <t>InputData\trans\EoCSoEVMS\Effect of Charging Stations on EV Market Share.xlsx</t>
  </si>
  <si>
    <t>InputData\trans\EoCSoEVMS\EoCSoEVMS.csv</t>
  </si>
  <si>
    <t>InputData\trans\EoDfVUwFC\Elast of Demand for Veh Use wrt Fuel Cost.xlsx</t>
  </si>
  <si>
    <t>InputData\trans\EoDfVUwFC\EoDfVUwFC.csv</t>
  </si>
  <si>
    <t>InputData\trans\EoFoNVFE\Effect of Feebate on New Veh Fuel Econ.xlsx</t>
  </si>
  <si>
    <t>InputData\trans\EoFoNVFE\EoFoNVFE.csv</t>
  </si>
  <si>
    <t>InputData\trans\EoNVFEwFC\Elast of New Veh Fuel Econ wrt Fuel Cost.xlsx</t>
  </si>
  <si>
    <t>InputData\trans\EoNVFEwFC\EoNVFEwFC-aircraft.csv</t>
  </si>
  <si>
    <t>InputData\trans\EoNVFEwFC\EoNVFEwFC-HDVs.csv</t>
  </si>
  <si>
    <t>InputData\trans\EoNVFEwFC\EoNVFEwFC-LDVs.csv</t>
  </si>
  <si>
    <t>InputData\trans\EoNVFEwFC\EoNVFEwFC-motorbikes.csv</t>
  </si>
  <si>
    <t>InputData\trans\EoNVFEwFC\EoNVFEwFC-rail.csv</t>
  </si>
  <si>
    <t>InputData\trans\EoNVFEwFC\EoNVFEwFC-ships.csv</t>
  </si>
  <si>
    <t>InputData\trans\EoVPwFE\Elasticity of Veh Price wrt Fuel Econ.xlsx</t>
  </si>
  <si>
    <t>InputData\trans\EoVPwFE\EoVPwFE.csv</t>
  </si>
  <si>
    <t>InputData\trans\EVCCC\EV Charger Cap Cost.xlsx</t>
  </si>
  <si>
    <t>InputData\trans\EVCCC\EVCCC.csv</t>
  </si>
  <si>
    <t>InputData\trans\EVCLC\EV Charger Labor Cost.xlsx</t>
  </si>
  <si>
    <t>InputData\trans\EVCLC\EVCLC.csv</t>
  </si>
  <si>
    <t>InputData\trans\FoVObE\FoVObE-freight.csv</t>
  </si>
  <si>
    <t>InputData\trans\FoVObE\FoVObE-passengers.csv</t>
  </si>
  <si>
    <t>InputData\trans\FoVObE\Fraction of Veh Owned by Entity.xlsx</t>
  </si>
  <si>
    <t>InputData\trans\GCApLC\GCApLC.csv</t>
  </si>
  <si>
    <t>InputData\trans\GCApLC\Grams CO2e Avoided per LCFS Credit.xlsx</t>
  </si>
  <si>
    <t>InputData\trans\ICtPSFfL\ICtPSFfL.csv</t>
  </si>
  <si>
    <t>InputData\trans\ICtPSFfL\Incremental Cost to Produce Substitute Fuel for LCFS.xlsx</t>
  </si>
  <si>
    <t>InputData\trans\LCPC\LCFS Credit Price Cap.xlsx</t>
  </si>
  <si>
    <t>InputData\trans\LCPC\LCPC.csv</t>
  </si>
  <si>
    <t>InputData\trans\MPNVbT\Max Perc New Veh by Technology.xlsx</t>
  </si>
  <si>
    <t>InputData\trans\MPNVbT\MPNVbT-aircraft-frgt.csv</t>
  </si>
  <si>
    <t>InputData\trans\MPNVbT\MPNVbT-aircraft-psgr.csv</t>
  </si>
  <si>
    <t>InputData\trans\MPNVbT\MPNVbT-HDVs-frgt.csv</t>
  </si>
  <si>
    <t>InputData\trans\MPNVbT\MPNVbT-HDVs-psgr.csv</t>
  </si>
  <si>
    <t>InputData\trans\MPNVbT\MPNVbT-LDVs-frgt.csv</t>
  </si>
  <si>
    <t>InputData\trans\MPNVbT\MPNVbT-LDVs-psgr.csv</t>
  </si>
  <si>
    <t>InputData\trans\MPNVbT\MPNVbT-motorbikes-frgt.csv</t>
  </si>
  <si>
    <t>InputData\trans\MPNVbT\MPNVbT-motorbikes-psgr.csv</t>
  </si>
  <si>
    <t>InputData\trans\MPNVbT\MPNVbT-rail-frgt.csv</t>
  </si>
  <si>
    <t>InputData\trans\MPNVbT\MPNVbT-rail-psgr.csv</t>
  </si>
  <si>
    <t>InputData\trans\MPNVbT\MPNVbT-ships-frgt.csv</t>
  </si>
  <si>
    <t>InputData\trans\MPNVbT\MPNVbT-ships-psgr.csv</t>
  </si>
  <si>
    <t>InputData\trans\MPoEFUbVT\Max Perc of Each Fuel Usable by Veh Tech.xlsx</t>
  </si>
  <si>
    <t>InputData\trans\MPoEFUbVT\MPoEFUbVT-aircraft-frgt-batelc.csv</t>
  </si>
  <si>
    <t>InputData\trans\MPoEFUbVT\MPoEFUbVT-aircraft-frgt-dslveh.csv</t>
  </si>
  <si>
    <t>InputData\trans\MPoEFUbVT\MPoEFUbVT-aircraft-frgt-gasveh.csv</t>
  </si>
  <si>
    <t>InputData\trans\MPoEFUbVT\MPoEFUbVT-aircraft-frgt-hydgn.csv</t>
  </si>
  <si>
    <t>InputData\trans\MPoEFUbVT\MPoEFUbVT-aircraft-frgt-natgas.csv</t>
  </si>
  <si>
    <t>InputData\trans\MPoEFUbVT\MPoEFUbVT-aircraft-psgr-batelc.csv</t>
  </si>
  <si>
    <t>InputData\trans\MPoEFUbVT\MPoEFUbVT-aircraft-psgr-dslveh.csv</t>
  </si>
  <si>
    <t>InputData\trans\MPoEFUbVT\MPoEFUbVT-aircraft-psgr-gasveh.csv</t>
  </si>
  <si>
    <t>InputData\trans\MPoEFUbVT\MPoEFUbVT-aircraft-psgr-hydgn.csv</t>
  </si>
  <si>
    <t>InputData\trans\MPoEFUbVT\MPoEFUbVT-aircraft-psgr-natgas.csv</t>
  </si>
  <si>
    <t>InputData\trans\MPoEFUbVT\MPoEFUbVT-HDVs-frgt-batelc.csv</t>
  </si>
  <si>
    <t>InputData\trans\MPoEFUbVT\MPoEFUbVT-HDVs-frgt-dslveh.csv</t>
  </si>
  <si>
    <t>InputData\trans\MPoEFUbVT\MPoEFUbVT-HDVs-frgt-gasveh.csv</t>
  </si>
  <si>
    <t>InputData\trans\MPoEFUbVT\MPoEFUbVT-HDVs-frgt-hydgn.csv</t>
  </si>
  <si>
    <t>InputData\trans\MPoEFUbVT\MPoEFUbVT-HDVs-frgt-LPG.csv</t>
  </si>
  <si>
    <t>InputData\trans\MPoEFUbVT\MPoEFUbVT-HDVs-frgt-natgas.csv</t>
  </si>
  <si>
    <t>InputData\trans\MPoEFUbVT\MPoEFUbVT-HDVs-frgt-plghyb.csv</t>
  </si>
  <si>
    <t>InputData\trans\MPoEFUbVT\MPoEFUbVT-HDVs-psgr-batelc.csv</t>
  </si>
  <si>
    <t>InputData\trans\MPoEFUbVT\MPoEFUbVT-HDVs-psgr-dslveh.csv</t>
  </si>
  <si>
    <t>InputData\trans\MPoEFUbVT\MPoEFUbVT-HDVs-psgr-gasveh.csv</t>
  </si>
  <si>
    <t>InputData\trans\MPoEFUbVT\MPoEFUbVT-HDVs-psgr-hydgn.csv</t>
  </si>
  <si>
    <t>InputData\trans\MPoEFUbVT\MPoEFUbVT-HDVs-psgr-LPG.csv</t>
  </si>
  <si>
    <t>InputData\trans\MPoEFUbVT\MPoEFUbVT-HDVs-psgr-natgas.csv</t>
  </si>
  <si>
    <t>InputData\trans\MPoEFUbVT\MPoEFUbVT-HDVs-psgr-plghyb.csv</t>
  </si>
  <si>
    <t>InputData\trans\MPoEFUbVT\MPoEFUbVT-LDVs-frgt-batelc.csv</t>
  </si>
  <si>
    <t>InputData\trans\MPoEFUbVT\MPoEFUbVT-LDVs-frgt-dslveh.csv</t>
  </si>
  <si>
    <t>InputData\trans\MPoEFUbVT\MPoEFUbVT-LDVs-frgt-gasveh.csv</t>
  </si>
  <si>
    <t>InputData\trans\MPoEFUbVT\MPoEFUbVT-LDVs-frgt-hydgn.csv</t>
  </si>
  <si>
    <t>InputData\trans\MPoEFUbVT\MPoEFUbVT-LDVs-frgt-LPG.csv</t>
  </si>
  <si>
    <t>InputData\trans\MPoEFUbVT\MPoEFUbVT-LDVs-frgt-natgas.csv</t>
  </si>
  <si>
    <t>InputData\trans\MPoEFUbVT\MPoEFUbVT-LDVs-frgt-plghyb.csv</t>
  </si>
  <si>
    <t>InputData\trans\MPoEFUbVT\MPoEFUbVT-LDVs-psgr-batelc.csv</t>
  </si>
  <si>
    <t>InputData\trans\MPoEFUbVT\MPoEFUbVT-LDVs-psgr-dslveh.csv</t>
  </si>
  <si>
    <t>InputData\trans\MPoEFUbVT\MPoEFUbVT-LDVs-psgr-gasveh.csv</t>
  </si>
  <si>
    <t>InputData\trans\MPoEFUbVT\MPoEFUbVT-LDVs-psgr-hydgn.csv</t>
  </si>
  <si>
    <t>InputData\trans\MPoEFUbVT\MPoEFUbVT-LDVs-psgr-LPG.csv</t>
  </si>
  <si>
    <t>InputData\trans\MPoEFUbVT\MPoEFUbVT-LDVs-psgr-natgas.csv</t>
  </si>
  <si>
    <t>InputData\trans\MPoEFUbVT\MPoEFUbVT-LDVs-psgr-plghyb.csv</t>
  </si>
  <si>
    <t>InputData\trans\MPoEFUbVT\MPoEFUbVT-mtrbks-frgt-batelc.csv</t>
  </si>
  <si>
    <t>InputData\trans\MPoEFUbVT\MPoEFUbVT-mtrbks-frgt-dslveh.csv</t>
  </si>
  <si>
    <t>InputData\trans\MPoEFUbVT\MPoEFUbVT-mtrbks-frgt-gasveh.csv</t>
  </si>
  <si>
    <t>InputData\trans\MPoEFUbVT\MPoEFUbVT-mtrbks-frgt-hydgn.csv</t>
  </si>
  <si>
    <t>InputData\trans\MPoEFUbVT\MPoEFUbVT-mtrbks-frgt-LPG.csv</t>
  </si>
  <si>
    <t>InputData\trans\MPoEFUbVT\MPoEFUbVT-mtrbks-frgt-natgas.csv</t>
  </si>
  <si>
    <t>InputData\trans\MPoEFUbVT\MPoEFUbVT-mtrbks-frgt-plghyb.csv</t>
  </si>
  <si>
    <t>InputData\trans\MPoEFUbVT\MPoEFUbVT-mtrbks-psgr-batelc.csv</t>
  </si>
  <si>
    <t>InputData\trans\MPoEFUbVT\MPoEFUbVT-mtrbks-psgr-dslveh.csv</t>
  </si>
  <si>
    <t>InputData\trans\MPoEFUbVT\MPoEFUbVT-mtrbks-psgr-gasveh.csv</t>
  </si>
  <si>
    <t>InputData\trans\MPoEFUbVT\MPoEFUbVT-mtrbks-psgr-hydgn.csv</t>
  </si>
  <si>
    <t>InputData\trans\MPoEFUbVT\MPoEFUbVT-mtrbks-psgr-LPG.csv</t>
  </si>
  <si>
    <t>InputData\trans\MPoEFUbVT\MPoEFUbVT-mtrbks-psgr-natgas.csv</t>
  </si>
  <si>
    <t>InputData\trans\MPoEFUbVT\MPoEFUbVT-mtrbks-psgr-plghyb.csv</t>
  </si>
  <si>
    <t>InputData\trans\MPoEFUbVT\MPoEFUbVT-rail-frgt-batelc.csv</t>
  </si>
  <si>
    <t>InputData\trans\MPoEFUbVT\MPoEFUbVT-rail-frgt-dslveh.csv</t>
  </si>
  <si>
    <t>InputData\trans\MPoEFUbVT\MPoEFUbVT-rail-frgt-gasveh.csv</t>
  </si>
  <si>
    <t>InputData\trans\MPoEFUbVT\MPoEFUbVT-rail-frgt-hydgn.csv</t>
  </si>
  <si>
    <t>InputData\trans\MPoEFUbVT\MPoEFUbVT-rail-frgt-natgas.csv</t>
  </si>
  <si>
    <t>InputData\trans\MPoEFUbVT\MPoEFUbVT-rail-psgr-batelc.csv</t>
  </si>
  <si>
    <t>InputData\trans\MPoEFUbVT\MPoEFUbVT-rail-psgr-dslveh.csv</t>
  </si>
  <si>
    <t>InputData\trans\MPoEFUbVT\MPoEFUbVT-rail-psgr-gasveh.csv</t>
  </si>
  <si>
    <t>InputData\trans\MPoEFUbVT\MPoEFUbVT-rail-psgr-hydgn.csv</t>
  </si>
  <si>
    <t>InputData\trans\MPoEFUbVT\MPoEFUbVT-rail-psgr-natgas.csv</t>
  </si>
  <si>
    <t>InputData\trans\MPoEFUbVT\MPoEFUbVT-ships-frgt-batelc.csv</t>
  </si>
  <si>
    <t>InputData\trans\MPoEFUbVT\MPoEFUbVT-ships-frgt-dslveh.csv</t>
  </si>
  <si>
    <t>InputData\trans\MPoEFUbVT\MPoEFUbVT-ships-frgt-gasveh.csv</t>
  </si>
  <si>
    <t>InputData\trans\MPoEFUbVT\MPoEFUbVT-ships-frgt-hydgn.csv</t>
  </si>
  <si>
    <t>InputData\trans\MPoEFUbVT\MPoEFUbVT-ships-frgt-natgas.csv</t>
  </si>
  <si>
    <t>InputData\trans\MPoEFUbVT\MPoEFUbVT-ships-psgr-batelc.csv</t>
  </si>
  <si>
    <t>InputData\trans\MPoEFUbVT\MPoEFUbVT-ships-psgr-dslveh.csv</t>
  </si>
  <si>
    <t>InputData\trans\MPoEFUbVT\MPoEFUbVT-ships-psgr-gasveh.csv</t>
  </si>
  <si>
    <t>InputData\trans\MPoEFUbVT\MPoEFUbVT-ships-psgr-hydgn.csv</t>
  </si>
  <si>
    <t>InputData\trans\MPoEFUbVT\MPoEFUbVT-ships-psgr-natgas.csv</t>
  </si>
  <si>
    <t>InputData\trans\P\P.csv</t>
  </si>
  <si>
    <t>InputData\trans\P\Population.xlsx</t>
  </si>
  <si>
    <t>InputData\trans\PCiCDTdtTDM\PCiCDTdtTDM.csv</t>
  </si>
  <si>
    <t>InputData\trans\PCiCDTdtTDM\Perc Chng in Cargo Dist Transported due to TDM.xlsx</t>
  </si>
  <si>
    <t>InputData\trans\PTFURfE\Perc Trans Fuel Use Reduction for Elec.xlsx</t>
  </si>
  <si>
    <t>InputData\trans\PTFURfE\PTFURfE.csv</t>
  </si>
  <si>
    <t>InputData\trans\SDoVPbT\SDoVPbT-frgt.csv</t>
  </si>
  <si>
    <t>InputData\trans\SDoVPbT\SDoVPbT-psgr.csv</t>
  </si>
  <si>
    <t>InputData\trans\SDoVPbT\Std Dev of Veh Prices by Technology.xlsx</t>
  </si>
  <si>
    <t>InputData\trans\SoCDTtiNTY\Share of Cargo Dist Transported that is New This Year.xlsx</t>
  </si>
  <si>
    <t>InputData\trans\SoCDTtiNTY\SoCDTtiNTY-frgt.csv</t>
  </si>
  <si>
    <t>InputData\trans\SoCDTtiNTY\SoCDTtiNTY-psgr.csv</t>
  </si>
  <si>
    <t>InputData\trans\SRPbVT\Separately Regulated Pollutants by Vehicle Type.xlsx</t>
  </si>
  <si>
    <t>InputData\trans\SRPbVT\SRPbVT.csv</t>
  </si>
  <si>
    <t>InputData\trans\SYBSoEVP\Start Year Battery Share of EV Price.xlsx</t>
  </si>
  <si>
    <t>InputData\trans\SYBSoEVP\SYBSoEVP.csv</t>
  </si>
  <si>
    <t>InputData\trans\SYFAFE\Start Year Fleet Avg Fuel Economy.xlsx</t>
  </si>
  <si>
    <t>InputData\trans\SYFAFE\SYFAFE-frgt.csv</t>
  </si>
  <si>
    <t>InputData\trans\SYFAFE\SYFAFE-psgr.csv</t>
  </si>
  <si>
    <t>InputData\trans\SYVbT\Start Year Vehicles by Technology.xlsx</t>
  </si>
  <si>
    <t>InputData\trans\SYVbT\SYVbT-freight.csv</t>
  </si>
  <si>
    <t>InputData\trans\SYVbT\SYVbT-passenger.csv</t>
  </si>
  <si>
    <t>InputData\trans\VBDR\VBDR.csv</t>
  </si>
  <si>
    <t>InputData\trans\VBDR\Veh Buyer Discount Rate.xlsx</t>
  </si>
  <si>
    <t>InputData\trans\VQS\Vehicle Quantization Size.xlsx</t>
  </si>
  <si>
    <t>InputData\trans\VQS\VQS.csv</t>
  </si>
  <si>
    <t>InputData\trans\VTStFES\Veh Techs Subject to Fuel Econ Std.xlsx</t>
  </si>
  <si>
    <t>InputData\trans\VTStFES\VTStFES.csv</t>
  </si>
  <si>
    <t>InputData\web-app\BCF\BCF-BpEIEOU.csv</t>
  </si>
  <si>
    <t>InputData\web-app\BCF\BCF-BpLFOU.csv</t>
  </si>
  <si>
    <t>InputData\web-app\BCF\BCF-BpSFOU.csv</t>
  </si>
  <si>
    <t>InputData\web-app\BCF\BCF-VFEUCF.csv</t>
  </si>
  <si>
    <t>InputData\web-app\BCF\BTU Conversion Factors.xlsx</t>
  </si>
  <si>
    <t>InputData\web-app\BpTPEU\BpTPEU-large.csv</t>
  </si>
  <si>
    <t>InputData\web-app\BpTPEU\BpTPEU-small.csv</t>
  </si>
  <si>
    <t>InputData\web-app\BpTPEU\BTU per Total Primary Energy Unit.xlsx</t>
  </si>
  <si>
    <t>InputData\web-app\CDCF\Cargo Dist Conversion Factors.xlsx</t>
  </si>
  <si>
    <t>InputData\web-app\CDCF\CDCF-FTMpFDOU.csv</t>
  </si>
  <si>
    <t>InputData\web-app\CDCF\CDCF-PMpPDOU.csv</t>
  </si>
  <si>
    <t>InputData\web-app\LpWOU\Liters per Water Output Unit.xlsx</t>
  </si>
  <si>
    <t>InputData\web-app\LpWOU\LpWOU.csv</t>
  </si>
  <si>
    <t>InputData\web-app\OCCF\OCCF-DpLOCU.csv</t>
  </si>
  <si>
    <t>InputData\web-app\OCCF\OCCF-DpMOCU.csv</t>
  </si>
  <si>
    <t>InputData\web-app\OCCF\OCCF-DpSOCU.csv</t>
  </si>
  <si>
    <t>InputData\web-app\OCCF\Output Currency Conversion Factors.xlsx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</si>
  <si>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</si>
  <si>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</si>
  <si>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</si>
  <si>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</si>
  <si>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</si>
  <si>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</si>
  <si>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</si>
  <si>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</si>
  <si>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</si>
  <si>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</si>
  <si>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</si>
  <si>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</si>
  <si>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</si>
  <si>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</si>
  <si>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</si>
  <si>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</si>
  <si>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</si>
  <si>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</si>
  <si>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</si>
  <si>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</si>
  <si>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</si>
  <si>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</si>
  <si>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</si>
  <si>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</si>
  <si>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</si>
  <si>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</si>
  <si>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</si>
  <si>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</si>
  <si>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</si>
  <si>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</si>
  <si>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</si>
  <si>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</si>
  <si>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</si>
  <si>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</si>
  <si>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BEPEFCT</t>
  </si>
  <si>
    <t>Boolean Exempt Process Emissions From Carbon Tax.xlsx</t>
  </si>
  <si>
    <t>SoCDTtiNTY-frgt.csv</t>
  </si>
  <si>
    <t>SoCDTtiNTY-psgr.csv</t>
  </si>
  <si>
    <t>BpTPEU-large.csv</t>
  </si>
  <si>
    <t>BpTPEU-small.csv</t>
  </si>
  <si>
    <t>list of variables as shown in Sheet2.</t>
  </si>
  <si>
    <t>input variables files and names, which you can copy and paste into Sheet2. Then,</t>
  </si>
  <si>
    <t>that edited list into the first column of Sheet1 and use the text to columns feature</t>
  </si>
  <si>
    <t>(Data tab, selecting Delimited and "\" as the delimiter. Then hit "Refresh All" on the</t>
  </si>
  <si>
    <t xml:space="preserve"> Data tab in Excel.</t>
  </si>
  <si>
    <t xml:space="preserve">This will a produce a file called filelist.txt in the InputData folder containing all the </t>
  </si>
  <si>
    <t xml:space="preserve">"\InputData" for each file. Copy and paste the text of the file directory before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</si>
</sst>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38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3</xdr:row>
      <xdr:rowOff>142875</xdr:rowOff>
    </xdr:from>
    <xdr:to>
      <xdr:col>1</xdr:col>
      <xdr:colOff>3505200</xdr:colOff>
      <xdr:row>7</xdr:row>
      <xdr:rowOff>180975</xdr:rowOff>
    </xdr:to>
    <xdr:sp macro="[0]!Export_CSV" textlink="">
      <xdr:nvSpPr>
        <xdr:cNvPr id="2" name="Rounded Rectangle 1"/>
        <xdr:cNvSpPr/>
      </xdr:nvSpPr>
      <xdr:spPr>
        <a:xfrm>
          <a:off x="5676900" y="71437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 Mahajan" refreshedDate="43840.455223611112" createdVersion="6" refreshedVersion="6" minRefreshableVersion="3" recordCount="768">
  <cacheSource type="worksheet">
    <worksheetSource ref="A1:D1048576" sheet="Sheet1"/>
  </cacheSource>
  <cacheFields count="4">
    <cacheField name="Root Folder" numFmtId="0">
      <sharedItems containsBlank="1"/>
    </cacheField>
    <cacheField name="Sector Folder" numFmtId="0">
      <sharedItems containsBlank="1" count="24">
        <s v="acronym-key.xlsx"/>
        <s v="cpi.xlsx"/>
        <s v="CSV Export Tool.xlsm"/>
        <s v="filelist.txt"/>
        <s v="output_shares_by_industry.xlsx"/>
        <s v="~$CSV Export Tool.xlsm"/>
        <s v="add-outputs"/>
        <s v="bldgs"/>
        <s v="ccs"/>
        <s v="cost-outputs"/>
        <s v="cumulators"/>
        <s v="dist-heat"/>
        <s v="elec"/>
        <s v="endo-learn"/>
        <s v="fuels"/>
        <s v="geoeng"/>
        <s v="hydgn"/>
        <s v="indst"/>
        <s v="land"/>
        <s v="plcy-ctrl-ctr"/>
        <s v="plcy-schd"/>
        <s v="trans"/>
        <s v="web-app"/>
        <m/>
      </sharedItems>
    </cacheField>
    <cacheField name="Variable Folder" numFmtId="0">
      <sharedItems containsBlank="1" count="19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PEIdtICEaT"/>
        <s v="PPEIdtIL"/>
        <s v="RBFF"/>
        <s v="SoCEUtiNTY"/>
        <s v="CC"/>
        <s v="CPbE"/>
        <s v="CSA"/>
        <s v="CFQS"/>
        <s v="DR"/>
        <s v="PQS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BAEPAbCiPC"/>
        <s v="BENCEfCT"/>
        <s v="BEPEFCT"/>
        <s v="BIEfIE"/>
        <s v="BUTYGV"/>
        <s v="FoPITY"/>
        <s v="FT"/>
        <s v="IT"/>
        <s v="AVL"/>
        <s v="AVLo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</sharedItems>
    </cacheField>
    <cacheField name="FileName" numFmtId="0">
      <sharedItems containsBlank="1" count="779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CC-CCoEtSOToCpY.csv"/>
        <s v="CC-EUpTCS.csv"/>
        <s v="CC-TOMCpTS.csv"/>
        <s v="CCS Costs.xlsx"/>
        <s v="CCS Percentages by Entity.xlsx"/>
        <s v="CPbE-FoCSbS.csv"/>
        <s v="CPbE-FoESCbES.csv"/>
        <s v="CPbE-PoICbI.csv"/>
        <s v="Carbon Sequestration Amounts.xlsx"/>
        <s v="CSA-ACP.csv"/>
        <s v="CSA-BTCS.csv"/>
        <s v="Cash Flow Quantization Size.xlsx"/>
        <s v="CFQS.csv"/>
        <s v="Discount Rate.xlsx"/>
        <s v="DR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PERAC-MCAbMC-ag-CM.csv" u="1"/>
        <s v="Mass CO2e Avoidable by Marginal Cost.xlsx" u="1"/>
        <s v="Step1" u="1"/>
        <s v="BpTPEU.csv" u="1"/>
        <s v="Step2" u="1"/>
        <s v="PERAC-MCAbMC-ag-LM.csv" u="1"/>
        <s v="PERAC-MCAbMC-mining-MD.csv" u="1"/>
        <s v="PERAC-MCAbMC-mining-MR.csv" u="1"/>
        <s v="PERAC-PPRiPEfC.csv" u="1"/>
        <s v="PERAC-MCAbMC-waste-MD.csv" u="1"/>
        <s v="PERAC-MCAbMC-other-CP.csv" u="1"/>
        <s v="Potential Perc Reduction for Cement.xlsx" u="1"/>
        <s v="PERAC-MCAbMC-ngps-MR.csv" u="1"/>
        <s v="Frac of Pol Impl This Yr - 4 - Test.xlsx" u="1"/>
        <s v="PERAC-MCAbMC-other-WT.csv" u="1"/>
        <s v="SoCDTtiNTY.csv" u="1"/>
        <s v="PERAC-MCAbMC-ngps-WT.csv" u="1"/>
        <s v="~README for Process Emissions Reductions and Costs.xlsx" u="1"/>
        <s v="PERAC-MCAbMC-chemicals-CP.csv" u="1"/>
        <s v="PERAC-MCAbMC-waste-MR.csv" u="1"/>
        <s v="PERAC-MCAbMC-ag-RC.csv" u="1"/>
        <s v="PERAC-MCAbMC-cement-CC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s v="InputData"/>
    <x v="0"/>
    <x v="0"/>
    <x v="0"/>
  </r>
  <r>
    <s v="InputData"/>
    <x v="1"/>
    <x v="0"/>
    <x v="0"/>
  </r>
  <r>
    <s v="InputData"/>
    <x v="2"/>
    <x v="0"/>
    <x v="0"/>
  </r>
  <r>
    <s v="InputData"/>
    <x v="3"/>
    <x v="0"/>
    <x v="0"/>
  </r>
  <r>
    <s v="InputData"/>
    <x v="4"/>
    <x v="0"/>
    <x v="0"/>
  </r>
  <r>
    <s v="InputData"/>
    <x v="5"/>
    <x v="0"/>
    <x v="0"/>
  </r>
  <r>
    <s v="InputData"/>
    <x v="6"/>
    <x v="1"/>
    <x v="1"/>
  </r>
  <r>
    <s v="InputData"/>
    <x v="6"/>
    <x v="1"/>
    <x v="2"/>
  </r>
  <r>
    <s v="InputData"/>
    <x v="6"/>
    <x v="2"/>
    <x v="3"/>
  </r>
  <r>
    <s v="InputData"/>
    <x v="6"/>
    <x v="2"/>
    <x v="4"/>
  </r>
  <r>
    <s v="InputData"/>
    <x v="6"/>
    <x v="3"/>
    <x v="5"/>
  </r>
  <r>
    <s v="InputData"/>
    <x v="6"/>
    <x v="3"/>
    <x v="6"/>
  </r>
  <r>
    <s v="InputData"/>
    <x v="6"/>
    <x v="3"/>
    <x v="7"/>
  </r>
  <r>
    <s v="InputData"/>
    <x v="6"/>
    <x v="3"/>
    <x v="8"/>
  </r>
  <r>
    <s v="InputData"/>
    <x v="6"/>
    <x v="3"/>
    <x v="9"/>
  </r>
  <r>
    <s v="InputData"/>
    <x v="6"/>
    <x v="3"/>
    <x v="10"/>
  </r>
  <r>
    <s v="InputData"/>
    <x v="6"/>
    <x v="4"/>
    <x v="11"/>
  </r>
  <r>
    <s v="InputData"/>
    <x v="6"/>
    <x v="4"/>
    <x v="12"/>
  </r>
  <r>
    <s v="InputData"/>
    <x v="7"/>
    <x v="5"/>
    <x v="13"/>
  </r>
  <r>
    <s v="InputData"/>
    <x v="7"/>
    <x v="5"/>
    <x v="14"/>
  </r>
  <r>
    <s v="InputData"/>
    <x v="7"/>
    <x v="5"/>
    <x v="15"/>
  </r>
  <r>
    <s v="InputData"/>
    <x v="7"/>
    <x v="5"/>
    <x v="16"/>
  </r>
  <r>
    <s v="InputData"/>
    <x v="7"/>
    <x v="6"/>
    <x v="17"/>
  </r>
  <r>
    <s v="InputData"/>
    <x v="7"/>
    <x v="6"/>
    <x v="18"/>
  </r>
  <r>
    <s v="InputData"/>
    <x v="7"/>
    <x v="6"/>
    <x v="19"/>
  </r>
  <r>
    <s v="InputData"/>
    <x v="7"/>
    <x v="6"/>
    <x v="20"/>
  </r>
  <r>
    <s v="InputData"/>
    <x v="7"/>
    <x v="6"/>
    <x v="21"/>
  </r>
  <r>
    <s v="InputData"/>
    <x v="7"/>
    <x v="6"/>
    <x v="22"/>
  </r>
  <r>
    <s v="InputData"/>
    <x v="7"/>
    <x v="6"/>
    <x v="23"/>
  </r>
  <r>
    <s v="InputData"/>
    <x v="7"/>
    <x v="6"/>
    <x v="24"/>
  </r>
  <r>
    <s v="InputData"/>
    <x v="7"/>
    <x v="6"/>
    <x v="25"/>
  </r>
  <r>
    <s v="InputData"/>
    <x v="7"/>
    <x v="6"/>
    <x v="26"/>
  </r>
  <r>
    <s v="InputData"/>
    <x v="7"/>
    <x v="6"/>
    <x v="27"/>
  </r>
  <r>
    <s v="InputData"/>
    <x v="7"/>
    <x v="6"/>
    <x v="28"/>
  </r>
  <r>
    <s v="InputData"/>
    <x v="7"/>
    <x v="6"/>
    <x v="29"/>
  </r>
  <r>
    <s v="InputData"/>
    <x v="7"/>
    <x v="6"/>
    <x v="30"/>
  </r>
  <r>
    <s v="InputData"/>
    <x v="7"/>
    <x v="6"/>
    <x v="31"/>
  </r>
  <r>
    <s v="InputData"/>
    <x v="7"/>
    <x v="6"/>
    <x v="32"/>
  </r>
  <r>
    <s v="InputData"/>
    <x v="7"/>
    <x v="7"/>
    <x v="33"/>
  </r>
  <r>
    <s v="InputData"/>
    <x v="7"/>
    <x v="7"/>
    <x v="34"/>
  </r>
  <r>
    <s v="InputData"/>
    <x v="7"/>
    <x v="7"/>
    <x v="35"/>
  </r>
  <r>
    <s v="InputData"/>
    <x v="7"/>
    <x v="7"/>
    <x v="36"/>
  </r>
  <r>
    <s v="InputData"/>
    <x v="7"/>
    <x v="7"/>
    <x v="37"/>
  </r>
  <r>
    <s v="InputData"/>
    <x v="7"/>
    <x v="7"/>
    <x v="38"/>
  </r>
  <r>
    <s v="InputData"/>
    <x v="7"/>
    <x v="7"/>
    <x v="39"/>
  </r>
  <r>
    <s v="InputData"/>
    <x v="7"/>
    <x v="8"/>
    <x v="40"/>
  </r>
  <r>
    <s v="InputData"/>
    <x v="7"/>
    <x v="8"/>
    <x v="41"/>
  </r>
  <r>
    <s v="InputData"/>
    <x v="7"/>
    <x v="8"/>
    <x v="42"/>
  </r>
  <r>
    <s v="InputData"/>
    <x v="7"/>
    <x v="8"/>
    <x v="43"/>
  </r>
  <r>
    <s v="InputData"/>
    <x v="7"/>
    <x v="9"/>
    <x v="44"/>
  </r>
  <r>
    <s v="InputData"/>
    <x v="7"/>
    <x v="9"/>
    <x v="45"/>
  </r>
  <r>
    <s v="InputData"/>
    <x v="7"/>
    <x v="9"/>
    <x v="46"/>
  </r>
  <r>
    <s v="InputData"/>
    <x v="7"/>
    <x v="10"/>
    <x v="47"/>
  </r>
  <r>
    <s v="InputData"/>
    <x v="7"/>
    <x v="10"/>
    <x v="48"/>
  </r>
  <r>
    <s v="InputData"/>
    <x v="7"/>
    <x v="11"/>
    <x v="49"/>
  </r>
  <r>
    <s v="InputData"/>
    <x v="7"/>
    <x v="11"/>
    <x v="50"/>
  </r>
  <r>
    <s v="InputData"/>
    <x v="7"/>
    <x v="12"/>
    <x v="51"/>
  </r>
  <r>
    <s v="InputData"/>
    <x v="7"/>
    <x v="12"/>
    <x v="52"/>
  </r>
  <r>
    <s v="InputData"/>
    <x v="7"/>
    <x v="13"/>
    <x v="53"/>
  </r>
  <r>
    <s v="InputData"/>
    <x v="7"/>
    <x v="13"/>
    <x v="54"/>
  </r>
  <r>
    <s v="InputData"/>
    <x v="7"/>
    <x v="14"/>
    <x v="55"/>
  </r>
  <r>
    <s v="InputData"/>
    <x v="7"/>
    <x v="14"/>
    <x v="56"/>
  </r>
  <r>
    <s v="InputData"/>
    <x v="7"/>
    <x v="15"/>
    <x v="57"/>
  </r>
  <r>
    <s v="InputData"/>
    <x v="7"/>
    <x v="15"/>
    <x v="58"/>
  </r>
  <r>
    <s v="InputData"/>
    <x v="7"/>
    <x v="16"/>
    <x v="59"/>
  </r>
  <r>
    <s v="InputData"/>
    <x v="7"/>
    <x v="16"/>
    <x v="60"/>
  </r>
  <r>
    <s v="InputData"/>
    <x v="7"/>
    <x v="17"/>
    <x v="61"/>
  </r>
  <r>
    <s v="InputData"/>
    <x v="7"/>
    <x v="17"/>
    <x v="62"/>
  </r>
  <r>
    <s v="InputData"/>
    <x v="7"/>
    <x v="18"/>
    <x v="63"/>
  </r>
  <r>
    <s v="InputData"/>
    <x v="7"/>
    <x v="18"/>
    <x v="64"/>
  </r>
  <r>
    <s v="InputData"/>
    <x v="7"/>
    <x v="19"/>
    <x v="65"/>
  </r>
  <r>
    <s v="InputData"/>
    <x v="7"/>
    <x v="19"/>
    <x v="66"/>
  </r>
  <r>
    <s v="InputData"/>
    <x v="7"/>
    <x v="20"/>
    <x v="67"/>
  </r>
  <r>
    <s v="InputData"/>
    <x v="7"/>
    <x v="20"/>
    <x v="68"/>
  </r>
  <r>
    <s v="InputData"/>
    <x v="7"/>
    <x v="21"/>
    <x v="69"/>
  </r>
  <r>
    <s v="InputData"/>
    <x v="7"/>
    <x v="21"/>
    <x v="70"/>
  </r>
  <r>
    <s v="InputData"/>
    <x v="7"/>
    <x v="22"/>
    <x v="71"/>
  </r>
  <r>
    <s v="InputData"/>
    <x v="7"/>
    <x v="22"/>
    <x v="72"/>
  </r>
  <r>
    <s v="InputData"/>
    <x v="7"/>
    <x v="23"/>
    <x v="73"/>
  </r>
  <r>
    <s v="InputData"/>
    <x v="7"/>
    <x v="23"/>
    <x v="74"/>
  </r>
  <r>
    <s v="InputData"/>
    <x v="7"/>
    <x v="24"/>
    <x v="75"/>
  </r>
  <r>
    <s v="InputData"/>
    <x v="7"/>
    <x v="24"/>
    <x v="76"/>
  </r>
  <r>
    <s v="InputData"/>
    <x v="7"/>
    <x v="25"/>
    <x v="77"/>
  </r>
  <r>
    <s v="InputData"/>
    <x v="7"/>
    <x v="25"/>
    <x v="78"/>
  </r>
  <r>
    <s v="InputData"/>
    <x v="8"/>
    <x v="26"/>
    <x v="79"/>
  </r>
  <r>
    <s v="InputData"/>
    <x v="8"/>
    <x v="26"/>
    <x v="80"/>
  </r>
  <r>
    <s v="InputData"/>
    <x v="8"/>
    <x v="26"/>
    <x v="81"/>
  </r>
  <r>
    <s v="InputData"/>
    <x v="8"/>
    <x v="26"/>
    <x v="82"/>
  </r>
  <r>
    <s v="InputData"/>
    <x v="8"/>
    <x v="27"/>
    <x v="83"/>
  </r>
  <r>
    <s v="InputData"/>
    <x v="8"/>
    <x v="27"/>
    <x v="84"/>
  </r>
  <r>
    <s v="InputData"/>
    <x v="8"/>
    <x v="27"/>
    <x v="85"/>
  </r>
  <r>
    <s v="InputData"/>
    <x v="8"/>
    <x v="27"/>
    <x v="86"/>
  </r>
  <r>
    <s v="InputData"/>
    <x v="8"/>
    <x v="28"/>
    <x v="87"/>
  </r>
  <r>
    <s v="InputData"/>
    <x v="8"/>
    <x v="28"/>
    <x v="88"/>
  </r>
  <r>
    <s v="InputData"/>
    <x v="8"/>
    <x v="28"/>
    <x v="89"/>
  </r>
  <r>
    <s v="InputData"/>
    <x v="9"/>
    <x v="29"/>
    <x v="90"/>
  </r>
  <r>
    <s v="InputData"/>
    <x v="9"/>
    <x v="29"/>
    <x v="91"/>
  </r>
  <r>
    <s v="InputData"/>
    <x v="9"/>
    <x v="30"/>
    <x v="92"/>
  </r>
  <r>
    <s v="InputData"/>
    <x v="9"/>
    <x v="30"/>
    <x v="93"/>
  </r>
  <r>
    <s v="InputData"/>
    <x v="10"/>
    <x v="31"/>
    <x v="94"/>
  </r>
  <r>
    <s v="InputData"/>
    <x v="10"/>
    <x v="31"/>
    <x v="95"/>
  </r>
  <r>
    <s v="InputData"/>
    <x v="11"/>
    <x v="32"/>
    <x v="96"/>
  </r>
  <r>
    <s v="InputData"/>
    <x v="11"/>
    <x v="32"/>
    <x v="97"/>
  </r>
  <r>
    <s v="InputData"/>
    <x v="11"/>
    <x v="33"/>
    <x v="98"/>
  </r>
  <r>
    <s v="InputData"/>
    <x v="11"/>
    <x v="33"/>
    <x v="99"/>
  </r>
  <r>
    <s v="InputData"/>
    <x v="11"/>
    <x v="34"/>
    <x v="100"/>
  </r>
  <r>
    <s v="InputData"/>
    <x v="11"/>
    <x v="34"/>
    <x v="101"/>
  </r>
  <r>
    <s v="InputData"/>
    <x v="11"/>
    <x v="35"/>
    <x v="102"/>
  </r>
  <r>
    <s v="InputData"/>
    <x v="11"/>
    <x v="35"/>
    <x v="103"/>
  </r>
  <r>
    <s v="InputData"/>
    <x v="12"/>
    <x v="36"/>
    <x v="104"/>
  </r>
  <r>
    <s v="InputData"/>
    <x v="12"/>
    <x v="36"/>
    <x v="105"/>
  </r>
  <r>
    <s v="InputData"/>
    <x v="12"/>
    <x v="37"/>
    <x v="106"/>
  </r>
  <r>
    <s v="InputData"/>
    <x v="12"/>
    <x v="37"/>
    <x v="107"/>
  </r>
  <r>
    <s v="InputData"/>
    <x v="12"/>
    <x v="38"/>
    <x v="108"/>
  </r>
  <r>
    <s v="InputData"/>
    <x v="12"/>
    <x v="38"/>
    <x v="109"/>
  </r>
  <r>
    <s v="InputData"/>
    <x v="12"/>
    <x v="39"/>
    <x v="110"/>
  </r>
  <r>
    <s v="InputData"/>
    <x v="12"/>
    <x v="39"/>
    <x v="111"/>
  </r>
  <r>
    <s v="InputData"/>
    <x v="12"/>
    <x v="40"/>
    <x v="112"/>
  </r>
  <r>
    <s v="InputData"/>
    <x v="12"/>
    <x v="40"/>
    <x v="113"/>
  </r>
  <r>
    <s v="InputData"/>
    <x v="12"/>
    <x v="41"/>
    <x v="114"/>
  </r>
  <r>
    <s v="InputData"/>
    <x v="12"/>
    <x v="41"/>
    <x v="115"/>
  </r>
  <r>
    <s v="InputData"/>
    <x v="12"/>
    <x v="41"/>
    <x v="116"/>
  </r>
  <r>
    <s v="InputData"/>
    <x v="12"/>
    <x v="41"/>
    <x v="117"/>
  </r>
  <r>
    <s v="InputData"/>
    <x v="12"/>
    <x v="42"/>
    <x v="118"/>
  </r>
  <r>
    <s v="InputData"/>
    <x v="12"/>
    <x v="42"/>
    <x v="119"/>
  </r>
  <r>
    <s v="InputData"/>
    <x v="12"/>
    <x v="43"/>
    <x v="120"/>
  </r>
  <r>
    <s v="InputData"/>
    <x v="12"/>
    <x v="43"/>
    <x v="121"/>
  </r>
  <r>
    <s v="InputData"/>
    <x v="12"/>
    <x v="44"/>
    <x v="122"/>
  </r>
  <r>
    <s v="InputData"/>
    <x v="12"/>
    <x v="44"/>
    <x v="123"/>
  </r>
  <r>
    <s v="InputData"/>
    <x v="12"/>
    <x v="45"/>
    <x v="124"/>
  </r>
  <r>
    <s v="InputData"/>
    <x v="12"/>
    <x v="45"/>
    <x v="125"/>
  </r>
  <r>
    <s v="InputData"/>
    <x v="12"/>
    <x v="46"/>
    <x v="126"/>
  </r>
  <r>
    <s v="InputData"/>
    <x v="12"/>
    <x v="46"/>
    <x v="127"/>
  </r>
  <r>
    <s v="InputData"/>
    <x v="12"/>
    <x v="46"/>
    <x v="128"/>
  </r>
  <r>
    <s v="InputData"/>
    <x v="12"/>
    <x v="47"/>
    <x v="129"/>
  </r>
  <r>
    <s v="InputData"/>
    <x v="12"/>
    <x v="47"/>
    <x v="130"/>
  </r>
  <r>
    <s v="InputData"/>
    <x v="12"/>
    <x v="48"/>
    <x v="131"/>
  </r>
  <r>
    <s v="InputData"/>
    <x v="12"/>
    <x v="48"/>
    <x v="132"/>
  </r>
  <r>
    <s v="InputData"/>
    <x v="12"/>
    <x v="49"/>
    <x v="133"/>
  </r>
  <r>
    <s v="InputData"/>
    <x v="12"/>
    <x v="49"/>
    <x v="134"/>
  </r>
  <r>
    <s v="InputData"/>
    <x v="12"/>
    <x v="50"/>
    <x v="135"/>
  </r>
  <r>
    <s v="InputData"/>
    <x v="12"/>
    <x v="50"/>
    <x v="136"/>
  </r>
  <r>
    <s v="InputData"/>
    <x v="12"/>
    <x v="51"/>
    <x v="137"/>
  </r>
  <r>
    <s v="InputData"/>
    <x v="12"/>
    <x v="51"/>
    <x v="138"/>
  </r>
  <r>
    <s v="InputData"/>
    <x v="12"/>
    <x v="52"/>
    <x v="139"/>
  </r>
  <r>
    <s v="InputData"/>
    <x v="12"/>
    <x v="52"/>
    <x v="140"/>
  </r>
  <r>
    <s v="InputData"/>
    <x v="12"/>
    <x v="52"/>
    <x v="141"/>
  </r>
  <r>
    <s v="InputData"/>
    <x v="12"/>
    <x v="52"/>
    <x v="142"/>
  </r>
  <r>
    <s v="InputData"/>
    <x v="12"/>
    <x v="53"/>
    <x v="143"/>
  </r>
  <r>
    <s v="InputData"/>
    <x v="12"/>
    <x v="53"/>
    <x v="144"/>
  </r>
  <r>
    <s v="InputData"/>
    <x v="12"/>
    <x v="54"/>
    <x v="145"/>
  </r>
  <r>
    <s v="InputData"/>
    <x v="12"/>
    <x v="54"/>
    <x v="146"/>
  </r>
  <r>
    <s v="InputData"/>
    <x v="12"/>
    <x v="55"/>
    <x v="147"/>
  </r>
  <r>
    <s v="InputData"/>
    <x v="12"/>
    <x v="55"/>
    <x v="148"/>
  </r>
  <r>
    <s v="InputData"/>
    <x v="12"/>
    <x v="55"/>
    <x v="149"/>
  </r>
  <r>
    <s v="InputData"/>
    <x v="12"/>
    <x v="56"/>
    <x v="150"/>
  </r>
  <r>
    <s v="InputData"/>
    <x v="12"/>
    <x v="56"/>
    <x v="151"/>
  </r>
  <r>
    <s v="InputData"/>
    <x v="12"/>
    <x v="56"/>
    <x v="152"/>
  </r>
  <r>
    <s v="InputData"/>
    <x v="12"/>
    <x v="57"/>
    <x v="153"/>
  </r>
  <r>
    <s v="InputData"/>
    <x v="12"/>
    <x v="57"/>
    <x v="154"/>
  </r>
  <r>
    <s v="InputData"/>
    <x v="12"/>
    <x v="57"/>
    <x v="155"/>
  </r>
  <r>
    <s v="InputData"/>
    <x v="12"/>
    <x v="58"/>
    <x v="156"/>
  </r>
  <r>
    <s v="InputData"/>
    <x v="12"/>
    <x v="58"/>
    <x v="157"/>
  </r>
  <r>
    <s v="InputData"/>
    <x v="12"/>
    <x v="59"/>
    <x v="158"/>
  </r>
  <r>
    <s v="InputData"/>
    <x v="12"/>
    <x v="59"/>
    <x v="159"/>
  </r>
  <r>
    <s v="InputData"/>
    <x v="12"/>
    <x v="60"/>
    <x v="160"/>
  </r>
  <r>
    <s v="InputData"/>
    <x v="12"/>
    <x v="60"/>
    <x v="161"/>
  </r>
  <r>
    <s v="InputData"/>
    <x v="12"/>
    <x v="61"/>
    <x v="162"/>
  </r>
  <r>
    <s v="InputData"/>
    <x v="12"/>
    <x v="61"/>
    <x v="163"/>
  </r>
  <r>
    <s v="InputData"/>
    <x v="12"/>
    <x v="61"/>
    <x v="164"/>
  </r>
  <r>
    <s v="InputData"/>
    <x v="12"/>
    <x v="61"/>
    <x v="165"/>
  </r>
  <r>
    <s v="InputData"/>
    <x v="12"/>
    <x v="61"/>
    <x v="166"/>
  </r>
  <r>
    <s v="InputData"/>
    <x v="12"/>
    <x v="61"/>
    <x v="167"/>
  </r>
  <r>
    <s v="InputData"/>
    <x v="12"/>
    <x v="61"/>
    <x v="168"/>
  </r>
  <r>
    <s v="InputData"/>
    <x v="12"/>
    <x v="61"/>
    <x v="169"/>
  </r>
  <r>
    <s v="InputData"/>
    <x v="12"/>
    <x v="61"/>
    <x v="170"/>
  </r>
  <r>
    <s v="InputData"/>
    <x v="12"/>
    <x v="61"/>
    <x v="171"/>
  </r>
  <r>
    <s v="InputData"/>
    <x v="12"/>
    <x v="61"/>
    <x v="172"/>
  </r>
  <r>
    <s v="InputData"/>
    <x v="12"/>
    <x v="61"/>
    <x v="173"/>
  </r>
  <r>
    <s v="InputData"/>
    <x v="12"/>
    <x v="61"/>
    <x v="174"/>
  </r>
  <r>
    <s v="InputData"/>
    <x v="12"/>
    <x v="62"/>
    <x v="175"/>
  </r>
  <r>
    <s v="InputData"/>
    <x v="12"/>
    <x v="62"/>
    <x v="176"/>
  </r>
  <r>
    <s v="InputData"/>
    <x v="12"/>
    <x v="63"/>
    <x v="177"/>
  </r>
  <r>
    <s v="InputData"/>
    <x v="12"/>
    <x v="63"/>
    <x v="178"/>
  </r>
  <r>
    <s v="InputData"/>
    <x v="12"/>
    <x v="64"/>
    <x v="179"/>
  </r>
  <r>
    <s v="InputData"/>
    <x v="12"/>
    <x v="64"/>
    <x v="180"/>
  </r>
  <r>
    <s v="InputData"/>
    <x v="12"/>
    <x v="65"/>
    <x v="181"/>
  </r>
  <r>
    <s v="InputData"/>
    <x v="12"/>
    <x v="65"/>
    <x v="182"/>
  </r>
  <r>
    <s v="InputData"/>
    <x v="12"/>
    <x v="66"/>
    <x v="183"/>
  </r>
  <r>
    <s v="InputData"/>
    <x v="12"/>
    <x v="66"/>
    <x v="184"/>
  </r>
  <r>
    <s v="InputData"/>
    <x v="12"/>
    <x v="67"/>
    <x v="185"/>
  </r>
  <r>
    <s v="InputData"/>
    <x v="12"/>
    <x v="67"/>
    <x v="186"/>
  </r>
  <r>
    <s v="InputData"/>
    <x v="12"/>
    <x v="68"/>
    <x v="187"/>
  </r>
  <r>
    <s v="InputData"/>
    <x v="12"/>
    <x v="68"/>
    <x v="188"/>
  </r>
  <r>
    <s v="InputData"/>
    <x v="12"/>
    <x v="69"/>
    <x v="189"/>
  </r>
  <r>
    <s v="InputData"/>
    <x v="12"/>
    <x v="69"/>
    <x v="190"/>
  </r>
  <r>
    <s v="InputData"/>
    <x v="12"/>
    <x v="70"/>
    <x v="191"/>
  </r>
  <r>
    <s v="InputData"/>
    <x v="12"/>
    <x v="70"/>
    <x v="192"/>
  </r>
  <r>
    <s v="InputData"/>
    <x v="12"/>
    <x v="71"/>
    <x v="193"/>
  </r>
  <r>
    <s v="InputData"/>
    <x v="12"/>
    <x v="71"/>
    <x v="194"/>
  </r>
  <r>
    <s v="InputData"/>
    <x v="12"/>
    <x v="72"/>
    <x v="195"/>
  </r>
  <r>
    <s v="InputData"/>
    <x v="12"/>
    <x v="72"/>
    <x v="196"/>
  </r>
  <r>
    <s v="InputData"/>
    <x v="12"/>
    <x v="73"/>
    <x v="197"/>
  </r>
  <r>
    <s v="InputData"/>
    <x v="12"/>
    <x v="73"/>
    <x v="198"/>
  </r>
  <r>
    <s v="InputData"/>
    <x v="12"/>
    <x v="74"/>
    <x v="199"/>
  </r>
  <r>
    <s v="InputData"/>
    <x v="12"/>
    <x v="74"/>
    <x v="200"/>
  </r>
  <r>
    <s v="InputData"/>
    <x v="12"/>
    <x v="74"/>
    <x v="201"/>
  </r>
  <r>
    <s v="InputData"/>
    <x v="12"/>
    <x v="75"/>
    <x v="202"/>
  </r>
  <r>
    <s v="InputData"/>
    <x v="12"/>
    <x v="75"/>
    <x v="203"/>
  </r>
  <r>
    <s v="InputData"/>
    <x v="12"/>
    <x v="76"/>
    <x v="204"/>
  </r>
  <r>
    <s v="InputData"/>
    <x v="12"/>
    <x v="76"/>
    <x v="205"/>
  </r>
  <r>
    <s v="InputData"/>
    <x v="12"/>
    <x v="76"/>
    <x v="206"/>
  </r>
  <r>
    <s v="InputData"/>
    <x v="12"/>
    <x v="77"/>
    <x v="207"/>
  </r>
  <r>
    <s v="InputData"/>
    <x v="12"/>
    <x v="77"/>
    <x v="208"/>
  </r>
  <r>
    <s v="InputData"/>
    <x v="12"/>
    <x v="78"/>
    <x v="209"/>
  </r>
  <r>
    <s v="InputData"/>
    <x v="12"/>
    <x v="78"/>
    <x v="210"/>
  </r>
  <r>
    <s v="InputData"/>
    <x v="12"/>
    <x v="79"/>
    <x v="211"/>
  </r>
  <r>
    <s v="InputData"/>
    <x v="12"/>
    <x v="79"/>
    <x v="212"/>
  </r>
  <r>
    <s v="InputData"/>
    <x v="12"/>
    <x v="79"/>
    <x v="213"/>
  </r>
  <r>
    <s v="InputData"/>
    <x v="13"/>
    <x v="80"/>
    <x v="214"/>
  </r>
  <r>
    <s v="InputData"/>
    <x v="13"/>
    <x v="80"/>
    <x v="215"/>
  </r>
  <r>
    <s v="InputData"/>
    <x v="13"/>
    <x v="80"/>
    <x v="216"/>
  </r>
  <r>
    <s v="InputData"/>
    <x v="13"/>
    <x v="81"/>
    <x v="217"/>
  </r>
  <r>
    <s v="InputData"/>
    <x v="13"/>
    <x v="81"/>
    <x v="218"/>
  </r>
  <r>
    <s v="InputData"/>
    <x v="13"/>
    <x v="82"/>
    <x v="219"/>
  </r>
  <r>
    <s v="InputData"/>
    <x v="13"/>
    <x v="82"/>
    <x v="220"/>
  </r>
  <r>
    <s v="InputData"/>
    <x v="13"/>
    <x v="83"/>
    <x v="221"/>
  </r>
  <r>
    <s v="InputData"/>
    <x v="13"/>
    <x v="83"/>
    <x v="222"/>
  </r>
  <r>
    <s v="InputData"/>
    <x v="13"/>
    <x v="84"/>
    <x v="223"/>
  </r>
  <r>
    <s v="InputData"/>
    <x v="13"/>
    <x v="84"/>
    <x v="224"/>
  </r>
  <r>
    <s v="InputData"/>
    <x v="13"/>
    <x v="85"/>
    <x v="225"/>
  </r>
  <r>
    <s v="InputData"/>
    <x v="13"/>
    <x v="85"/>
    <x v="226"/>
  </r>
  <r>
    <s v="InputData"/>
    <x v="13"/>
    <x v="86"/>
    <x v="227"/>
  </r>
  <r>
    <s v="InputData"/>
    <x v="13"/>
    <x v="86"/>
    <x v="228"/>
  </r>
  <r>
    <s v="InputData"/>
    <x v="13"/>
    <x v="87"/>
    <x v="229"/>
  </r>
  <r>
    <s v="InputData"/>
    <x v="13"/>
    <x v="87"/>
    <x v="230"/>
  </r>
  <r>
    <s v="InputData"/>
    <x v="13"/>
    <x v="88"/>
    <x v="231"/>
  </r>
  <r>
    <s v="InputData"/>
    <x v="13"/>
    <x v="88"/>
    <x v="232"/>
  </r>
  <r>
    <s v="InputData"/>
    <x v="14"/>
    <x v="89"/>
    <x v="233"/>
  </r>
  <r>
    <s v="InputData"/>
    <x v="14"/>
    <x v="89"/>
    <x v="234"/>
  </r>
  <r>
    <s v="InputData"/>
    <x v="14"/>
    <x v="89"/>
    <x v="235"/>
  </r>
  <r>
    <s v="InputData"/>
    <x v="14"/>
    <x v="89"/>
    <x v="236"/>
  </r>
  <r>
    <s v="InputData"/>
    <x v="14"/>
    <x v="89"/>
    <x v="237"/>
  </r>
  <r>
    <s v="InputData"/>
    <x v="14"/>
    <x v="89"/>
    <x v="238"/>
  </r>
  <r>
    <s v="InputData"/>
    <x v="14"/>
    <x v="89"/>
    <x v="239"/>
  </r>
  <r>
    <s v="InputData"/>
    <x v="14"/>
    <x v="89"/>
    <x v="240"/>
  </r>
  <r>
    <s v="InputData"/>
    <x v="14"/>
    <x v="89"/>
    <x v="241"/>
  </r>
  <r>
    <s v="InputData"/>
    <x v="14"/>
    <x v="89"/>
    <x v="242"/>
  </r>
  <r>
    <s v="InputData"/>
    <x v="14"/>
    <x v="89"/>
    <x v="243"/>
  </r>
  <r>
    <s v="InputData"/>
    <x v="14"/>
    <x v="89"/>
    <x v="244"/>
  </r>
  <r>
    <s v="InputData"/>
    <x v="14"/>
    <x v="89"/>
    <x v="245"/>
  </r>
  <r>
    <s v="InputData"/>
    <x v="14"/>
    <x v="89"/>
    <x v="246"/>
  </r>
  <r>
    <s v="InputData"/>
    <x v="14"/>
    <x v="89"/>
    <x v="247"/>
  </r>
  <r>
    <s v="InputData"/>
    <x v="14"/>
    <x v="89"/>
    <x v="248"/>
  </r>
  <r>
    <s v="InputData"/>
    <x v="14"/>
    <x v="89"/>
    <x v="249"/>
  </r>
  <r>
    <s v="InputData"/>
    <x v="14"/>
    <x v="89"/>
    <x v="250"/>
  </r>
  <r>
    <s v="InputData"/>
    <x v="14"/>
    <x v="89"/>
    <x v="251"/>
  </r>
  <r>
    <s v="InputData"/>
    <x v="14"/>
    <x v="89"/>
    <x v="252"/>
  </r>
  <r>
    <s v="InputData"/>
    <x v="14"/>
    <x v="89"/>
    <x v="253"/>
  </r>
  <r>
    <s v="InputData"/>
    <x v="14"/>
    <x v="89"/>
    <x v="254"/>
  </r>
  <r>
    <s v="InputData"/>
    <x v="14"/>
    <x v="90"/>
    <x v="255"/>
  </r>
  <r>
    <s v="InputData"/>
    <x v="14"/>
    <x v="90"/>
    <x v="256"/>
  </r>
  <r>
    <s v="InputData"/>
    <x v="14"/>
    <x v="90"/>
    <x v="257"/>
  </r>
  <r>
    <s v="InputData"/>
    <x v="14"/>
    <x v="90"/>
    <x v="258"/>
  </r>
  <r>
    <s v="InputData"/>
    <x v="14"/>
    <x v="91"/>
    <x v="259"/>
  </r>
  <r>
    <s v="InputData"/>
    <x v="14"/>
    <x v="91"/>
    <x v="260"/>
  </r>
  <r>
    <s v="InputData"/>
    <x v="14"/>
    <x v="91"/>
    <x v="261"/>
  </r>
  <r>
    <s v="InputData"/>
    <x v="14"/>
    <x v="91"/>
    <x v="262"/>
  </r>
  <r>
    <s v="InputData"/>
    <x v="14"/>
    <x v="92"/>
    <x v="263"/>
  </r>
  <r>
    <s v="InputData"/>
    <x v="14"/>
    <x v="92"/>
    <x v="264"/>
  </r>
  <r>
    <s v="InputData"/>
    <x v="14"/>
    <x v="93"/>
    <x v="265"/>
  </r>
  <r>
    <s v="InputData"/>
    <x v="14"/>
    <x v="93"/>
    <x v="266"/>
  </r>
  <r>
    <s v="InputData"/>
    <x v="14"/>
    <x v="94"/>
    <x v="267"/>
  </r>
  <r>
    <s v="InputData"/>
    <x v="14"/>
    <x v="94"/>
    <x v="268"/>
  </r>
  <r>
    <s v="InputData"/>
    <x v="14"/>
    <x v="95"/>
    <x v="269"/>
  </r>
  <r>
    <s v="InputData"/>
    <x v="14"/>
    <x v="95"/>
    <x v="270"/>
  </r>
  <r>
    <s v="InputData"/>
    <x v="14"/>
    <x v="96"/>
    <x v="271"/>
  </r>
  <r>
    <s v="InputData"/>
    <x v="14"/>
    <x v="96"/>
    <x v="272"/>
  </r>
  <r>
    <s v="InputData"/>
    <x v="14"/>
    <x v="97"/>
    <x v="273"/>
  </r>
  <r>
    <s v="InputData"/>
    <x v="14"/>
    <x v="97"/>
    <x v="274"/>
  </r>
  <r>
    <s v="InputData"/>
    <x v="14"/>
    <x v="98"/>
    <x v="275"/>
  </r>
  <r>
    <s v="InputData"/>
    <x v="14"/>
    <x v="98"/>
    <x v="276"/>
  </r>
  <r>
    <s v="InputData"/>
    <x v="14"/>
    <x v="99"/>
    <x v="277"/>
  </r>
  <r>
    <s v="InputData"/>
    <x v="14"/>
    <x v="99"/>
    <x v="278"/>
  </r>
  <r>
    <s v="InputData"/>
    <x v="14"/>
    <x v="100"/>
    <x v="279"/>
  </r>
  <r>
    <s v="InputData"/>
    <x v="14"/>
    <x v="100"/>
    <x v="280"/>
  </r>
  <r>
    <s v="InputData"/>
    <x v="14"/>
    <x v="100"/>
    <x v="281"/>
  </r>
  <r>
    <s v="InputData"/>
    <x v="14"/>
    <x v="100"/>
    <x v="282"/>
  </r>
  <r>
    <s v="InputData"/>
    <x v="14"/>
    <x v="100"/>
    <x v="283"/>
  </r>
  <r>
    <s v="InputData"/>
    <x v="14"/>
    <x v="100"/>
    <x v="284"/>
  </r>
  <r>
    <s v="InputData"/>
    <x v="14"/>
    <x v="100"/>
    <x v="285"/>
  </r>
  <r>
    <s v="InputData"/>
    <x v="14"/>
    <x v="100"/>
    <x v="286"/>
  </r>
  <r>
    <s v="InputData"/>
    <x v="14"/>
    <x v="100"/>
    <x v="287"/>
  </r>
  <r>
    <s v="InputData"/>
    <x v="14"/>
    <x v="100"/>
    <x v="288"/>
  </r>
  <r>
    <s v="InputData"/>
    <x v="14"/>
    <x v="100"/>
    <x v="289"/>
  </r>
  <r>
    <s v="InputData"/>
    <x v="14"/>
    <x v="100"/>
    <x v="290"/>
  </r>
  <r>
    <s v="InputData"/>
    <x v="14"/>
    <x v="100"/>
    <x v="291"/>
  </r>
  <r>
    <s v="InputData"/>
    <x v="14"/>
    <x v="100"/>
    <x v="292"/>
  </r>
  <r>
    <s v="InputData"/>
    <x v="14"/>
    <x v="100"/>
    <x v="293"/>
  </r>
  <r>
    <s v="InputData"/>
    <x v="14"/>
    <x v="100"/>
    <x v="294"/>
  </r>
  <r>
    <s v="InputData"/>
    <x v="14"/>
    <x v="100"/>
    <x v="295"/>
  </r>
  <r>
    <s v="InputData"/>
    <x v="14"/>
    <x v="101"/>
    <x v="296"/>
  </r>
  <r>
    <s v="InputData"/>
    <x v="14"/>
    <x v="101"/>
    <x v="297"/>
  </r>
  <r>
    <s v="InputData"/>
    <x v="14"/>
    <x v="101"/>
    <x v="298"/>
  </r>
  <r>
    <s v="InputData"/>
    <x v="14"/>
    <x v="101"/>
    <x v="299"/>
  </r>
  <r>
    <s v="InputData"/>
    <x v="14"/>
    <x v="101"/>
    <x v="300"/>
  </r>
  <r>
    <s v="InputData"/>
    <x v="14"/>
    <x v="101"/>
    <x v="301"/>
  </r>
  <r>
    <s v="InputData"/>
    <x v="14"/>
    <x v="101"/>
    <x v="302"/>
  </r>
  <r>
    <s v="InputData"/>
    <x v="14"/>
    <x v="101"/>
    <x v="303"/>
  </r>
  <r>
    <s v="InputData"/>
    <x v="14"/>
    <x v="101"/>
    <x v="304"/>
  </r>
  <r>
    <s v="InputData"/>
    <x v="14"/>
    <x v="101"/>
    <x v="305"/>
  </r>
  <r>
    <s v="InputData"/>
    <x v="14"/>
    <x v="101"/>
    <x v="306"/>
  </r>
  <r>
    <s v="InputData"/>
    <x v="14"/>
    <x v="101"/>
    <x v="307"/>
  </r>
  <r>
    <s v="InputData"/>
    <x v="14"/>
    <x v="101"/>
    <x v="308"/>
  </r>
  <r>
    <s v="InputData"/>
    <x v="14"/>
    <x v="101"/>
    <x v="309"/>
  </r>
  <r>
    <s v="InputData"/>
    <x v="14"/>
    <x v="101"/>
    <x v="310"/>
  </r>
  <r>
    <s v="InputData"/>
    <x v="14"/>
    <x v="101"/>
    <x v="311"/>
  </r>
  <r>
    <s v="InputData"/>
    <x v="14"/>
    <x v="101"/>
    <x v="312"/>
  </r>
  <r>
    <s v="InputData"/>
    <x v="14"/>
    <x v="102"/>
    <x v="313"/>
  </r>
  <r>
    <s v="InputData"/>
    <x v="14"/>
    <x v="102"/>
    <x v="314"/>
  </r>
  <r>
    <s v="InputData"/>
    <x v="15"/>
    <x v="103"/>
    <x v="315"/>
  </r>
  <r>
    <s v="InputData"/>
    <x v="15"/>
    <x v="103"/>
    <x v="316"/>
  </r>
  <r>
    <s v="InputData"/>
    <x v="15"/>
    <x v="103"/>
    <x v="317"/>
  </r>
  <r>
    <s v="InputData"/>
    <x v="15"/>
    <x v="103"/>
    <x v="318"/>
  </r>
  <r>
    <s v="InputData"/>
    <x v="16"/>
    <x v="104"/>
    <x v="319"/>
  </r>
  <r>
    <s v="InputData"/>
    <x v="16"/>
    <x v="104"/>
    <x v="320"/>
  </r>
  <r>
    <s v="InputData"/>
    <x v="16"/>
    <x v="105"/>
    <x v="321"/>
  </r>
  <r>
    <s v="InputData"/>
    <x v="16"/>
    <x v="105"/>
    <x v="322"/>
  </r>
  <r>
    <s v="InputData"/>
    <x v="16"/>
    <x v="106"/>
    <x v="323"/>
  </r>
  <r>
    <s v="InputData"/>
    <x v="16"/>
    <x v="106"/>
    <x v="324"/>
  </r>
  <r>
    <s v="InputData"/>
    <x v="16"/>
    <x v="107"/>
    <x v="325"/>
  </r>
  <r>
    <s v="InputData"/>
    <x v="16"/>
    <x v="107"/>
    <x v="326"/>
  </r>
  <r>
    <s v="InputData"/>
    <x v="16"/>
    <x v="107"/>
    <x v="327"/>
  </r>
  <r>
    <s v="InputData"/>
    <x v="16"/>
    <x v="108"/>
    <x v="328"/>
  </r>
  <r>
    <s v="InputData"/>
    <x v="16"/>
    <x v="108"/>
    <x v="329"/>
  </r>
  <r>
    <s v="InputData"/>
    <x v="16"/>
    <x v="109"/>
    <x v="330"/>
  </r>
  <r>
    <s v="InputData"/>
    <x v="16"/>
    <x v="109"/>
    <x v="331"/>
  </r>
  <r>
    <s v="InputData"/>
    <x v="16"/>
    <x v="110"/>
    <x v="332"/>
  </r>
  <r>
    <s v="InputData"/>
    <x v="16"/>
    <x v="110"/>
    <x v="333"/>
  </r>
  <r>
    <s v="InputData"/>
    <x v="17"/>
    <x v="111"/>
    <x v="334"/>
  </r>
  <r>
    <s v="InputData"/>
    <x v="17"/>
    <x v="111"/>
    <x v="335"/>
  </r>
  <r>
    <s v="InputData"/>
    <x v="17"/>
    <x v="111"/>
    <x v="336"/>
  </r>
  <r>
    <s v="InputData"/>
    <x v="17"/>
    <x v="111"/>
    <x v="337"/>
  </r>
  <r>
    <s v="InputData"/>
    <x v="17"/>
    <x v="111"/>
    <x v="338"/>
  </r>
  <r>
    <s v="InputData"/>
    <x v="17"/>
    <x v="111"/>
    <x v="339"/>
  </r>
  <r>
    <s v="InputData"/>
    <x v="17"/>
    <x v="111"/>
    <x v="340"/>
  </r>
  <r>
    <s v="InputData"/>
    <x v="17"/>
    <x v="111"/>
    <x v="341"/>
  </r>
  <r>
    <s v="InputData"/>
    <x v="17"/>
    <x v="111"/>
    <x v="342"/>
  </r>
  <r>
    <s v="InputData"/>
    <x v="17"/>
    <x v="111"/>
    <x v="343"/>
  </r>
  <r>
    <s v="InputData"/>
    <x v="17"/>
    <x v="111"/>
    <x v="344"/>
  </r>
  <r>
    <s v="InputData"/>
    <x v="17"/>
    <x v="112"/>
    <x v="345"/>
  </r>
  <r>
    <s v="InputData"/>
    <x v="17"/>
    <x v="112"/>
    <x v="346"/>
  </r>
  <r>
    <s v="InputData"/>
    <x v="17"/>
    <x v="112"/>
    <x v="347"/>
  </r>
  <r>
    <s v="InputData"/>
    <x v="17"/>
    <x v="112"/>
    <x v="348"/>
  </r>
  <r>
    <s v="InputData"/>
    <x v="17"/>
    <x v="112"/>
    <x v="349"/>
  </r>
  <r>
    <s v="InputData"/>
    <x v="17"/>
    <x v="112"/>
    <x v="350"/>
  </r>
  <r>
    <s v="InputData"/>
    <x v="17"/>
    <x v="113"/>
    <x v="351"/>
  </r>
  <r>
    <s v="InputData"/>
    <x v="17"/>
    <x v="113"/>
    <x v="352"/>
  </r>
  <r>
    <s v="InputData"/>
    <x v="17"/>
    <x v="114"/>
    <x v="353"/>
  </r>
  <r>
    <s v="InputData"/>
    <x v="17"/>
    <x v="114"/>
    <x v="354"/>
  </r>
  <r>
    <s v="InputData"/>
    <x v="17"/>
    <x v="115"/>
    <x v="355"/>
  </r>
  <r>
    <s v="InputData"/>
    <x v="17"/>
    <x v="115"/>
    <x v="356"/>
  </r>
  <r>
    <s v="InputData"/>
    <x v="17"/>
    <x v="116"/>
    <x v="357"/>
  </r>
  <r>
    <s v="InputData"/>
    <x v="17"/>
    <x v="116"/>
    <x v="358"/>
  </r>
  <r>
    <s v="InputData"/>
    <x v="17"/>
    <x v="117"/>
    <x v="359"/>
  </r>
  <r>
    <s v="InputData"/>
    <x v="17"/>
    <x v="117"/>
    <x v="360"/>
  </r>
  <r>
    <s v="InputData"/>
    <x v="17"/>
    <x v="117"/>
    <x v="361"/>
  </r>
  <r>
    <s v="InputData"/>
    <x v="17"/>
    <x v="118"/>
    <x v="362"/>
  </r>
  <r>
    <s v="InputData"/>
    <x v="17"/>
    <x v="118"/>
    <x v="363"/>
  </r>
  <r>
    <s v="InputData"/>
    <x v="17"/>
    <x v="119"/>
    <x v="364"/>
  </r>
  <r>
    <s v="InputData"/>
    <x v="17"/>
    <x v="119"/>
    <x v="365"/>
  </r>
  <r>
    <s v="InputData"/>
    <x v="17"/>
    <x v="119"/>
    <x v="366"/>
  </r>
  <r>
    <s v="InputData"/>
    <x v="17"/>
    <x v="120"/>
    <x v="367"/>
  </r>
  <r>
    <s v="InputData"/>
    <x v="17"/>
    <x v="120"/>
    <x v="368"/>
  </r>
  <r>
    <s v="InputData"/>
    <x v="17"/>
    <x v="121"/>
    <x v="369"/>
  </r>
  <r>
    <s v="InputData"/>
    <x v="17"/>
    <x v="121"/>
    <x v="370"/>
  </r>
  <r>
    <s v="InputData"/>
    <x v="17"/>
    <x v="122"/>
    <x v="371"/>
  </r>
  <r>
    <s v="InputData"/>
    <x v="17"/>
    <x v="122"/>
    <x v="372"/>
  </r>
  <r>
    <s v="InputData"/>
    <x v="17"/>
    <x v="122"/>
    <x v="373"/>
  </r>
  <r>
    <s v="InputData"/>
    <x v="17"/>
    <x v="122"/>
    <x v="374"/>
  </r>
  <r>
    <s v="InputData"/>
    <x v="17"/>
    <x v="122"/>
    <x v="375"/>
  </r>
  <r>
    <s v="InputData"/>
    <x v="17"/>
    <x v="122"/>
    <x v="376"/>
  </r>
  <r>
    <s v="InputData"/>
    <x v="17"/>
    <x v="122"/>
    <x v="377"/>
  </r>
  <r>
    <s v="InputData"/>
    <x v="17"/>
    <x v="122"/>
    <x v="378"/>
  </r>
  <r>
    <s v="InputData"/>
    <x v="17"/>
    <x v="122"/>
    <x v="379"/>
  </r>
  <r>
    <s v="InputData"/>
    <x v="17"/>
    <x v="122"/>
    <x v="380"/>
  </r>
  <r>
    <s v="InputData"/>
    <x v="17"/>
    <x v="122"/>
    <x v="381"/>
  </r>
  <r>
    <s v="InputData"/>
    <x v="17"/>
    <x v="122"/>
    <x v="382"/>
  </r>
  <r>
    <s v="InputData"/>
    <x v="17"/>
    <x v="122"/>
    <x v="383"/>
  </r>
  <r>
    <s v="InputData"/>
    <x v="17"/>
    <x v="122"/>
    <x v="384"/>
  </r>
  <r>
    <s v="InputData"/>
    <x v="17"/>
    <x v="122"/>
    <x v="385"/>
  </r>
  <r>
    <s v="InputData"/>
    <x v="17"/>
    <x v="123"/>
    <x v="386"/>
  </r>
  <r>
    <s v="InputData"/>
    <x v="17"/>
    <x v="123"/>
    <x v="387"/>
  </r>
  <r>
    <s v="InputData"/>
    <x v="17"/>
    <x v="124"/>
    <x v="388"/>
  </r>
  <r>
    <s v="InputData"/>
    <x v="17"/>
    <x v="124"/>
    <x v="389"/>
  </r>
  <r>
    <s v="InputData"/>
    <x v="17"/>
    <x v="125"/>
    <x v="390"/>
  </r>
  <r>
    <s v="InputData"/>
    <x v="17"/>
    <x v="125"/>
    <x v="391"/>
  </r>
  <r>
    <s v="InputData"/>
    <x v="17"/>
    <x v="126"/>
    <x v="392"/>
  </r>
  <r>
    <s v="InputData"/>
    <x v="17"/>
    <x v="126"/>
    <x v="393"/>
  </r>
  <r>
    <s v="InputData"/>
    <x v="17"/>
    <x v="127"/>
    <x v="394"/>
  </r>
  <r>
    <s v="InputData"/>
    <x v="17"/>
    <x v="127"/>
    <x v="395"/>
  </r>
  <r>
    <s v="InputData"/>
    <x v="17"/>
    <x v="127"/>
    <x v="396"/>
  </r>
  <r>
    <s v="InputData"/>
    <x v="17"/>
    <x v="127"/>
    <x v="397"/>
  </r>
  <r>
    <s v="InputData"/>
    <x v="17"/>
    <x v="127"/>
    <x v="398"/>
  </r>
  <r>
    <s v="InputData"/>
    <x v="17"/>
    <x v="127"/>
    <x v="399"/>
  </r>
  <r>
    <s v="InputData"/>
    <x v="17"/>
    <x v="127"/>
    <x v="400"/>
  </r>
  <r>
    <s v="InputData"/>
    <x v="17"/>
    <x v="127"/>
    <x v="401"/>
  </r>
  <r>
    <s v="InputData"/>
    <x v="17"/>
    <x v="127"/>
    <x v="402"/>
  </r>
  <r>
    <s v="InputData"/>
    <x v="17"/>
    <x v="128"/>
    <x v="403"/>
  </r>
  <r>
    <s v="InputData"/>
    <x v="17"/>
    <x v="128"/>
    <x v="404"/>
  </r>
  <r>
    <s v="InputData"/>
    <x v="17"/>
    <x v="129"/>
    <x v="405"/>
  </r>
  <r>
    <s v="InputData"/>
    <x v="17"/>
    <x v="129"/>
    <x v="406"/>
  </r>
  <r>
    <s v="InputData"/>
    <x v="17"/>
    <x v="130"/>
    <x v="407"/>
  </r>
  <r>
    <s v="InputData"/>
    <x v="17"/>
    <x v="130"/>
    <x v="408"/>
  </r>
  <r>
    <s v="InputData"/>
    <x v="18"/>
    <x v="131"/>
    <x v="409"/>
  </r>
  <r>
    <s v="InputData"/>
    <x v="18"/>
    <x v="131"/>
    <x v="410"/>
  </r>
  <r>
    <s v="InputData"/>
    <x v="18"/>
    <x v="132"/>
    <x v="411"/>
  </r>
  <r>
    <s v="InputData"/>
    <x v="18"/>
    <x v="132"/>
    <x v="412"/>
  </r>
  <r>
    <s v="InputData"/>
    <x v="18"/>
    <x v="133"/>
    <x v="413"/>
  </r>
  <r>
    <s v="InputData"/>
    <x v="18"/>
    <x v="133"/>
    <x v="414"/>
  </r>
  <r>
    <s v="InputData"/>
    <x v="18"/>
    <x v="134"/>
    <x v="415"/>
  </r>
  <r>
    <s v="InputData"/>
    <x v="18"/>
    <x v="134"/>
    <x v="416"/>
  </r>
  <r>
    <s v="InputData"/>
    <x v="18"/>
    <x v="135"/>
    <x v="417"/>
  </r>
  <r>
    <s v="InputData"/>
    <x v="18"/>
    <x v="135"/>
    <x v="418"/>
  </r>
  <r>
    <s v="InputData"/>
    <x v="18"/>
    <x v="136"/>
    <x v="419"/>
  </r>
  <r>
    <s v="InputData"/>
    <x v="18"/>
    <x v="136"/>
    <x v="420"/>
  </r>
  <r>
    <s v="InputData"/>
    <x v="18"/>
    <x v="137"/>
    <x v="421"/>
  </r>
  <r>
    <s v="InputData"/>
    <x v="18"/>
    <x v="137"/>
    <x v="422"/>
  </r>
  <r>
    <s v="InputData"/>
    <x v="18"/>
    <x v="138"/>
    <x v="423"/>
  </r>
  <r>
    <s v="InputData"/>
    <x v="18"/>
    <x v="138"/>
    <x v="424"/>
  </r>
  <r>
    <s v="InputData"/>
    <x v="18"/>
    <x v="139"/>
    <x v="425"/>
  </r>
  <r>
    <s v="InputData"/>
    <x v="18"/>
    <x v="139"/>
    <x v="426"/>
  </r>
  <r>
    <s v="InputData"/>
    <x v="18"/>
    <x v="140"/>
    <x v="427"/>
  </r>
  <r>
    <s v="InputData"/>
    <x v="18"/>
    <x v="140"/>
    <x v="428"/>
  </r>
  <r>
    <s v="InputData"/>
    <x v="19"/>
    <x v="141"/>
    <x v="429"/>
  </r>
  <r>
    <s v="InputData"/>
    <x v="19"/>
    <x v="141"/>
    <x v="430"/>
  </r>
  <r>
    <s v="InputData"/>
    <x v="19"/>
    <x v="142"/>
    <x v="431"/>
  </r>
  <r>
    <s v="InputData"/>
    <x v="19"/>
    <x v="142"/>
    <x v="432"/>
  </r>
  <r>
    <s v="InputData"/>
    <x v="19"/>
    <x v="143"/>
    <x v="433"/>
  </r>
  <r>
    <s v="InputData"/>
    <x v="19"/>
    <x v="143"/>
    <x v="434"/>
  </r>
  <r>
    <s v="InputData"/>
    <x v="19"/>
    <x v="144"/>
    <x v="435"/>
  </r>
  <r>
    <s v="InputData"/>
    <x v="19"/>
    <x v="144"/>
    <x v="436"/>
  </r>
  <r>
    <s v="InputData"/>
    <x v="19"/>
    <x v="145"/>
    <x v="437"/>
  </r>
  <r>
    <s v="InputData"/>
    <x v="19"/>
    <x v="145"/>
    <x v="438"/>
  </r>
  <r>
    <s v="InputData"/>
    <x v="20"/>
    <x v="146"/>
    <x v="439"/>
  </r>
  <r>
    <s v="InputData"/>
    <x v="20"/>
    <x v="146"/>
    <x v="440"/>
  </r>
  <r>
    <s v="InputData"/>
    <x v="20"/>
    <x v="146"/>
    <x v="441"/>
  </r>
  <r>
    <s v="InputData"/>
    <x v="20"/>
    <x v="146"/>
    <x v="442"/>
  </r>
  <r>
    <s v="InputData"/>
    <x v="20"/>
    <x v="146"/>
    <x v="443"/>
  </r>
  <r>
    <s v="InputData"/>
    <x v="20"/>
    <x v="146"/>
    <x v="444"/>
  </r>
  <r>
    <s v="InputData"/>
    <x v="20"/>
    <x v="146"/>
    <x v="445"/>
  </r>
  <r>
    <s v="InputData"/>
    <x v="20"/>
    <x v="146"/>
    <x v="446"/>
  </r>
  <r>
    <s v="InputData"/>
    <x v="20"/>
    <x v="146"/>
    <x v="447"/>
  </r>
  <r>
    <s v="InputData"/>
    <x v="20"/>
    <x v="146"/>
    <x v="448"/>
  </r>
  <r>
    <s v="InputData"/>
    <x v="20"/>
    <x v="146"/>
    <x v="449"/>
  </r>
  <r>
    <s v="InputData"/>
    <x v="20"/>
    <x v="146"/>
    <x v="450"/>
  </r>
  <r>
    <s v="InputData"/>
    <x v="20"/>
    <x v="146"/>
    <x v="451"/>
  </r>
  <r>
    <s v="InputData"/>
    <x v="20"/>
    <x v="146"/>
    <x v="452"/>
  </r>
  <r>
    <s v="InputData"/>
    <x v="20"/>
    <x v="146"/>
    <x v="453"/>
  </r>
  <r>
    <s v="InputData"/>
    <x v="20"/>
    <x v="147"/>
    <x v="454"/>
  </r>
  <r>
    <s v="InputData"/>
    <x v="20"/>
    <x v="147"/>
    <x v="455"/>
  </r>
  <r>
    <s v="InputData"/>
    <x v="20"/>
    <x v="148"/>
    <x v="456"/>
  </r>
  <r>
    <s v="InputData"/>
    <x v="20"/>
    <x v="148"/>
    <x v="457"/>
  </r>
  <r>
    <s v="InputData"/>
    <x v="21"/>
    <x v="149"/>
    <x v="458"/>
  </r>
  <r>
    <s v="InputData"/>
    <x v="21"/>
    <x v="149"/>
    <x v="459"/>
  </r>
  <r>
    <s v="InputData"/>
    <x v="21"/>
    <x v="150"/>
    <x v="460"/>
  </r>
  <r>
    <s v="InputData"/>
    <x v="21"/>
    <x v="150"/>
    <x v="461"/>
  </r>
  <r>
    <s v="InputData"/>
    <x v="21"/>
    <x v="150"/>
    <x v="462"/>
  </r>
  <r>
    <s v="InputData"/>
    <x v="21"/>
    <x v="151"/>
    <x v="463"/>
  </r>
  <r>
    <s v="InputData"/>
    <x v="21"/>
    <x v="151"/>
    <x v="464"/>
  </r>
  <r>
    <s v="InputData"/>
    <x v="21"/>
    <x v="151"/>
    <x v="465"/>
  </r>
  <r>
    <s v="InputData"/>
    <x v="21"/>
    <x v="152"/>
    <x v="466"/>
  </r>
  <r>
    <s v="InputData"/>
    <x v="21"/>
    <x v="152"/>
    <x v="467"/>
  </r>
  <r>
    <s v="InputData"/>
    <x v="21"/>
    <x v="152"/>
    <x v="468"/>
  </r>
  <r>
    <s v="InputData"/>
    <x v="21"/>
    <x v="153"/>
    <x v="469"/>
  </r>
  <r>
    <s v="InputData"/>
    <x v="21"/>
    <x v="153"/>
    <x v="470"/>
  </r>
  <r>
    <s v="InputData"/>
    <x v="21"/>
    <x v="153"/>
    <x v="471"/>
  </r>
  <r>
    <s v="InputData"/>
    <x v="21"/>
    <x v="154"/>
    <x v="472"/>
  </r>
  <r>
    <s v="InputData"/>
    <x v="21"/>
    <x v="154"/>
    <x v="473"/>
  </r>
  <r>
    <s v="InputData"/>
    <x v="21"/>
    <x v="154"/>
    <x v="474"/>
  </r>
  <r>
    <s v="InputData"/>
    <x v="21"/>
    <x v="154"/>
    <x v="475"/>
  </r>
  <r>
    <s v="InputData"/>
    <x v="21"/>
    <x v="154"/>
    <x v="476"/>
  </r>
  <r>
    <s v="InputData"/>
    <x v="21"/>
    <x v="154"/>
    <x v="477"/>
  </r>
  <r>
    <s v="InputData"/>
    <x v="21"/>
    <x v="154"/>
    <x v="478"/>
  </r>
  <r>
    <s v="InputData"/>
    <x v="21"/>
    <x v="154"/>
    <x v="479"/>
  </r>
  <r>
    <s v="InputData"/>
    <x v="21"/>
    <x v="154"/>
    <x v="480"/>
  </r>
  <r>
    <s v="InputData"/>
    <x v="21"/>
    <x v="154"/>
    <x v="481"/>
  </r>
  <r>
    <s v="InputData"/>
    <x v="21"/>
    <x v="154"/>
    <x v="482"/>
  </r>
  <r>
    <s v="InputData"/>
    <x v="21"/>
    <x v="154"/>
    <x v="483"/>
  </r>
  <r>
    <s v="InputData"/>
    <x v="21"/>
    <x v="154"/>
    <x v="484"/>
  </r>
  <r>
    <s v="InputData"/>
    <x v="21"/>
    <x v="155"/>
    <x v="485"/>
  </r>
  <r>
    <s v="InputData"/>
    <x v="21"/>
    <x v="155"/>
    <x v="486"/>
  </r>
  <r>
    <s v="InputData"/>
    <x v="21"/>
    <x v="156"/>
    <x v="487"/>
  </r>
  <r>
    <s v="InputData"/>
    <x v="21"/>
    <x v="156"/>
    <x v="488"/>
  </r>
  <r>
    <s v="InputData"/>
    <x v="21"/>
    <x v="156"/>
    <x v="489"/>
  </r>
  <r>
    <s v="InputData"/>
    <x v="21"/>
    <x v="157"/>
    <x v="490"/>
  </r>
  <r>
    <s v="InputData"/>
    <x v="21"/>
    <x v="157"/>
    <x v="491"/>
  </r>
  <r>
    <s v="InputData"/>
    <x v="21"/>
    <x v="157"/>
    <x v="492"/>
  </r>
  <r>
    <s v="InputData"/>
    <x v="21"/>
    <x v="157"/>
    <x v="493"/>
  </r>
  <r>
    <s v="InputData"/>
    <x v="21"/>
    <x v="157"/>
    <x v="494"/>
  </r>
  <r>
    <s v="InputData"/>
    <x v="21"/>
    <x v="157"/>
    <x v="495"/>
  </r>
  <r>
    <s v="InputData"/>
    <x v="21"/>
    <x v="157"/>
    <x v="496"/>
  </r>
  <r>
    <s v="InputData"/>
    <x v="21"/>
    <x v="157"/>
    <x v="497"/>
  </r>
  <r>
    <s v="InputData"/>
    <x v="21"/>
    <x v="157"/>
    <x v="498"/>
  </r>
  <r>
    <s v="InputData"/>
    <x v="21"/>
    <x v="157"/>
    <x v="499"/>
  </r>
  <r>
    <s v="InputData"/>
    <x v="21"/>
    <x v="157"/>
    <x v="500"/>
  </r>
  <r>
    <s v="InputData"/>
    <x v="21"/>
    <x v="157"/>
    <x v="501"/>
  </r>
  <r>
    <s v="InputData"/>
    <x v="21"/>
    <x v="157"/>
    <x v="502"/>
  </r>
  <r>
    <s v="InputData"/>
    <x v="21"/>
    <x v="158"/>
    <x v="503"/>
  </r>
  <r>
    <s v="InputData"/>
    <x v="21"/>
    <x v="158"/>
    <x v="504"/>
  </r>
  <r>
    <s v="InputData"/>
    <x v="21"/>
    <x v="158"/>
    <x v="505"/>
  </r>
  <r>
    <s v="InputData"/>
    <x v="21"/>
    <x v="158"/>
    <x v="506"/>
  </r>
  <r>
    <s v="InputData"/>
    <x v="21"/>
    <x v="158"/>
    <x v="507"/>
  </r>
  <r>
    <s v="InputData"/>
    <x v="21"/>
    <x v="158"/>
    <x v="508"/>
  </r>
  <r>
    <s v="InputData"/>
    <x v="21"/>
    <x v="158"/>
    <x v="509"/>
  </r>
  <r>
    <s v="InputData"/>
    <x v="21"/>
    <x v="158"/>
    <x v="510"/>
  </r>
  <r>
    <s v="InputData"/>
    <x v="21"/>
    <x v="158"/>
    <x v="511"/>
  </r>
  <r>
    <s v="InputData"/>
    <x v="21"/>
    <x v="158"/>
    <x v="512"/>
  </r>
  <r>
    <s v="InputData"/>
    <x v="21"/>
    <x v="158"/>
    <x v="513"/>
  </r>
  <r>
    <s v="InputData"/>
    <x v="21"/>
    <x v="158"/>
    <x v="514"/>
  </r>
  <r>
    <s v="InputData"/>
    <x v="21"/>
    <x v="158"/>
    <x v="515"/>
  </r>
  <r>
    <s v="InputData"/>
    <x v="21"/>
    <x v="159"/>
    <x v="516"/>
  </r>
  <r>
    <s v="InputData"/>
    <x v="21"/>
    <x v="159"/>
    <x v="517"/>
  </r>
  <r>
    <s v="InputData"/>
    <x v="21"/>
    <x v="159"/>
    <x v="518"/>
  </r>
  <r>
    <s v="InputData"/>
    <x v="21"/>
    <x v="159"/>
    <x v="519"/>
  </r>
  <r>
    <s v="InputData"/>
    <x v="21"/>
    <x v="159"/>
    <x v="520"/>
  </r>
  <r>
    <s v="InputData"/>
    <x v="21"/>
    <x v="159"/>
    <x v="521"/>
  </r>
  <r>
    <s v="InputData"/>
    <x v="21"/>
    <x v="159"/>
    <x v="522"/>
  </r>
  <r>
    <s v="InputData"/>
    <x v="21"/>
    <x v="159"/>
    <x v="523"/>
  </r>
  <r>
    <s v="InputData"/>
    <x v="21"/>
    <x v="159"/>
    <x v="524"/>
  </r>
  <r>
    <s v="InputData"/>
    <x v="21"/>
    <x v="159"/>
    <x v="525"/>
  </r>
  <r>
    <s v="InputData"/>
    <x v="21"/>
    <x v="159"/>
    <x v="526"/>
  </r>
  <r>
    <s v="InputData"/>
    <x v="21"/>
    <x v="159"/>
    <x v="527"/>
  </r>
  <r>
    <s v="InputData"/>
    <x v="21"/>
    <x v="159"/>
    <x v="528"/>
  </r>
  <r>
    <s v="InputData"/>
    <x v="21"/>
    <x v="159"/>
    <x v="529"/>
  </r>
  <r>
    <s v="InputData"/>
    <x v="21"/>
    <x v="159"/>
    <x v="530"/>
  </r>
  <r>
    <s v="InputData"/>
    <x v="21"/>
    <x v="159"/>
    <x v="531"/>
  </r>
  <r>
    <s v="InputData"/>
    <x v="21"/>
    <x v="159"/>
    <x v="532"/>
  </r>
  <r>
    <s v="InputData"/>
    <x v="21"/>
    <x v="159"/>
    <x v="533"/>
  </r>
  <r>
    <s v="InputData"/>
    <x v="21"/>
    <x v="159"/>
    <x v="534"/>
  </r>
  <r>
    <s v="InputData"/>
    <x v="21"/>
    <x v="159"/>
    <x v="535"/>
  </r>
  <r>
    <s v="InputData"/>
    <x v="21"/>
    <x v="159"/>
    <x v="536"/>
  </r>
  <r>
    <s v="InputData"/>
    <x v="21"/>
    <x v="159"/>
    <x v="537"/>
  </r>
  <r>
    <s v="InputData"/>
    <x v="21"/>
    <x v="159"/>
    <x v="538"/>
  </r>
  <r>
    <s v="InputData"/>
    <x v="21"/>
    <x v="159"/>
    <x v="539"/>
  </r>
  <r>
    <s v="InputData"/>
    <x v="21"/>
    <x v="159"/>
    <x v="540"/>
  </r>
  <r>
    <s v="InputData"/>
    <x v="21"/>
    <x v="159"/>
    <x v="541"/>
  </r>
  <r>
    <s v="InputData"/>
    <x v="21"/>
    <x v="159"/>
    <x v="542"/>
  </r>
  <r>
    <s v="InputData"/>
    <x v="21"/>
    <x v="159"/>
    <x v="543"/>
  </r>
  <r>
    <s v="InputData"/>
    <x v="21"/>
    <x v="159"/>
    <x v="544"/>
  </r>
  <r>
    <s v="InputData"/>
    <x v="21"/>
    <x v="159"/>
    <x v="545"/>
  </r>
  <r>
    <s v="InputData"/>
    <x v="21"/>
    <x v="159"/>
    <x v="546"/>
  </r>
  <r>
    <s v="InputData"/>
    <x v="21"/>
    <x v="159"/>
    <x v="547"/>
  </r>
  <r>
    <s v="InputData"/>
    <x v="21"/>
    <x v="159"/>
    <x v="548"/>
  </r>
  <r>
    <s v="InputData"/>
    <x v="21"/>
    <x v="159"/>
    <x v="549"/>
  </r>
  <r>
    <s v="InputData"/>
    <x v="21"/>
    <x v="159"/>
    <x v="550"/>
  </r>
  <r>
    <s v="InputData"/>
    <x v="21"/>
    <x v="159"/>
    <x v="551"/>
  </r>
  <r>
    <s v="InputData"/>
    <x v="21"/>
    <x v="159"/>
    <x v="552"/>
  </r>
  <r>
    <s v="InputData"/>
    <x v="21"/>
    <x v="159"/>
    <x v="553"/>
  </r>
  <r>
    <s v="InputData"/>
    <x v="21"/>
    <x v="159"/>
    <x v="554"/>
  </r>
  <r>
    <s v="InputData"/>
    <x v="21"/>
    <x v="159"/>
    <x v="555"/>
  </r>
  <r>
    <s v="InputData"/>
    <x v="21"/>
    <x v="159"/>
    <x v="556"/>
  </r>
  <r>
    <s v="InputData"/>
    <x v="21"/>
    <x v="159"/>
    <x v="557"/>
  </r>
  <r>
    <s v="InputData"/>
    <x v="21"/>
    <x v="159"/>
    <x v="558"/>
  </r>
  <r>
    <s v="InputData"/>
    <x v="21"/>
    <x v="159"/>
    <x v="559"/>
  </r>
  <r>
    <s v="InputData"/>
    <x v="21"/>
    <x v="159"/>
    <x v="560"/>
  </r>
  <r>
    <s v="InputData"/>
    <x v="21"/>
    <x v="159"/>
    <x v="561"/>
  </r>
  <r>
    <s v="InputData"/>
    <x v="21"/>
    <x v="159"/>
    <x v="562"/>
  </r>
  <r>
    <s v="InputData"/>
    <x v="21"/>
    <x v="159"/>
    <x v="563"/>
  </r>
  <r>
    <s v="InputData"/>
    <x v="21"/>
    <x v="159"/>
    <x v="564"/>
  </r>
  <r>
    <s v="InputData"/>
    <x v="21"/>
    <x v="159"/>
    <x v="565"/>
  </r>
  <r>
    <s v="InputData"/>
    <x v="21"/>
    <x v="159"/>
    <x v="566"/>
  </r>
  <r>
    <s v="InputData"/>
    <x v="21"/>
    <x v="159"/>
    <x v="567"/>
  </r>
  <r>
    <s v="InputData"/>
    <x v="21"/>
    <x v="159"/>
    <x v="568"/>
  </r>
  <r>
    <s v="InputData"/>
    <x v="21"/>
    <x v="159"/>
    <x v="569"/>
  </r>
  <r>
    <s v="InputData"/>
    <x v="21"/>
    <x v="159"/>
    <x v="570"/>
  </r>
  <r>
    <s v="InputData"/>
    <x v="21"/>
    <x v="159"/>
    <x v="571"/>
  </r>
  <r>
    <s v="InputData"/>
    <x v="21"/>
    <x v="159"/>
    <x v="572"/>
  </r>
  <r>
    <s v="InputData"/>
    <x v="21"/>
    <x v="159"/>
    <x v="573"/>
  </r>
  <r>
    <s v="InputData"/>
    <x v="21"/>
    <x v="159"/>
    <x v="574"/>
  </r>
  <r>
    <s v="InputData"/>
    <x v="21"/>
    <x v="159"/>
    <x v="575"/>
  </r>
  <r>
    <s v="InputData"/>
    <x v="21"/>
    <x v="159"/>
    <x v="576"/>
  </r>
  <r>
    <s v="InputData"/>
    <x v="21"/>
    <x v="159"/>
    <x v="577"/>
  </r>
  <r>
    <s v="InputData"/>
    <x v="21"/>
    <x v="159"/>
    <x v="578"/>
  </r>
  <r>
    <s v="InputData"/>
    <x v="21"/>
    <x v="159"/>
    <x v="579"/>
  </r>
  <r>
    <s v="InputData"/>
    <x v="21"/>
    <x v="159"/>
    <x v="580"/>
  </r>
  <r>
    <s v="InputData"/>
    <x v="21"/>
    <x v="159"/>
    <x v="581"/>
  </r>
  <r>
    <s v="InputData"/>
    <x v="21"/>
    <x v="159"/>
    <x v="582"/>
  </r>
  <r>
    <s v="InputData"/>
    <x v="21"/>
    <x v="159"/>
    <x v="583"/>
  </r>
  <r>
    <s v="InputData"/>
    <x v="21"/>
    <x v="159"/>
    <x v="584"/>
  </r>
  <r>
    <s v="InputData"/>
    <x v="21"/>
    <x v="159"/>
    <x v="585"/>
  </r>
  <r>
    <s v="InputData"/>
    <x v="21"/>
    <x v="159"/>
    <x v="586"/>
  </r>
  <r>
    <s v="InputData"/>
    <x v="21"/>
    <x v="159"/>
    <x v="587"/>
  </r>
  <r>
    <s v="InputData"/>
    <x v="21"/>
    <x v="159"/>
    <x v="588"/>
  </r>
  <r>
    <s v="InputData"/>
    <x v="21"/>
    <x v="160"/>
    <x v="589"/>
  </r>
  <r>
    <s v="InputData"/>
    <x v="21"/>
    <x v="160"/>
    <x v="590"/>
  </r>
  <r>
    <s v="InputData"/>
    <x v="21"/>
    <x v="161"/>
    <x v="591"/>
  </r>
  <r>
    <s v="InputData"/>
    <x v="21"/>
    <x v="161"/>
    <x v="592"/>
  </r>
  <r>
    <s v="InputData"/>
    <x v="21"/>
    <x v="162"/>
    <x v="593"/>
  </r>
  <r>
    <s v="InputData"/>
    <x v="21"/>
    <x v="162"/>
    <x v="594"/>
  </r>
  <r>
    <s v="InputData"/>
    <x v="21"/>
    <x v="163"/>
    <x v="595"/>
  </r>
  <r>
    <s v="InputData"/>
    <x v="21"/>
    <x v="163"/>
    <x v="596"/>
  </r>
  <r>
    <s v="InputData"/>
    <x v="21"/>
    <x v="163"/>
    <x v="597"/>
  </r>
  <r>
    <s v="InputData"/>
    <x v="21"/>
    <x v="164"/>
    <x v="598"/>
  </r>
  <r>
    <s v="InputData"/>
    <x v="21"/>
    <x v="164"/>
    <x v="599"/>
  </r>
  <r>
    <s v="InputData"/>
    <x v="21"/>
    <x v="165"/>
    <x v="600"/>
  </r>
  <r>
    <s v="InputData"/>
    <x v="21"/>
    <x v="165"/>
    <x v="601"/>
  </r>
  <r>
    <s v="InputData"/>
    <x v="21"/>
    <x v="166"/>
    <x v="602"/>
  </r>
  <r>
    <s v="InputData"/>
    <x v="21"/>
    <x v="166"/>
    <x v="603"/>
  </r>
  <r>
    <s v="InputData"/>
    <x v="21"/>
    <x v="167"/>
    <x v="604"/>
  </r>
  <r>
    <s v="InputData"/>
    <x v="21"/>
    <x v="167"/>
    <x v="605"/>
  </r>
  <r>
    <s v="InputData"/>
    <x v="21"/>
    <x v="167"/>
    <x v="606"/>
  </r>
  <r>
    <s v="InputData"/>
    <x v="21"/>
    <x v="167"/>
    <x v="607"/>
  </r>
  <r>
    <s v="InputData"/>
    <x v="21"/>
    <x v="167"/>
    <x v="608"/>
  </r>
  <r>
    <s v="InputData"/>
    <x v="21"/>
    <x v="167"/>
    <x v="609"/>
  </r>
  <r>
    <s v="InputData"/>
    <x v="21"/>
    <x v="167"/>
    <x v="610"/>
  </r>
  <r>
    <s v="InputData"/>
    <x v="21"/>
    <x v="168"/>
    <x v="611"/>
  </r>
  <r>
    <s v="InputData"/>
    <x v="21"/>
    <x v="168"/>
    <x v="612"/>
  </r>
  <r>
    <s v="InputData"/>
    <x v="21"/>
    <x v="169"/>
    <x v="613"/>
  </r>
  <r>
    <s v="InputData"/>
    <x v="21"/>
    <x v="169"/>
    <x v="614"/>
  </r>
  <r>
    <s v="InputData"/>
    <x v="21"/>
    <x v="170"/>
    <x v="615"/>
  </r>
  <r>
    <s v="InputData"/>
    <x v="21"/>
    <x v="170"/>
    <x v="616"/>
  </r>
  <r>
    <s v="InputData"/>
    <x v="21"/>
    <x v="171"/>
    <x v="617"/>
  </r>
  <r>
    <s v="InputData"/>
    <x v="21"/>
    <x v="171"/>
    <x v="618"/>
  </r>
  <r>
    <s v="InputData"/>
    <x v="21"/>
    <x v="171"/>
    <x v="619"/>
  </r>
  <r>
    <s v="InputData"/>
    <x v="21"/>
    <x v="172"/>
    <x v="620"/>
  </r>
  <r>
    <s v="InputData"/>
    <x v="21"/>
    <x v="172"/>
    <x v="621"/>
  </r>
  <r>
    <s v="InputData"/>
    <x v="21"/>
    <x v="173"/>
    <x v="622"/>
  </r>
  <r>
    <s v="InputData"/>
    <x v="21"/>
    <x v="173"/>
    <x v="623"/>
  </r>
  <r>
    <s v="InputData"/>
    <x v="21"/>
    <x v="174"/>
    <x v="624"/>
  </r>
  <r>
    <s v="InputData"/>
    <x v="21"/>
    <x v="174"/>
    <x v="625"/>
  </r>
  <r>
    <s v="InputData"/>
    <x v="21"/>
    <x v="175"/>
    <x v="626"/>
  </r>
  <r>
    <s v="InputData"/>
    <x v="21"/>
    <x v="175"/>
    <x v="627"/>
  </r>
  <r>
    <s v="InputData"/>
    <x v="21"/>
    <x v="175"/>
    <x v="628"/>
  </r>
  <r>
    <s v="InputData"/>
    <x v="21"/>
    <x v="175"/>
    <x v="629"/>
  </r>
  <r>
    <s v="InputData"/>
    <x v="21"/>
    <x v="175"/>
    <x v="630"/>
  </r>
  <r>
    <s v="InputData"/>
    <x v="21"/>
    <x v="175"/>
    <x v="631"/>
  </r>
  <r>
    <s v="InputData"/>
    <x v="21"/>
    <x v="175"/>
    <x v="632"/>
  </r>
  <r>
    <s v="InputData"/>
    <x v="21"/>
    <x v="175"/>
    <x v="633"/>
  </r>
  <r>
    <s v="InputData"/>
    <x v="21"/>
    <x v="175"/>
    <x v="634"/>
  </r>
  <r>
    <s v="InputData"/>
    <x v="21"/>
    <x v="175"/>
    <x v="635"/>
  </r>
  <r>
    <s v="InputData"/>
    <x v="21"/>
    <x v="175"/>
    <x v="636"/>
  </r>
  <r>
    <s v="InputData"/>
    <x v="21"/>
    <x v="175"/>
    <x v="637"/>
  </r>
  <r>
    <s v="InputData"/>
    <x v="21"/>
    <x v="175"/>
    <x v="638"/>
  </r>
  <r>
    <s v="InputData"/>
    <x v="21"/>
    <x v="176"/>
    <x v="639"/>
  </r>
  <r>
    <s v="InputData"/>
    <x v="21"/>
    <x v="176"/>
    <x v="640"/>
  </r>
  <r>
    <s v="InputData"/>
    <x v="21"/>
    <x v="176"/>
    <x v="641"/>
  </r>
  <r>
    <s v="InputData"/>
    <x v="21"/>
    <x v="176"/>
    <x v="642"/>
  </r>
  <r>
    <s v="InputData"/>
    <x v="21"/>
    <x v="176"/>
    <x v="643"/>
  </r>
  <r>
    <s v="InputData"/>
    <x v="21"/>
    <x v="176"/>
    <x v="644"/>
  </r>
  <r>
    <s v="InputData"/>
    <x v="21"/>
    <x v="176"/>
    <x v="645"/>
  </r>
  <r>
    <s v="InputData"/>
    <x v="21"/>
    <x v="176"/>
    <x v="646"/>
  </r>
  <r>
    <s v="InputData"/>
    <x v="21"/>
    <x v="176"/>
    <x v="647"/>
  </r>
  <r>
    <s v="InputData"/>
    <x v="21"/>
    <x v="176"/>
    <x v="648"/>
  </r>
  <r>
    <s v="InputData"/>
    <x v="21"/>
    <x v="176"/>
    <x v="649"/>
  </r>
  <r>
    <s v="InputData"/>
    <x v="21"/>
    <x v="176"/>
    <x v="650"/>
  </r>
  <r>
    <s v="InputData"/>
    <x v="21"/>
    <x v="176"/>
    <x v="651"/>
  </r>
  <r>
    <s v="InputData"/>
    <x v="21"/>
    <x v="176"/>
    <x v="652"/>
  </r>
  <r>
    <s v="InputData"/>
    <x v="21"/>
    <x v="176"/>
    <x v="653"/>
  </r>
  <r>
    <s v="InputData"/>
    <x v="21"/>
    <x v="176"/>
    <x v="654"/>
  </r>
  <r>
    <s v="InputData"/>
    <x v="21"/>
    <x v="176"/>
    <x v="655"/>
  </r>
  <r>
    <s v="InputData"/>
    <x v="21"/>
    <x v="176"/>
    <x v="656"/>
  </r>
  <r>
    <s v="InputData"/>
    <x v="21"/>
    <x v="176"/>
    <x v="657"/>
  </r>
  <r>
    <s v="InputData"/>
    <x v="21"/>
    <x v="176"/>
    <x v="658"/>
  </r>
  <r>
    <s v="InputData"/>
    <x v="21"/>
    <x v="176"/>
    <x v="659"/>
  </r>
  <r>
    <s v="InputData"/>
    <x v="21"/>
    <x v="176"/>
    <x v="660"/>
  </r>
  <r>
    <s v="InputData"/>
    <x v="21"/>
    <x v="176"/>
    <x v="661"/>
  </r>
  <r>
    <s v="InputData"/>
    <x v="21"/>
    <x v="176"/>
    <x v="662"/>
  </r>
  <r>
    <s v="InputData"/>
    <x v="21"/>
    <x v="176"/>
    <x v="663"/>
  </r>
  <r>
    <s v="InputData"/>
    <x v="21"/>
    <x v="176"/>
    <x v="664"/>
  </r>
  <r>
    <s v="InputData"/>
    <x v="21"/>
    <x v="176"/>
    <x v="665"/>
  </r>
  <r>
    <s v="InputData"/>
    <x v="21"/>
    <x v="176"/>
    <x v="666"/>
  </r>
  <r>
    <s v="InputData"/>
    <x v="21"/>
    <x v="176"/>
    <x v="667"/>
  </r>
  <r>
    <s v="InputData"/>
    <x v="21"/>
    <x v="176"/>
    <x v="668"/>
  </r>
  <r>
    <s v="InputData"/>
    <x v="21"/>
    <x v="176"/>
    <x v="669"/>
  </r>
  <r>
    <s v="InputData"/>
    <x v="21"/>
    <x v="176"/>
    <x v="670"/>
  </r>
  <r>
    <s v="InputData"/>
    <x v="21"/>
    <x v="176"/>
    <x v="671"/>
  </r>
  <r>
    <s v="InputData"/>
    <x v="21"/>
    <x v="176"/>
    <x v="672"/>
  </r>
  <r>
    <s v="InputData"/>
    <x v="21"/>
    <x v="176"/>
    <x v="673"/>
  </r>
  <r>
    <s v="InputData"/>
    <x v="21"/>
    <x v="176"/>
    <x v="674"/>
  </r>
  <r>
    <s v="InputData"/>
    <x v="21"/>
    <x v="176"/>
    <x v="675"/>
  </r>
  <r>
    <s v="InputData"/>
    <x v="21"/>
    <x v="176"/>
    <x v="676"/>
  </r>
  <r>
    <s v="InputData"/>
    <x v="21"/>
    <x v="176"/>
    <x v="677"/>
  </r>
  <r>
    <s v="InputData"/>
    <x v="21"/>
    <x v="176"/>
    <x v="678"/>
  </r>
  <r>
    <s v="InputData"/>
    <x v="21"/>
    <x v="176"/>
    <x v="679"/>
  </r>
  <r>
    <s v="InputData"/>
    <x v="21"/>
    <x v="176"/>
    <x v="680"/>
  </r>
  <r>
    <s v="InputData"/>
    <x v="21"/>
    <x v="176"/>
    <x v="681"/>
  </r>
  <r>
    <s v="InputData"/>
    <x v="21"/>
    <x v="176"/>
    <x v="682"/>
  </r>
  <r>
    <s v="InputData"/>
    <x v="21"/>
    <x v="176"/>
    <x v="683"/>
  </r>
  <r>
    <s v="InputData"/>
    <x v="21"/>
    <x v="176"/>
    <x v="684"/>
  </r>
  <r>
    <s v="InputData"/>
    <x v="21"/>
    <x v="176"/>
    <x v="685"/>
  </r>
  <r>
    <s v="InputData"/>
    <x v="21"/>
    <x v="176"/>
    <x v="686"/>
  </r>
  <r>
    <s v="InputData"/>
    <x v="21"/>
    <x v="176"/>
    <x v="687"/>
  </r>
  <r>
    <s v="InputData"/>
    <x v="21"/>
    <x v="176"/>
    <x v="688"/>
  </r>
  <r>
    <s v="InputData"/>
    <x v="21"/>
    <x v="176"/>
    <x v="689"/>
  </r>
  <r>
    <s v="InputData"/>
    <x v="21"/>
    <x v="176"/>
    <x v="690"/>
  </r>
  <r>
    <s v="InputData"/>
    <x v="21"/>
    <x v="176"/>
    <x v="691"/>
  </r>
  <r>
    <s v="InputData"/>
    <x v="21"/>
    <x v="176"/>
    <x v="692"/>
  </r>
  <r>
    <s v="InputData"/>
    <x v="21"/>
    <x v="176"/>
    <x v="693"/>
  </r>
  <r>
    <s v="InputData"/>
    <x v="21"/>
    <x v="176"/>
    <x v="694"/>
  </r>
  <r>
    <s v="InputData"/>
    <x v="21"/>
    <x v="176"/>
    <x v="695"/>
  </r>
  <r>
    <s v="InputData"/>
    <x v="21"/>
    <x v="176"/>
    <x v="696"/>
  </r>
  <r>
    <s v="InputData"/>
    <x v="21"/>
    <x v="176"/>
    <x v="697"/>
  </r>
  <r>
    <s v="InputData"/>
    <x v="21"/>
    <x v="176"/>
    <x v="698"/>
  </r>
  <r>
    <s v="InputData"/>
    <x v="21"/>
    <x v="176"/>
    <x v="699"/>
  </r>
  <r>
    <s v="InputData"/>
    <x v="21"/>
    <x v="176"/>
    <x v="700"/>
  </r>
  <r>
    <s v="InputData"/>
    <x v="21"/>
    <x v="176"/>
    <x v="701"/>
  </r>
  <r>
    <s v="InputData"/>
    <x v="21"/>
    <x v="176"/>
    <x v="702"/>
  </r>
  <r>
    <s v="InputData"/>
    <x v="21"/>
    <x v="176"/>
    <x v="703"/>
  </r>
  <r>
    <s v="InputData"/>
    <x v="21"/>
    <x v="176"/>
    <x v="704"/>
  </r>
  <r>
    <s v="InputData"/>
    <x v="21"/>
    <x v="176"/>
    <x v="705"/>
  </r>
  <r>
    <s v="InputData"/>
    <x v="21"/>
    <x v="176"/>
    <x v="706"/>
  </r>
  <r>
    <s v="InputData"/>
    <x v="21"/>
    <x v="176"/>
    <x v="707"/>
  </r>
  <r>
    <s v="InputData"/>
    <x v="21"/>
    <x v="176"/>
    <x v="708"/>
  </r>
  <r>
    <s v="InputData"/>
    <x v="21"/>
    <x v="176"/>
    <x v="709"/>
  </r>
  <r>
    <s v="InputData"/>
    <x v="21"/>
    <x v="176"/>
    <x v="710"/>
  </r>
  <r>
    <s v="InputData"/>
    <x v="21"/>
    <x v="176"/>
    <x v="711"/>
  </r>
  <r>
    <s v="InputData"/>
    <x v="21"/>
    <x v="177"/>
    <x v="712"/>
  </r>
  <r>
    <s v="InputData"/>
    <x v="21"/>
    <x v="177"/>
    <x v="713"/>
  </r>
  <r>
    <s v="InputData"/>
    <x v="21"/>
    <x v="178"/>
    <x v="714"/>
  </r>
  <r>
    <s v="InputData"/>
    <x v="21"/>
    <x v="178"/>
    <x v="715"/>
  </r>
  <r>
    <s v="InputData"/>
    <x v="21"/>
    <x v="179"/>
    <x v="716"/>
  </r>
  <r>
    <s v="InputData"/>
    <x v="21"/>
    <x v="179"/>
    <x v="717"/>
  </r>
  <r>
    <s v="InputData"/>
    <x v="21"/>
    <x v="180"/>
    <x v="718"/>
  </r>
  <r>
    <s v="InputData"/>
    <x v="21"/>
    <x v="180"/>
    <x v="719"/>
  </r>
  <r>
    <s v="InputData"/>
    <x v="21"/>
    <x v="180"/>
    <x v="720"/>
  </r>
  <r>
    <s v="InputData"/>
    <x v="21"/>
    <x v="181"/>
    <x v="721"/>
  </r>
  <r>
    <s v="InputData"/>
    <x v="21"/>
    <x v="181"/>
    <x v="722"/>
  </r>
  <r>
    <s v="InputData"/>
    <x v="21"/>
    <x v="181"/>
    <x v="723"/>
  </r>
  <r>
    <s v="InputData"/>
    <x v="21"/>
    <x v="182"/>
    <x v="724"/>
  </r>
  <r>
    <s v="InputData"/>
    <x v="21"/>
    <x v="182"/>
    <x v="725"/>
  </r>
  <r>
    <s v="InputData"/>
    <x v="21"/>
    <x v="183"/>
    <x v="726"/>
  </r>
  <r>
    <s v="InputData"/>
    <x v="21"/>
    <x v="183"/>
    <x v="727"/>
  </r>
  <r>
    <s v="InputData"/>
    <x v="21"/>
    <x v="184"/>
    <x v="728"/>
  </r>
  <r>
    <s v="InputData"/>
    <x v="21"/>
    <x v="184"/>
    <x v="729"/>
  </r>
  <r>
    <s v="InputData"/>
    <x v="21"/>
    <x v="184"/>
    <x v="730"/>
  </r>
  <r>
    <s v="InputData"/>
    <x v="21"/>
    <x v="185"/>
    <x v="731"/>
  </r>
  <r>
    <s v="InputData"/>
    <x v="21"/>
    <x v="185"/>
    <x v="732"/>
  </r>
  <r>
    <s v="InputData"/>
    <x v="21"/>
    <x v="185"/>
    <x v="733"/>
  </r>
  <r>
    <s v="InputData"/>
    <x v="21"/>
    <x v="186"/>
    <x v="734"/>
  </r>
  <r>
    <s v="InputData"/>
    <x v="21"/>
    <x v="186"/>
    <x v="735"/>
  </r>
  <r>
    <s v="InputData"/>
    <x v="21"/>
    <x v="187"/>
    <x v="736"/>
  </r>
  <r>
    <s v="InputData"/>
    <x v="21"/>
    <x v="187"/>
    <x v="737"/>
  </r>
  <r>
    <s v="InputData"/>
    <x v="21"/>
    <x v="188"/>
    <x v="738"/>
  </r>
  <r>
    <s v="InputData"/>
    <x v="21"/>
    <x v="188"/>
    <x v="739"/>
  </r>
  <r>
    <s v="InputData"/>
    <x v="22"/>
    <x v="189"/>
    <x v="740"/>
  </r>
  <r>
    <s v="InputData"/>
    <x v="22"/>
    <x v="189"/>
    <x v="741"/>
  </r>
  <r>
    <s v="InputData"/>
    <x v="22"/>
    <x v="189"/>
    <x v="742"/>
  </r>
  <r>
    <s v="InputData"/>
    <x v="22"/>
    <x v="189"/>
    <x v="743"/>
  </r>
  <r>
    <s v="InputData"/>
    <x v="22"/>
    <x v="189"/>
    <x v="744"/>
  </r>
  <r>
    <s v="InputData"/>
    <x v="22"/>
    <x v="190"/>
    <x v="745"/>
  </r>
  <r>
    <s v="InputData"/>
    <x v="22"/>
    <x v="190"/>
    <x v="746"/>
  </r>
  <r>
    <s v="InputData"/>
    <x v="22"/>
    <x v="190"/>
    <x v="747"/>
  </r>
  <r>
    <s v="InputData"/>
    <x v="22"/>
    <x v="191"/>
    <x v="748"/>
  </r>
  <r>
    <s v="InputData"/>
    <x v="22"/>
    <x v="191"/>
    <x v="749"/>
  </r>
  <r>
    <s v="InputData"/>
    <x v="22"/>
    <x v="191"/>
    <x v="750"/>
  </r>
  <r>
    <s v="InputData"/>
    <x v="22"/>
    <x v="192"/>
    <x v="751"/>
  </r>
  <r>
    <s v="InputData"/>
    <x v="22"/>
    <x v="192"/>
    <x v="752"/>
  </r>
  <r>
    <s v="InputData"/>
    <x v="22"/>
    <x v="193"/>
    <x v="753"/>
  </r>
  <r>
    <s v="InputData"/>
    <x v="22"/>
    <x v="193"/>
    <x v="754"/>
  </r>
  <r>
    <s v="InputData"/>
    <x v="22"/>
    <x v="193"/>
    <x v="755"/>
  </r>
  <r>
    <s v="InputData"/>
    <x v="22"/>
    <x v="193"/>
    <x v="756"/>
  </r>
  <r>
    <m/>
    <x v="23"/>
    <x v="0"/>
    <x v="0"/>
  </r>
  <r>
    <m/>
    <x v="23"/>
    <x v="0"/>
    <x v="0"/>
  </r>
  <r>
    <m/>
    <x v="23"/>
    <x v="0"/>
    <x v="0"/>
  </r>
  <r>
    <m/>
    <x v="23"/>
    <x v="0"/>
    <x v="0"/>
  </r>
  <r>
    <m/>
    <x v="23"/>
    <x v="0"/>
    <x v="0"/>
  </r>
  <r>
    <m/>
    <x v="2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3:C222" firstHeaderRow="1" firstDataRow="1" firstDataCol="3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0"/>
        <item x="6"/>
        <item x="7"/>
        <item x="8"/>
        <item x="9"/>
        <item x="1"/>
        <item x="11"/>
        <item x="12"/>
        <item x="13"/>
        <item x="3"/>
        <item x="14"/>
        <item x="16"/>
        <item x="17"/>
        <item x="18"/>
        <item x="4"/>
        <item x="19"/>
        <item x="20"/>
        <item x="21"/>
        <item x="22"/>
        <item x="23"/>
        <item x="2"/>
        <item x="5"/>
        <item x="10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4">
        <item x="131"/>
        <item x="36"/>
        <item x="149"/>
        <item x="150"/>
        <item x="151"/>
        <item x="141"/>
        <item x="5"/>
        <item x="80"/>
        <item x="152"/>
        <item x="6"/>
        <item x="189"/>
        <item x="37"/>
        <item x="38"/>
        <item x="81"/>
        <item x="7"/>
        <item x="39"/>
        <item x="40"/>
        <item x="41"/>
        <item x="142"/>
        <item x="143"/>
        <item x="153"/>
        <item x="89"/>
        <item x="8"/>
        <item x="32"/>
        <item x="33"/>
        <item x="90"/>
        <item x="82"/>
        <item x="42"/>
        <item x="43"/>
        <item x="44"/>
        <item x="83"/>
        <item x="154"/>
        <item x="104"/>
        <item x="45"/>
        <item x="144"/>
        <item x="111"/>
        <item x="132"/>
        <item x="155"/>
        <item x="156"/>
        <item x="157"/>
        <item x="158"/>
        <item x="46"/>
        <item x="112"/>
        <item x="47"/>
        <item x="48"/>
        <item x="159"/>
        <item x="113"/>
        <item x="190"/>
        <item x="160"/>
        <item x="9"/>
        <item x="49"/>
        <item x="91"/>
        <item x="114"/>
        <item x="92"/>
        <item x="50"/>
        <item x="51"/>
        <item x="145"/>
        <item x="161"/>
        <item x="133"/>
        <item x="26"/>
        <item x="52"/>
        <item x="191"/>
        <item x="115"/>
        <item x="29"/>
        <item x="134"/>
        <item x="162"/>
        <item x="10"/>
        <item x="27"/>
        <item x="11"/>
        <item x="28"/>
        <item x="135"/>
        <item x="116"/>
        <item x="53"/>
        <item x="54"/>
        <item x="30"/>
        <item x="55"/>
        <item x="56"/>
        <item x="12"/>
        <item x="13"/>
        <item x="163"/>
        <item x="105"/>
        <item x="57"/>
        <item x="14"/>
        <item x="15"/>
        <item x="16"/>
        <item x="164"/>
        <item x="34"/>
        <item x="165"/>
        <item x="17"/>
        <item x="166"/>
        <item x="167"/>
        <item x="117"/>
        <item x="168"/>
        <item x="93"/>
        <item x="94"/>
        <item x="169"/>
        <item x="170"/>
        <item x="118"/>
        <item x="18"/>
        <item x="136"/>
        <item x="137"/>
        <item x="119"/>
        <item x="120"/>
        <item x="59"/>
        <item x="146"/>
        <item x="60"/>
        <item x="171"/>
        <item x="61"/>
        <item x="62"/>
        <item x="147"/>
        <item x="84"/>
        <item x="95"/>
        <item x="172"/>
        <item x="64"/>
        <item x="106"/>
        <item x="107"/>
        <item x="108"/>
        <item x="109"/>
        <item x="138"/>
        <item x="173"/>
        <item x="96"/>
        <item x="148"/>
        <item x="174"/>
        <item x="192"/>
        <item x="65"/>
        <item x="121"/>
        <item x="66"/>
        <item x="97"/>
        <item x="98"/>
        <item x="99"/>
        <item x="175"/>
        <item x="176"/>
        <item x="67"/>
        <item x="19"/>
        <item x="68"/>
        <item x="69"/>
        <item x="70"/>
        <item x="193"/>
        <item x="177"/>
        <item x="20"/>
        <item x="178"/>
        <item x="85"/>
        <item x="86"/>
        <item x="87"/>
        <item x="100"/>
        <item x="101"/>
        <item x="122"/>
        <item x="21"/>
        <item x="123"/>
        <item x="139"/>
        <item x="71"/>
        <item x="102"/>
        <item x="22"/>
        <item x="23"/>
        <item x="124"/>
        <item x="125"/>
        <item x="126"/>
        <item x="72"/>
        <item x="179"/>
        <item x="24"/>
        <item x="35"/>
        <item x="110"/>
        <item x="127"/>
        <item x="73"/>
        <item x="128"/>
        <item x="140"/>
        <item x="74"/>
        <item x="2"/>
        <item x="3"/>
        <item x="180"/>
        <item x="75"/>
        <item x="181"/>
        <item x="25"/>
        <item x="182"/>
        <item x="183"/>
        <item x="76"/>
        <item x="184"/>
        <item x="88"/>
        <item x="185"/>
        <item x="77"/>
        <item x="78"/>
        <item x="129"/>
        <item x="186"/>
        <item x="4"/>
        <item x="187"/>
        <item x="188"/>
        <item x="130"/>
        <item x="79"/>
        <item x="0"/>
        <item x="1"/>
        <item x="31"/>
        <item x="58"/>
        <item x="63"/>
        <item x="1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79">
        <item x="104"/>
        <item x="409"/>
        <item h="1" x="410"/>
        <item h="1" x="105"/>
        <item x="458"/>
        <item x="460"/>
        <item h="1" x="459"/>
        <item h="1" x="461"/>
        <item h="1" x="462"/>
        <item h="1" x="463"/>
        <item h="1" x="464"/>
        <item h="1" x="429"/>
        <item h="1" x="13"/>
        <item h="1" x="14"/>
        <item h="1" x="15"/>
        <item x="214"/>
        <item x="106"/>
        <item x="16"/>
        <item x="465"/>
        <item x="108"/>
        <item x="466"/>
        <item x="217"/>
        <item x="17"/>
        <item x="110"/>
        <item x="33"/>
        <item x="469"/>
        <item x="114"/>
        <item x="40"/>
        <item x="98"/>
        <item x="96"/>
        <item x="233"/>
        <item x="255"/>
        <item x="118"/>
        <item x="219"/>
        <item x="221"/>
        <item x="122"/>
        <item x="120"/>
        <item x="124"/>
        <item x="472"/>
        <item x="319"/>
        <item x="334"/>
        <item x="485"/>
        <item x="411"/>
        <item x="487"/>
        <item x="490"/>
        <item x="503"/>
        <item x="516"/>
        <item x="131"/>
        <item x="345"/>
        <item x="351"/>
        <item x="129"/>
        <item x="589"/>
        <item x="133"/>
        <item x="263"/>
        <item x="353"/>
        <item x="259"/>
        <item x="135"/>
        <item x="137"/>
        <item h="1" x="215"/>
        <item h="1" x="216"/>
        <item h="1" x="467"/>
        <item h="1" x="468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740"/>
        <item h="1" x="741"/>
        <item h="1" x="742"/>
        <item h="1" x="743"/>
        <item h="1" x="107"/>
        <item h="1" x="109"/>
        <item h="1" x="218"/>
        <item h="1" x="34"/>
        <item h="1" x="35"/>
        <item h="1" x="36"/>
        <item h="1" x="37"/>
        <item h="1" x="38"/>
        <item h="1" x="39"/>
        <item h="1" x="111"/>
        <item h="1" x="112"/>
        <item h="1" x="115"/>
        <item h="1" x="116"/>
        <item h="1" x="117"/>
        <item h="1" x="431"/>
        <item h="1" x="433"/>
        <item h="1" x="470"/>
        <item h="1" x="471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41"/>
        <item h="1" x="42"/>
        <item h="1" x="43"/>
        <item h="1" x="97"/>
        <item h="1" x="99"/>
        <item h="1" x="256"/>
        <item h="1" x="257"/>
        <item h="1" x="258"/>
        <item h="1" x="220"/>
        <item h="1" x="119"/>
        <item h="1" x="121"/>
        <item h="1" x="123"/>
        <item h="1" x="22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320"/>
        <item h="1" x="125"/>
        <item h="1" x="435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412"/>
        <item x="44"/>
        <item h="1" x="486"/>
        <item h="1" x="488"/>
        <item h="1" x="489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x="430"/>
        <item x="113"/>
        <item x="432"/>
        <item x="434"/>
        <item x="436"/>
        <item x="126"/>
        <item x="437"/>
        <item x="591"/>
        <item h="1" x="127"/>
        <item h="1" x="128"/>
        <item h="1" x="346"/>
        <item h="1" x="347"/>
        <item h="1" x="348"/>
        <item h="1" x="349"/>
        <item h="1" x="350"/>
        <item h="1" x="130"/>
        <item h="1" x="132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352"/>
        <item h="1" m="1" x="760"/>
        <item h="1" x="590"/>
        <item h="1" x="45"/>
        <item h="1" x="46"/>
        <item h="1" x="134"/>
        <item h="1" x="260"/>
        <item h="1" x="261"/>
        <item h="1" x="262"/>
        <item h="1" x="354"/>
        <item h="1" x="264"/>
        <item h="1" x="136"/>
        <item h="1" x="138"/>
        <item x="744"/>
        <item x="747"/>
        <item h="1" x="438"/>
        <item h="1" x="592"/>
        <item x="139"/>
        <item x="355"/>
        <item h="1" x="413"/>
        <item x="593"/>
        <item x="87"/>
        <item x="748"/>
        <item x="90"/>
        <item h="1" x="140"/>
        <item h="1" x="141"/>
        <item h="1" x="142"/>
        <item h="1" x="79"/>
        <item h="1" x="80"/>
        <item x="82"/>
        <item x="83"/>
        <item h="1" x="81"/>
        <item h="1" x="749"/>
        <item h="1" x="750"/>
        <item h="1" x="356"/>
        <item h="1" x="91"/>
        <item x="415"/>
        <item h="1" x="416"/>
        <item h="1" x="594"/>
        <item h="1" x="47"/>
        <item x="414"/>
        <item x="417"/>
        <item x="48"/>
        <item x="49"/>
        <item x="357"/>
        <item h="1" x="84"/>
        <item h="1" x="85"/>
        <item h="1" x="86"/>
        <item h="1" x="50"/>
        <item h="1" x="88"/>
        <item h="1" x="89"/>
        <item h="1" x="418"/>
        <item h="1" x="358"/>
        <item h="1" x="143"/>
        <item x="144"/>
        <item x="147"/>
        <item x="150"/>
        <item x="92"/>
        <item x="145"/>
        <item x="51"/>
        <item h="1" x="146"/>
        <item h="1" x="93"/>
        <item h="1" x="148"/>
        <item h="1" x="151"/>
        <item h="1" x="152"/>
        <item h="1" x="149"/>
        <item h="1" x="52"/>
        <item h="1" x="53"/>
        <item h="1" x="595"/>
        <item h="1" x="596"/>
        <item x="598"/>
        <item x="602"/>
        <item x="100"/>
        <item h="1" x="321"/>
        <item h="1" x="153"/>
        <item h="1" x="154"/>
        <item x="55"/>
        <item x="57"/>
        <item x="59"/>
        <item x="600"/>
        <item x="604"/>
        <item x="359"/>
        <item x="61"/>
        <item x="611"/>
        <item x="155"/>
        <item x="322"/>
        <item x="54"/>
        <item x="597"/>
        <item x="265"/>
        <item h="1" x="56"/>
        <item h="1" x="58"/>
        <item h="1" x="60"/>
        <item h="1" x="599"/>
        <item h="1" x="101"/>
        <item h="1" x="601"/>
        <item h="1" x="62"/>
        <item h="1" x="603"/>
        <item h="1" x="605"/>
        <item h="1" x="606"/>
        <item h="1" x="607"/>
        <item h="1" x="608"/>
        <item h="1" x="609"/>
        <item h="1" x="610"/>
        <item h="1" x="360"/>
        <item h="1" x="361"/>
        <item h="1" x="612"/>
        <item h="1" x="266"/>
        <item h="1" x="267"/>
        <item x="613"/>
        <item x="615"/>
        <item h="1" x="614"/>
        <item h="1" x="616"/>
        <item x="268"/>
        <item x="454"/>
        <item x="162"/>
        <item x="175"/>
        <item h="1" x="362"/>
        <item h="1" x="63"/>
        <item h="1" x="419"/>
        <item h="1" x="421"/>
        <item h="1" x="364"/>
        <item h="1" x="365"/>
        <item h="1" x="367"/>
        <item h="1" x="158"/>
        <item h="1" x="440"/>
        <item h="1" x="439"/>
        <item h="1" x="442"/>
        <item h="1" x="441"/>
        <item h="1" x="444"/>
        <item h="1" x="445"/>
        <item h="1" x="446"/>
        <item h="1" x="447"/>
        <item h="1" x="448"/>
        <item h="1" x="449"/>
        <item h="1" x="450"/>
        <item x="363"/>
        <item h="1" x="160"/>
        <item h="1" x="617"/>
        <item h="1" x="618"/>
        <item h="1" x="176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x="64"/>
        <item x="420"/>
        <item x="368"/>
        <item x="451"/>
        <item x="452"/>
        <item x="161"/>
        <item x="422"/>
        <item x="366"/>
        <item x="159"/>
        <item x="619"/>
        <item h="1" x="455"/>
        <item h="1" x="223"/>
        <item h="1" x="269"/>
        <item h="1" x="620"/>
        <item h="1" x="179"/>
        <item x="621"/>
        <item x="224"/>
        <item x="180"/>
        <item x="270"/>
        <item h="1" x="323"/>
        <item h="1" x="325"/>
        <item h="1" x="326"/>
        <item h="1" x="328"/>
        <item h="1" x="330"/>
        <item x="329"/>
        <item x="324"/>
        <item x="331"/>
        <item x="327"/>
        <item h="1" x="423"/>
        <item h="1" x="622"/>
        <item h="1" x="271"/>
        <item x="424"/>
        <item x="623"/>
        <item x="456"/>
        <item x="272"/>
        <item h="1" x="457"/>
        <item x="624"/>
        <item h="1" x="625"/>
        <item x="751"/>
        <item h="1" x="752"/>
        <item x="65"/>
        <item x="181"/>
        <item x="273"/>
        <item x="275"/>
        <item x="277"/>
        <item x="626"/>
        <item x="639"/>
        <item x="183"/>
        <item h="1" x="182"/>
        <item x="369"/>
        <item h="1" x="370"/>
        <item x="185"/>
        <item h="1" x="184"/>
        <item h="1" x="274"/>
        <item h="1" x="276"/>
        <item h="1" x="278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186"/>
        <item h="1" x="66"/>
        <item h="1" x="187"/>
        <item x="188"/>
        <item x="191"/>
        <item x="189"/>
        <item h="1" x="190"/>
        <item h="1" x="192"/>
        <item h="1" x="753"/>
        <item h="1" x="754"/>
        <item h="1" x="755"/>
        <item x="756"/>
        <item h="1" x="712"/>
        <item h="1" x="67"/>
        <item h="1" x="714"/>
        <item h="1" x="225"/>
        <item h="1" x="227"/>
        <item h="1" x="229"/>
        <item x="195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289"/>
        <item h="1" x="290"/>
        <item h="1" x="291"/>
        <item h="1" x="292"/>
        <item h="1" x="293"/>
        <item h="1" x="294"/>
        <item h="1" m="1" x="757"/>
        <item h="1" m="1" x="762"/>
        <item h="1" m="1" x="777"/>
        <item h="1" m="1" x="778"/>
        <item h="1" m="1" x="775"/>
        <item h="1" m="1" x="763"/>
        <item h="1" m="1" x="764"/>
        <item h="1" m="1" x="769"/>
        <item h="1" m="1" x="773"/>
        <item h="1" m="1" x="767"/>
        <item h="1" m="1" x="771"/>
        <item h="1" m="1" x="766"/>
        <item h="1" m="1" x="776"/>
        <item h="1" m="1" x="765"/>
        <item x="715"/>
        <item x="68"/>
        <item x="226"/>
        <item x="228"/>
        <item x="230"/>
        <item x="69"/>
        <item x="386"/>
        <item x="313"/>
        <item x="716"/>
        <item h="1" x="70"/>
        <item h="1" x="387"/>
        <item h="1" x="425"/>
        <item h="1" x="193"/>
        <item h="1" x="314"/>
        <item x="194"/>
        <item x="295"/>
        <item x="312"/>
        <item x="713"/>
        <item x="71"/>
        <item x="392"/>
        <item x="390"/>
        <item x="388"/>
        <item x="426"/>
        <item x="73"/>
        <item h="1" x="72"/>
        <item h="1" x="74"/>
        <item h="1" x="389"/>
        <item h="1" x="391"/>
        <item h="1" x="393"/>
        <item h="1" x="196"/>
        <item h="1" x="717"/>
        <item x="403"/>
        <item h="1" x="75"/>
        <item x="427"/>
        <item x="76"/>
        <item x="102"/>
        <item x="332"/>
        <item x="394"/>
        <item x="197"/>
        <item h="1" x="103"/>
        <item h="1" x="333"/>
        <item h="1" x="395"/>
        <item h="1" x="396"/>
        <item h="1" x="397"/>
        <item h="1" x="398"/>
        <item h="1" x="399"/>
        <item h="1" x="400"/>
        <item h="1" x="401"/>
        <item h="1" x="402"/>
        <item h="1" x="198"/>
        <item h="1" x="404"/>
        <item h="1" x="428"/>
        <item x="199"/>
        <item h="1" x="200"/>
        <item h="1" x="201"/>
        <item h="1" x="3"/>
        <item h="1" x="5"/>
        <item h="1" x="6"/>
        <item h="1" x="7"/>
        <item h="1" x="8"/>
        <item h="1" x="9"/>
        <item h="1" x="718"/>
        <item h="1" x="719"/>
        <item x="724"/>
        <item x="721"/>
        <item x="77"/>
        <item h="1" x="202"/>
        <item h="1" m="1" x="772"/>
        <item h="1" x="78"/>
        <item x="4"/>
        <item x="10"/>
        <item h="1" x="725"/>
        <item x="726"/>
        <item x="204"/>
        <item x="728"/>
        <item x="731"/>
        <item x="231"/>
        <item x="720"/>
        <item h="1" m="1" x="759"/>
        <item h="1" m="1" x="761"/>
        <item h="1" x="727"/>
        <item h="1" x="205"/>
        <item h="1" x="206"/>
        <item h="1" x="729"/>
        <item h="1" x="730"/>
        <item h="1" x="232"/>
        <item x="203"/>
        <item h="1" x="732"/>
        <item h="1" x="733"/>
        <item h="1" x="207"/>
        <item h="1" x="209"/>
        <item h="1" x="405"/>
        <item x="406"/>
        <item x="208"/>
        <item x="210"/>
        <item x="11"/>
        <item h="1" x="734"/>
        <item x="735"/>
        <item x="738"/>
        <item x="736"/>
        <item h="1" x="12"/>
        <item h="1" x="737"/>
        <item h="1" x="739"/>
        <item x="211"/>
        <item h="1" x="407"/>
        <item x="408"/>
        <item h="1" x="212"/>
        <item h="1" x="213"/>
        <item h="1" x="0"/>
        <item m="1" x="774"/>
        <item m="1" x="758"/>
        <item m="1" x="768"/>
        <item h="1" x="443"/>
        <item x="453"/>
        <item m="1" x="770"/>
        <item h="1" x="1"/>
        <item h="1" x="2"/>
        <item h="1" x="94"/>
        <item h="1" x="95"/>
        <item h="1" x="156"/>
        <item h="1" x="157"/>
        <item h="1" x="177"/>
        <item h="1" x="178"/>
        <item h="1" x="315"/>
        <item h="1" x="316"/>
        <item h="1" x="317"/>
        <item h="1" x="318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722"/>
        <item h="1" x="723"/>
        <item h="1" x="745"/>
        <item h="1" x="7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189">
    <i>
      <x v="1"/>
      <x v="167"/>
      <x v="702"/>
    </i>
    <i r="1">
      <x v="168"/>
      <x v="703"/>
    </i>
    <i r="1">
      <x v="183"/>
      <x v="728"/>
    </i>
    <i>
      <x v="2"/>
      <x v="6"/>
      <x v="17"/>
    </i>
    <i r="1">
      <x v="9"/>
      <x v="22"/>
    </i>
    <i r="1">
      <x v="14"/>
      <x v="24"/>
    </i>
    <i r="1">
      <x v="22"/>
      <x v="27"/>
    </i>
    <i r="1">
      <x v="49"/>
      <x v="159"/>
    </i>
    <i r="1">
      <x v="66"/>
      <x v="318"/>
    </i>
    <i r="1">
      <x v="68"/>
      <x v="319"/>
    </i>
    <i r="1">
      <x v="77"/>
      <x v="335"/>
    </i>
    <i r="1">
      <x v="78"/>
      <x v="362"/>
    </i>
    <i r="1">
      <x v="82"/>
      <x v="352"/>
    </i>
    <i r="1">
      <x v="83"/>
      <x v="353"/>
    </i>
    <i r="1">
      <x v="84"/>
      <x v="354"/>
    </i>
    <i r="1">
      <x v="88"/>
      <x v="358"/>
    </i>
    <i r="1">
      <x v="98"/>
      <x v="428"/>
    </i>
    <i r="1">
      <x v="133"/>
      <x v="468"/>
    </i>
    <i r="1">
      <x v="139"/>
      <x v="634"/>
    </i>
    <i r="1">
      <x v="147"/>
      <x v="638"/>
    </i>
    <i r="1">
      <x v="152"/>
      <x v="651"/>
    </i>
    <i r="1">
      <x v="153"/>
      <x v="656"/>
    </i>
    <i r="1">
      <x v="159"/>
      <x v="667"/>
    </i>
    <i r="1">
      <x v="172"/>
      <x v="698"/>
    </i>
    <i>
      <x v="3"/>
      <x v="59"/>
      <x v="305"/>
    </i>
    <i r="1">
      <x v="67"/>
      <x v="306"/>
    </i>
    <i r="1">
      <x v="69"/>
      <x v="297"/>
    </i>
    <i>
      <x v="4"/>
      <x v="63"/>
      <x v="299"/>
    </i>
    <i r="1">
      <x v="74"/>
      <x v="333"/>
    </i>
    <i>
      <x v="6"/>
      <x v="23"/>
      <x v="29"/>
    </i>
    <i r="1">
      <x v="24"/>
      <x v="28"/>
    </i>
    <i r="1">
      <x v="86"/>
      <x v="348"/>
    </i>
    <i r="1">
      <x v="160"/>
      <x v="668"/>
    </i>
    <i>
      <x v="7"/>
      <x v="1"/>
      <x/>
    </i>
    <i r="1">
      <x v="11"/>
      <x v="16"/>
    </i>
    <i r="1">
      <x v="12"/>
      <x v="19"/>
    </i>
    <i r="1">
      <x v="15"/>
      <x v="23"/>
    </i>
    <i r="1">
      <x v="16"/>
      <x v="188"/>
    </i>
    <i r="1">
      <x v="17"/>
      <x v="26"/>
    </i>
    <i r="1">
      <x v="27"/>
      <x v="32"/>
    </i>
    <i r="1">
      <x v="28"/>
      <x v="36"/>
    </i>
    <i r="1">
      <x v="29"/>
      <x v="35"/>
    </i>
    <i r="1">
      <x v="33"/>
      <x v="37"/>
    </i>
    <i r="1">
      <x v="41"/>
      <x v="192"/>
    </i>
    <i r="1">
      <x v="43"/>
      <x v="50"/>
    </i>
    <i r="1">
      <x v="44"/>
      <x v="47"/>
    </i>
    <i r="1">
      <x v="50"/>
      <x v="52"/>
    </i>
    <i r="1">
      <x v="54"/>
      <x v="56"/>
    </i>
    <i r="1">
      <x v="55"/>
      <x v="57"/>
    </i>
    <i r="1">
      <x v="60"/>
      <x v="293"/>
    </i>
    <i r="1">
      <x v="72"/>
      <x v="330"/>
    </i>
    <i r="1">
      <x v="73"/>
      <x v="334"/>
    </i>
    <i r="1">
      <x v="75"/>
      <x v="331"/>
    </i>
    <i r="1">
      <x v="76"/>
      <x v="332"/>
    </i>
    <i r="1">
      <x v="81"/>
      <x v="360"/>
    </i>
    <i r="1">
      <x v="103"/>
      <x v="436"/>
    </i>
    <i r="1">
      <x v="105"/>
      <x v="433"/>
    </i>
    <i r="1">
      <x v="107"/>
      <x v="390"/>
    </i>
    <i r="1">
      <x v="108"/>
      <x v="391"/>
    </i>
    <i r="1">
      <x v="113"/>
      <x v="445"/>
    </i>
    <i r="1">
      <x v="124"/>
      <x v="469"/>
    </i>
    <i r="1">
      <x v="126"/>
      <x v="475"/>
    </i>
    <i r="1">
      <x v="132"/>
      <x v="479"/>
    </i>
    <i r="1">
      <x v="134"/>
      <x v="571"/>
    </i>
    <i r="1">
      <x v="135"/>
      <x v="573"/>
    </i>
    <i r="1">
      <x v="136"/>
      <x v="572"/>
    </i>
    <i r="1">
      <x v="150"/>
      <x v="647"/>
    </i>
    <i r="1">
      <x v="157"/>
      <x v="586"/>
    </i>
    <i r="1">
      <x v="163"/>
      <x v="671"/>
    </i>
    <i r="1">
      <x v="166"/>
      <x v="685"/>
    </i>
    <i r="1">
      <x v="170"/>
      <x v="719"/>
    </i>
    <i r="1">
      <x v="175"/>
      <x v="706"/>
    </i>
    <i r="1">
      <x v="179"/>
      <x v="726"/>
    </i>
    <i r="1">
      <x v="180"/>
      <x v="727"/>
    </i>
    <i r="1">
      <x v="187"/>
      <x v="736"/>
    </i>
    <i>
      <x v="8"/>
      <x v="7"/>
      <x v="15"/>
    </i>
    <i r="1">
      <x v="13"/>
      <x v="21"/>
    </i>
    <i r="1">
      <x v="26"/>
      <x v="33"/>
    </i>
    <i r="1">
      <x v="30"/>
      <x v="34"/>
    </i>
    <i r="1">
      <x v="110"/>
      <x v="444"/>
    </i>
    <i r="1">
      <x v="141"/>
      <x v="635"/>
    </i>
    <i r="1">
      <x v="142"/>
      <x v="636"/>
    </i>
    <i r="1">
      <x v="143"/>
      <x v="637"/>
    </i>
    <i r="1">
      <x v="177"/>
      <x v="709"/>
    </i>
    <i>
      <x v="10"/>
      <x v="21"/>
      <x v="30"/>
    </i>
    <i r="1">
      <x v="25"/>
      <x v="31"/>
    </i>
    <i r="1">
      <x v="51"/>
      <x v="55"/>
    </i>
    <i r="1">
      <x v="53"/>
      <x v="53"/>
    </i>
    <i r="1">
      <x v="93"/>
      <x v="364"/>
    </i>
    <i r="1">
      <x v="94"/>
      <x v="388"/>
    </i>
    <i r="1">
      <x v="111"/>
      <x v="446"/>
    </i>
    <i r="1">
      <x v="120"/>
      <x v="462"/>
    </i>
    <i r="1">
      <x v="127"/>
      <x v="470"/>
    </i>
    <i r="1">
      <x v="128"/>
      <x v="471"/>
    </i>
    <i r="1">
      <x v="129"/>
      <x v="472"/>
    </i>
    <i r="1">
      <x v="144"/>
      <x v="648"/>
    </i>
    <i r="1">
      <x v="145"/>
      <x v="649"/>
    </i>
    <i r="1">
      <x v="151"/>
      <x v="640"/>
    </i>
    <i>
      <x v="11"/>
      <x v="32"/>
      <x v="39"/>
    </i>
    <i r="1">
      <x v="80"/>
      <x v="361"/>
    </i>
    <i r="1">
      <x v="114"/>
      <x v="453"/>
    </i>
    <i r="1">
      <x v="115"/>
      <x v="455"/>
    </i>
    <i r="1">
      <x v="116"/>
      <x v="452"/>
    </i>
    <i r="1">
      <x v="117"/>
      <x v="454"/>
    </i>
    <i r="1">
      <x v="161"/>
      <x v="669"/>
    </i>
    <i>
      <x v="12"/>
      <x v="35"/>
      <x v="40"/>
    </i>
    <i r="1">
      <x v="42"/>
      <x v="48"/>
    </i>
    <i r="1">
      <x v="46"/>
      <x v="49"/>
    </i>
    <i r="1">
      <x v="52"/>
      <x v="54"/>
    </i>
    <i r="1">
      <x v="62"/>
      <x v="294"/>
    </i>
    <i r="1">
      <x v="71"/>
      <x v="320"/>
    </i>
    <i r="1">
      <x v="91"/>
      <x v="357"/>
    </i>
    <i r="1">
      <x v="97"/>
      <x v="411"/>
    </i>
    <i r="1">
      <x v="101"/>
      <x v="435"/>
    </i>
    <i r="1">
      <x v="102"/>
      <x v="430"/>
    </i>
    <i r="1">
      <x v="125"/>
      <x v="477"/>
    </i>
    <i r="1">
      <x v="148"/>
      <x v="639"/>
    </i>
    <i r="1">
      <x v="154"/>
      <x v="654"/>
    </i>
    <i r="1">
      <x v="155"/>
      <x v="653"/>
    </i>
    <i r="1">
      <x v="156"/>
      <x v="652"/>
    </i>
    <i r="1">
      <x v="162"/>
      <x v="670"/>
    </i>
    <i r="1">
      <x v="164"/>
      <x v="664"/>
    </i>
    <i r="1">
      <x v="181"/>
      <x v="725"/>
    </i>
    <i r="1">
      <x v="186"/>
      <x v="738"/>
    </i>
    <i>
      <x v="13"/>
      <x/>
      <x v="1"/>
    </i>
    <i r="1">
      <x v="36"/>
      <x v="42"/>
    </i>
    <i r="1">
      <x v="58"/>
      <x v="316"/>
    </i>
    <i r="1">
      <x v="64"/>
      <x v="312"/>
    </i>
    <i r="1">
      <x v="70"/>
      <x v="317"/>
    </i>
    <i r="1">
      <x v="99"/>
      <x v="429"/>
    </i>
    <i r="1">
      <x v="100"/>
      <x v="434"/>
    </i>
    <i r="1">
      <x v="118"/>
      <x v="459"/>
    </i>
    <i r="1">
      <x v="149"/>
      <x v="655"/>
    </i>
    <i r="1">
      <x v="165"/>
      <x v="666"/>
    </i>
    <i>
      <x v="15"/>
      <x v="5"/>
      <x v="187"/>
    </i>
    <i r="1">
      <x v="18"/>
      <x v="189"/>
    </i>
    <i r="1">
      <x v="19"/>
      <x v="190"/>
    </i>
    <i r="1">
      <x v="34"/>
      <x v="191"/>
    </i>
    <i r="1">
      <x v="56"/>
      <x v="193"/>
    </i>
    <i>
      <x v="16"/>
      <x v="104"/>
      <x v="431"/>
    </i>
    <i r="2">
      <x v="432"/>
    </i>
    <i r="2">
      <x v="746"/>
    </i>
    <i r="1">
      <x v="109"/>
      <x v="389"/>
    </i>
    <i r="1">
      <x v="121"/>
      <x v="461"/>
    </i>
    <i>
      <x v="17"/>
      <x v="2"/>
      <x v="4"/>
    </i>
    <i r="1">
      <x v="3"/>
      <x v="5"/>
    </i>
    <i r="1">
      <x v="4"/>
      <x v="18"/>
    </i>
    <i r="1">
      <x v="8"/>
      <x v="20"/>
    </i>
    <i r="1">
      <x v="20"/>
      <x v="25"/>
    </i>
    <i r="1">
      <x v="31"/>
      <x v="38"/>
    </i>
    <i r="1">
      <x v="37"/>
      <x v="41"/>
    </i>
    <i r="1">
      <x v="38"/>
      <x v="43"/>
    </i>
    <i r="1">
      <x v="39"/>
      <x v="44"/>
    </i>
    <i r="1">
      <x v="40"/>
      <x v="45"/>
    </i>
    <i r="1">
      <x v="45"/>
      <x v="46"/>
    </i>
    <i r="1">
      <x v="48"/>
      <x v="51"/>
    </i>
    <i r="1">
      <x v="57"/>
      <x v="194"/>
    </i>
    <i r="1">
      <x v="65"/>
      <x v="296"/>
    </i>
    <i r="1">
      <x v="79"/>
      <x v="363"/>
    </i>
    <i r="1">
      <x v="85"/>
      <x v="346"/>
    </i>
    <i r="1">
      <x v="87"/>
      <x v="355"/>
    </i>
    <i r="1">
      <x v="89"/>
      <x v="347"/>
    </i>
    <i r="1">
      <x v="90"/>
      <x v="356"/>
    </i>
    <i r="1">
      <x v="92"/>
      <x v="359"/>
    </i>
    <i r="1">
      <x v="95"/>
      <x v="384"/>
    </i>
    <i r="1">
      <x v="96"/>
      <x v="385"/>
    </i>
    <i r="1">
      <x v="106"/>
      <x v="437"/>
    </i>
    <i r="1">
      <x v="112"/>
      <x v="443"/>
    </i>
    <i r="1">
      <x v="119"/>
      <x v="460"/>
    </i>
    <i r="1">
      <x v="122"/>
      <x v="464"/>
    </i>
    <i r="1">
      <x v="130"/>
      <x v="473"/>
    </i>
    <i r="1">
      <x v="131"/>
      <x v="474"/>
    </i>
    <i r="1">
      <x v="138"/>
      <x v="650"/>
    </i>
    <i r="1">
      <x v="140"/>
      <x v="633"/>
    </i>
    <i r="1">
      <x v="158"/>
      <x v="641"/>
    </i>
    <i r="1">
      <x v="169"/>
      <x v="710"/>
    </i>
    <i r="1">
      <x v="171"/>
      <x v="697"/>
    </i>
    <i r="1">
      <x v="173"/>
      <x v="696"/>
    </i>
    <i r="1">
      <x v="174"/>
      <x v="705"/>
    </i>
    <i r="1">
      <x v="176"/>
      <x v="707"/>
    </i>
    <i r="1">
      <x v="178"/>
      <x v="708"/>
    </i>
    <i r="1">
      <x v="182"/>
      <x v="730"/>
    </i>
    <i r="1">
      <x v="184"/>
      <x v="732"/>
    </i>
    <i r="1">
      <x v="185"/>
      <x v="731"/>
    </i>
    <i>
      <x v="18"/>
      <x v="10"/>
      <x v="289"/>
    </i>
    <i r="1">
      <x v="47"/>
      <x v="290"/>
    </i>
    <i r="1">
      <x v="61"/>
      <x v="298"/>
    </i>
    <i r="1">
      <x v="123"/>
      <x v="466"/>
    </i>
    <i r="1">
      <x v="137"/>
      <x v="579"/>
    </i>
  </rowItems>
  <colItems count="1">
    <i/>
  </colItems>
  <formats count="19">
    <format dxfId="37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36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35">
      <pivotArea dataOnly="0" labelOnly="1" outline="0" offset="IV2" fieldPosition="0">
        <references count="1">
          <reference field="1" count="1">
            <x v="16"/>
          </reference>
        </references>
      </pivotArea>
    </format>
    <format dxfId="34">
      <pivotArea dataOnly="0" labelOnly="1" outline="0" offset="IV256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2"/>
          </reference>
        </references>
      </pivotArea>
    </format>
    <format dxfId="32">
      <pivotArea dataOnly="0" labelOnly="1" outline="0" offset="IV1" fieldPosition="0">
        <references count="1">
          <reference field="1" count="1">
            <x v="16"/>
          </reference>
        </references>
      </pivotArea>
    </format>
    <format dxfId="31">
      <pivotArea dataOnly="0" labelOnly="1" outline="0" offset="IV1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1">
            <x v="431"/>
          </reference>
        </references>
      </pivotArea>
    </format>
    <format dxfId="29">
      <pivotArea dataOnly="0" labelOnly="1" outline="0" offset="IV12:IV14" fieldPosition="0">
        <references count="1">
          <reference field="1" count="1">
            <x v="12"/>
          </reference>
        </references>
      </pivotArea>
    </format>
    <format dxfId="28">
      <pivotArea dataOnly="0" labelOnly="1" outline="0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27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26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  <format dxfId="24">
      <pivotArea dataOnly="0" labelOnly="1" outline="0" offset="IV1:IV3" fieldPosition="0">
        <references count="1">
          <reference field="1" count="1">
            <x v="16"/>
          </reference>
        </references>
      </pivotArea>
    </format>
    <format dxfId="23">
      <pivotArea dataOnly="0" labelOnly="1" outline="0" fieldPosition="0">
        <references count="2">
          <reference field="1" count="1" selected="0">
            <x v="16"/>
          </reference>
          <reference field="2" count="1">
            <x v="104"/>
          </reference>
        </references>
      </pivotArea>
    </format>
    <format dxfId="22">
      <pivotArea dataOnly="0" labelOnly="1" outline="0" fieldPosition="0">
        <references count="3">
          <reference field="1" count="1" selected="0">
            <x v="16"/>
          </reference>
          <reference field="2" count="1" selected="0">
            <x v="104"/>
          </reference>
          <reference field="3" count="3">
            <x v="431"/>
            <x v="432"/>
            <x v="746"/>
          </reference>
        </references>
      </pivotArea>
    </format>
    <format dxfId="21">
      <pivotArea dataOnly="0" labelOnly="1" outline="0" offset="IV12" fieldPosition="0">
        <references count="1">
          <reference field="1" count="1">
            <x v="12"/>
          </reference>
        </references>
      </pivotArea>
    </format>
    <format dxfId="20">
      <pivotArea dataOnly="0" labelOnly="1" outline="0" offset="IV1" fieldPosition="0">
        <references count="2">
          <reference field="1" count="1" selected="0">
            <x v="12"/>
          </reference>
          <reference field="2" count="1">
            <x v="146"/>
          </reference>
        </references>
      </pivotArea>
    </format>
    <format dxfId="19">
      <pivotArea dataOnly="0" labelOnly="1" outline="0" fieldPosition="0">
        <references count="3">
          <reference field="1" count="1" selected="0">
            <x v="12"/>
          </reference>
          <reference field="2" count="1" selected="0">
            <x v="146"/>
          </reference>
          <reference field="3" count="1">
            <x v="74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6"/>
  <sheetViews>
    <sheetView tabSelected="1" topLeftCell="A4" workbookViewId="0">
      <selection activeCell="A32" sqref="A32:XFD3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9.42578125" customWidth="1"/>
    <col min="4" max="4" width="16.28515625" customWidth="1"/>
  </cols>
  <sheetData>
    <row r="1" spans="1:1" x14ac:dyDescent="0.25">
      <c r="A1" s="2" t="s">
        <v>959</v>
      </c>
    </row>
    <row r="3" spans="1:1" x14ac:dyDescent="0.25">
      <c r="A3" s="2" t="s">
        <v>970</v>
      </c>
    </row>
    <row r="4" spans="1:1" x14ac:dyDescent="0.25">
      <c r="A4" t="s">
        <v>963</v>
      </c>
    </row>
    <row r="6" spans="1:1" x14ac:dyDescent="0.25">
      <c r="A6" t="s">
        <v>960</v>
      </c>
    </row>
    <row r="7" spans="1:1" x14ac:dyDescent="0.25">
      <c r="A7" t="s">
        <v>961</v>
      </c>
    </row>
    <row r="8" spans="1:1" x14ac:dyDescent="0.25">
      <c r="A8" t="s">
        <v>969</v>
      </c>
    </row>
    <row r="10" spans="1:1" x14ac:dyDescent="0.25">
      <c r="A10" t="s">
        <v>976</v>
      </c>
    </row>
    <row r="11" spans="1:1" x14ac:dyDescent="0.25">
      <c r="A11" t="s">
        <v>962</v>
      </c>
    </row>
    <row r="13" spans="1:1" x14ac:dyDescent="0.25">
      <c r="A13" s="2" t="s">
        <v>971</v>
      </c>
    </row>
    <row r="14" spans="1:1" x14ac:dyDescent="0.25">
      <c r="A14" t="s">
        <v>964</v>
      </c>
    </row>
    <row r="15" spans="1:1" x14ac:dyDescent="0.25">
      <c r="A15" t="s">
        <v>965</v>
      </c>
    </row>
    <row r="16" spans="1:1" x14ac:dyDescent="0.25">
      <c r="A16" t="s">
        <v>966</v>
      </c>
    </row>
    <row r="17" spans="1:1" x14ac:dyDescent="0.25">
      <c r="A17" t="s">
        <v>967</v>
      </c>
    </row>
    <row r="19" spans="1:1" x14ac:dyDescent="0.25">
      <c r="A19" t="s">
        <v>972</v>
      </c>
    </row>
    <row r="20" spans="1:1" x14ac:dyDescent="0.25">
      <c r="A20" t="s">
        <v>1793</v>
      </c>
    </row>
    <row r="22" spans="1:1" x14ac:dyDescent="0.25">
      <c r="A22" t="s">
        <v>973</v>
      </c>
    </row>
    <row r="23" spans="1:1" x14ac:dyDescent="0.25">
      <c r="A23" t="s">
        <v>974</v>
      </c>
    </row>
    <row r="24" spans="1:1" x14ac:dyDescent="0.25">
      <c r="A24" t="s">
        <v>975</v>
      </c>
    </row>
    <row r="26" spans="1:1" x14ac:dyDescent="0.25">
      <c r="A26" t="s">
        <v>1798</v>
      </c>
    </row>
    <row r="27" spans="1:1" x14ac:dyDescent="0.25">
      <c r="A27" t="s">
        <v>1794</v>
      </c>
    </row>
    <row r="28" spans="1:1" x14ac:dyDescent="0.25">
      <c r="A28" t="s">
        <v>1799</v>
      </c>
    </row>
    <row r="29" spans="1:1" x14ac:dyDescent="0.25">
      <c r="A29" t="s">
        <v>1795</v>
      </c>
    </row>
    <row r="30" spans="1:1" x14ac:dyDescent="0.25">
      <c r="A30" t="s">
        <v>1796</v>
      </c>
    </row>
    <row r="31" spans="1:1" x14ac:dyDescent="0.25">
      <c r="A31" t="s">
        <v>1797</v>
      </c>
    </row>
    <row r="33" spans="1:4" x14ac:dyDescent="0.25">
      <c r="A33" s="1" t="s">
        <v>954</v>
      </c>
      <c r="B33" s="1" t="s">
        <v>955</v>
      </c>
      <c r="C33" s="1" t="s">
        <v>956</v>
      </c>
      <c r="D33" s="4" t="s">
        <v>968</v>
      </c>
    </row>
    <row r="34" spans="1:4" x14ac:dyDescent="0.25">
      <c r="A34" t="s">
        <v>5</v>
      </c>
      <c r="B34" t="s">
        <v>6</v>
      </c>
      <c r="C34" t="s">
        <v>8</v>
      </c>
      <c r="D34">
        <v>1</v>
      </c>
    </row>
    <row r="35" spans="1:4" x14ac:dyDescent="0.25">
      <c r="A35" t="s">
        <v>5</v>
      </c>
      <c r="B35" t="s">
        <v>9</v>
      </c>
      <c r="C35" t="s">
        <v>15</v>
      </c>
      <c r="D35">
        <v>1</v>
      </c>
    </row>
    <row r="36" spans="1:4" x14ac:dyDescent="0.25">
      <c r="A36" t="s">
        <v>5</v>
      </c>
      <c r="B36" t="s">
        <v>16</v>
      </c>
      <c r="C36" t="s">
        <v>17</v>
      </c>
      <c r="D36">
        <v>1</v>
      </c>
    </row>
    <row r="37" spans="1:4" x14ac:dyDescent="0.25">
      <c r="A37" t="s">
        <v>19</v>
      </c>
      <c r="B37" t="s">
        <v>20</v>
      </c>
      <c r="C37" t="s">
        <v>24</v>
      </c>
      <c r="D37">
        <v>1</v>
      </c>
    </row>
    <row r="38" spans="1:4" x14ac:dyDescent="0.25">
      <c r="A38" t="s">
        <v>19</v>
      </c>
      <c r="B38" t="s">
        <v>25</v>
      </c>
      <c r="C38" t="s">
        <v>26</v>
      </c>
      <c r="D38">
        <v>1</v>
      </c>
    </row>
    <row r="39" spans="1:4" x14ac:dyDescent="0.25">
      <c r="A39" t="s">
        <v>19</v>
      </c>
      <c r="B39" t="s">
        <v>42</v>
      </c>
      <c r="C39" t="s">
        <v>43</v>
      </c>
      <c r="D39">
        <v>1</v>
      </c>
    </row>
    <row r="40" spans="1:4" x14ac:dyDescent="0.25">
      <c r="A40" t="s">
        <v>19</v>
      </c>
      <c r="B40" t="s">
        <v>50</v>
      </c>
      <c r="C40" t="s">
        <v>51</v>
      </c>
      <c r="D40">
        <v>1</v>
      </c>
    </row>
    <row r="41" spans="1:4" x14ac:dyDescent="0.25">
      <c r="A41" t="s">
        <v>19</v>
      </c>
      <c r="B41" t="s">
        <v>55</v>
      </c>
      <c r="C41" t="s">
        <v>56</v>
      </c>
      <c r="D41">
        <v>1</v>
      </c>
    </row>
    <row r="42" spans="1:4" x14ac:dyDescent="0.25">
      <c r="A42" t="s">
        <v>19</v>
      </c>
      <c r="B42" t="s">
        <v>59</v>
      </c>
      <c r="C42" t="s">
        <v>61</v>
      </c>
      <c r="D42">
        <v>1</v>
      </c>
    </row>
    <row r="43" spans="1:4" x14ac:dyDescent="0.25">
      <c r="A43" t="s">
        <v>19</v>
      </c>
      <c r="B43" t="s">
        <v>62</v>
      </c>
      <c r="C43" t="s">
        <v>63</v>
      </c>
      <c r="D43">
        <v>1</v>
      </c>
    </row>
    <row r="44" spans="1:4" x14ac:dyDescent="0.25">
      <c r="A44" t="s">
        <v>19</v>
      </c>
      <c r="B44" t="s">
        <v>65</v>
      </c>
      <c r="C44" t="s">
        <v>66</v>
      </c>
      <c r="D44">
        <v>1</v>
      </c>
    </row>
    <row r="45" spans="1:4" x14ac:dyDescent="0.25">
      <c r="A45" t="s">
        <v>19</v>
      </c>
      <c r="B45" t="s">
        <v>68</v>
      </c>
      <c r="C45" t="s">
        <v>70</v>
      </c>
      <c r="D45">
        <v>1</v>
      </c>
    </row>
    <row r="46" spans="1:4" x14ac:dyDescent="0.25">
      <c r="A46" t="s">
        <v>19</v>
      </c>
      <c r="B46" t="s">
        <v>71</v>
      </c>
      <c r="C46" t="s">
        <v>72</v>
      </c>
      <c r="D46">
        <v>1</v>
      </c>
    </row>
    <row r="47" spans="1:4" x14ac:dyDescent="0.25">
      <c r="A47" t="s">
        <v>19</v>
      </c>
      <c r="B47" t="s">
        <v>74</v>
      </c>
      <c r="C47" t="s">
        <v>75</v>
      </c>
      <c r="D47">
        <v>1</v>
      </c>
    </row>
    <row r="48" spans="1:4" x14ac:dyDescent="0.25">
      <c r="A48" t="s">
        <v>19</v>
      </c>
      <c r="B48" t="s">
        <v>77</v>
      </c>
      <c r="C48" t="s">
        <v>78</v>
      </c>
      <c r="D48">
        <v>1</v>
      </c>
    </row>
    <row r="49" spans="1:4" x14ac:dyDescent="0.25">
      <c r="A49" t="s">
        <v>19</v>
      </c>
      <c r="B49" t="s">
        <v>80</v>
      </c>
      <c r="C49" t="s">
        <v>81</v>
      </c>
      <c r="D49">
        <v>1</v>
      </c>
    </row>
    <row r="50" spans="1:4" x14ac:dyDescent="0.25">
      <c r="A50" t="s">
        <v>19</v>
      </c>
      <c r="B50" t="s">
        <v>83</v>
      </c>
      <c r="C50" t="s">
        <v>85</v>
      </c>
      <c r="D50">
        <v>1</v>
      </c>
    </row>
    <row r="51" spans="1:4" x14ac:dyDescent="0.25">
      <c r="A51" t="s">
        <v>19</v>
      </c>
      <c r="B51" t="s">
        <v>86</v>
      </c>
      <c r="C51" t="s">
        <v>87</v>
      </c>
      <c r="D51">
        <v>1</v>
      </c>
    </row>
    <row r="52" spans="1:4" x14ac:dyDescent="0.25">
      <c r="A52" t="s">
        <v>19</v>
      </c>
      <c r="B52" t="s">
        <v>89</v>
      </c>
      <c r="C52" t="s">
        <v>91</v>
      </c>
      <c r="D52">
        <v>1</v>
      </c>
    </row>
    <row r="53" spans="1:4" x14ac:dyDescent="0.25">
      <c r="A53" t="s">
        <v>19</v>
      </c>
      <c r="B53" t="s">
        <v>92</v>
      </c>
      <c r="C53" t="s">
        <v>93</v>
      </c>
      <c r="D53">
        <v>1</v>
      </c>
    </row>
    <row r="54" spans="1:4" x14ac:dyDescent="0.25">
      <c r="A54" t="s">
        <v>19</v>
      </c>
      <c r="B54" t="s">
        <v>95</v>
      </c>
      <c r="C54" t="s">
        <v>96</v>
      </c>
      <c r="D54">
        <v>1</v>
      </c>
    </row>
    <row r="55" spans="1:4" x14ac:dyDescent="0.25">
      <c r="A55" t="s">
        <v>19</v>
      </c>
      <c r="B55" t="s">
        <v>98</v>
      </c>
      <c r="C55" t="s">
        <v>99</v>
      </c>
      <c r="D55">
        <v>1</v>
      </c>
    </row>
    <row r="56" spans="1:4" x14ac:dyDescent="0.25">
      <c r="A56" t="s">
        <v>19</v>
      </c>
      <c r="B56" t="s">
        <v>101</v>
      </c>
      <c r="C56" t="s">
        <v>103</v>
      </c>
      <c r="D56">
        <v>1</v>
      </c>
    </row>
    <row r="57" spans="1:4" x14ac:dyDescent="0.25">
      <c r="A57" t="s">
        <v>19</v>
      </c>
      <c r="B57" t="s">
        <v>104</v>
      </c>
      <c r="C57" t="s">
        <v>105</v>
      </c>
      <c r="D57">
        <v>1</v>
      </c>
    </row>
    <row r="58" spans="1:4" x14ac:dyDescent="0.25">
      <c r="A58" t="s">
        <v>107</v>
      </c>
      <c r="B58" t="s">
        <v>108</v>
      </c>
      <c r="C58" t="s">
        <v>112</v>
      </c>
      <c r="D58">
        <v>1</v>
      </c>
    </row>
    <row r="59" spans="1:4" x14ac:dyDescent="0.25">
      <c r="A59" t="s">
        <v>107</v>
      </c>
      <c r="B59" t="s">
        <v>113</v>
      </c>
      <c r="C59" t="s">
        <v>114</v>
      </c>
      <c r="D59">
        <v>1</v>
      </c>
    </row>
    <row r="60" spans="1:4" x14ac:dyDescent="0.25">
      <c r="A60" t="s">
        <v>107</v>
      </c>
      <c r="B60" t="s">
        <v>118</v>
      </c>
      <c r="C60" t="s">
        <v>119</v>
      </c>
      <c r="D60">
        <v>1</v>
      </c>
    </row>
    <row r="61" spans="1:4" x14ac:dyDescent="0.25">
      <c r="A61" t="s">
        <v>122</v>
      </c>
      <c r="B61" t="s">
        <v>123</v>
      </c>
      <c r="C61" t="s">
        <v>124</v>
      </c>
      <c r="D61">
        <v>1</v>
      </c>
    </row>
    <row r="62" spans="1:4" x14ac:dyDescent="0.25">
      <c r="A62" t="s">
        <v>122</v>
      </c>
      <c r="B62" t="s">
        <v>126</v>
      </c>
      <c r="C62" t="s">
        <v>127</v>
      </c>
      <c r="D62">
        <v>1</v>
      </c>
    </row>
    <row r="63" spans="1:4" x14ac:dyDescent="0.25">
      <c r="A63" t="s">
        <v>129</v>
      </c>
      <c r="B63" t="s">
        <v>130</v>
      </c>
      <c r="C63" t="s">
        <v>131</v>
      </c>
      <c r="D63">
        <v>1</v>
      </c>
    </row>
    <row r="64" spans="1:4" x14ac:dyDescent="0.25">
      <c r="A64" t="s">
        <v>129</v>
      </c>
      <c r="B64" t="s">
        <v>133</v>
      </c>
      <c r="C64" t="s">
        <v>134</v>
      </c>
      <c r="D64">
        <v>1</v>
      </c>
    </row>
    <row r="65" spans="1:4" x14ac:dyDescent="0.25">
      <c r="A65" t="s">
        <v>129</v>
      </c>
      <c r="B65" t="s">
        <v>136</v>
      </c>
      <c r="C65" t="s">
        <v>137</v>
      </c>
      <c r="D65">
        <v>1</v>
      </c>
    </row>
    <row r="66" spans="1:4" x14ac:dyDescent="0.25">
      <c r="A66" t="s">
        <v>129</v>
      </c>
      <c r="B66" t="s">
        <v>139</v>
      </c>
      <c r="C66" t="s">
        <v>140</v>
      </c>
      <c r="D66">
        <v>1</v>
      </c>
    </row>
    <row r="67" spans="1:4" x14ac:dyDescent="0.25">
      <c r="A67" t="s">
        <v>142</v>
      </c>
      <c r="B67" t="s">
        <v>143</v>
      </c>
      <c r="C67" t="s">
        <v>144</v>
      </c>
      <c r="D67">
        <v>1</v>
      </c>
    </row>
    <row r="68" spans="1:4" x14ac:dyDescent="0.25">
      <c r="A68" t="s">
        <v>142</v>
      </c>
      <c r="B68" t="s">
        <v>146</v>
      </c>
      <c r="C68" t="s">
        <v>147</v>
      </c>
      <c r="D68">
        <v>1</v>
      </c>
    </row>
    <row r="69" spans="1:4" x14ac:dyDescent="0.25">
      <c r="A69" t="s">
        <v>142</v>
      </c>
      <c r="B69" t="s">
        <v>149</v>
      </c>
      <c r="C69" t="s">
        <v>150</v>
      </c>
      <c r="D69">
        <v>1</v>
      </c>
    </row>
    <row r="70" spans="1:4" x14ac:dyDescent="0.25">
      <c r="A70" t="s">
        <v>142</v>
      </c>
      <c r="B70" t="s">
        <v>152</v>
      </c>
      <c r="C70" t="s">
        <v>153</v>
      </c>
      <c r="D70">
        <v>1</v>
      </c>
    </row>
    <row r="71" spans="1:4" x14ac:dyDescent="0.25">
      <c r="A71" t="s">
        <v>142</v>
      </c>
      <c r="B71" t="s">
        <v>155</v>
      </c>
      <c r="C71" t="s">
        <v>157</v>
      </c>
      <c r="D71">
        <v>1</v>
      </c>
    </row>
    <row r="72" spans="1:4" x14ac:dyDescent="0.25">
      <c r="A72" t="s">
        <v>142</v>
      </c>
      <c r="B72" t="s">
        <v>158</v>
      </c>
      <c r="C72" t="s">
        <v>159</v>
      </c>
      <c r="D72">
        <v>1</v>
      </c>
    </row>
    <row r="73" spans="1:4" x14ac:dyDescent="0.25">
      <c r="A73" t="s">
        <v>142</v>
      </c>
      <c r="B73" t="s">
        <v>163</v>
      </c>
      <c r="C73" t="s">
        <v>164</v>
      </c>
      <c r="D73">
        <v>1</v>
      </c>
    </row>
    <row r="74" spans="1:4" x14ac:dyDescent="0.25">
      <c r="A74" t="s">
        <v>142</v>
      </c>
      <c r="B74" t="s">
        <v>166</v>
      </c>
      <c r="C74" t="s">
        <v>167</v>
      </c>
      <c r="D74">
        <v>1</v>
      </c>
    </row>
    <row r="75" spans="1:4" x14ac:dyDescent="0.25">
      <c r="A75" t="s">
        <v>142</v>
      </c>
      <c r="B75" t="s">
        <v>169</v>
      </c>
      <c r="C75" t="s">
        <v>170</v>
      </c>
      <c r="D75">
        <v>1</v>
      </c>
    </row>
    <row r="76" spans="1:4" x14ac:dyDescent="0.25">
      <c r="A76" t="s">
        <v>142</v>
      </c>
      <c r="B76" t="s">
        <v>172</v>
      </c>
      <c r="C76" t="s">
        <v>173</v>
      </c>
      <c r="D76">
        <v>1</v>
      </c>
    </row>
    <row r="77" spans="1:4" x14ac:dyDescent="0.25">
      <c r="A77" t="s">
        <v>142</v>
      </c>
      <c r="B77" t="s">
        <v>175</v>
      </c>
      <c r="C77" t="s">
        <v>176</v>
      </c>
      <c r="D77">
        <v>1</v>
      </c>
    </row>
    <row r="78" spans="1:4" x14ac:dyDescent="0.25">
      <c r="A78" t="s">
        <v>142</v>
      </c>
      <c r="B78" t="s">
        <v>179</v>
      </c>
      <c r="C78" t="s">
        <v>180</v>
      </c>
      <c r="D78">
        <v>1</v>
      </c>
    </row>
    <row r="79" spans="1:4" x14ac:dyDescent="0.25">
      <c r="A79" t="s">
        <v>142</v>
      </c>
      <c r="B79" t="s">
        <v>182</v>
      </c>
      <c r="C79" t="s">
        <v>183</v>
      </c>
      <c r="D79">
        <v>1</v>
      </c>
    </row>
    <row r="80" spans="1:4" x14ac:dyDescent="0.25">
      <c r="A80" t="s">
        <v>142</v>
      </c>
      <c r="B80" t="s">
        <v>185</v>
      </c>
      <c r="C80" t="s">
        <v>186</v>
      </c>
      <c r="D80">
        <v>1</v>
      </c>
    </row>
    <row r="81" spans="1:4" x14ac:dyDescent="0.25">
      <c r="A81" t="s">
        <v>142</v>
      </c>
      <c r="B81" t="s">
        <v>188</v>
      </c>
      <c r="C81" t="s">
        <v>189</v>
      </c>
      <c r="D81">
        <v>1</v>
      </c>
    </row>
    <row r="82" spans="1:4" x14ac:dyDescent="0.25">
      <c r="A82" t="s">
        <v>142</v>
      </c>
      <c r="B82" t="s">
        <v>191</v>
      </c>
      <c r="C82" t="s">
        <v>192</v>
      </c>
      <c r="D82">
        <v>1</v>
      </c>
    </row>
    <row r="83" spans="1:4" x14ac:dyDescent="0.25">
      <c r="A83" t="s">
        <v>142</v>
      </c>
      <c r="B83" t="s">
        <v>194</v>
      </c>
      <c r="C83" t="s">
        <v>195</v>
      </c>
      <c r="D83">
        <v>1</v>
      </c>
    </row>
    <row r="84" spans="1:4" x14ac:dyDescent="0.25">
      <c r="A84" t="s">
        <v>142</v>
      </c>
      <c r="B84" t="s">
        <v>199</v>
      </c>
      <c r="C84" t="s">
        <v>201</v>
      </c>
      <c r="D84">
        <v>1</v>
      </c>
    </row>
    <row r="85" spans="1:4" x14ac:dyDescent="0.25">
      <c r="A85" t="s">
        <v>142</v>
      </c>
      <c r="B85" t="s">
        <v>202</v>
      </c>
      <c r="C85" t="s">
        <v>203</v>
      </c>
      <c r="D85">
        <v>1</v>
      </c>
    </row>
    <row r="86" spans="1:4" x14ac:dyDescent="0.25">
      <c r="A86" t="s">
        <v>142</v>
      </c>
      <c r="B86" t="s">
        <v>205</v>
      </c>
      <c r="C86" t="s">
        <v>206</v>
      </c>
      <c r="D86">
        <v>1</v>
      </c>
    </row>
    <row r="87" spans="1:4" x14ac:dyDescent="0.25">
      <c r="A87" t="s">
        <v>142</v>
      </c>
      <c r="B87" t="s">
        <v>209</v>
      </c>
      <c r="C87" t="s">
        <v>210</v>
      </c>
      <c r="D87">
        <v>1</v>
      </c>
    </row>
    <row r="88" spans="1:4" x14ac:dyDescent="0.25">
      <c r="A88" t="s">
        <v>142</v>
      </c>
      <c r="B88" t="s">
        <v>213</v>
      </c>
      <c r="C88" t="s">
        <v>216</v>
      </c>
      <c r="D88">
        <v>1</v>
      </c>
    </row>
    <row r="89" spans="1:4" x14ac:dyDescent="0.25">
      <c r="A89" t="s">
        <v>142</v>
      </c>
      <c r="B89" t="s">
        <v>217</v>
      </c>
      <c r="C89" t="s">
        <v>219</v>
      </c>
      <c r="D89">
        <v>1</v>
      </c>
    </row>
    <row r="90" spans="1:4" x14ac:dyDescent="0.25">
      <c r="A90" t="s">
        <v>142</v>
      </c>
      <c r="B90" t="s">
        <v>220</v>
      </c>
      <c r="C90" t="s">
        <v>222</v>
      </c>
      <c r="D90">
        <v>1</v>
      </c>
    </row>
    <row r="91" spans="1:4" x14ac:dyDescent="0.25">
      <c r="A91" t="s">
        <v>142</v>
      </c>
      <c r="B91" t="s">
        <v>223</v>
      </c>
      <c r="C91" t="s">
        <v>224</v>
      </c>
      <c r="D91">
        <v>1</v>
      </c>
    </row>
    <row r="92" spans="1:4" x14ac:dyDescent="0.25">
      <c r="A92" t="s">
        <v>142</v>
      </c>
      <c r="B92" t="s">
        <v>237</v>
      </c>
      <c r="C92" t="s">
        <v>238</v>
      </c>
      <c r="D92">
        <v>1</v>
      </c>
    </row>
    <row r="93" spans="1:4" x14ac:dyDescent="0.25">
      <c r="A93" t="s">
        <v>142</v>
      </c>
      <c r="B93" t="s">
        <v>240</v>
      </c>
      <c r="C93" t="s">
        <v>242</v>
      </c>
      <c r="D93">
        <v>1</v>
      </c>
    </row>
    <row r="94" spans="1:4" x14ac:dyDescent="0.25">
      <c r="A94" t="s">
        <v>142</v>
      </c>
      <c r="B94" t="s">
        <v>243</v>
      </c>
      <c r="C94" t="s">
        <v>244</v>
      </c>
      <c r="D94">
        <v>1</v>
      </c>
    </row>
    <row r="95" spans="1:4" x14ac:dyDescent="0.25">
      <c r="A95" t="s">
        <v>142</v>
      </c>
      <c r="B95" t="s">
        <v>246</v>
      </c>
      <c r="C95" t="s">
        <v>247</v>
      </c>
      <c r="D95">
        <v>1</v>
      </c>
    </row>
    <row r="96" spans="1:4" x14ac:dyDescent="0.25">
      <c r="A96" t="s">
        <v>142</v>
      </c>
      <c r="B96" t="s">
        <v>249</v>
      </c>
      <c r="C96" t="s">
        <v>250</v>
      </c>
      <c r="D96">
        <v>1</v>
      </c>
    </row>
    <row r="97" spans="1:4" x14ac:dyDescent="0.25">
      <c r="A97" t="s">
        <v>142</v>
      </c>
      <c r="B97" t="s">
        <v>252</v>
      </c>
      <c r="C97" t="s">
        <v>254</v>
      </c>
      <c r="D97">
        <v>1</v>
      </c>
    </row>
    <row r="98" spans="1:4" x14ac:dyDescent="0.25">
      <c r="A98" t="s">
        <v>142</v>
      </c>
      <c r="B98" t="s">
        <v>255</v>
      </c>
      <c r="C98" t="s">
        <v>256</v>
      </c>
      <c r="D98">
        <v>1</v>
      </c>
    </row>
    <row r="99" spans="1:4" x14ac:dyDescent="0.25">
      <c r="A99" t="s">
        <v>142</v>
      </c>
      <c r="B99" t="s">
        <v>258</v>
      </c>
      <c r="C99" t="s">
        <v>259</v>
      </c>
      <c r="D99">
        <v>1</v>
      </c>
    </row>
    <row r="100" spans="1:4" x14ac:dyDescent="0.25">
      <c r="A100" t="s">
        <v>142</v>
      </c>
      <c r="B100" t="s">
        <v>261</v>
      </c>
      <c r="C100" t="s">
        <v>263</v>
      </c>
      <c r="D100">
        <v>1</v>
      </c>
    </row>
    <row r="101" spans="1:4" x14ac:dyDescent="0.25">
      <c r="A101" t="s">
        <v>142</v>
      </c>
      <c r="B101" t="s">
        <v>264</v>
      </c>
      <c r="C101" t="s">
        <v>265</v>
      </c>
      <c r="D101">
        <v>1</v>
      </c>
    </row>
    <row r="102" spans="1:4" x14ac:dyDescent="0.25">
      <c r="A102" t="s">
        <v>142</v>
      </c>
      <c r="B102" t="s">
        <v>267</v>
      </c>
      <c r="C102" t="s">
        <v>268</v>
      </c>
      <c r="D102">
        <v>1</v>
      </c>
    </row>
    <row r="103" spans="1:4" x14ac:dyDescent="0.25">
      <c r="A103" t="s">
        <v>142</v>
      </c>
      <c r="B103" t="s">
        <v>270</v>
      </c>
      <c r="C103" t="s">
        <v>271</v>
      </c>
      <c r="D103">
        <v>1</v>
      </c>
    </row>
    <row r="104" spans="1:4" x14ac:dyDescent="0.25">
      <c r="A104" t="s">
        <v>142</v>
      </c>
      <c r="B104" t="s">
        <v>274</v>
      </c>
      <c r="C104" t="s">
        <v>276</v>
      </c>
      <c r="D104">
        <v>1</v>
      </c>
    </row>
    <row r="105" spans="1:4" x14ac:dyDescent="0.25">
      <c r="A105" t="s">
        <v>142</v>
      </c>
      <c r="B105" t="s">
        <v>277</v>
      </c>
      <c r="C105" t="s">
        <v>278</v>
      </c>
      <c r="D105">
        <v>1</v>
      </c>
    </row>
    <row r="106" spans="1:4" x14ac:dyDescent="0.25">
      <c r="A106" t="s">
        <v>142</v>
      </c>
      <c r="B106" t="s">
        <v>281</v>
      </c>
      <c r="C106" t="s">
        <v>283</v>
      </c>
      <c r="D106">
        <v>1</v>
      </c>
    </row>
    <row r="107" spans="1:4" x14ac:dyDescent="0.25">
      <c r="A107" t="s">
        <v>142</v>
      </c>
      <c r="B107" t="s">
        <v>284</v>
      </c>
      <c r="C107" t="s">
        <v>286</v>
      </c>
      <c r="D107">
        <v>1</v>
      </c>
    </row>
    <row r="108" spans="1:4" x14ac:dyDescent="0.25">
      <c r="A108" t="s">
        <v>142</v>
      </c>
      <c r="B108" t="s">
        <v>287</v>
      </c>
      <c r="C108" t="s">
        <v>288</v>
      </c>
      <c r="D108">
        <v>1</v>
      </c>
    </row>
    <row r="109" spans="1:4" x14ac:dyDescent="0.25">
      <c r="A109" t="s">
        <v>291</v>
      </c>
      <c r="B109" t="s">
        <v>292</v>
      </c>
      <c r="C109" t="s">
        <v>293</v>
      </c>
      <c r="D109">
        <v>1</v>
      </c>
    </row>
    <row r="110" spans="1:4" x14ac:dyDescent="0.25">
      <c r="A110" t="s">
        <v>291</v>
      </c>
      <c r="B110" t="s">
        <v>296</v>
      </c>
      <c r="C110" t="s">
        <v>297</v>
      </c>
      <c r="D110">
        <v>1</v>
      </c>
    </row>
    <row r="111" spans="1:4" x14ac:dyDescent="0.25">
      <c r="A111" t="s">
        <v>291</v>
      </c>
      <c r="B111" t="s">
        <v>299</v>
      </c>
      <c r="C111" t="s">
        <v>300</v>
      </c>
      <c r="D111">
        <v>1</v>
      </c>
    </row>
    <row r="112" spans="1:4" x14ac:dyDescent="0.25">
      <c r="A112" t="s">
        <v>291</v>
      </c>
      <c r="B112" t="s">
        <v>302</v>
      </c>
      <c r="C112" t="s">
        <v>303</v>
      </c>
      <c r="D112">
        <v>1</v>
      </c>
    </row>
    <row r="113" spans="1:4" x14ac:dyDescent="0.25">
      <c r="A113" t="s">
        <v>291</v>
      </c>
      <c r="B113" t="s">
        <v>305</v>
      </c>
      <c r="C113" t="s">
        <v>307</v>
      </c>
      <c r="D113">
        <v>1</v>
      </c>
    </row>
    <row r="114" spans="1:4" x14ac:dyDescent="0.25">
      <c r="A114" t="s">
        <v>291</v>
      </c>
      <c r="B114" t="s">
        <v>308</v>
      </c>
      <c r="C114" t="s">
        <v>310</v>
      </c>
      <c r="D114">
        <v>1</v>
      </c>
    </row>
    <row r="115" spans="1:4" x14ac:dyDescent="0.25">
      <c r="A115" t="s">
        <v>291</v>
      </c>
      <c r="B115" t="s">
        <v>311</v>
      </c>
      <c r="C115" t="s">
        <v>313</v>
      </c>
      <c r="D115">
        <v>1</v>
      </c>
    </row>
    <row r="116" spans="1:4" x14ac:dyDescent="0.25">
      <c r="A116" t="s">
        <v>291</v>
      </c>
      <c r="B116" t="s">
        <v>314</v>
      </c>
      <c r="C116" t="s">
        <v>316</v>
      </c>
      <c r="D116">
        <v>1</v>
      </c>
    </row>
    <row r="117" spans="1:4" x14ac:dyDescent="0.25">
      <c r="A117" t="s">
        <v>291</v>
      </c>
      <c r="B117" t="s">
        <v>317</v>
      </c>
      <c r="C117" t="s">
        <v>318</v>
      </c>
      <c r="D117">
        <v>1</v>
      </c>
    </row>
    <row r="118" spans="1:4" x14ac:dyDescent="0.25">
      <c r="A118" t="s">
        <v>320</v>
      </c>
      <c r="B118" t="s">
        <v>321</v>
      </c>
      <c r="C118" t="s">
        <v>322</v>
      </c>
      <c r="D118">
        <v>1</v>
      </c>
    </row>
    <row r="119" spans="1:4" x14ac:dyDescent="0.25">
      <c r="A119" t="s">
        <v>320</v>
      </c>
      <c r="B119" t="s">
        <v>344</v>
      </c>
      <c r="C119" t="s">
        <v>345</v>
      </c>
      <c r="D119">
        <v>1</v>
      </c>
    </row>
    <row r="120" spans="1:4" x14ac:dyDescent="0.25">
      <c r="A120" t="s">
        <v>320</v>
      </c>
      <c r="B120" t="s">
        <v>349</v>
      </c>
      <c r="C120" t="s">
        <v>350</v>
      </c>
      <c r="D120">
        <v>1</v>
      </c>
    </row>
    <row r="121" spans="1:4" x14ac:dyDescent="0.25">
      <c r="A121" t="s">
        <v>320</v>
      </c>
      <c r="B121" t="s">
        <v>354</v>
      </c>
      <c r="C121" t="s">
        <v>355</v>
      </c>
      <c r="D121">
        <v>1</v>
      </c>
    </row>
    <row r="122" spans="1:4" x14ac:dyDescent="0.25">
      <c r="A122" t="s">
        <v>320</v>
      </c>
      <c r="B122" t="s">
        <v>357</v>
      </c>
      <c r="C122" t="s">
        <v>358</v>
      </c>
      <c r="D122">
        <v>1</v>
      </c>
    </row>
    <row r="123" spans="1:4" x14ac:dyDescent="0.25">
      <c r="A123" t="s">
        <v>320</v>
      </c>
      <c r="B123" t="s">
        <v>360</v>
      </c>
      <c r="C123" t="s">
        <v>362</v>
      </c>
      <c r="D123">
        <v>1</v>
      </c>
    </row>
    <row r="124" spans="1:4" x14ac:dyDescent="0.25">
      <c r="A124" t="s">
        <v>320</v>
      </c>
      <c r="B124" t="s">
        <v>363</v>
      </c>
      <c r="C124" t="s">
        <v>365</v>
      </c>
      <c r="D124">
        <v>1</v>
      </c>
    </row>
    <row r="125" spans="1:4" x14ac:dyDescent="0.25">
      <c r="A125" t="s">
        <v>320</v>
      </c>
      <c r="B125" t="s">
        <v>366</v>
      </c>
      <c r="C125" t="s">
        <v>368</v>
      </c>
      <c r="D125">
        <v>1</v>
      </c>
    </row>
    <row r="126" spans="1:4" x14ac:dyDescent="0.25">
      <c r="A126" t="s">
        <v>320</v>
      </c>
      <c r="B126" t="s">
        <v>369</v>
      </c>
      <c r="C126" t="s">
        <v>370</v>
      </c>
      <c r="D126">
        <v>1</v>
      </c>
    </row>
    <row r="127" spans="1:4" x14ac:dyDescent="0.25">
      <c r="A127" t="s">
        <v>320</v>
      </c>
      <c r="B127" t="s">
        <v>372</v>
      </c>
      <c r="C127" t="s">
        <v>373</v>
      </c>
      <c r="D127">
        <v>1</v>
      </c>
    </row>
    <row r="128" spans="1:4" x14ac:dyDescent="0.25">
      <c r="A128" t="s">
        <v>320</v>
      </c>
      <c r="B128" t="s">
        <v>375</v>
      </c>
      <c r="C128" t="s">
        <v>376</v>
      </c>
      <c r="D128">
        <v>1</v>
      </c>
    </row>
    <row r="129" spans="1:4" x14ac:dyDescent="0.25">
      <c r="A129" t="s">
        <v>320</v>
      </c>
      <c r="B129" t="s">
        <v>378</v>
      </c>
      <c r="C129" t="s">
        <v>395</v>
      </c>
      <c r="D129">
        <v>1</v>
      </c>
    </row>
    <row r="130" spans="1:4" x14ac:dyDescent="0.25">
      <c r="A130" t="s">
        <v>320</v>
      </c>
      <c r="B130" t="s">
        <v>396</v>
      </c>
      <c r="C130" t="s">
        <v>413</v>
      </c>
      <c r="D130">
        <v>1</v>
      </c>
    </row>
    <row r="131" spans="1:4" x14ac:dyDescent="0.25">
      <c r="A131" t="s">
        <v>320</v>
      </c>
      <c r="B131" t="s">
        <v>414</v>
      </c>
      <c r="C131" t="s">
        <v>415</v>
      </c>
      <c r="D131">
        <v>1</v>
      </c>
    </row>
    <row r="132" spans="1:4" x14ac:dyDescent="0.25">
      <c r="A132" t="s">
        <v>417</v>
      </c>
      <c r="B132" t="s">
        <v>418</v>
      </c>
      <c r="C132" t="s">
        <v>419</v>
      </c>
      <c r="D132">
        <v>1</v>
      </c>
    </row>
    <row r="133" spans="1:4" x14ac:dyDescent="0.25">
      <c r="A133" t="s">
        <v>417</v>
      </c>
      <c r="B133" t="s">
        <v>421</v>
      </c>
      <c r="C133" t="s">
        <v>423</v>
      </c>
      <c r="D133">
        <v>1</v>
      </c>
    </row>
    <row r="134" spans="1:4" x14ac:dyDescent="0.25">
      <c r="A134" t="s">
        <v>417</v>
      </c>
      <c r="B134" t="s">
        <v>424</v>
      </c>
      <c r="C134" t="s">
        <v>426</v>
      </c>
      <c r="D134">
        <v>1</v>
      </c>
    </row>
    <row r="135" spans="1:4" x14ac:dyDescent="0.25">
      <c r="A135" t="s">
        <v>417</v>
      </c>
      <c r="B135" t="s">
        <v>427</v>
      </c>
      <c r="C135" t="s">
        <v>430</v>
      </c>
      <c r="D135">
        <v>1</v>
      </c>
    </row>
    <row r="136" spans="1:4" x14ac:dyDescent="0.25">
      <c r="A136" t="s">
        <v>417</v>
      </c>
      <c r="B136" t="s">
        <v>431</v>
      </c>
      <c r="C136" t="s">
        <v>433</v>
      </c>
      <c r="D136">
        <v>1</v>
      </c>
    </row>
    <row r="137" spans="1:4" x14ac:dyDescent="0.25">
      <c r="A137" t="s">
        <v>417</v>
      </c>
      <c r="B137" t="s">
        <v>434</v>
      </c>
      <c r="C137" t="s">
        <v>436</v>
      </c>
      <c r="D137">
        <v>1</v>
      </c>
    </row>
    <row r="138" spans="1:4" x14ac:dyDescent="0.25">
      <c r="A138" t="s">
        <v>417</v>
      </c>
      <c r="B138" t="s">
        <v>437</v>
      </c>
      <c r="C138" t="s">
        <v>438</v>
      </c>
      <c r="D138">
        <v>1</v>
      </c>
    </row>
    <row r="139" spans="1:4" x14ac:dyDescent="0.25">
      <c r="A139" t="s">
        <v>440</v>
      </c>
      <c r="B139" t="s">
        <v>441</v>
      </c>
      <c r="C139" t="s">
        <v>442</v>
      </c>
      <c r="D139">
        <v>1</v>
      </c>
    </row>
    <row r="140" spans="1:4" x14ac:dyDescent="0.25">
      <c r="A140" t="s">
        <v>440</v>
      </c>
      <c r="B140" t="s">
        <v>453</v>
      </c>
      <c r="C140" t="s">
        <v>454</v>
      </c>
      <c r="D140">
        <v>1</v>
      </c>
    </row>
    <row r="141" spans="1:4" x14ac:dyDescent="0.25">
      <c r="A141" t="s">
        <v>440</v>
      </c>
      <c r="B141" t="s">
        <v>460</v>
      </c>
      <c r="C141" t="s">
        <v>461</v>
      </c>
      <c r="D141">
        <v>1</v>
      </c>
    </row>
    <row r="142" spans="1:4" x14ac:dyDescent="0.25">
      <c r="A142" t="s">
        <v>440</v>
      </c>
      <c r="B142" t="s">
        <v>463</v>
      </c>
      <c r="C142" t="s">
        <v>464</v>
      </c>
      <c r="D142">
        <v>1</v>
      </c>
    </row>
    <row r="143" spans="1:4" x14ac:dyDescent="0.25">
      <c r="A143" t="s">
        <v>440</v>
      </c>
      <c r="B143" t="s">
        <v>466</v>
      </c>
      <c r="C143" t="s">
        <v>467</v>
      </c>
      <c r="D143">
        <v>1</v>
      </c>
    </row>
    <row r="144" spans="1:4" x14ac:dyDescent="0.25">
      <c r="A144" t="s">
        <v>440</v>
      </c>
      <c r="B144" t="s">
        <v>469</v>
      </c>
      <c r="C144" t="s">
        <v>470</v>
      </c>
      <c r="D144">
        <v>1</v>
      </c>
    </row>
    <row r="145" spans="1:4" x14ac:dyDescent="0.25">
      <c r="A145" t="s">
        <v>440</v>
      </c>
      <c r="B145" t="s">
        <v>472</v>
      </c>
      <c r="C145" t="s">
        <v>473</v>
      </c>
      <c r="D145">
        <v>1</v>
      </c>
    </row>
    <row r="146" spans="1:4" x14ac:dyDescent="0.25">
      <c r="A146" t="s">
        <v>440</v>
      </c>
      <c r="B146" t="s">
        <v>476</v>
      </c>
      <c r="C146" t="s">
        <v>478</v>
      </c>
      <c r="D146">
        <v>1</v>
      </c>
    </row>
    <row r="147" spans="1:4" x14ac:dyDescent="0.25">
      <c r="A147" t="s">
        <v>440</v>
      </c>
      <c r="B147" t="s">
        <v>479</v>
      </c>
      <c r="C147" t="s">
        <v>482</v>
      </c>
      <c r="D147">
        <v>1</v>
      </c>
    </row>
    <row r="148" spans="1:4" x14ac:dyDescent="0.25">
      <c r="A148" t="s">
        <v>440</v>
      </c>
      <c r="B148" t="s">
        <v>483</v>
      </c>
      <c r="C148" t="s">
        <v>485</v>
      </c>
      <c r="D148">
        <v>1</v>
      </c>
    </row>
    <row r="149" spans="1:4" x14ac:dyDescent="0.25">
      <c r="A149" t="s">
        <v>440</v>
      </c>
      <c r="B149" t="s">
        <v>486</v>
      </c>
      <c r="C149" t="s">
        <v>487</v>
      </c>
      <c r="D149">
        <v>1</v>
      </c>
    </row>
    <row r="150" spans="1:4" x14ac:dyDescent="0.25">
      <c r="A150" s="7" t="s">
        <v>440</v>
      </c>
      <c r="B150" t="s">
        <v>512</v>
      </c>
      <c r="C150" t="s">
        <v>513</v>
      </c>
      <c r="D150">
        <v>1</v>
      </c>
    </row>
    <row r="151" spans="1:4" x14ac:dyDescent="0.25">
      <c r="A151" s="7" t="s">
        <v>440</v>
      </c>
      <c r="B151" t="s">
        <v>515</v>
      </c>
      <c r="C151" t="s">
        <v>516</v>
      </c>
      <c r="D151">
        <v>1</v>
      </c>
    </row>
    <row r="152" spans="1:4" x14ac:dyDescent="0.25">
      <c r="A152" s="7" t="s">
        <v>440</v>
      </c>
      <c r="B152" t="s">
        <v>518</v>
      </c>
      <c r="C152" t="s">
        <v>519</v>
      </c>
      <c r="D152">
        <v>1</v>
      </c>
    </row>
    <row r="153" spans="1:4" x14ac:dyDescent="0.25">
      <c r="A153" t="s">
        <v>440</v>
      </c>
      <c r="B153" t="s">
        <v>521</v>
      </c>
      <c r="C153" t="s">
        <v>522</v>
      </c>
      <c r="D153">
        <v>1</v>
      </c>
    </row>
    <row r="154" spans="1:4" x14ac:dyDescent="0.25">
      <c r="A154" t="s">
        <v>440</v>
      </c>
      <c r="B154" t="s">
        <v>524</v>
      </c>
      <c r="C154" t="s">
        <v>525</v>
      </c>
      <c r="D154">
        <v>1</v>
      </c>
    </row>
    <row r="155" spans="1:4" x14ac:dyDescent="0.25">
      <c r="A155" t="s">
        <v>440</v>
      </c>
      <c r="B155" t="s">
        <v>534</v>
      </c>
      <c r="C155" t="s">
        <v>535</v>
      </c>
      <c r="D155">
        <v>1</v>
      </c>
    </row>
    <row r="156" spans="1:4" x14ac:dyDescent="0.25">
      <c r="A156" t="s">
        <v>440</v>
      </c>
      <c r="B156" t="s">
        <v>537</v>
      </c>
      <c r="C156" t="s">
        <v>539</v>
      </c>
      <c r="D156">
        <v>1</v>
      </c>
    </row>
    <row r="157" spans="1:4" x14ac:dyDescent="0.25">
      <c r="A157" t="s">
        <v>440</v>
      </c>
      <c r="B157" t="s">
        <v>540</v>
      </c>
      <c r="C157" t="s">
        <v>542</v>
      </c>
      <c r="D157">
        <v>1</v>
      </c>
    </row>
    <row r="158" spans="1:4" x14ac:dyDescent="0.25">
      <c r="A158" t="s">
        <v>543</v>
      </c>
      <c r="B158" t="s">
        <v>544</v>
      </c>
      <c r="C158" t="s">
        <v>545</v>
      </c>
      <c r="D158">
        <v>1</v>
      </c>
    </row>
    <row r="159" spans="1:4" x14ac:dyDescent="0.25">
      <c r="A159" t="s">
        <v>543</v>
      </c>
      <c r="B159" t="s">
        <v>547</v>
      </c>
      <c r="C159" t="s">
        <v>548</v>
      </c>
      <c r="D159">
        <v>1</v>
      </c>
    </row>
    <row r="160" spans="1:4" x14ac:dyDescent="0.25">
      <c r="A160" t="s">
        <v>543</v>
      </c>
      <c r="B160" t="s">
        <v>550</v>
      </c>
      <c r="C160" t="s">
        <v>552</v>
      </c>
      <c r="D160">
        <v>1</v>
      </c>
    </row>
    <row r="161" spans="1:4" x14ac:dyDescent="0.25">
      <c r="A161" t="s">
        <v>543</v>
      </c>
      <c r="B161" t="s">
        <v>553</v>
      </c>
      <c r="C161" t="s">
        <v>554</v>
      </c>
      <c r="D161">
        <v>1</v>
      </c>
    </row>
    <row r="162" spans="1:4" x14ac:dyDescent="0.25">
      <c r="A162" t="s">
        <v>543</v>
      </c>
      <c r="B162" t="s">
        <v>556</v>
      </c>
      <c r="C162" t="s">
        <v>557</v>
      </c>
      <c r="D162">
        <v>1</v>
      </c>
    </row>
    <row r="163" spans="1:4" x14ac:dyDescent="0.25">
      <c r="A163" t="s">
        <v>543</v>
      </c>
      <c r="B163" t="s">
        <v>559</v>
      </c>
      <c r="C163" t="s">
        <v>561</v>
      </c>
      <c r="D163">
        <v>1</v>
      </c>
    </row>
    <row r="164" spans="1:4" x14ac:dyDescent="0.25">
      <c r="A164" t="s">
        <v>543</v>
      </c>
      <c r="B164" t="s">
        <v>562</v>
      </c>
      <c r="C164" t="s">
        <v>564</v>
      </c>
      <c r="D164">
        <v>1</v>
      </c>
    </row>
    <row r="165" spans="1:4" x14ac:dyDescent="0.25">
      <c r="A165" t="s">
        <v>543</v>
      </c>
      <c r="B165" t="s">
        <v>565</v>
      </c>
      <c r="C165" t="s">
        <v>567</v>
      </c>
      <c r="D165">
        <v>1</v>
      </c>
    </row>
    <row r="166" spans="1:4" x14ac:dyDescent="0.25">
      <c r="A166" t="s">
        <v>543</v>
      </c>
      <c r="B166" t="s">
        <v>568</v>
      </c>
      <c r="C166" t="s">
        <v>570</v>
      </c>
      <c r="D166">
        <v>1</v>
      </c>
    </row>
    <row r="167" spans="1:4" x14ac:dyDescent="0.25">
      <c r="A167" t="s">
        <v>543</v>
      </c>
      <c r="B167" t="s">
        <v>571</v>
      </c>
      <c r="C167" t="s">
        <v>572</v>
      </c>
      <c r="D167">
        <v>1</v>
      </c>
    </row>
    <row r="168" spans="1:4" x14ac:dyDescent="0.25">
      <c r="A168" t="s">
        <v>574</v>
      </c>
      <c r="B168" t="s">
        <v>575</v>
      </c>
      <c r="C168" t="s">
        <v>577</v>
      </c>
      <c r="D168">
        <v>1</v>
      </c>
    </row>
    <row r="169" spans="1:4" x14ac:dyDescent="0.25">
      <c r="A169" t="s">
        <v>574</v>
      </c>
      <c r="B169" t="s">
        <v>578</v>
      </c>
      <c r="C169" t="s">
        <v>580</v>
      </c>
      <c r="D169">
        <v>1</v>
      </c>
    </row>
    <row r="170" spans="1:4" x14ac:dyDescent="0.25">
      <c r="A170" t="s">
        <v>574</v>
      </c>
      <c r="B170" t="s">
        <v>1787</v>
      </c>
      <c r="C170" t="s">
        <v>1788</v>
      </c>
      <c r="D170">
        <v>1</v>
      </c>
    </row>
    <row r="171" spans="1:4" x14ac:dyDescent="0.25">
      <c r="A171" t="s">
        <v>574</v>
      </c>
      <c r="B171" t="s">
        <v>582</v>
      </c>
      <c r="C171" t="s">
        <v>584</v>
      </c>
      <c r="D171">
        <v>1</v>
      </c>
    </row>
    <row r="172" spans="1:4" x14ac:dyDescent="0.25">
      <c r="A172" t="s">
        <v>574</v>
      </c>
      <c r="B172" t="s">
        <v>585</v>
      </c>
      <c r="C172" t="s">
        <v>586</v>
      </c>
      <c r="D172">
        <v>1</v>
      </c>
    </row>
    <row r="173" spans="1:4" x14ac:dyDescent="0.25">
      <c r="A173" s="7" t="s">
        <v>588</v>
      </c>
      <c r="B173" s="7" t="s">
        <v>589</v>
      </c>
      <c r="C173" s="7" t="s">
        <v>601</v>
      </c>
      <c r="D173">
        <v>1</v>
      </c>
    </row>
    <row r="174" spans="1:4" x14ac:dyDescent="0.25">
      <c r="A174" s="7" t="s">
        <v>588</v>
      </c>
      <c r="B174" s="7" t="s">
        <v>589</v>
      </c>
      <c r="C174" s="7" t="s">
        <v>602</v>
      </c>
      <c r="D174">
        <v>1</v>
      </c>
    </row>
    <row r="175" spans="1:4" x14ac:dyDescent="0.25">
      <c r="A175" s="7" t="s">
        <v>588</v>
      </c>
      <c r="B175" s="7" t="s">
        <v>589</v>
      </c>
      <c r="C175" s="7" t="s">
        <v>990</v>
      </c>
      <c r="D175">
        <v>1</v>
      </c>
    </row>
    <row r="176" spans="1:4" x14ac:dyDescent="0.25">
      <c r="A176" t="s">
        <v>588</v>
      </c>
      <c r="B176" t="s">
        <v>603</v>
      </c>
      <c r="C176" t="s">
        <v>604</v>
      </c>
      <c r="D176">
        <v>1</v>
      </c>
    </row>
    <row r="177" spans="1:4" x14ac:dyDescent="0.25">
      <c r="A177" t="s">
        <v>588</v>
      </c>
      <c r="B177" t="s">
        <v>606</v>
      </c>
      <c r="C177" t="s">
        <v>607</v>
      </c>
      <c r="D177">
        <v>1</v>
      </c>
    </row>
    <row r="178" spans="1:4" x14ac:dyDescent="0.25">
      <c r="A178" t="s">
        <v>609</v>
      </c>
      <c r="B178" t="s">
        <v>610</v>
      </c>
      <c r="C178" t="s">
        <v>611</v>
      </c>
      <c r="D178">
        <v>1</v>
      </c>
    </row>
    <row r="179" spans="1:4" x14ac:dyDescent="0.25">
      <c r="A179" t="s">
        <v>609</v>
      </c>
      <c r="B179" t="s">
        <v>613</v>
      </c>
      <c r="C179" t="s">
        <v>614</v>
      </c>
      <c r="D179">
        <v>1</v>
      </c>
    </row>
    <row r="180" spans="1:4" x14ac:dyDescent="0.25">
      <c r="A180" t="s">
        <v>609</v>
      </c>
      <c r="B180" t="s">
        <v>617</v>
      </c>
      <c r="C180" t="s">
        <v>620</v>
      </c>
      <c r="D180">
        <v>1</v>
      </c>
    </row>
    <row r="181" spans="1:4" x14ac:dyDescent="0.25">
      <c r="A181" t="s">
        <v>609</v>
      </c>
      <c r="B181" t="s">
        <v>621</v>
      </c>
      <c r="C181" t="s">
        <v>622</v>
      </c>
      <c r="D181">
        <v>1</v>
      </c>
    </row>
    <row r="182" spans="1:4" x14ac:dyDescent="0.25">
      <c r="A182" t="s">
        <v>609</v>
      </c>
      <c r="B182" t="s">
        <v>625</v>
      </c>
      <c r="C182" t="s">
        <v>626</v>
      </c>
      <c r="D182">
        <v>1</v>
      </c>
    </row>
    <row r="183" spans="1:4" x14ac:dyDescent="0.25">
      <c r="A183" t="s">
        <v>609</v>
      </c>
      <c r="B183" t="s">
        <v>629</v>
      </c>
      <c r="C183" t="s">
        <v>630</v>
      </c>
      <c r="D183">
        <v>1</v>
      </c>
    </row>
    <row r="184" spans="1:4" x14ac:dyDescent="0.25">
      <c r="A184" t="s">
        <v>609</v>
      </c>
      <c r="B184" t="s">
        <v>643</v>
      </c>
      <c r="C184" t="s">
        <v>644</v>
      </c>
      <c r="D184">
        <v>1</v>
      </c>
    </row>
    <row r="185" spans="1:4" x14ac:dyDescent="0.25">
      <c r="A185" t="s">
        <v>609</v>
      </c>
      <c r="B185" t="s">
        <v>646</v>
      </c>
      <c r="C185" t="s">
        <v>647</v>
      </c>
      <c r="D185">
        <v>1</v>
      </c>
    </row>
    <row r="186" spans="1:4" x14ac:dyDescent="0.25">
      <c r="A186" t="s">
        <v>609</v>
      </c>
      <c r="B186" t="s">
        <v>650</v>
      </c>
      <c r="C186" t="s">
        <v>651</v>
      </c>
      <c r="D186">
        <v>1</v>
      </c>
    </row>
    <row r="187" spans="1:4" x14ac:dyDescent="0.25">
      <c r="A187" t="s">
        <v>609</v>
      </c>
      <c r="B187" t="s">
        <v>664</v>
      </c>
      <c r="C187" t="s">
        <v>665</v>
      </c>
      <c r="D187">
        <v>1</v>
      </c>
    </row>
    <row r="188" spans="1:4" x14ac:dyDescent="0.25">
      <c r="A188" t="s">
        <v>609</v>
      </c>
      <c r="B188" t="s">
        <v>678</v>
      </c>
      <c r="C188" t="s">
        <v>679</v>
      </c>
      <c r="D188">
        <v>1</v>
      </c>
    </row>
    <row r="189" spans="1:4" x14ac:dyDescent="0.25">
      <c r="A189" t="s">
        <v>609</v>
      </c>
      <c r="B189" t="s">
        <v>752</v>
      </c>
      <c r="C189" t="s">
        <v>753</v>
      </c>
      <c r="D189">
        <v>1</v>
      </c>
    </row>
    <row r="190" spans="1:4" x14ac:dyDescent="0.25">
      <c r="A190" t="s">
        <v>609</v>
      </c>
      <c r="B190" t="s">
        <v>755</v>
      </c>
      <c r="C190" t="s">
        <v>756</v>
      </c>
      <c r="D190">
        <v>1</v>
      </c>
    </row>
    <row r="191" spans="1:4" x14ac:dyDescent="0.25">
      <c r="A191" t="s">
        <v>609</v>
      </c>
      <c r="B191" t="s">
        <v>758</v>
      </c>
      <c r="C191" t="s">
        <v>759</v>
      </c>
      <c r="D191">
        <v>1</v>
      </c>
    </row>
    <row r="192" spans="1:4" x14ac:dyDescent="0.25">
      <c r="A192" t="s">
        <v>609</v>
      </c>
      <c r="B192" t="s">
        <v>761</v>
      </c>
      <c r="C192" t="s">
        <v>764</v>
      </c>
      <c r="D192">
        <v>1</v>
      </c>
    </row>
    <row r="193" spans="1:4" x14ac:dyDescent="0.25">
      <c r="A193" t="s">
        <v>609</v>
      </c>
      <c r="B193" t="s">
        <v>765</v>
      </c>
      <c r="C193" t="s">
        <v>766</v>
      </c>
      <c r="D193">
        <v>1</v>
      </c>
    </row>
    <row r="194" spans="1:4" x14ac:dyDescent="0.25">
      <c r="A194" t="s">
        <v>609</v>
      </c>
      <c r="B194" t="s">
        <v>768</v>
      </c>
      <c r="C194" t="s">
        <v>769</v>
      </c>
      <c r="D194">
        <v>1</v>
      </c>
    </row>
    <row r="195" spans="1:4" x14ac:dyDescent="0.25">
      <c r="A195" t="s">
        <v>609</v>
      </c>
      <c r="B195" t="s">
        <v>771</v>
      </c>
      <c r="C195" t="s">
        <v>772</v>
      </c>
      <c r="D195">
        <v>1</v>
      </c>
    </row>
    <row r="196" spans="1:4" x14ac:dyDescent="0.25">
      <c r="A196" t="s">
        <v>609</v>
      </c>
      <c r="B196" t="s">
        <v>774</v>
      </c>
      <c r="C196" t="s">
        <v>775</v>
      </c>
      <c r="D196">
        <v>1</v>
      </c>
    </row>
    <row r="197" spans="1:4" x14ac:dyDescent="0.25">
      <c r="A197" t="s">
        <v>609</v>
      </c>
      <c r="B197" t="s">
        <v>782</v>
      </c>
      <c r="C197" t="s">
        <v>783</v>
      </c>
      <c r="D197">
        <v>1</v>
      </c>
    </row>
    <row r="198" spans="1:4" x14ac:dyDescent="0.25">
      <c r="A198" t="s">
        <v>609</v>
      </c>
      <c r="B198" t="s">
        <v>785</v>
      </c>
      <c r="C198" t="s">
        <v>786</v>
      </c>
      <c r="D198">
        <v>1</v>
      </c>
    </row>
    <row r="199" spans="1:4" x14ac:dyDescent="0.25">
      <c r="A199" t="s">
        <v>609</v>
      </c>
      <c r="B199" t="s">
        <v>788</v>
      </c>
      <c r="C199" t="s">
        <v>789</v>
      </c>
      <c r="D199">
        <v>1</v>
      </c>
    </row>
    <row r="200" spans="1:4" x14ac:dyDescent="0.25">
      <c r="A200" t="s">
        <v>609</v>
      </c>
      <c r="B200" t="s">
        <v>791</v>
      </c>
      <c r="C200" t="s">
        <v>794</v>
      </c>
      <c r="D200">
        <v>1</v>
      </c>
    </row>
    <row r="201" spans="1:4" x14ac:dyDescent="0.25">
      <c r="A201" t="s">
        <v>609</v>
      </c>
      <c r="B201" t="s">
        <v>795</v>
      </c>
      <c r="C201" t="s">
        <v>797</v>
      </c>
      <c r="D201">
        <v>1</v>
      </c>
    </row>
    <row r="202" spans="1:4" x14ac:dyDescent="0.25">
      <c r="A202" t="s">
        <v>609</v>
      </c>
      <c r="B202" t="s">
        <v>798</v>
      </c>
      <c r="C202" t="s">
        <v>800</v>
      </c>
      <c r="D202">
        <v>1</v>
      </c>
    </row>
    <row r="203" spans="1:4" x14ac:dyDescent="0.25">
      <c r="A203" t="s">
        <v>609</v>
      </c>
      <c r="B203" t="s">
        <v>801</v>
      </c>
      <c r="C203" t="s">
        <v>802</v>
      </c>
      <c r="D203">
        <v>1</v>
      </c>
    </row>
    <row r="204" spans="1:4" x14ac:dyDescent="0.25">
      <c r="A204" t="s">
        <v>609</v>
      </c>
      <c r="B204" t="s">
        <v>804</v>
      </c>
      <c r="C204" t="s">
        <v>805</v>
      </c>
      <c r="D204">
        <v>1</v>
      </c>
    </row>
    <row r="205" spans="1:4" x14ac:dyDescent="0.25">
      <c r="A205" t="s">
        <v>609</v>
      </c>
      <c r="B205" t="s">
        <v>818</v>
      </c>
      <c r="C205" t="s">
        <v>819</v>
      </c>
      <c r="D205">
        <v>1</v>
      </c>
    </row>
    <row r="206" spans="1:4" x14ac:dyDescent="0.25">
      <c r="A206" t="s">
        <v>609</v>
      </c>
      <c r="B206" t="s">
        <v>892</v>
      </c>
      <c r="C206" t="s">
        <v>894</v>
      </c>
      <c r="D206">
        <v>1</v>
      </c>
    </row>
    <row r="207" spans="1:4" x14ac:dyDescent="0.25">
      <c r="A207" t="s">
        <v>609</v>
      </c>
      <c r="B207" t="s">
        <v>895</v>
      </c>
      <c r="C207" t="s">
        <v>897</v>
      </c>
      <c r="D207">
        <v>1</v>
      </c>
    </row>
    <row r="208" spans="1:4" x14ac:dyDescent="0.25">
      <c r="A208" t="s">
        <v>609</v>
      </c>
      <c r="B208" t="s">
        <v>898</v>
      </c>
      <c r="C208" t="s">
        <v>899</v>
      </c>
      <c r="D208">
        <v>1</v>
      </c>
    </row>
    <row r="209" spans="1:4" x14ac:dyDescent="0.25">
      <c r="A209" t="s">
        <v>609</v>
      </c>
      <c r="B209" t="s">
        <v>901</v>
      </c>
      <c r="C209" t="s">
        <v>904</v>
      </c>
      <c r="D209">
        <v>1</v>
      </c>
    </row>
    <row r="210" spans="1:4" x14ac:dyDescent="0.25">
      <c r="A210" t="s">
        <v>609</v>
      </c>
      <c r="B210" t="s">
        <v>905</v>
      </c>
      <c r="C210" t="s">
        <v>906</v>
      </c>
      <c r="D210">
        <v>1</v>
      </c>
    </row>
    <row r="211" spans="1:4" x14ac:dyDescent="0.25">
      <c r="A211" t="s">
        <v>609</v>
      </c>
      <c r="B211" t="s">
        <v>907</v>
      </c>
      <c r="C211" t="s">
        <v>908</v>
      </c>
      <c r="D211">
        <v>1</v>
      </c>
    </row>
    <row r="212" spans="1:4" x14ac:dyDescent="0.25">
      <c r="A212" t="s">
        <v>609</v>
      </c>
      <c r="B212" t="s">
        <v>910</v>
      </c>
      <c r="C212" t="s">
        <v>911</v>
      </c>
      <c r="D212">
        <v>1</v>
      </c>
    </row>
    <row r="213" spans="1:4" x14ac:dyDescent="0.25">
      <c r="A213" t="s">
        <v>609</v>
      </c>
      <c r="B213" t="s">
        <v>913</v>
      </c>
      <c r="C213" t="s">
        <v>914</v>
      </c>
      <c r="D213">
        <v>1</v>
      </c>
    </row>
    <row r="214" spans="1:4" x14ac:dyDescent="0.25">
      <c r="A214" t="s">
        <v>609</v>
      </c>
      <c r="B214" t="s">
        <v>917</v>
      </c>
      <c r="C214" t="s">
        <v>918</v>
      </c>
      <c r="D214">
        <v>1</v>
      </c>
    </row>
    <row r="215" spans="1:4" x14ac:dyDescent="0.25">
      <c r="A215" t="s">
        <v>609</v>
      </c>
      <c r="B215" t="s">
        <v>921</v>
      </c>
      <c r="C215" t="s">
        <v>923</v>
      </c>
      <c r="D215">
        <v>1</v>
      </c>
    </row>
    <row r="216" spans="1:4" x14ac:dyDescent="0.25">
      <c r="A216" t="s">
        <v>609</v>
      </c>
      <c r="B216" t="s">
        <v>924</v>
      </c>
      <c r="C216" t="s">
        <v>925</v>
      </c>
      <c r="D216">
        <v>1</v>
      </c>
    </row>
    <row r="217" spans="1:4" x14ac:dyDescent="0.25">
      <c r="A217" t="s">
        <v>609</v>
      </c>
      <c r="B217" t="s">
        <v>927</v>
      </c>
      <c r="C217" t="s">
        <v>928</v>
      </c>
      <c r="D217">
        <v>1</v>
      </c>
    </row>
    <row r="218" spans="1:4" x14ac:dyDescent="0.25">
      <c r="A218" t="s">
        <v>930</v>
      </c>
      <c r="B218" t="s">
        <v>931</v>
      </c>
      <c r="C218" t="s">
        <v>936</v>
      </c>
      <c r="D218">
        <v>1</v>
      </c>
    </row>
    <row r="219" spans="1:4" x14ac:dyDescent="0.25">
      <c r="A219" t="s">
        <v>930</v>
      </c>
      <c r="B219" t="s">
        <v>937</v>
      </c>
      <c r="C219" t="s">
        <v>938</v>
      </c>
      <c r="D219">
        <v>1</v>
      </c>
    </row>
    <row r="220" spans="1:4" x14ac:dyDescent="0.25">
      <c r="A220" t="s">
        <v>930</v>
      </c>
      <c r="B220" t="s">
        <v>939</v>
      </c>
      <c r="C220" t="s">
        <v>940</v>
      </c>
      <c r="D220">
        <v>1</v>
      </c>
    </row>
    <row r="221" spans="1:4" x14ac:dyDescent="0.25">
      <c r="A221" t="s">
        <v>930</v>
      </c>
      <c r="B221" t="s">
        <v>943</v>
      </c>
      <c r="C221" t="s">
        <v>944</v>
      </c>
      <c r="D221">
        <v>1</v>
      </c>
    </row>
    <row r="222" spans="1:4" x14ac:dyDescent="0.25">
      <c r="A222" t="s">
        <v>930</v>
      </c>
      <c r="B222" t="s">
        <v>946</v>
      </c>
      <c r="C222" t="s">
        <v>950</v>
      </c>
      <c r="D222">
        <v>1</v>
      </c>
    </row>
    <row r="223" spans="1:4" x14ac:dyDescent="0.25">
      <c r="D223">
        <v>1</v>
      </c>
    </row>
    <row r="224" spans="1:4" x14ac:dyDescent="0.25">
      <c r="D224">
        <v>1</v>
      </c>
    </row>
    <row r="225" spans="4:4" x14ac:dyDescent="0.25">
      <c r="D225">
        <v>1</v>
      </c>
    </row>
    <row r="226" spans="4:4" x14ac:dyDescent="0.25">
      <c r="D226">
        <v>1</v>
      </c>
    </row>
  </sheetData>
  <conditionalFormatting sqref="D34:D226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17"/>
  <sheetViews>
    <sheetView topLeftCell="A2" workbookViewId="0">
      <selection activeCell="J9" sqref="J9"/>
    </sheetView>
  </sheetViews>
  <sheetFormatPr defaultRowHeight="15" x14ac:dyDescent="0.25"/>
  <cols>
    <col min="1" max="1" width="9.7109375" customWidth="1"/>
    <col min="2" max="2" width="29.85546875" bestFit="1" customWidth="1"/>
    <col min="4" max="4" width="59.42578125" bestFit="1" customWidth="1"/>
    <col min="9" max="9" width="59.42578125" bestFit="1" customWidth="1"/>
  </cols>
  <sheetData>
    <row r="1" spans="1:11" x14ac:dyDescent="0.25">
      <c r="A1" t="s">
        <v>953</v>
      </c>
      <c r="B1" t="s">
        <v>954</v>
      </c>
      <c r="C1" t="s">
        <v>955</v>
      </c>
      <c r="D1" t="s">
        <v>956</v>
      </c>
      <c r="H1" t="s">
        <v>951</v>
      </c>
      <c r="I1" t="s">
        <v>952</v>
      </c>
      <c r="J1" s="3" t="s">
        <v>958</v>
      </c>
      <c r="K1" t="s">
        <v>957</v>
      </c>
    </row>
    <row r="2" spans="1:11" x14ac:dyDescent="0.25">
      <c r="A2" t="s">
        <v>0</v>
      </c>
      <c r="B2" t="s">
        <v>1</v>
      </c>
    </row>
    <row r="3" spans="1:11" x14ac:dyDescent="0.25">
      <c r="A3" t="s">
        <v>0</v>
      </c>
      <c r="B3" t="s">
        <v>2</v>
      </c>
    </row>
    <row r="4" spans="1:11" x14ac:dyDescent="0.25">
      <c r="A4" t="s">
        <v>0</v>
      </c>
      <c r="B4" t="s">
        <v>988</v>
      </c>
    </row>
    <row r="5" spans="1:11" x14ac:dyDescent="0.25">
      <c r="A5" t="s">
        <v>0</v>
      </c>
      <c r="B5" t="s">
        <v>3</v>
      </c>
    </row>
    <row r="6" spans="1:11" x14ac:dyDescent="0.25">
      <c r="A6" t="s">
        <v>0</v>
      </c>
      <c r="B6" t="s">
        <v>4</v>
      </c>
      <c r="H6" t="str">
        <f>RIGHT(D6,"4")</f>
        <v/>
      </c>
      <c r="I6" s="5" t="str">
        <f>IFERROR(IF(OR(C6="PERAC",C6="FoPITY"),INDEX(Customizations!$C$2:$C$41,MATCH(Sheet1!D6,Customizations!$B$2:$B$41,0),1),INDEX(About!C:C,MATCH(Sheet1!C6,About!B:B,0),1)),"")</f>
        <v/>
      </c>
      <c r="J6" s="5">
        <f>IFERROR(INDEX(About!$D$34:$D$222,MATCH(Sheet1!I6,About!$C$34:$C$222,0),1),0)</f>
        <v>0</v>
      </c>
      <c r="K6" s="6">
        <f>IF(H6=".csv",1,0)*J6</f>
        <v>0</v>
      </c>
    </row>
    <row r="7" spans="1:11" x14ac:dyDescent="0.25">
      <c r="A7" t="s">
        <v>0</v>
      </c>
      <c r="B7" t="s">
        <v>989</v>
      </c>
      <c r="H7" t="str">
        <f t="shared" ref="H7:H68" si="0">RIGHT(D7,"4")</f>
        <v/>
      </c>
      <c r="I7" s="5" t="str">
        <f>IFERROR(IF(OR(C7="PERAC",C7="FoPITY"),INDEX(Customizations!$C$2:$C$41,MATCH(Sheet1!D7,Customizations!$B$2:$B$41,0),1),INDEX(About!C:C,MATCH(Sheet1!C7,About!B:B,0),1)),"")</f>
        <v/>
      </c>
      <c r="J7" s="5">
        <f>IFERROR(INDEX(About!$D$34:$D$222,MATCH(Sheet1!I7,About!$C$34:$C$222,0),1),0)</f>
        <v>0</v>
      </c>
      <c r="K7" s="6">
        <f t="shared" ref="K7:K68" si="1">IF(H7=".csv",1,0)*J7</f>
        <v>0</v>
      </c>
    </row>
    <row r="8" spans="1:11" x14ac:dyDescent="0.25">
      <c r="A8" t="s">
        <v>0</v>
      </c>
      <c r="B8" t="s">
        <v>5</v>
      </c>
      <c r="C8" t="s">
        <v>1753</v>
      </c>
      <c r="D8" t="s">
        <v>1754</v>
      </c>
      <c r="H8" t="str">
        <f t="shared" si="0"/>
        <v>xlsx</v>
      </c>
      <c r="I8" s="5" t="str">
        <f>IFERROR(IF(OR(C8="PERAC",C8="FoPITY"),INDEX(Customizations!$C$2:$C$41,MATCH(Sheet1!D8,Customizations!$B$2:$B$41,0),1),INDEX(About!C:C,MATCH(Sheet1!C8,About!B:B,0),1)),"")</f>
        <v/>
      </c>
      <c r="J8" s="5">
        <f>IFERROR(INDEX(About!$D$34:$D$222,MATCH(Sheet1!I8,About!$C$34:$C$222,0),1),0)</f>
        <v>0</v>
      </c>
      <c r="K8" s="6">
        <f t="shared" si="1"/>
        <v>0</v>
      </c>
    </row>
    <row r="9" spans="1:11" x14ac:dyDescent="0.25">
      <c r="A9" t="s">
        <v>0</v>
      </c>
      <c r="B9" t="s">
        <v>5</v>
      </c>
      <c r="C9" t="s">
        <v>1753</v>
      </c>
      <c r="D9" t="s">
        <v>1755</v>
      </c>
      <c r="H9" t="str">
        <f t="shared" si="0"/>
        <v>.csv</v>
      </c>
      <c r="I9" s="5" t="str">
        <f>IFERROR(IF(OR(C9="PERAC",C9="FoPITY"),INDEX(Customizations!$C$2:$C$41,MATCH(Sheet1!D9,Customizations!$B$2:$B$41,0),1),INDEX(About!C:C,MATCH(Sheet1!C9,About!B:B,0),1)),"")</f>
        <v/>
      </c>
      <c r="J9" s="5">
        <f>IFERROR(INDEX(About!$D$34:$D$222,MATCH(Sheet1!I9,About!$C$34:$C$222,0),1),0)</f>
        <v>0</v>
      </c>
      <c r="K9" s="6">
        <f t="shared" si="1"/>
        <v>0</v>
      </c>
    </row>
    <row r="10" spans="1:11" x14ac:dyDescent="0.25">
      <c r="A10" t="s">
        <v>0</v>
      </c>
      <c r="B10" t="s">
        <v>5</v>
      </c>
      <c r="C10" t="s">
        <v>6</v>
      </c>
      <c r="D10" t="s">
        <v>7</v>
      </c>
      <c r="H10" t="str">
        <f t="shared" si="0"/>
        <v>.csv</v>
      </c>
      <c r="I10" s="5" t="str">
        <f>IFERROR(IF(OR(C10="PERAC",C10="FoPITY"),INDEX(Customizations!$C$2:$C$41,MATCH(Sheet1!D10,Customizations!$B$2:$B$41,0),1),INDEX(About!C:C,MATCH(Sheet1!C10,About!B:B,0),1)),"")</f>
        <v>Social Cost of Carbon.xlsx</v>
      </c>
      <c r="J10" s="5">
        <f>IFERROR(INDEX(About!$D$34:$D$222,MATCH(Sheet1!I10,About!$C$34:$C$222,0),1),0)</f>
        <v>1</v>
      </c>
      <c r="K10" s="6">
        <f t="shared" si="1"/>
        <v>1</v>
      </c>
    </row>
    <row r="11" spans="1:11" x14ac:dyDescent="0.25">
      <c r="A11" t="s">
        <v>0</v>
      </c>
      <c r="B11" t="s">
        <v>5</v>
      </c>
      <c r="C11" t="s">
        <v>6</v>
      </c>
      <c r="D11" t="s">
        <v>8</v>
      </c>
      <c r="H11" t="str">
        <f t="shared" si="0"/>
        <v>xlsx</v>
      </c>
      <c r="I11" s="5" t="str">
        <f>IFERROR(IF(OR(C11="PERAC",C11="FoPITY"),INDEX(Customizations!$C$2:$C$41,MATCH(Sheet1!D11,Customizations!$B$2:$B$41,0),1),INDEX(About!C:C,MATCH(Sheet1!C11,About!B:B,0),1)),"")</f>
        <v>Social Cost of Carbon.xlsx</v>
      </c>
      <c r="J11" s="5">
        <f>IFERROR(INDEX(About!$D$34:$D$222,MATCH(Sheet1!I11,About!$C$34:$C$222,0),1),0)</f>
        <v>1</v>
      </c>
      <c r="K11" s="6">
        <f t="shared" si="1"/>
        <v>0</v>
      </c>
    </row>
    <row r="12" spans="1:11" x14ac:dyDescent="0.25">
      <c r="A12" t="s">
        <v>0</v>
      </c>
      <c r="B12" t="s">
        <v>5</v>
      </c>
      <c r="C12" t="s">
        <v>9</v>
      </c>
      <c r="D12" t="s">
        <v>10</v>
      </c>
      <c r="H12" t="str">
        <f t="shared" si="0"/>
        <v>.csv</v>
      </c>
      <c r="I12" s="5" t="str">
        <f>IFERROR(IF(OR(C12="PERAC",C12="FoPITY"),INDEX(Customizations!$C$2:$C$41,MATCH(Sheet1!D12,Customizations!$B$2:$B$41,0),1),INDEX(About!C:C,MATCH(Sheet1!C12,About!B:B,0),1)),"")</f>
        <v>Social Cost of Health Impacts by Pollutant.xlsx</v>
      </c>
      <c r="J12" s="5">
        <f>IFERROR(INDEX(About!$D$34:$D$222,MATCH(Sheet1!I12,About!$C$34:$C$222,0),1),0)</f>
        <v>1</v>
      </c>
      <c r="K12" s="6">
        <f t="shared" si="1"/>
        <v>1</v>
      </c>
    </row>
    <row r="13" spans="1:11" x14ac:dyDescent="0.25">
      <c r="A13" t="s">
        <v>0</v>
      </c>
      <c r="B13" t="s">
        <v>5</v>
      </c>
      <c r="C13" t="s">
        <v>9</v>
      </c>
      <c r="D13" t="s">
        <v>11</v>
      </c>
      <c r="H13" t="str">
        <f t="shared" si="0"/>
        <v>.csv</v>
      </c>
      <c r="I13" s="5" t="str">
        <f>IFERROR(IF(OR(C13="PERAC",C13="FoPITY"),INDEX(Customizations!$C$2:$C$41,MATCH(Sheet1!D13,Customizations!$B$2:$B$41,0),1),INDEX(About!C:C,MATCH(Sheet1!C13,About!B:B,0),1)),"")</f>
        <v>Social Cost of Health Impacts by Pollutant.xlsx</v>
      </c>
      <c r="J13" s="5">
        <f>IFERROR(INDEX(About!$D$34:$D$222,MATCH(Sheet1!I13,About!$C$34:$C$222,0),1),0)</f>
        <v>1</v>
      </c>
      <c r="K13" s="6">
        <f t="shared" si="1"/>
        <v>1</v>
      </c>
    </row>
    <row r="14" spans="1:11" x14ac:dyDescent="0.25">
      <c r="A14" t="s">
        <v>0</v>
      </c>
      <c r="B14" t="s">
        <v>5</v>
      </c>
      <c r="C14" t="s">
        <v>9</v>
      </c>
      <c r="D14" t="s">
        <v>12</v>
      </c>
      <c r="H14" t="str">
        <f t="shared" si="0"/>
        <v>.csv</v>
      </c>
      <c r="I14" s="5" t="str">
        <f>IFERROR(IF(OR(C14="PERAC",C14="FoPITY"),INDEX(Customizations!$C$2:$C$41,MATCH(Sheet1!D14,Customizations!$B$2:$B$41,0),1),INDEX(About!C:C,MATCH(Sheet1!C14,About!B:B,0),1)),"")</f>
        <v>Social Cost of Health Impacts by Pollutant.xlsx</v>
      </c>
      <c r="J14" s="5">
        <f>IFERROR(INDEX(About!$D$34:$D$222,MATCH(Sheet1!I14,About!$C$34:$C$222,0),1),0)</f>
        <v>1</v>
      </c>
      <c r="K14" s="6">
        <f t="shared" si="1"/>
        <v>1</v>
      </c>
    </row>
    <row r="15" spans="1:11" x14ac:dyDescent="0.25">
      <c r="A15" t="s">
        <v>0</v>
      </c>
      <c r="B15" t="s">
        <v>5</v>
      </c>
      <c r="C15" t="s">
        <v>9</v>
      </c>
      <c r="D15" t="s">
        <v>13</v>
      </c>
      <c r="H15" t="str">
        <f t="shared" si="0"/>
        <v>.csv</v>
      </c>
      <c r="I15" s="5" t="str">
        <f>IFERROR(IF(OR(C15="PERAC",C15="FoPITY"),INDEX(Customizations!$C$2:$C$41,MATCH(Sheet1!D15,Customizations!$B$2:$B$41,0),1),INDEX(About!C:C,MATCH(Sheet1!C15,About!B:B,0),1)),"")</f>
        <v>Social Cost of Health Impacts by Pollutant.xlsx</v>
      </c>
      <c r="J15" s="5">
        <f>IFERROR(INDEX(About!$D$34:$D$222,MATCH(Sheet1!I15,About!$C$34:$C$222,0),1),0)</f>
        <v>1</v>
      </c>
      <c r="K15" s="6">
        <f t="shared" si="1"/>
        <v>1</v>
      </c>
    </row>
    <row r="16" spans="1:11" x14ac:dyDescent="0.25">
      <c r="A16" t="s">
        <v>0</v>
      </c>
      <c r="B16" t="s">
        <v>5</v>
      </c>
      <c r="C16" t="s">
        <v>9</v>
      </c>
      <c r="D16" t="s">
        <v>14</v>
      </c>
      <c r="H16" t="str">
        <f t="shared" si="0"/>
        <v>.csv</v>
      </c>
      <c r="I16" s="5" t="str">
        <f>IFERROR(IF(OR(C16="PERAC",C16="FoPITY"),INDEX(Customizations!$C$2:$C$41,MATCH(Sheet1!D16,Customizations!$B$2:$B$41,0),1),INDEX(About!C:C,MATCH(Sheet1!C16,About!B:B,0),1)),"")</f>
        <v>Social Cost of Health Impacts by Pollutant.xlsx</v>
      </c>
      <c r="J16" s="5">
        <f>IFERROR(INDEX(About!$D$34:$D$222,MATCH(Sheet1!I16,About!$C$34:$C$222,0),1),0)</f>
        <v>1</v>
      </c>
      <c r="K16" s="6">
        <f t="shared" si="1"/>
        <v>1</v>
      </c>
    </row>
    <row r="17" spans="1:11" x14ac:dyDescent="0.25">
      <c r="A17" t="s">
        <v>0</v>
      </c>
      <c r="B17" t="s">
        <v>5</v>
      </c>
      <c r="C17" t="s">
        <v>9</v>
      </c>
      <c r="D17" t="s">
        <v>15</v>
      </c>
      <c r="H17" t="str">
        <f t="shared" si="0"/>
        <v>xlsx</v>
      </c>
      <c r="I17" s="5" t="str">
        <f>IFERROR(IF(OR(C17="PERAC",C17="FoPITY"),INDEX(Customizations!$C$2:$C$41,MATCH(Sheet1!D17,Customizations!$B$2:$B$41,0),1),INDEX(About!C:C,MATCH(Sheet1!C17,About!B:B,0),1)),"")</f>
        <v>Social Cost of Health Impacts by Pollutant.xlsx</v>
      </c>
      <c r="J17" s="5">
        <f>IFERROR(INDEX(About!$D$34:$D$222,MATCH(Sheet1!I17,About!$C$34:$C$222,0),1),0)</f>
        <v>1</v>
      </c>
      <c r="K17" s="6">
        <f t="shared" si="1"/>
        <v>0</v>
      </c>
    </row>
    <row r="18" spans="1:11" x14ac:dyDescent="0.25">
      <c r="A18" t="s">
        <v>0</v>
      </c>
      <c r="B18" t="s">
        <v>5</v>
      </c>
      <c r="C18" t="s">
        <v>16</v>
      </c>
      <c r="D18" t="s">
        <v>17</v>
      </c>
      <c r="H18" t="str">
        <f t="shared" si="0"/>
        <v>xlsx</v>
      </c>
      <c r="I18" s="5" t="str">
        <f>IFERROR(IF(OR(C18="PERAC",C18="FoPITY"),INDEX(Customizations!$C$2:$C$41,MATCH(Sheet1!D18,Customizations!$B$2:$B$41,0),1),INDEX(About!C:C,MATCH(Sheet1!C18,About!B:B,0),1)),"")</f>
        <v>Value of a Statistical Life.xlsx</v>
      </c>
      <c r="J18" s="5">
        <f>IFERROR(INDEX(About!$D$34:$D$222,MATCH(Sheet1!I18,About!$C$34:$C$222,0),1),0)</f>
        <v>1</v>
      </c>
      <c r="K18" s="6">
        <f t="shared" si="1"/>
        <v>0</v>
      </c>
    </row>
    <row r="19" spans="1:11" x14ac:dyDescent="0.25">
      <c r="A19" t="s">
        <v>0</v>
      </c>
      <c r="B19" t="s">
        <v>5</v>
      </c>
      <c r="C19" t="s">
        <v>16</v>
      </c>
      <c r="D19" t="s">
        <v>18</v>
      </c>
      <c r="H19" t="str">
        <f t="shared" si="0"/>
        <v>.csv</v>
      </c>
      <c r="I19" s="5" t="str">
        <f>IFERROR(IF(OR(C19="PERAC",C19="FoPITY"),INDEX(Customizations!$C$2:$C$41,MATCH(Sheet1!D19,Customizations!$B$2:$B$41,0),1),INDEX(About!C:C,MATCH(Sheet1!C19,About!B:B,0),1)),"")</f>
        <v>Value of a Statistical Life.xlsx</v>
      </c>
      <c r="J19" s="5">
        <f>IFERROR(INDEX(About!$D$34:$D$222,MATCH(Sheet1!I19,About!$C$34:$C$222,0),1),0)</f>
        <v>1</v>
      </c>
      <c r="K19" s="6">
        <f t="shared" si="1"/>
        <v>1</v>
      </c>
    </row>
    <row r="20" spans="1:11" x14ac:dyDescent="0.25">
      <c r="A20" t="s">
        <v>0</v>
      </c>
      <c r="B20" t="s">
        <v>19</v>
      </c>
      <c r="C20" t="s">
        <v>20</v>
      </c>
      <c r="D20" t="s">
        <v>21</v>
      </c>
      <c r="H20" t="str">
        <f t="shared" si="0"/>
        <v>.csv</v>
      </c>
      <c r="I20" s="5" t="str">
        <f>IFERROR(IF(OR(C20="PERAC",C20="FoPITY"),INDEX(Customizations!$C$2:$C$41,MATCH(Sheet1!D20,Customizations!$B$2:$B$41,0),1),INDEX(About!C:C,MATCH(Sheet1!C20,About!B:B,0),1)),"")</f>
        <v>BAU Amt Spent on Bldg Components.xlsx</v>
      </c>
      <c r="J20" s="5">
        <f>IFERROR(INDEX(About!$D$34:$D$222,MATCH(Sheet1!I20,About!$C$34:$C$222,0),1),0)</f>
        <v>1</v>
      </c>
      <c r="K20" s="6">
        <f t="shared" si="1"/>
        <v>1</v>
      </c>
    </row>
    <row r="21" spans="1:11" x14ac:dyDescent="0.25">
      <c r="A21" t="s">
        <v>0</v>
      </c>
      <c r="B21" t="s">
        <v>19</v>
      </c>
      <c r="C21" t="s">
        <v>20</v>
      </c>
      <c r="D21" t="s">
        <v>22</v>
      </c>
      <c r="H21" t="str">
        <f t="shared" si="0"/>
        <v>.csv</v>
      </c>
      <c r="I21" s="5" t="str">
        <f>IFERROR(IF(OR(C21="PERAC",C21="FoPITY"),INDEX(Customizations!$C$2:$C$41,MATCH(Sheet1!D21,Customizations!$B$2:$B$41,0),1),INDEX(About!C:C,MATCH(Sheet1!C21,About!B:B,0),1)),"")</f>
        <v>BAU Amt Spent on Bldg Components.xlsx</v>
      </c>
      <c r="J21" s="5">
        <f>IFERROR(INDEX(About!$D$34:$D$222,MATCH(Sheet1!I21,About!$C$34:$C$222,0),1),0)</f>
        <v>1</v>
      </c>
      <c r="K21" s="6">
        <f t="shared" si="1"/>
        <v>1</v>
      </c>
    </row>
    <row r="22" spans="1:11" x14ac:dyDescent="0.25">
      <c r="A22" t="s">
        <v>0</v>
      </c>
      <c r="B22" t="s">
        <v>19</v>
      </c>
      <c r="C22" t="s">
        <v>20</v>
      </c>
      <c r="D22" t="s">
        <v>23</v>
      </c>
      <c r="H22" t="str">
        <f t="shared" si="0"/>
        <v>.csv</v>
      </c>
      <c r="I22" s="5" t="str">
        <f>IFERROR(IF(OR(C22="PERAC",C22="FoPITY"),INDEX(Customizations!$C$2:$C$41,MATCH(Sheet1!D22,Customizations!$B$2:$B$41,0),1),INDEX(About!C:C,MATCH(Sheet1!C22,About!B:B,0),1)),"")</f>
        <v>BAU Amt Spent on Bldg Components.xlsx</v>
      </c>
      <c r="J22" s="5">
        <f>IFERROR(INDEX(About!$D$34:$D$222,MATCH(Sheet1!I22,About!$C$34:$C$222,0),1),0)</f>
        <v>1</v>
      </c>
      <c r="K22" s="6">
        <f t="shared" si="1"/>
        <v>1</v>
      </c>
    </row>
    <row r="23" spans="1:11" x14ac:dyDescent="0.25">
      <c r="A23" t="s">
        <v>0</v>
      </c>
      <c r="B23" t="s">
        <v>19</v>
      </c>
      <c r="C23" t="s">
        <v>20</v>
      </c>
      <c r="D23" t="s">
        <v>24</v>
      </c>
      <c r="H23" t="str">
        <f t="shared" si="0"/>
        <v>xlsx</v>
      </c>
      <c r="I23" s="5" t="str">
        <f>IFERROR(IF(OR(C23="PERAC",C23="FoPITY"),INDEX(Customizations!$C$2:$C$41,MATCH(Sheet1!D23,Customizations!$B$2:$B$41,0),1),INDEX(About!C:C,MATCH(Sheet1!C23,About!B:B,0),1)),"")</f>
        <v>BAU Amt Spent on Bldg Components.xlsx</v>
      </c>
      <c r="J23" s="5">
        <f>IFERROR(INDEX(About!$D$34:$D$222,MATCH(Sheet1!I23,About!$C$34:$C$222,0),1),0)</f>
        <v>1</v>
      </c>
      <c r="K23" s="6">
        <f t="shared" si="1"/>
        <v>0</v>
      </c>
    </row>
    <row r="24" spans="1:11" x14ac:dyDescent="0.25">
      <c r="A24" t="s">
        <v>0</v>
      </c>
      <c r="B24" t="s">
        <v>19</v>
      </c>
      <c r="C24" t="s">
        <v>25</v>
      </c>
      <c r="D24" t="s">
        <v>26</v>
      </c>
      <c r="H24" t="str">
        <f t="shared" si="0"/>
        <v>xlsx</v>
      </c>
      <c r="I24" s="5" t="str">
        <f>IFERROR(IF(OR(C24="PERAC",C24="FoPITY"),INDEX(Customizations!$C$2:$C$41,MATCH(Sheet1!D24,Customizations!$B$2:$B$41,0),1),INDEX(About!C:C,MATCH(Sheet1!C24,About!B:B,0),1)),"")</f>
        <v>BAU Components Energy Use.xlsx</v>
      </c>
      <c r="J24" s="5">
        <f>IFERROR(INDEX(About!$D$34:$D$222,MATCH(Sheet1!I24,About!$C$34:$C$222,0),1),0)</f>
        <v>1</v>
      </c>
      <c r="K24" s="6">
        <f t="shared" si="1"/>
        <v>0</v>
      </c>
    </row>
    <row r="25" spans="1:11" x14ac:dyDescent="0.25">
      <c r="A25" t="s">
        <v>0</v>
      </c>
      <c r="B25" t="s">
        <v>19</v>
      </c>
      <c r="C25" t="s">
        <v>25</v>
      </c>
      <c r="D25" t="s">
        <v>27</v>
      </c>
      <c r="H25" t="str">
        <f t="shared" si="0"/>
        <v>.csv</v>
      </c>
      <c r="I25" s="5" t="str">
        <f>IFERROR(IF(OR(C25="PERAC",C25="FoPITY"),INDEX(Customizations!$C$2:$C$41,MATCH(Sheet1!D25,Customizations!$B$2:$B$41,0),1),INDEX(About!C:C,MATCH(Sheet1!C25,About!B:B,0),1)),"")</f>
        <v>BAU Components Energy Use.xlsx</v>
      </c>
      <c r="J25" s="5">
        <f>IFERROR(INDEX(About!$D$34:$D$222,MATCH(Sheet1!I25,About!$C$34:$C$222,0),1),0)</f>
        <v>1</v>
      </c>
      <c r="K25" s="6">
        <f t="shared" si="1"/>
        <v>1</v>
      </c>
    </row>
    <row r="26" spans="1:11" x14ac:dyDescent="0.25">
      <c r="A26" t="s">
        <v>0</v>
      </c>
      <c r="B26" t="s">
        <v>19</v>
      </c>
      <c r="C26" t="s">
        <v>25</v>
      </c>
      <c r="D26" t="s">
        <v>28</v>
      </c>
      <c r="H26" t="str">
        <f t="shared" si="0"/>
        <v>.csv</v>
      </c>
      <c r="I26" s="5" t="str">
        <f>IFERROR(IF(OR(C26="PERAC",C26="FoPITY"),INDEX(Customizations!$C$2:$C$41,MATCH(Sheet1!D26,Customizations!$B$2:$B$41,0),1),INDEX(About!C:C,MATCH(Sheet1!C26,About!B:B,0),1)),"")</f>
        <v>BAU Components Energy Use.xlsx</v>
      </c>
      <c r="J26" s="5">
        <f>IFERROR(INDEX(About!$D$34:$D$222,MATCH(Sheet1!I26,About!$C$34:$C$222,0),1),0)</f>
        <v>1</v>
      </c>
      <c r="K26" s="6">
        <f t="shared" si="1"/>
        <v>1</v>
      </c>
    </row>
    <row r="27" spans="1:11" x14ac:dyDescent="0.25">
      <c r="A27" t="s">
        <v>0</v>
      </c>
      <c r="B27" t="s">
        <v>19</v>
      </c>
      <c r="C27" t="s">
        <v>25</v>
      </c>
      <c r="D27" t="s">
        <v>29</v>
      </c>
      <c r="H27" t="str">
        <f t="shared" si="0"/>
        <v>.csv</v>
      </c>
      <c r="I27" s="5" t="str">
        <f>IFERROR(IF(OR(C27="PERAC",C27="FoPITY"),INDEX(Customizations!$C$2:$C$41,MATCH(Sheet1!D27,Customizations!$B$2:$B$41,0),1),INDEX(About!C:C,MATCH(Sheet1!C27,About!B:B,0),1)),"")</f>
        <v>BAU Components Energy Use.xlsx</v>
      </c>
      <c r="J27" s="5">
        <f>IFERROR(INDEX(About!$D$34:$D$222,MATCH(Sheet1!I27,About!$C$34:$C$222,0),1),0)</f>
        <v>1</v>
      </c>
      <c r="K27" s="6">
        <f t="shared" si="1"/>
        <v>1</v>
      </c>
    </row>
    <row r="28" spans="1:11" x14ac:dyDescent="0.25">
      <c r="A28" t="s">
        <v>0</v>
      </c>
      <c r="B28" t="s">
        <v>19</v>
      </c>
      <c r="C28" t="s">
        <v>25</v>
      </c>
      <c r="D28" t="s">
        <v>30</v>
      </c>
      <c r="H28" t="str">
        <f t="shared" si="0"/>
        <v>.csv</v>
      </c>
      <c r="I28" s="5" t="str">
        <f>IFERROR(IF(OR(C28="PERAC",C28="FoPITY"),INDEX(Customizations!$C$2:$C$41,MATCH(Sheet1!D28,Customizations!$B$2:$B$41,0),1),INDEX(About!C:C,MATCH(Sheet1!C28,About!B:B,0),1)),"")</f>
        <v>BAU Components Energy Use.xlsx</v>
      </c>
      <c r="J28" s="5">
        <f>IFERROR(INDEX(About!$D$34:$D$222,MATCH(Sheet1!I28,About!$C$34:$C$222,0),1),0)</f>
        <v>1</v>
      </c>
      <c r="K28" s="6">
        <f t="shared" si="1"/>
        <v>1</v>
      </c>
    </row>
    <row r="29" spans="1:11" x14ac:dyDescent="0.25">
      <c r="A29" t="s">
        <v>0</v>
      </c>
      <c r="B29" t="s">
        <v>19</v>
      </c>
      <c r="C29" t="s">
        <v>25</v>
      </c>
      <c r="D29" t="s">
        <v>31</v>
      </c>
      <c r="H29" t="str">
        <f t="shared" si="0"/>
        <v>.csv</v>
      </c>
      <c r="I29" s="5" t="str">
        <f>IFERROR(IF(OR(C29="PERAC",C29="FoPITY"),INDEX(Customizations!$C$2:$C$41,MATCH(Sheet1!D29,Customizations!$B$2:$B$41,0),1),INDEX(About!C:C,MATCH(Sheet1!C29,About!B:B,0),1)),"")</f>
        <v>BAU Components Energy Use.xlsx</v>
      </c>
      <c r="J29" s="5">
        <f>IFERROR(INDEX(About!$D$34:$D$222,MATCH(Sheet1!I29,About!$C$34:$C$222,0),1),0)</f>
        <v>1</v>
      </c>
      <c r="K29" s="6">
        <f t="shared" si="1"/>
        <v>1</v>
      </c>
    </row>
    <row r="30" spans="1:11" x14ac:dyDescent="0.25">
      <c r="A30" t="s">
        <v>0</v>
      </c>
      <c r="B30" t="s">
        <v>19</v>
      </c>
      <c r="C30" t="s">
        <v>25</v>
      </c>
      <c r="D30" t="s">
        <v>32</v>
      </c>
      <c r="H30" t="str">
        <f t="shared" si="0"/>
        <v>.csv</v>
      </c>
      <c r="I30" s="5" t="str">
        <f>IFERROR(IF(OR(C30="PERAC",C30="FoPITY"),INDEX(Customizations!$C$2:$C$41,MATCH(Sheet1!D30,Customizations!$B$2:$B$41,0),1),INDEX(About!C:C,MATCH(Sheet1!C30,About!B:B,0),1)),"")</f>
        <v>BAU Components Energy Use.xlsx</v>
      </c>
      <c r="J30" s="5">
        <f>IFERROR(INDEX(About!$D$34:$D$222,MATCH(Sheet1!I30,About!$C$34:$C$222,0),1),0)</f>
        <v>1</v>
      </c>
      <c r="K30" s="6">
        <f t="shared" si="1"/>
        <v>1</v>
      </c>
    </row>
    <row r="31" spans="1:11" x14ac:dyDescent="0.25">
      <c r="A31" t="s">
        <v>0</v>
      </c>
      <c r="B31" t="s">
        <v>19</v>
      </c>
      <c r="C31" t="s">
        <v>25</v>
      </c>
      <c r="D31" t="s">
        <v>33</v>
      </c>
      <c r="H31" t="str">
        <f t="shared" si="0"/>
        <v>.csv</v>
      </c>
      <c r="I31" s="5" t="str">
        <f>IFERROR(IF(OR(C31="PERAC",C31="FoPITY"),INDEX(Customizations!$C$2:$C$41,MATCH(Sheet1!D31,Customizations!$B$2:$B$41,0),1),INDEX(About!C:C,MATCH(Sheet1!C31,About!B:B,0),1)),"")</f>
        <v>BAU Components Energy Use.xlsx</v>
      </c>
      <c r="J31" s="5">
        <f>IFERROR(INDEX(About!$D$34:$D$222,MATCH(Sheet1!I31,About!$C$34:$C$222,0),1),0)</f>
        <v>1</v>
      </c>
      <c r="K31" s="6">
        <f t="shared" si="1"/>
        <v>1</v>
      </c>
    </row>
    <row r="32" spans="1:11" x14ac:dyDescent="0.25">
      <c r="A32" t="s">
        <v>0</v>
      </c>
      <c r="B32" t="s">
        <v>19</v>
      </c>
      <c r="C32" t="s">
        <v>25</v>
      </c>
      <c r="D32" t="s">
        <v>34</v>
      </c>
      <c r="H32" t="str">
        <f t="shared" si="0"/>
        <v>.csv</v>
      </c>
      <c r="I32" s="5" t="str">
        <f>IFERROR(IF(OR(C32="PERAC",C32="FoPITY"),INDEX(Customizations!$C$2:$C$41,MATCH(Sheet1!D32,Customizations!$B$2:$B$41,0),1),INDEX(About!C:C,MATCH(Sheet1!C32,About!B:B,0),1)),"")</f>
        <v>BAU Components Energy Use.xlsx</v>
      </c>
      <c r="J32" s="5">
        <f>IFERROR(INDEX(About!$D$34:$D$222,MATCH(Sheet1!I32,About!$C$34:$C$222,0),1),0)</f>
        <v>1</v>
      </c>
      <c r="K32" s="6">
        <f t="shared" si="1"/>
        <v>1</v>
      </c>
    </row>
    <row r="33" spans="1:11" x14ac:dyDescent="0.25">
      <c r="A33" t="s">
        <v>0</v>
      </c>
      <c r="B33" t="s">
        <v>19</v>
      </c>
      <c r="C33" t="s">
        <v>25</v>
      </c>
      <c r="D33" t="s">
        <v>35</v>
      </c>
      <c r="H33" t="str">
        <f t="shared" si="0"/>
        <v>.csv</v>
      </c>
      <c r="I33" s="5" t="str">
        <f>IFERROR(IF(OR(C33="PERAC",C33="FoPITY"),INDEX(Customizations!$C$2:$C$41,MATCH(Sheet1!D33,Customizations!$B$2:$B$41,0),1),INDEX(About!C:C,MATCH(Sheet1!C33,About!B:B,0),1)),"")</f>
        <v>BAU Components Energy Use.xlsx</v>
      </c>
      <c r="J33" s="5">
        <f>IFERROR(INDEX(About!$D$34:$D$222,MATCH(Sheet1!I33,About!$C$34:$C$222,0),1),0)</f>
        <v>1</v>
      </c>
      <c r="K33" s="6">
        <f t="shared" si="1"/>
        <v>1</v>
      </c>
    </row>
    <row r="34" spans="1:11" x14ac:dyDescent="0.25">
      <c r="A34" t="s">
        <v>0</v>
      </c>
      <c r="B34" t="s">
        <v>19</v>
      </c>
      <c r="C34" t="s">
        <v>25</v>
      </c>
      <c r="D34" t="s">
        <v>36</v>
      </c>
      <c r="H34" t="str">
        <f t="shared" si="0"/>
        <v>.csv</v>
      </c>
      <c r="I34" s="5" t="str">
        <f>IFERROR(IF(OR(C34="PERAC",C34="FoPITY"),INDEX(Customizations!$C$2:$C$41,MATCH(Sheet1!D34,Customizations!$B$2:$B$41,0),1),INDEX(About!C:C,MATCH(Sheet1!C34,About!B:B,0),1)),"")</f>
        <v>BAU Components Energy Use.xlsx</v>
      </c>
      <c r="J34" s="5">
        <f>IFERROR(INDEX(About!$D$34:$D$222,MATCH(Sheet1!I34,About!$C$34:$C$222,0),1),0)</f>
        <v>1</v>
      </c>
      <c r="K34" s="6">
        <f t="shared" si="1"/>
        <v>1</v>
      </c>
    </row>
    <row r="35" spans="1:11" x14ac:dyDescent="0.25">
      <c r="A35" t="s">
        <v>0</v>
      </c>
      <c r="B35" t="s">
        <v>19</v>
      </c>
      <c r="C35" t="s">
        <v>25</v>
      </c>
      <c r="D35" t="s">
        <v>37</v>
      </c>
      <c r="H35" t="str">
        <f t="shared" si="0"/>
        <v>.csv</v>
      </c>
      <c r="I35" s="5" t="str">
        <f>IFERROR(IF(OR(C35="PERAC",C35="FoPITY"),INDEX(Customizations!$C$2:$C$41,MATCH(Sheet1!D35,Customizations!$B$2:$B$41,0),1),INDEX(About!C:C,MATCH(Sheet1!C35,About!B:B,0),1)),"")</f>
        <v>BAU Components Energy Use.xlsx</v>
      </c>
      <c r="J35" s="5">
        <f>IFERROR(INDEX(About!$D$34:$D$222,MATCH(Sheet1!I35,About!$C$34:$C$222,0),1),0)</f>
        <v>1</v>
      </c>
      <c r="K35" s="6">
        <f t="shared" si="1"/>
        <v>1</v>
      </c>
    </row>
    <row r="36" spans="1:11" x14ac:dyDescent="0.25">
      <c r="A36" t="s">
        <v>0</v>
      </c>
      <c r="B36" t="s">
        <v>19</v>
      </c>
      <c r="C36" t="s">
        <v>25</v>
      </c>
      <c r="D36" t="s">
        <v>38</v>
      </c>
      <c r="H36" t="str">
        <f t="shared" si="0"/>
        <v>.csv</v>
      </c>
      <c r="I36" s="5" t="str">
        <f>IFERROR(IF(OR(C36="PERAC",C36="FoPITY"),INDEX(Customizations!$C$2:$C$41,MATCH(Sheet1!D36,Customizations!$B$2:$B$41,0),1),INDEX(About!C:C,MATCH(Sheet1!C36,About!B:B,0),1)),"")</f>
        <v>BAU Components Energy Use.xlsx</v>
      </c>
      <c r="J36" s="5">
        <f>IFERROR(INDEX(About!$D$34:$D$222,MATCH(Sheet1!I36,About!$C$34:$C$222,0),1),0)</f>
        <v>1</v>
      </c>
      <c r="K36" s="6">
        <f t="shared" si="1"/>
        <v>1</v>
      </c>
    </row>
    <row r="37" spans="1:11" x14ac:dyDescent="0.25">
      <c r="A37" t="s">
        <v>0</v>
      </c>
      <c r="B37" t="s">
        <v>19</v>
      </c>
      <c r="C37" t="s">
        <v>25</v>
      </c>
      <c r="D37" t="s">
        <v>39</v>
      </c>
      <c r="H37" t="str">
        <f t="shared" si="0"/>
        <v>.csv</v>
      </c>
      <c r="I37" s="5" t="str">
        <f>IFERROR(IF(OR(C37="PERAC",C37="FoPITY"),INDEX(Customizations!$C$2:$C$41,MATCH(Sheet1!D37,Customizations!$B$2:$B$41,0),1),INDEX(About!C:C,MATCH(Sheet1!C37,About!B:B,0),1)),"")</f>
        <v>BAU Components Energy Use.xlsx</v>
      </c>
      <c r="J37" s="5">
        <f>IFERROR(INDEX(About!$D$34:$D$222,MATCH(Sheet1!I37,About!$C$34:$C$222,0),1),0)</f>
        <v>1</v>
      </c>
      <c r="K37" s="6">
        <f t="shared" si="1"/>
        <v>1</v>
      </c>
    </row>
    <row r="38" spans="1:11" x14ac:dyDescent="0.25">
      <c r="A38" t="s">
        <v>0</v>
      </c>
      <c r="B38" t="s">
        <v>19</v>
      </c>
      <c r="C38" t="s">
        <v>25</v>
      </c>
      <c r="D38" t="s">
        <v>40</v>
      </c>
      <c r="H38" t="str">
        <f t="shared" si="0"/>
        <v>.csv</v>
      </c>
      <c r="I38" s="5" t="str">
        <f>IFERROR(IF(OR(C38="PERAC",C38="FoPITY"),INDEX(Customizations!$C$2:$C$41,MATCH(Sheet1!D38,Customizations!$B$2:$B$41,0),1),INDEX(About!C:C,MATCH(Sheet1!C38,About!B:B,0),1)),"")</f>
        <v>BAU Components Energy Use.xlsx</v>
      </c>
      <c r="J38" s="5">
        <f>IFERROR(INDEX(About!$D$34:$D$222,MATCH(Sheet1!I38,About!$C$34:$C$222,0),1),0)</f>
        <v>1</v>
      </c>
      <c r="K38" s="6">
        <f t="shared" si="1"/>
        <v>1</v>
      </c>
    </row>
    <row r="39" spans="1:11" x14ac:dyDescent="0.25">
      <c r="A39" t="s">
        <v>0</v>
      </c>
      <c r="B39" t="s">
        <v>19</v>
      </c>
      <c r="C39" t="s">
        <v>25</v>
      </c>
      <c r="D39" t="s">
        <v>41</v>
      </c>
      <c r="H39" t="str">
        <f t="shared" si="0"/>
        <v>.csv</v>
      </c>
      <c r="I39" s="5" t="str">
        <f>IFERROR(IF(OR(C39="PERAC",C39="FoPITY"),INDEX(Customizations!$C$2:$C$41,MATCH(Sheet1!D39,Customizations!$B$2:$B$41,0),1),INDEX(About!C:C,MATCH(Sheet1!C39,About!B:B,0),1)),"")</f>
        <v>BAU Components Energy Use.xlsx</v>
      </c>
      <c r="J39" s="5">
        <f>IFERROR(INDEX(About!$D$34:$D$222,MATCH(Sheet1!I39,About!$C$34:$C$222,0),1),0)</f>
        <v>1</v>
      </c>
      <c r="K39" s="6">
        <f t="shared" si="1"/>
        <v>1</v>
      </c>
    </row>
    <row r="40" spans="1:11" x14ac:dyDescent="0.25">
      <c r="A40" t="s">
        <v>0</v>
      </c>
      <c r="B40" t="s">
        <v>19</v>
      </c>
      <c r="C40" t="s">
        <v>42</v>
      </c>
      <c r="D40" t="s">
        <v>43</v>
      </c>
      <c r="H40" t="str">
        <f t="shared" si="0"/>
        <v>xlsx</v>
      </c>
      <c r="I40" s="5" t="str">
        <f>IFERROR(IF(OR(C40="PERAC",C40="FoPITY"),INDEX(Customizations!$C$2:$C$41,MATCH(Sheet1!D40,Customizations!$B$2:$B$41,0),1),INDEX(About!C:C,MATCH(Sheet1!C40,About!B:B,0),1)),"")</f>
        <v>BAU Distribued Electricity Quantities.xlsx</v>
      </c>
      <c r="J40" s="5">
        <f>IFERROR(INDEX(About!$D$34:$D$222,MATCH(Sheet1!I40,About!$C$34:$C$222,0),1),0)</f>
        <v>1</v>
      </c>
      <c r="K40" s="6">
        <f t="shared" si="1"/>
        <v>0</v>
      </c>
    </row>
    <row r="41" spans="1:11" x14ac:dyDescent="0.25">
      <c r="A41" t="s">
        <v>0</v>
      </c>
      <c r="B41" t="s">
        <v>19</v>
      </c>
      <c r="C41" t="s">
        <v>42</v>
      </c>
      <c r="D41" t="s">
        <v>44</v>
      </c>
      <c r="H41" t="str">
        <f t="shared" si="0"/>
        <v>.csv</v>
      </c>
      <c r="I41" s="5" t="str">
        <f>IFERROR(IF(OR(C41="PERAC",C41="FoPITY"),INDEX(Customizations!$C$2:$C$41,MATCH(Sheet1!D41,Customizations!$B$2:$B$41,0),1),INDEX(About!C:C,MATCH(Sheet1!C41,About!B:B,0),1)),"")</f>
        <v>BAU Distribued Electricity Quantities.xlsx</v>
      </c>
      <c r="J41" s="5">
        <f>IFERROR(INDEX(About!$D$34:$D$222,MATCH(Sheet1!I41,About!$C$34:$C$222,0),1),0)</f>
        <v>1</v>
      </c>
      <c r="K41" s="6">
        <f t="shared" si="1"/>
        <v>1</v>
      </c>
    </row>
    <row r="42" spans="1:11" x14ac:dyDescent="0.25">
      <c r="A42" t="s">
        <v>0</v>
      </c>
      <c r="B42" t="s">
        <v>19</v>
      </c>
      <c r="C42" t="s">
        <v>42</v>
      </c>
      <c r="D42" t="s">
        <v>45</v>
      </c>
      <c r="H42" t="str">
        <f t="shared" si="0"/>
        <v>.csv</v>
      </c>
      <c r="I42" s="5" t="str">
        <f>IFERROR(IF(OR(C42="PERAC",C42="FoPITY"),INDEX(Customizations!$C$2:$C$41,MATCH(Sheet1!D42,Customizations!$B$2:$B$41,0),1),INDEX(About!C:C,MATCH(Sheet1!C42,About!B:B,0),1)),"")</f>
        <v>BAU Distribued Electricity Quantities.xlsx</v>
      </c>
      <c r="J42" s="5">
        <f>IFERROR(INDEX(About!$D$34:$D$222,MATCH(Sheet1!I42,About!$C$34:$C$222,0),1),0)</f>
        <v>1</v>
      </c>
      <c r="K42" s="6">
        <f t="shared" si="1"/>
        <v>1</v>
      </c>
    </row>
    <row r="43" spans="1:11" x14ac:dyDescent="0.25">
      <c r="A43" t="s">
        <v>0</v>
      </c>
      <c r="B43" t="s">
        <v>19</v>
      </c>
      <c r="C43" t="s">
        <v>42</v>
      </c>
      <c r="D43" t="s">
        <v>46</v>
      </c>
      <c r="H43" t="str">
        <f t="shared" si="0"/>
        <v>.csv</v>
      </c>
      <c r="I43" s="5" t="str">
        <f>IFERROR(IF(OR(C43="PERAC",C43="FoPITY"),INDEX(Customizations!$C$2:$C$41,MATCH(Sheet1!D43,Customizations!$B$2:$B$41,0),1),INDEX(About!C:C,MATCH(Sheet1!C43,About!B:B,0),1)),"")</f>
        <v>BAU Distribued Electricity Quantities.xlsx</v>
      </c>
      <c r="J43" s="5">
        <f>IFERROR(INDEX(About!$D$34:$D$222,MATCH(Sheet1!I43,About!$C$34:$C$222,0),1),0)</f>
        <v>1</v>
      </c>
      <c r="K43" s="6">
        <f t="shared" si="1"/>
        <v>1</v>
      </c>
    </row>
    <row r="44" spans="1:11" x14ac:dyDescent="0.25">
      <c r="A44" t="s">
        <v>0</v>
      </c>
      <c r="B44" t="s">
        <v>19</v>
      </c>
      <c r="C44" t="s">
        <v>42</v>
      </c>
      <c r="D44" t="s">
        <v>47</v>
      </c>
      <c r="H44" t="str">
        <f t="shared" si="0"/>
        <v>.csv</v>
      </c>
      <c r="I44" s="5" t="str">
        <f>IFERROR(IF(OR(C44="PERAC",C44="FoPITY"),INDEX(Customizations!$C$2:$C$41,MATCH(Sheet1!D44,Customizations!$B$2:$B$41,0),1),INDEX(About!C:C,MATCH(Sheet1!C44,About!B:B,0),1)),"")</f>
        <v>BAU Distribued Electricity Quantities.xlsx</v>
      </c>
      <c r="J44" s="5">
        <f>IFERROR(INDEX(About!$D$34:$D$222,MATCH(Sheet1!I44,About!$C$34:$C$222,0),1),0)</f>
        <v>1</v>
      </c>
      <c r="K44" s="6">
        <f t="shared" si="1"/>
        <v>1</v>
      </c>
    </row>
    <row r="45" spans="1:11" x14ac:dyDescent="0.25">
      <c r="A45" t="s">
        <v>0</v>
      </c>
      <c r="B45" t="s">
        <v>19</v>
      </c>
      <c r="C45" t="s">
        <v>42</v>
      </c>
      <c r="D45" t="s">
        <v>48</v>
      </c>
      <c r="H45" t="str">
        <f t="shared" si="0"/>
        <v>.csv</v>
      </c>
      <c r="I45" s="5" t="str">
        <f>IFERROR(IF(OR(C45="PERAC",C45="FoPITY"),INDEX(Customizations!$C$2:$C$41,MATCH(Sheet1!D45,Customizations!$B$2:$B$41,0),1),INDEX(About!C:C,MATCH(Sheet1!C45,About!B:B,0),1)),"")</f>
        <v>BAU Distribued Electricity Quantities.xlsx</v>
      </c>
      <c r="J45" s="5">
        <f>IFERROR(INDEX(About!$D$34:$D$222,MATCH(Sheet1!I45,About!$C$34:$C$222,0),1),0)</f>
        <v>1</v>
      </c>
      <c r="K45" s="6">
        <f t="shared" si="1"/>
        <v>1</v>
      </c>
    </row>
    <row r="46" spans="1:11" x14ac:dyDescent="0.25">
      <c r="A46" t="s">
        <v>0</v>
      </c>
      <c r="B46" t="s">
        <v>19</v>
      </c>
      <c r="C46" t="s">
        <v>42</v>
      </c>
      <c r="D46" t="s">
        <v>49</v>
      </c>
      <c r="H46" t="str">
        <f t="shared" si="0"/>
        <v>.csv</v>
      </c>
      <c r="I46" s="5" t="str">
        <f>IFERROR(IF(OR(C46="PERAC",C46="FoPITY"),INDEX(Customizations!$C$2:$C$41,MATCH(Sheet1!D46,Customizations!$B$2:$B$41,0),1),INDEX(About!C:C,MATCH(Sheet1!C46,About!B:B,0),1)),"")</f>
        <v>BAU Distribued Electricity Quantities.xlsx</v>
      </c>
      <c r="J46" s="5">
        <f>IFERROR(INDEX(About!$D$34:$D$222,MATCH(Sheet1!I46,About!$C$34:$C$222,0),1),0)</f>
        <v>1</v>
      </c>
      <c r="K46" s="6">
        <f t="shared" si="1"/>
        <v>1</v>
      </c>
    </row>
    <row r="47" spans="1:11" x14ac:dyDescent="0.25">
      <c r="A47" t="s">
        <v>0</v>
      </c>
      <c r="B47" t="s">
        <v>19</v>
      </c>
      <c r="C47" t="s">
        <v>50</v>
      </c>
      <c r="D47" t="s">
        <v>51</v>
      </c>
      <c r="H47" t="str">
        <f t="shared" si="0"/>
        <v>xlsx</v>
      </c>
      <c r="I47" s="5" t="str">
        <f>IFERROR(IF(OR(C47="PERAC",C47="FoPITY"),INDEX(Customizations!$C$2:$C$41,MATCH(Sheet1!D47,Customizations!$B$2:$B$41,0),1),INDEX(About!C:C,MATCH(Sheet1!C47,About!B:B,0),1)),"")</f>
        <v>BAU Frac of Components Sold by Quality Lvl.xlsx</v>
      </c>
      <c r="J47" s="5">
        <f>IFERROR(INDEX(About!$D$34:$D$222,MATCH(Sheet1!I47,About!$C$34:$C$222,0),1),0)</f>
        <v>1</v>
      </c>
      <c r="K47" s="6">
        <f t="shared" si="1"/>
        <v>0</v>
      </c>
    </row>
    <row r="48" spans="1:11" x14ac:dyDescent="0.25">
      <c r="A48" t="s">
        <v>0</v>
      </c>
      <c r="B48" t="s">
        <v>19</v>
      </c>
      <c r="C48" t="s">
        <v>50</v>
      </c>
      <c r="D48" t="s">
        <v>52</v>
      </c>
      <c r="H48" t="str">
        <f t="shared" si="0"/>
        <v>.csv</v>
      </c>
      <c r="I48" s="5" t="str">
        <f>IFERROR(IF(OR(C48="PERAC",C48="FoPITY"),INDEX(Customizations!$C$2:$C$41,MATCH(Sheet1!D48,Customizations!$B$2:$B$41,0),1),INDEX(About!C:C,MATCH(Sheet1!C48,About!B:B,0),1)),"")</f>
        <v>BAU Frac of Components Sold by Quality Lvl.xlsx</v>
      </c>
      <c r="J48" s="5">
        <f>IFERROR(INDEX(About!$D$34:$D$222,MATCH(Sheet1!I48,About!$C$34:$C$222,0),1),0)</f>
        <v>1</v>
      </c>
      <c r="K48" s="6">
        <f t="shared" si="1"/>
        <v>1</v>
      </c>
    </row>
    <row r="49" spans="1:11" x14ac:dyDescent="0.25">
      <c r="A49" t="s">
        <v>0</v>
      </c>
      <c r="B49" t="s">
        <v>19</v>
      </c>
      <c r="C49" t="s">
        <v>50</v>
      </c>
      <c r="D49" t="s">
        <v>53</v>
      </c>
      <c r="H49" t="str">
        <f t="shared" si="0"/>
        <v>.csv</v>
      </c>
      <c r="I49" s="5" t="str">
        <f>IFERROR(IF(OR(C49="PERAC",C49="FoPITY"),INDEX(Customizations!$C$2:$C$41,MATCH(Sheet1!D49,Customizations!$B$2:$B$41,0),1),INDEX(About!C:C,MATCH(Sheet1!C49,About!B:B,0),1)),"")</f>
        <v>BAU Frac of Components Sold by Quality Lvl.xlsx</v>
      </c>
      <c r="J49" s="5">
        <f>IFERROR(INDEX(About!$D$34:$D$222,MATCH(Sheet1!I49,About!$C$34:$C$222,0),1),0)</f>
        <v>1</v>
      </c>
      <c r="K49" s="6">
        <f t="shared" si="1"/>
        <v>1</v>
      </c>
    </row>
    <row r="50" spans="1:11" x14ac:dyDescent="0.25">
      <c r="A50" t="s">
        <v>0</v>
      </c>
      <c r="B50" t="s">
        <v>19</v>
      </c>
      <c r="C50" t="s">
        <v>50</v>
      </c>
      <c r="D50" t="s">
        <v>54</v>
      </c>
      <c r="H50" t="str">
        <f t="shared" si="0"/>
        <v>.csv</v>
      </c>
      <c r="I50" s="5" t="str">
        <f>IFERROR(IF(OR(C50="PERAC",C50="FoPITY"),INDEX(Customizations!$C$2:$C$41,MATCH(Sheet1!D50,Customizations!$B$2:$B$41,0),1),INDEX(About!C:C,MATCH(Sheet1!C50,About!B:B,0),1)),"")</f>
        <v>BAU Frac of Components Sold by Quality Lvl.xlsx</v>
      </c>
      <c r="J50" s="5">
        <f>IFERROR(INDEX(About!$D$34:$D$222,MATCH(Sheet1!I50,About!$C$34:$C$222,0),1),0)</f>
        <v>1</v>
      </c>
      <c r="K50" s="6">
        <f t="shared" si="1"/>
        <v>1</v>
      </c>
    </row>
    <row r="51" spans="1:11" x14ac:dyDescent="0.25">
      <c r="A51" t="s">
        <v>0</v>
      </c>
      <c r="B51" t="s">
        <v>19</v>
      </c>
      <c r="C51" t="s">
        <v>55</v>
      </c>
      <c r="D51" t="s">
        <v>56</v>
      </c>
      <c r="H51" t="str">
        <f t="shared" si="0"/>
        <v>xlsx</v>
      </c>
      <c r="I51" s="5" t="str">
        <f>IFERROR(IF(OR(C51="PERAC",C51="FoPITY"),INDEX(Customizations!$C$2:$C$41,MATCH(Sheet1!D51,Customizations!$B$2:$B$41,0),1),INDEX(About!C:C,MATCH(Sheet1!C51,About!B:B,0),1)),"")</f>
        <v>Bldg Retrofitting E Savings and Costs.xlsx</v>
      </c>
      <c r="J51" s="5">
        <f>IFERROR(INDEX(About!$D$34:$D$222,MATCH(Sheet1!I51,About!$C$34:$C$222,0),1),0)</f>
        <v>1</v>
      </c>
      <c r="K51" s="6">
        <f t="shared" si="1"/>
        <v>0</v>
      </c>
    </row>
    <row r="52" spans="1:11" x14ac:dyDescent="0.25">
      <c r="A52" t="s">
        <v>0</v>
      </c>
      <c r="B52" t="s">
        <v>19</v>
      </c>
      <c r="C52" t="s">
        <v>55</v>
      </c>
      <c r="D52" t="s">
        <v>57</v>
      </c>
      <c r="H52" t="str">
        <f t="shared" si="0"/>
        <v>.csv</v>
      </c>
      <c r="I52" s="5" t="str">
        <f>IFERROR(IF(OR(C52="PERAC",C52="FoPITY"),INDEX(Customizations!$C$2:$C$41,MATCH(Sheet1!D52,Customizations!$B$2:$B$41,0),1),INDEX(About!C:C,MATCH(Sheet1!C52,About!B:B,0),1)),"")</f>
        <v>Bldg Retrofitting E Savings and Costs.xlsx</v>
      </c>
      <c r="J52" s="5">
        <f>IFERROR(INDEX(About!$D$34:$D$222,MATCH(Sheet1!I52,About!$C$34:$C$222,0),1),0)</f>
        <v>1</v>
      </c>
      <c r="K52" s="6">
        <f t="shared" si="1"/>
        <v>1</v>
      </c>
    </row>
    <row r="53" spans="1:11" x14ac:dyDescent="0.25">
      <c r="A53" t="s">
        <v>0</v>
      </c>
      <c r="B53" t="s">
        <v>19</v>
      </c>
      <c r="C53" t="s">
        <v>55</v>
      </c>
      <c r="D53" t="s">
        <v>58</v>
      </c>
      <c r="H53" t="str">
        <f t="shared" si="0"/>
        <v>.csv</v>
      </c>
      <c r="I53" s="5" t="str">
        <f>IFERROR(IF(OR(C53="PERAC",C53="FoPITY"),INDEX(Customizations!$C$2:$C$41,MATCH(Sheet1!D53,Customizations!$B$2:$B$41,0),1),INDEX(About!C:C,MATCH(Sheet1!C53,About!B:B,0),1)),"")</f>
        <v>Bldg Retrofitting E Savings and Costs.xlsx</v>
      </c>
      <c r="J53" s="5">
        <f>IFERROR(INDEX(About!$D$34:$D$222,MATCH(Sheet1!I53,About!$C$34:$C$222,0),1),0)</f>
        <v>1</v>
      </c>
      <c r="K53" s="6">
        <f t="shared" si="1"/>
        <v>1</v>
      </c>
    </row>
    <row r="54" spans="1:11" x14ac:dyDescent="0.25">
      <c r="A54" t="s">
        <v>0</v>
      </c>
      <c r="B54" t="s">
        <v>19</v>
      </c>
      <c r="C54" t="s">
        <v>59</v>
      </c>
      <c r="D54" t="s">
        <v>60</v>
      </c>
      <c r="H54" t="str">
        <f t="shared" si="0"/>
        <v>.csv</v>
      </c>
      <c r="I54" s="5" t="str">
        <f>IFERROR(IF(OR(C54="PERAC",C54="FoPITY"),INDEX(Customizations!$C$2:$C$41,MATCH(Sheet1!D54,Customizations!$B$2:$B$41,0),1),INDEX(About!C:C,MATCH(Sheet1!C54,About!B:B,0),1)),"")</f>
        <v>Component Lifetime.xlsx</v>
      </c>
      <c r="J54" s="5">
        <f>IFERROR(INDEX(About!$D$34:$D$222,MATCH(Sheet1!I54,About!$C$34:$C$222,0),1),0)</f>
        <v>1</v>
      </c>
      <c r="K54" s="6">
        <f t="shared" si="1"/>
        <v>1</v>
      </c>
    </row>
    <row r="55" spans="1:11" x14ac:dyDescent="0.25">
      <c r="A55" t="s">
        <v>0</v>
      </c>
      <c r="B55" t="s">
        <v>19</v>
      </c>
      <c r="C55" t="s">
        <v>59</v>
      </c>
      <c r="D55" t="s">
        <v>61</v>
      </c>
      <c r="H55" t="str">
        <f t="shared" si="0"/>
        <v>xlsx</v>
      </c>
      <c r="I55" s="5" t="str">
        <f>IFERROR(IF(OR(C55="PERAC",C55="FoPITY"),INDEX(Customizations!$C$2:$C$41,MATCH(Sheet1!D55,Customizations!$B$2:$B$41,0),1),INDEX(About!C:C,MATCH(Sheet1!C55,About!B:B,0),1)),"")</f>
        <v>Component Lifetime.xlsx</v>
      </c>
      <c r="J55" s="5">
        <f>IFERROR(INDEX(About!$D$34:$D$222,MATCH(Sheet1!I55,About!$C$34:$C$222,0),1),0)</f>
        <v>1</v>
      </c>
      <c r="K55" s="6">
        <f t="shared" si="1"/>
        <v>0</v>
      </c>
    </row>
    <row r="56" spans="1:11" x14ac:dyDescent="0.25">
      <c r="A56" t="s">
        <v>0</v>
      </c>
      <c r="B56" t="s">
        <v>19</v>
      </c>
      <c r="C56" t="s">
        <v>62</v>
      </c>
      <c r="D56" t="s">
        <v>63</v>
      </c>
      <c r="H56" t="str">
        <f t="shared" si="0"/>
        <v>xlsx</v>
      </c>
      <c r="I56" s="5" t="str">
        <f>IFERROR(IF(OR(C56="PERAC",C56="FoPITY"),INDEX(Customizations!$C$2:$C$41,MATCH(Sheet1!D56,Customizations!$B$2:$B$41,0),1),INDEX(About!C:C,MATCH(Sheet1!C56,About!B:B,0),1)),"")</f>
        <v>Cost per Unit Dist Solar Cap.xlsx</v>
      </c>
      <c r="J56" s="5">
        <f>IFERROR(INDEX(About!$D$34:$D$222,MATCH(Sheet1!I56,About!$C$34:$C$222,0),1),0)</f>
        <v>1</v>
      </c>
      <c r="K56" s="6">
        <f t="shared" si="1"/>
        <v>0</v>
      </c>
    </row>
    <row r="57" spans="1:11" x14ac:dyDescent="0.25">
      <c r="A57" t="s">
        <v>0</v>
      </c>
      <c r="B57" t="s">
        <v>19</v>
      </c>
      <c r="C57" t="s">
        <v>62</v>
      </c>
      <c r="D57" t="s">
        <v>64</v>
      </c>
      <c r="H57" t="str">
        <f t="shared" si="0"/>
        <v>.csv</v>
      </c>
      <c r="I57" s="5" t="str">
        <f>IFERROR(IF(OR(C57="PERAC",C57="FoPITY"),INDEX(Customizations!$C$2:$C$41,MATCH(Sheet1!D57,Customizations!$B$2:$B$41,0),1),INDEX(About!C:C,MATCH(Sheet1!C57,About!B:B,0),1)),"")</f>
        <v>Cost per Unit Dist Solar Cap.xlsx</v>
      </c>
      <c r="J57" s="5">
        <f>IFERROR(INDEX(About!$D$34:$D$222,MATCH(Sheet1!I57,About!$C$34:$C$222,0),1),0)</f>
        <v>1</v>
      </c>
      <c r="K57" s="6">
        <f t="shared" si="1"/>
        <v>1</v>
      </c>
    </row>
    <row r="58" spans="1:11" x14ac:dyDescent="0.25">
      <c r="A58" t="s">
        <v>0</v>
      </c>
      <c r="B58" t="s">
        <v>19</v>
      </c>
      <c r="C58" t="s">
        <v>65</v>
      </c>
      <c r="D58" t="s">
        <v>66</v>
      </c>
      <c r="H58" t="str">
        <f t="shared" si="0"/>
        <v>xlsx</v>
      </c>
      <c r="I58" s="5" t="str">
        <f>IFERROR(IF(OR(C58="PERAC",C58="FoPITY"),INDEX(Customizations!$C$2:$C$41,MATCH(Sheet1!D58,Customizations!$B$2:$B$41,0),1),INDEX(About!C:C,MATCH(Sheet1!C58,About!B:B,0),1)),"")</f>
        <v>Distributed Solar Cap Factor.xlsx</v>
      </c>
      <c r="J58" s="5">
        <f>IFERROR(INDEX(About!$D$34:$D$222,MATCH(Sheet1!I58,About!$C$34:$C$222,0),1),0)</f>
        <v>1</v>
      </c>
      <c r="K58" s="6">
        <f t="shared" si="1"/>
        <v>0</v>
      </c>
    </row>
    <row r="59" spans="1:11" x14ac:dyDescent="0.25">
      <c r="A59" t="s">
        <v>0</v>
      </c>
      <c r="B59" t="s">
        <v>19</v>
      </c>
      <c r="C59" t="s">
        <v>65</v>
      </c>
      <c r="D59" t="s">
        <v>67</v>
      </c>
      <c r="H59" t="str">
        <f t="shared" si="0"/>
        <v>.csv</v>
      </c>
      <c r="I59" s="5" t="str">
        <f>IFERROR(IF(OR(C59="PERAC",C59="FoPITY"),INDEX(Customizations!$C$2:$C$41,MATCH(Sheet1!D59,Customizations!$B$2:$B$41,0),1),INDEX(About!C:C,MATCH(Sheet1!C59,About!B:B,0),1)),"")</f>
        <v>Distributed Solar Cap Factor.xlsx</v>
      </c>
      <c r="J59" s="5">
        <f>IFERROR(INDEX(About!$D$34:$D$222,MATCH(Sheet1!I59,About!$C$34:$C$222,0),1),0)</f>
        <v>1</v>
      </c>
      <c r="K59" s="6">
        <f t="shared" si="1"/>
        <v>1</v>
      </c>
    </row>
    <row r="60" spans="1:11" x14ac:dyDescent="0.25">
      <c r="A60" t="s">
        <v>0</v>
      </c>
      <c r="B60" t="s">
        <v>19</v>
      </c>
      <c r="C60" t="s">
        <v>68</v>
      </c>
      <c r="D60" t="s">
        <v>69</v>
      </c>
      <c r="H60" t="str">
        <f t="shared" si="0"/>
        <v>.csv</v>
      </c>
      <c r="I60" s="5" t="str">
        <f>IFERROR(IF(OR(C60="PERAC",C60="FoPITY"),INDEX(Customizations!$C$2:$C$41,MATCH(Sheet1!D60,Customizations!$B$2:$B$41,0),1),INDEX(About!C:C,MATCH(Sheet1!C60,About!B:B,0),1)),"")</f>
        <v>Embedded Carbon in Components per Currency Unit.xlsx</v>
      </c>
      <c r="J60" s="5">
        <f>IFERROR(INDEX(About!$D$34:$D$222,MATCH(Sheet1!I60,About!$C$34:$C$222,0),1),0)</f>
        <v>1</v>
      </c>
      <c r="K60" s="6">
        <f t="shared" si="1"/>
        <v>1</v>
      </c>
    </row>
    <row r="61" spans="1:11" x14ac:dyDescent="0.25">
      <c r="A61" t="s">
        <v>0</v>
      </c>
      <c r="B61" t="s">
        <v>19</v>
      </c>
      <c r="C61" t="s">
        <v>68</v>
      </c>
      <c r="D61" t="s">
        <v>70</v>
      </c>
      <c r="H61" t="str">
        <f t="shared" si="0"/>
        <v>xlsx</v>
      </c>
      <c r="I61" s="5" t="str">
        <f>IFERROR(IF(OR(C61="PERAC",C61="FoPITY"),INDEX(Customizations!$C$2:$C$41,MATCH(Sheet1!D61,Customizations!$B$2:$B$41,0),1),INDEX(About!C:C,MATCH(Sheet1!C61,About!B:B,0),1)),"")</f>
        <v>Embedded Carbon in Components per Currency Unit.xlsx</v>
      </c>
      <c r="J61" s="5">
        <f>IFERROR(INDEX(About!$D$34:$D$222,MATCH(Sheet1!I61,About!$C$34:$C$222,0),1),0)</f>
        <v>1</v>
      </c>
      <c r="K61" s="6">
        <f t="shared" si="1"/>
        <v>0</v>
      </c>
    </row>
    <row r="62" spans="1:11" x14ac:dyDescent="0.25">
      <c r="A62" t="s">
        <v>0</v>
      </c>
      <c r="B62" t="s">
        <v>19</v>
      </c>
      <c r="C62" t="s">
        <v>71</v>
      </c>
      <c r="D62" t="s">
        <v>72</v>
      </c>
      <c r="H62" t="str">
        <f t="shared" si="0"/>
        <v>xlsx</v>
      </c>
      <c r="I62" s="5" t="str">
        <f>IFERROR(IF(OR(C62="PERAC",C62="FoPITY"),INDEX(Customizations!$C$2:$C$41,MATCH(Sheet1!D62,Customizations!$B$2:$B$41,0),1),INDEX(About!C:C,MATCH(Sheet1!C62,About!B:B,0),1)),"")</f>
        <v>Elast of Bldg Svc Demand wrt E Cost.xlsx</v>
      </c>
      <c r="J62" s="5">
        <f>IFERROR(INDEX(About!$D$34:$D$222,MATCH(Sheet1!I62,About!$C$34:$C$222,0),1),0)</f>
        <v>1</v>
      </c>
      <c r="K62" s="6">
        <f t="shared" si="1"/>
        <v>0</v>
      </c>
    </row>
    <row r="63" spans="1:11" x14ac:dyDescent="0.25">
      <c r="A63" t="s">
        <v>0</v>
      </c>
      <c r="B63" t="s">
        <v>19</v>
      </c>
      <c r="C63" t="s">
        <v>71</v>
      </c>
      <c r="D63" t="s">
        <v>73</v>
      </c>
      <c r="H63" t="str">
        <f t="shared" si="0"/>
        <v>.csv</v>
      </c>
      <c r="I63" s="5" t="str">
        <f>IFERROR(IF(OR(C63="PERAC",C63="FoPITY"),INDEX(Customizations!$C$2:$C$41,MATCH(Sheet1!D63,Customizations!$B$2:$B$41,0),1),INDEX(About!C:C,MATCH(Sheet1!C63,About!B:B,0),1)),"")</f>
        <v>Elast of Bldg Svc Demand wrt E Cost.xlsx</v>
      </c>
      <c r="J63" s="5">
        <f>IFERROR(INDEX(About!$D$34:$D$222,MATCH(Sheet1!I63,About!$C$34:$C$222,0),1),0)</f>
        <v>1</v>
      </c>
      <c r="K63" s="6">
        <f t="shared" si="1"/>
        <v>1</v>
      </c>
    </row>
    <row r="64" spans="1:11" x14ac:dyDescent="0.25">
      <c r="A64" t="s">
        <v>0</v>
      </c>
      <c r="B64" t="s">
        <v>19</v>
      </c>
      <c r="C64" t="s">
        <v>74</v>
      </c>
      <c r="D64" t="s">
        <v>75</v>
      </c>
      <c r="H64" t="str">
        <f t="shared" si="0"/>
        <v>xlsx</v>
      </c>
      <c r="I64" s="5" t="str">
        <f>IFERROR(IF(OR(C64="PERAC",C64="FoPITY"),INDEX(Customizations!$C$2:$C$41,MATCH(Sheet1!D64,Customizations!$B$2:$B$41,0),1),INDEX(About!C:C,MATCH(Sheet1!C64,About!B:B,0),1)),"")</f>
        <v>Elast of Component E Demand wrt E Cost.xlsx</v>
      </c>
      <c r="J64" s="5">
        <f>IFERROR(INDEX(About!$D$34:$D$222,MATCH(Sheet1!I64,About!$C$34:$C$222,0),1),0)</f>
        <v>1</v>
      </c>
      <c r="K64" s="6">
        <f t="shared" si="1"/>
        <v>0</v>
      </c>
    </row>
    <row r="65" spans="1:11" x14ac:dyDescent="0.25">
      <c r="A65" t="s">
        <v>0</v>
      </c>
      <c r="B65" t="s">
        <v>19</v>
      </c>
      <c r="C65" t="s">
        <v>74</v>
      </c>
      <c r="D65" t="s">
        <v>76</v>
      </c>
      <c r="H65" t="str">
        <f t="shared" si="0"/>
        <v>.csv</v>
      </c>
      <c r="I65" s="5" t="str">
        <f>IFERROR(IF(OR(C65="PERAC",C65="FoPITY"),INDEX(Customizations!$C$2:$C$41,MATCH(Sheet1!D65,Customizations!$B$2:$B$41,0),1),INDEX(About!C:C,MATCH(Sheet1!C65,About!B:B,0),1)),"")</f>
        <v>Elast of Component E Demand wrt E Cost.xlsx</v>
      </c>
      <c r="J65" s="5">
        <f>IFERROR(INDEX(About!$D$34:$D$222,MATCH(Sheet1!I65,About!$C$34:$C$222,0),1),0)</f>
        <v>1</v>
      </c>
      <c r="K65" s="6">
        <f t="shared" si="1"/>
        <v>1</v>
      </c>
    </row>
    <row r="66" spans="1:11" x14ac:dyDescent="0.25">
      <c r="A66" t="s">
        <v>0</v>
      </c>
      <c r="B66" t="s">
        <v>19</v>
      </c>
      <c r="C66" t="s">
        <v>77</v>
      </c>
      <c r="D66" t="s">
        <v>78</v>
      </c>
      <c r="H66" t="str">
        <f t="shared" si="0"/>
        <v>xlsx</v>
      </c>
      <c r="I66" s="5" t="str">
        <f>IFERROR(IF(OR(C66="PERAC",C66="FoPITY"),INDEX(Customizations!$C$2:$C$41,MATCH(Sheet1!D66,Customizations!$B$2:$B$41,0),1),INDEX(About!C:C,MATCH(Sheet1!C66,About!B:B,0),1)),"")</f>
        <v>Elast of Component Price wrt E Use.xlsx</v>
      </c>
      <c r="J66" s="5">
        <f>IFERROR(INDEX(About!$D$34:$D$222,MATCH(Sheet1!I66,About!$C$34:$C$222,0),1),0)</f>
        <v>1</v>
      </c>
      <c r="K66" s="6">
        <f t="shared" si="1"/>
        <v>0</v>
      </c>
    </row>
    <row r="67" spans="1:11" x14ac:dyDescent="0.25">
      <c r="A67" t="s">
        <v>0</v>
      </c>
      <c r="B67" t="s">
        <v>19</v>
      </c>
      <c r="C67" t="s">
        <v>77</v>
      </c>
      <c r="D67" t="s">
        <v>79</v>
      </c>
      <c r="H67" t="str">
        <f t="shared" si="0"/>
        <v>.csv</v>
      </c>
      <c r="I67" s="5" t="str">
        <f>IFERROR(IF(OR(C67="PERAC",C67="FoPITY"),INDEX(Customizations!$C$2:$C$41,MATCH(Sheet1!D67,Customizations!$B$2:$B$41,0),1),INDEX(About!C:C,MATCH(Sheet1!C67,About!B:B,0),1)),"")</f>
        <v>Elast of Component Price wrt E Use.xlsx</v>
      </c>
      <c r="J67" s="5">
        <f>IFERROR(INDEX(About!$D$34:$D$222,MATCH(Sheet1!I67,About!$C$34:$C$222,0),1),0)</f>
        <v>1</v>
      </c>
      <c r="K67" s="6">
        <f t="shared" si="1"/>
        <v>1</v>
      </c>
    </row>
    <row r="68" spans="1:11" x14ac:dyDescent="0.25">
      <c r="A68" t="s">
        <v>0</v>
      </c>
      <c r="B68" t="s">
        <v>19</v>
      </c>
      <c r="C68" t="s">
        <v>80</v>
      </c>
      <c r="D68" t="s">
        <v>81</v>
      </c>
      <c r="H68" t="str">
        <f t="shared" si="0"/>
        <v>xlsx</v>
      </c>
      <c r="I68" s="5" t="str">
        <f>IFERROR(IF(OR(C68="PERAC",C68="FoPITY"),INDEX(Customizations!$C$2:$C$41,MATCH(Sheet1!D68,Customizations!$B$2:$B$41,0),1),INDEX(About!C:C,MATCH(Sheet1!C68,About!B:B,0),1)),"")</f>
        <v>Elasticity of Dist Solar Deployment wrt Subsidy Perc.xlsx</v>
      </c>
      <c r="J68" s="5">
        <f>IFERROR(INDEX(About!$D$34:$D$222,MATCH(Sheet1!I68,About!$C$34:$C$222,0),1),0)</f>
        <v>1</v>
      </c>
      <c r="K68" s="6">
        <f t="shared" si="1"/>
        <v>0</v>
      </c>
    </row>
    <row r="69" spans="1:11" x14ac:dyDescent="0.25">
      <c r="A69" t="s">
        <v>0</v>
      </c>
      <c r="B69" t="s">
        <v>19</v>
      </c>
      <c r="C69" t="s">
        <v>80</v>
      </c>
      <c r="D69" t="s">
        <v>82</v>
      </c>
      <c r="H69" t="str">
        <f t="shared" ref="H69:H132" si="2">RIGHT(D69,"4")</f>
        <v>.csv</v>
      </c>
      <c r="I69" s="5" t="str">
        <f>IFERROR(IF(OR(C69="PERAC",C69="FoPITY"),INDEX(Customizations!$C$2:$C$41,MATCH(Sheet1!D69,Customizations!$B$2:$B$41,0),1),INDEX(About!C:C,MATCH(Sheet1!C69,About!B:B,0),1)),"")</f>
        <v>Elasticity of Dist Solar Deployment wrt Subsidy Perc.xlsx</v>
      </c>
      <c r="J69" s="5">
        <f>IFERROR(INDEX(About!$D$34:$D$222,MATCH(Sheet1!I69,About!$C$34:$C$222,0),1),0)</f>
        <v>1</v>
      </c>
      <c r="K69" s="6">
        <f t="shared" ref="K69:K132" si="3">IF(H69=".csv",1,0)*J69</f>
        <v>1</v>
      </c>
    </row>
    <row r="70" spans="1:11" x14ac:dyDescent="0.25">
      <c r="A70" t="s">
        <v>0</v>
      </c>
      <c r="B70" t="s">
        <v>19</v>
      </c>
      <c r="C70" t="s">
        <v>83</v>
      </c>
      <c r="D70" t="s">
        <v>84</v>
      </c>
      <c r="H70" t="str">
        <f t="shared" si="2"/>
        <v>.csv</v>
      </c>
      <c r="I70" s="5" t="str">
        <f>IFERROR(IF(OR(C70="PERAC",C70="FoPITY"),INDEX(Customizations!$C$2:$C$41,MATCH(Sheet1!D70,Customizations!$B$2:$B$41,0),1),INDEX(About!C:C,MATCH(Sheet1!C70,About!B:B,0),1)),"")</f>
        <v>Frac of Bldgs Owned by Entity.xlsx</v>
      </c>
      <c r="J70" s="5">
        <f>IFERROR(INDEX(About!$D$34:$D$222,MATCH(Sheet1!I70,About!$C$34:$C$222,0),1),0)</f>
        <v>1</v>
      </c>
      <c r="K70" s="6">
        <f t="shared" si="3"/>
        <v>1</v>
      </c>
    </row>
    <row r="71" spans="1:11" x14ac:dyDescent="0.25">
      <c r="A71" t="s">
        <v>0</v>
      </c>
      <c r="B71" t="s">
        <v>19</v>
      </c>
      <c r="C71" t="s">
        <v>83</v>
      </c>
      <c r="D71" t="s">
        <v>85</v>
      </c>
      <c r="H71" t="str">
        <f t="shared" si="2"/>
        <v>xlsx</v>
      </c>
      <c r="I71" s="5" t="str">
        <f>IFERROR(IF(OR(C71="PERAC",C71="FoPITY"),INDEX(Customizations!$C$2:$C$41,MATCH(Sheet1!D71,Customizations!$B$2:$B$41,0),1),INDEX(About!C:C,MATCH(Sheet1!C71,About!B:B,0),1)),"")</f>
        <v>Frac of Bldgs Owned by Entity.xlsx</v>
      </c>
      <c r="J71" s="5">
        <f>IFERROR(INDEX(About!$D$34:$D$222,MATCH(Sheet1!I71,About!$C$34:$C$222,0),1),0)</f>
        <v>1</v>
      </c>
      <c r="K71" s="6">
        <f t="shared" si="3"/>
        <v>0</v>
      </c>
    </row>
    <row r="72" spans="1:11" x14ac:dyDescent="0.25">
      <c r="A72" t="s">
        <v>0</v>
      </c>
      <c r="B72" t="s">
        <v>19</v>
      </c>
      <c r="C72" t="s">
        <v>86</v>
      </c>
      <c r="D72" t="s">
        <v>87</v>
      </c>
      <c r="H72" t="str">
        <f t="shared" si="2"/>
        <v>xlsx</v>
      </c>
      <c r="I72" s="5" t="str">
        <f>IFERROR(IF(OR(C72="PERAC",C72="FoPITY"),INDEX(Customizations!$C$2:$C$41,MATCH(Sheet1!D72,Customizations!$B$2:$B$41,0),1),INDEX(About!C:C,MATCH(Sheet1!C72,About!B:B,0),1)),"")</f>
        <v>Market Share Changes due to Rebate Prog by Qual Lvl.xlsx</v>
      </c>
      <c r="J72" s="5">
        <f>IFERROR(INDEX(About!$D$34:$D$222,MATCH(Sheet1!I72,About!$C$34:$C$222,0),1),0)</f>
        <v>1</v>
      </c>
      <c r="K72" s="6">
        <f t="shared" si="3"/>
        <v>0</v>
      </c>
    </row>
    <row r="73" spans="1:11" x14ac:dyDescent="0.25">
      <c r="A73" t="s">
        <v>0</v>
      </c>
      <c r="B73" t="s">
        <v>19</v>
      </c>
      <c r="C73" t="s">
        <v>86</v>
      </c>
      <c r="D73" t="s">
        <v>88</v>
      </c>
      <c r="H73" t="str">
        <f t="shared" si="2"/>
        <v>.csv</v>
      </c>
      <c r="I73" s="5" t="str">
        <f>IFERROR(IF(OR(C73="PERAC",C73="FoPITY"),INDEX(Customizations!$C$2:$C$41,MATCH(Sheet1!D73,Customizations!$B$2:$B$41,0),1),INDEX(About!C:C,MATCH(Sheet1!C73,About!B:B,0),1)),"")</f>
        <v>Market Share Changes due to Rebate Prog by Qual Lvl.xlsx</v>
      </c>
      <c r="J73" s="5">
        <f>IFERROR(INDEX(About!$D$34:$D$222,MATCH(Sheet1!I73,About!$C$34:$C$222,0),1),0)</f>
        <v>1</v>
      </c>
      <c r="K73" s="6">
        <f t="shared" si="3"/>
        <v>1</v>
      </c>
    </row>
    <row r="74" spans="1:11" x14ac:dyDescent="0.25">
      <c r="A74" t="s">
        <v>0</v>
      </c>
      <c r="B74" t="s">
        <v>19</v>
      </c>
      <c r="C74" t="s">
        <v>89</v>
      </c>
      <c r="D74" t="s">
        <v>90</v>
      </c>
      <c r="H74" t="str">
        <f t="shared" si="2"/>
        <v>.csv</v>
      </c>
      <c r="I74" s="5" t="str">
        <f>IFERROR(IF(OR(C74="PERAC",C74="FoPITY"),INDEX(Customizations!$C$2:$C$41,MATCH(Sheet1!D74,Customizations!$B$2:$B$41,0),1),INDEX(About!C:C,MATCH(Sheet1!C74,About!B:B,0),1)),"")</f>
        <v>Perc Components Fuel Use Reduction for Electricity.xlsx</v>
      </c>
      <c r="J74" s="5">
        <f>IFERROR(INDEX(About!$D$34:$D$222,MATCH(Sheet1!I74,About!$C$34:$C$222,0),1),0)</f>
        <v>1</v>
      </c>
      <c r="K74" s="6">
        <f t="shared" si="3"/>
        <v>1</v>
      </c>
    </row>
    <row r="75" spans="1:11" x14ac:dyDescent="0.25">
      <c r="A75" t="s">
        <v>0</v>
      </c>
      <c r="B75" t="s">
        <v>19</v>
      </c>
      <c r="C75" t="s">
        <v>89</v>
      </c>
      <c r="D75" t="s">
        <v>91</v>
      </c>
      <c r="H75" t="str">
        <f t="shared" si="2"/>
        <v>xlsx</v>
      </c>
      <c r="I75" s="5" t="str">
        <f>IFERROR(IF(OR(C75="PERAC",C75="FoPITY"),INDEX(Customizations!$C$2:$C$41,MATCH(Sheet1!D75,Customizations!$B$2:$B$41,0),1),INDEX(About!C:C,MATCH(Sheet1!C75,About!B:B,0),1)),"")</f>
        <v>Perc Components Fuel Use Reduction for Electricity.xlsx</v>
      </c>
      <c r="J75" s="5">
        <f>IFERROR(INDEX(About!$D$34:$D$222,MATCH(Sheet1!I75,About!$C$34:$C$222,0),1),0)</f>
        <v>1</v>
      </c>
      <c r="K75" s="6">
        <f t="shared" si="3"/>
        <v>0</v>
      </c>
    </row>
    <row r="76" spans="1:11" x14ac:dyDescent="0.25">
      <c r="A76" t="s">
        <v>0</v>
      </c>
      <c r="B76" t="s">
        <v>19</v>
      </c>
      <c r="C76" t="s">
        <v>92</v>
      </c>
      <c r="D76" t="s">
        <v>93</v>
      </c>
      <c r="H76" t="str">
        <f t="shared" si="2"/>
        <v>xlsx</v>
      </c>
      <c r="I76" s="5" t="str">
        <f>IFERROR(IF(OR(C76="PERAC",C76="FoPITY"),INDEX(Customizations!$C$2:$C$41,MATCH(Sheet1!D76,Customizations!$B$2:$B$41,0),1),INDEX(About!C:C,MATCH(Sheet1!C76,About!B:B,0),1)),"")</f>
        <v>Perc E Use Difference from Std by Qual Level.xlsx</v>
      </c>
      <c r="J76" s="5">
        <f>IFERROR(INDEX(About!$D$34:$D$222,MATCH(Sheet1!I76,About!$C$34:$C$222,0),1),0)</f>
        <v>1</v>
      </c>
      <c r="K76" s="6">
        <f t="shared" si="3"/>
        <v>0</v>
      </c>
    </row>
    <row r="77" spans="1:11" x14ac:dyDescent="0.25">
      <c r="A77" t="s">
        <v>0</v>
      </c>
      <c r="B77" t="s">
        <v>19</v>
      </c>
      <c r="C77" t="s">
        <v>92</v>
      </c>
      <c r="D77" t="s">
        <v>94</v>
      </c>
      <c r="H77" t="str">
        <f t="shared" si="2"/>
        <v>.csv</v>
      </c>
      <c r="I77" s="5" t="str">
        <f>IFERROR(IF(OR(C77="PERAC",C77="FoPITY"),INDEX(Customizations!$C$2:$C$41,MATCH(Sheet1!D77,Customizations!$B$2:$B$41,0),1),INDEX(About!C:C,MATCH(Sheet1!C77,About!B:B,0),1)),"")</f>
        <v>Perc E Use Difference from Std by Qual Level.xlsx</v>
      </c>
      <c r="J77" s="5">
        <f>IFERROR(INDEX(About!$D$34:$D$222,MATCH(Sheet1!I77,About!$C$34:$C$222,0),1),0)</f>
        <v>1</v>
      </c>
      <c r="K77" s="6">
        <f t="shared" si="3"/>
        <v>1</v>
      </c>
    </row>
    <row r="78" spans="1:11" x14ac:dyDescent="0.25">
      <c r="A78" t="s">
        <v>0</v>
      </c>
      <c r="B78" t="s">
        <v>19</v>
      </c>
      <c r="C78" t="s">
        <v>95</v>
      </c>
      <c r="D78" t="s">
        <v>96</v>
      </c>
      <c r="H78" t="str">
        <f t="shared" si="2"/>
        <v>xlsx</v>
      </c>
      <c r="I78" s="5" t="str">
        <f>IFERROR(IF(OR(C78="PERAC",C78="FoPITY"),INDEX(Customizations!$C$2:$C$41,MATCH(Sheet1!D78,Customizations!$B$2:$B$41,0),1),INDEX(About!C:C,MATCH(Sheet1!C78,About!B:B,0),1)),"")</f>
        <v>Pot Perc Eff Impr due to Impr Contractor Edu and Training.xlsx</v>
      </c>
      <c r="J78" s="5">
        <f>IFERROR(INDEX(About!$D$34:$D$222,MATCH(Sheet1!I78,About!$C$34:$C$222,0),1),0)</f>
        <v>1</v>
      </c>
      <c r="K78" s="6">
        <f t="shared" si="3"/>
        <v>0</v>
      </c>
    </row>
    <row r="79" spans="1:11" x14ac:dyDescent="0.25">
      <c r="A79" t="s">
        <v>0</v>
      </c>
      <c r="B79" t="s">
        <v>19</v>
      </c>
      <c r="C79" t="s">
        <v>95</v>
      </c>
      <c r="D79" t="s">
        <v>97</v>
      </c>
      <c r="H79" t="str">
        <f t="shared" si="2"/>
        <v>.csv</v>
      </c>
      <c r="I79" s="5" t="str">
        <f>IFERROR(IF(OR(C79="PERAC",C79="FoPITY"),INDEX(Customizations!$C$2:$C$41,MATCH(Sheet1!D79,Customizations!$B$2:$B$41,0),1),INDEX(About!C:C,MATCH(Sheet1!C79,About!B:B,0),1)),"")</f>
        <v>Pot Perc Eff Impr due to Impr Contractor Edu and Training.xlsx</v>
      </c>
      <c r="J79" s="5">
        <f>IFERROR(INDEX(About!$D$34:$D$222,MATCH(Sheet1!I79,About!$C$34:$C$222,0),1),0)</f>
        <v>1</v>
      </c>
      <c r="K79" s="6">
        <f t="shared" si="3"/>
        <v>1</v>
      </c>
    </row>
    <row r="80" spans="1:11" x14ac:dyDescent="0.25">
      <c r="A80" t="s">
        <v>0</v>
      </c>
      <c r="B80" t="s">
        <v>19</v>
      </c>
      <c r="C80" t="s">
        <v>98</v>
      </c>
      <c r="D80" t="s">
        <v>99</v>
      </c>
      <c r="H80" t="str">
        <f t="shared" si="2"/>
        <v>xlsx</v>
      </c>
      <c r="I80" s="5" t="str">
        <f>IFERROR(IF(OR(C80="PERAC",C80="FoPITY"),INDEX(Customizations!$C$2:$C$41,MATCH(Sheet1!D80,Customizations!$B$2:$B$41,0),1),INDEX(About!C:C,MATCH(Sheet1!C80,About!B:B,0),1)),"")</f>
        <v>Potential Perc Eff Improvement due to Impr Labeling.xlsx</v>
      </c>
      <c r="J80" s="5">
        <f>IFERROR(INDEX(About!$D$34:$D$222,MATCH(Sheet1!I80,About!$C$34:$C$222,0),1),0)</f>
        <v>1</v>
      </c>
      <c r="K80" s="6">
        <f t="shared" si="3"/>
        <v>0</v>
      </c>
    </row>
    <row r="81" spans="1:11" x14ac:dyDescent="0.25">
      <c r="A81" t="s">
        <v>0</v>
      </c>
      <c r="B81" t="s">
        <v>19</v>
      </c>
      <c r="C81" t="s">
        <v>98</v>
      </c>
      <c r="D81" t="s">
        <v>100</v>
      </c>
      <c r="H81" t="str">
        <f t="shared" si="2"/>
        <v>.csv</v>
      </c>
      <c r="I81" s="5" t="str">
        <f>IFERROR(IF(OR(C81="PERAC",C81="FoPITY"),INDEX(Customizations!$C$2:$C$41,MATCH(Sheet1!D81,Customizations!$B$2:$B$41,0),1),INDEX(About!C:C,MATCH(Sheet1!C81,About!B:B,0),1)),"")</f>
        <v>Potential Perc Eff Improvement due to Impr Labeling.xlsx</v>
      </c>
      <c r="J81" s="5">
        <f>IFERROR(INDEX(About!$D$34:$D$222,MATCH(Sheet1!I81,About!$C$34:$C$222,0),1),0)</f>
        <v>1</v>
      </c>
      <c r="K81" s="6">
        <f t="shared" si="3"/>
        <v>1</v>
      </c>
    </row>
    <row r="82" spans="1:11" x14ac:dyDescent="0.25">
      <c r="A82" t="s">
        <v>0</v>
      </c>
      <c r="B82" t="s">
        <v>19</v>
      </c>
      <c r="C82" t="s">
        <v>101</v>
      </c>
      <c r="D82" t="s">
        <v>102</v>
      </c>
      <c r="H82" t="str">
        <f t="shared" si="2"/>
        <v>.csv</v>
      </c>
      <c r="I82" s="5" t="str">
        <f>IFERROR(IF(OR(C82="PERAC",C82="FoPITY"),INDEX(Customizations!$C$2:$C$41,MATCH(Sheet1!D82,Customizations!$B$2:$B$41,0),1),INDEX(About!C:C,MATCH(Sheet1!C82,About!B:B,0),1)),"")</f>
        <v>Recipient Buildings Fuel Fractions.xlsx</v>
      </c>
      <c r="J82" s="5">
        <f>IFERROR(INDEX(About!$D$34:$D$222,MATCH(Sheet1!I82,About!$C$34:$C$222,0),1),0)</f>
        <v>1</v>
      </c>
      <c r="K82" s="6">
        <f t="shared" si="3"/>
        <v>1</v>
      </c>
    </row>
    <row r="83" spans="1:11" x14ac:dyDescent="0.25">
      <c r="A83" t="s">
        <v>0</v>
      </c>
      <c r="B83" t="s">
        <v>19</v>
      </c>
      <c r="C83" t="s">
        <v>101</v>
      </c>
      <c r="D83" t="s">
        <v>103</v>
      </c>
      <c r="H83" t="str">
        <f t="shared" si="2"/>
        <v>xlsx</v>
      </c>
      <c r="I83" s="5" t="str">
        <f>IFERROR(IF(OR(C83="PERAC",C83="FoPITY"),INDEX(Customizations!$C$2:$C$41,MATCH(Sheet1!D83,Customizations!$B$2:$B$41,0),1),INDEX(About!C:C,MATCH(Sheet1!C83,About!B:B,0),1)),"")</f>
        <v>Recipient Buildings Fuel Fractions.xlsx</v>
      </c>
      <c r="J83" s="5">
        <f>IFERROR(INDEX(About!$D$34:$D$222,MATCH(Sheet1!I83,About!$C$34:$C$222,0),1),0)</f>
        <v>1</v>
      </c>
      <c r="K83" s="6">
        <f t="shared" si="3"/>
        <v>0</v>
      </c>
    </row>
    <row r="84" spans="1:11" x14ac:dyDescent="0.25">
      <c r="A84" t="s">
        <v>0</v>
      </c>
      <c r="B84" t="s">
        <v>19</v>
      </c>
      <c r="C84" t="s">
        <v>104</v>
      </c>
      <c r="D84" t="s">
        <v>105</v>
      </c>
      <c r="H84" t="str">
        <f t="shared" si="2"/>
        <v>xlsx</v>
      </c>
      <c r="I84" s="5" t="str">
        <f>IFERROR(IF(OR(C84="PERAC",C84="FoPITY"),INDEX(Customizations!$C$2:$C$41,MATCH(Sheet1!D84,Customizations!$B$2:$B$41,0),1),INDEX(About!C:C,MATCH(Sheet1!C84,About!B:B,0),1)),"")</f>
        <v>Share of Cpnt E Use that is New This Year.xlsx</v>
      </c>
      <c r="J84" s="5">
        <f>IFERROR(INDEX(About!$D$34:$D$222,MATCH(Sheet1!I84,About!$C$34:$C$222,0),1),0)</f>
        <v>1</v>
      </c>
      <c r="K84" s="6">
        <f t="shared" si="3"/>
        <v>0</v>
      </c>
    </row>
    <row r="85" spans="1:11" x14ac:dyDescent="0.25">
      <c r="A85" t="s">
        <v>0</v>
      </c>
      <c r="B85" t="s">
        <v>19</v>
      </c>
      <c r="C85" t="s">
        <v>104</v>
      </c>
      <c r="D85" t="s">
        <v>106</v>
      </c>
      <c r="H85" t="str">
        <f t="shared" si="2"/>
        <v>.csv</v>
      </c>
      <c r="I85" s="5" t="str">
        <f>IFERROR(IF(OR(C85="PERAC",C85="FoPITY"),INDEX(Customizations!$C$2:$C$41,MATCH(Sheet1!D85,Customizations!$B$2:$B$41,0),1),INDEX(About!C:C,MATCH(Sheet1!C85,About!B:B,0),1)),"")</f>
        <v>Share of Cpnt E Use that is New This Year.xlsx</v>
      </c>
      <c r="J85" s="5">
        <f>IFERROR(INDEX(About!$D$34:$D$222,MATCH(Sheet1!I85,About!$C$34:$C$222,0),1),0)</f>
        <v>1</v>
      </c>
      <c r="K85" s="6">
        <f t="shared" si="3"/>
        <v>1</v>
      </c>
    </row>
    <row r="86" spans="1:11" x14ac:dyDescent="0.25">
      <c r="A86" t="s">
        <v>0</v>
      </c>
      <c r="B86" t="s">
        <v>107</v>
      </c>
      <c r="C86" t="s">
        <v>108</v>
      </c>
      <c r="D86" t="s">
        <v>109</v>
      </c>
      <c r="H86" t="str">
        <f t="shared" si="2"/>
        <v>.csv</v>
      </c>
      <c r="I86" s="5" t="str">
        <f>IFERROR(IF(OR(C86="PERAC",C86="FoPITY"),INDEX(Customizations!$C$2:$C$41,MATCH(Sheet1!D86,Customizations!$B$2:$B$41,0),1),INDEX(About!C:C,MATCH(Sheet1!C86,About!B:B,0),1)),"")</f>
        <v>CCS Costs.xlsx</v>
      </c>
      <c r="J86" s="5">
        <f>IFERROR(INDEX(About!$D$34:$D$222,MATCH(Sheet1!I86,About!$C$34:$C$222,0),1),0)</f>
        <v>1</v>
      </c>
      <c r="K86" s="6">
        <f t="shared" si="3"/>
        <v>1</v>
      </c>
    </row>
    <row r="87" spans="1:11" x14ac:dyDescent="0.25">
      <c r="A87" t="s">
        <v>0</v>
      </c>
      <c r="B87" t="s">
        <v>107</v>
      </c>
      <c r="C87" t="s">
        <v>108</v>
      </c>
      <c r="D87" t="s">
        <v>110</v>
      </c>
      <c r="H87" t="str">
        <f t="shared" si="2"/>
        <v>.csv</v>
      </c>
      <c r="I87" s="5" t="str">
        <f>IFERROR(IF(OR(C87="PERAC",C87="FoPITY"),INDEX(Customizations!$C$2:$C$41,MATCH(Sheet1!D87,Customizations!$B$2:$B$41,0),1),INDEX(About!C:C,MATCH(Sheet1!C87,About!B:B,0),1)),"")</f>
        <v>CCS Costs.xlsx</v>
      </c>
      <c r="J87" s="5">
        <f>IFERROR(INDEX(About!$D$34:$D$222,MATCH(Sheet1!I87,About!$C$34:$C$222,0),1),0)</f>
        <v>1</v>
      </c>
      <c r="K87" s="6">
        <f t="shared" si="3"/>
        <v>1</v>
      </c>
    </row>
    <row r="88" spans="1:11" x14ac:dyDescent="0.25">
      <c r="A88" t="s">
        <v>0</v>
      </c>
      <c r="B88" t="s">
        <v>107</v>
      </c>
      <c r="C88" t="s">
        <v>108</v>
      </c>
      <c r="D88" t="s">
        <v>111</v>
      </c>
      <c r="H88" t="str">
        <f t="shared" si="2"/>
        <v>.csv</v>
      </c>
      <c r="I88" s="5" t="str">
        <f>IFERROR(IF(OR(C88="PERAC",C88="FoPITY"),INDEX(Customizations!$C$2:$C$41,MATCH(Sheet1!D88,Customizations!$B$2:$B$41,0),1),INDEX(About!C:C,MATCH(Sheet1!C88,About!B:B,0),1)),"")</f>
        <v>CCS Costs.xlsx</v>
      </c>
      <c r="J88" s="5">
        <f>IFERROR(INDEX(About!$D$34:$D$222,MATCH(Sheet1!I88,About!$C$34:$C$222,0),1),0)</f>
        <v>1</v>
      </c>
      <c r="K88" s="6">
        <f t="shared" si="3"/>
        <v>1</v>
      </c>
    </row>
    <row r="89" spans="1:11" x14ac:dyDescent="0.25">
      <c r="A89" t="s">
        <v>0</v>
      </c>
      <c r="B89" t="s">
        <v>107</v>
      </c>
      <c r="C89" t="s">
        <v>108</v>
      </c>
      <c r="D89" t="s">
        <v>112</v>
      </c>
      <c r="H89" t="str">
        <f t="shared" si="2"/>
        <v>xlsx</v>
      </c>
      <c r="I89" s="5" t="str">
        <f>IFERROR(IF(OR(C89="PERAC",C89="FoPITY"),INDEX(Customizations!$C$2:$C$41,MATCH(Sheet1!D89,Customizations!$B$2:$B$41,0),1),INDEX(About!C:C,MATCH(Sheet1!C89,About!B:B,0),1)),"")</f>
        <v>CCS Costs.xlsx</v>
      </c>
      <c r="J89" s="5">
        <f>IFERROR(INDEX(About!$D$34:$D$222,MATCH(Sheet1!I89,About!$C$34:$C$222,0),1),0)</f>
        <v>1</v>
      </c>
      <c r="K89" s="6">
        <f t="shared" si="3"/>
        <v>0</v>
      </c>
    </row>
    <row r="90" spans="1:11" x14ac:dyDescent="0.25">
      <c r="A90" t="s">
        <v>0</v>
      </c>
      <c r="B90" t="s">
        <v>107</v>
      </c>
      <c r="C90" t="s">
        <v>113</v>
      </c>
      <c r="D90" t="s">
        <v>114</v>
      </c>
      <c r="H90" t="str">
        <f t="shared" si="2"/>
        <v>xlsx</v>
      </c>
      <c r="I90" s="5" t="str">
        <f>IFERROR(IF(OR(C90="PERAC",C90="FoPITY"),INDEX(Customizations!$C$2:$C$41,MATCH(Sheet1!D90,Customizations!$B$2:$B$41,0),1),INDEX(About!C:C,MATCH(Sheet1!C90,About!B:B,0),1)),"")</f>
        <v>CCS Percentages by Entity.xlsx</v>
      </c>
      <c r="J90" s="5">
        <f>IFERROR(INDEX(About!$D$34:$D$222,MATCH(Sheet1!I90,About!$C$34:$C$222,0),1),0)</f>
        <v>1</v>
      </c>
      <c r="K90" s="6">
        <f t="shared" si="3"/>
        <v>0</v>
      </c>
    </row>
    <row r="91" spans="1:11" x14ac:dyDescent="0.25">
      <c r="A91" t="s">
        <v>0</v>
      </c>
      <c r="B91" t="s">
        <v>107</v>
      </c>
      <c r="C91" t="s">
        <v>113</v>
      </c>
      <c r="D91" t="s">
        <v>115</v>
      </c>
      <c r="H91" t="str">
        <f t="shared" si="2"/>
        <v>.csv</v>
      </c>
      <c r="I91" s="5" t="str">
        <f>IFERROR(IF(OR(C91="PERAC",C91="FoPITY"),INDEX(Customizations!$C$2:$C$41,MATCH(Sheet1!D91,Customizations!$B$2:$B$41,0),1),INDEX(About!C:C,MATCH(Sheet1!C91,About!B:B,0),1)),"")</f>
        <v>CCS Percentages by Entity.xlsx</v>
      </c>
      <c r="J91" s="5">
        <f>IFERROR(INDEX(About!$D$34:$D$222,MATCH(Sheet1!I91,About!$C$34:$C$222,0),1),0)</f>
        <v>1</v>
      </c>
      <c r="K91" s="6">
        <f t="shared" si="3"/>
        <v>1</v>
      </c>
    </row>
    <row r="92" spans="1:11" x14ac:dyDescent="0.25">
      <c r="A92" t="s">
        <v>0</v>
      </c>
      <c r="B92" t="s">
        <v>107</v>
      </c>
      <c r="C92" t="s">
        <v>113</v>
      </c>
      <c r="D92" t="s">
        <v>116</v>
      </c>
      <c r="H92" t="str">
        <f t="shared" si="2"/>
        <v>.csv</v>
      </c>
      <c r="I92" s="5" t="str">
        <f>IFERROR(IF(OR(C92="PERAC",C92="FoPITY"),INDEX(Customizations!$C$2:$C$41,MATCH(Sheet1!D92,Customizations!$B$2:$B$41,0),1),INDEX(About!C:C,MATCH(Sheet1!C92,About!B:B,0),1)),"")</f>
        <v>CCS Percentages by Entity.xlsx</v>
      </c>
      <c r="J92" s="5">
        <f>IFERROR(INDEX(About!$D$34:$D$222,MATCH(Sheet1!I92,About!$C$34:$C$222,0),1),0)</f>
        <v>1</v>
      </c>
      <c r="K92" s="6">
        <f t="shared" si="3"/>
        <v>1</v>
      </c>
    </row>
    <row r="93" spans="1:11" x14ac:dyDescent="0.25">
      <c r="A93" t="s">
        <v>0</v>
      </c>
      <c r="B93" t="s">
        <v>107</v>
      </c>
      <c r="C93" t="s">
        <v>113</v>
      </c>
      <c r="D93" t="s">
        <v>117</v>
      </c>
      <c r="H93" t="str">
        <f t="shared" si="2"/>
        <v>.csv</v>
      </c>
      <c r="I93" s="5" t="str">
        <f>IFERROR(IF(OR(C93="PERAC",C93="FoPITY"),INDEX(Customizations!$C$2:$C$41,MATCH(Sheet1!D93,Customizations!$B$2:$B$41,0),1),INDEX(About!C:C,MATCH(Sheet1!C93,About!B:B,0),1)),"")</f>
        <v>CCS Percentages by Entity.xlsx</v>
      </c>
      <c r="J93" s="5">
        <f>IFERROR(INDEX(About!$D$34:$D$222,MATCH(Sheet1!I93,About!$C$34:$C$222,0),1),0)</f>
        <v>1</v>
      </c>
      <c r="K93" s="6">
        <f t="shared" si="3"/>
        <v>1</v>
      </c>
    </row>
    <row r="94" spans="1:11" x14ac:dyDescent="0.25">
      <c r="A94" t="s">
        <v>0</v>
      </c>
      <c r="B94" t="s">
        <v>107</v>
      </c>
      <c r="C94" t="s">
        <v>118</v>
      </c>
      <c r="D94" t="s">
        <v>119</v>
      </c>
      <c r="H94" t="str">
        <f t="shared" si="2"/>
        <v>xlsx</v>
      </c>
      <c r="I94" s="5" t="str">
        <f>IFERROR(IF(OR(C94="PERAC",C94="FoPITY"),INDEX(Customizations!$C$2:$C$41,MATCH(Sheet1!D94,Customizations!$B$2:$B$41,0),1),INDEX(About!C:C,MATCH(Sheet1!C94,About!B:B,0),1)),"")</f>
        <v>Carbon Sequestration Amounts.xlsx</v>
      </c>
      <c r="J94" s="5">
        <f>IFERROR(INDEX(About!$D$34:$D$222,MATCH(Sheet1!I94,About!$C$34:$C$222,0),1),0)</f>
        <v>1</v>
      </c>
      <c r="K94" s="6">
        <f t="shared" si="3"/>
        <v>0</v>
      </c>
    </row>
    <row r="95" spans="1:11" x14ac:dyDescent="0.25">
      <c r="A95" t="s">
        <v>0</v>
      </c>
      <c r="B95" t="s">
        <v>107</v>
      </c>
      <c r="C95" t="s">
        <v>118</v>
      </c>
      <c r="D95" t="s">
        <v>120</v>
      </c>
      <c r="H95" t="str">
        <f t="shared" si="2"/>
        <v>.csv</v>
      </c>
      <c r="I95" s="5" t="str">
        <f>IFERROR(IF(OR(C95="PERAC",C95="FoPITY"),INDEX(Customizations!$C$2:$C$41,MATCH(Sheet1!D95,Customizations!$B$2:$B$41,0),1),INDEX(About!C:C,MATCH(Sheet1!C95,About!B:B,0),1)),"")</f>
        <v>Carbon Sequestration Amounts.xlsx</v>
      </c>
      <c r="J95" s="5">
        <f>IFERROR(INDEX(About!$D$34:$D$222,MATCH(Sheet1!I95,About!$C$34:$C$222,0),1),0)</f>
        <v>1</v>
      </c>
      <c r="K95" s="6">
        <f t="shared" si="3"/>
        <v>1</v>
      </c>
    </row>
    <row r="96" spans="1:11" x14ac:dyDescent="0.25">
      <c r="A96" t="s">
        <v>0</v>
      </c>
      <c r="B96" t="s">
        <v>107</v>
      </c>
      <c r="C96" t="s">
        <v>118</v>
      </c>
      <c r="D96" t="s">
        <v>121</v>
      </c>
      <c r="H96" t="str">
        <f t="shared" si="2"/>
        <v>.csv</v>
      </c>
      <c r="I96" s="5" t="str">
        <f>IFERROR(IF(OR(C96="PERAC",C96="FoPITY"),INDEX(Customizations!$C$2:$C$41,MATCH(Sheet1!D96,Customizations!$B$2:$B$41,0),1),INDEX(About!C:C,MATCH(Sheet1!C96,About!B:B,0),1)),"")</f>
        <v>Carbon Sequestration Amounts.xlsx</v>
      </c>
      <c r="J96" s="5">
        <f>IFERROR(INDEX(About!$D$34:$D$222,MATCH(Sheet1!I96,About!$C$34:$C$222,0),1),0)</f>
        <v>1</v>
      </c>
      <c r="K96" s="6">
        <f t="shared" si="3"/>
        <v>1</v>
      </c>
    </row>
    <row r="97" spans="1:11" x14ac:dyDescent="0.25">
      <c r="A97" t="s">
        <v>0</v>
      </c>
      <c r="B97" t="s">
        <v>122</v>
      </c>
      <c r="C97" t="s">
        <v>123</v>
      </c>
      <c r="D97" t="s">
        <v>124</v>
      </c>
      <c r="H97" t="str">
        <f t="shared" si="2"/>
        <v>xlsx</v>
      </c>
      <c r="I97" s="5" t="str">
        <f>IFERROR(IF(OR(C97="PERAC",C97="FoPITY"),INDEX(Customizations!$C$2:$C$41,MATCH(Sheet1!D97,Customizations!$B$2:$B$41,0),1),INDEX(About!C:C,MATCH(Sheet1!C97,About!B:B,0),1)),"")</f>
        <v>Cash Flow Quantization Size.xlsx</v>
      </c>
      <c r="J97" s="5">
        <f>IFERROR(INDEX(About!$D$34:$D$222,MATCH(Sheet1!I97,About!$C$34:$C$222,0),1),0)</f>
        <v>1</v>
      </c>
      <c r="K97" s="6">
        <f t="shared" si="3"/>
        <v>0</v>
      </c>
    </row>
    <row r="98" spans="1:11" x14ac:dyDescent="0.25">
      <c r="A98" t="s">
        <v>0</v>
      </c>
      <c r="B98" t="s">
        <v>122</v>
      </c>
      <c r="C98" t="s">
        <v>123</v>
      </c>
      <c r="D98" t="s">
        <v>125</v>
      </c>
      <c r="H98" t="str">
        <f t="shared" si="2"/>
        <v>.csv</v>
      </c>
      <c r="I98" s="5" t="str">
        <f>IFERROR(IF(OR(C98="PERAC",C98="FoPITY"),INDEX(Customizations!$C$2:$C$41,MATCH(Sheet1!D98,Customizations!$B$2:$B$41,0),1),INDEX(About!C:C,MATCH(Sheet1!C98,About!B:B,0),1)),"")</f>
        <v>Cash Flow Quantization Size.xlsx</v>
      </c>
      <c r="J98" s="5">
        <f>IFERROR(INDEX(About!$D$34:$D$222,MATCH(Sheet1!I98,About!$C$34:$C$222,0),1),0)</f>
        <v>1</v>
      </c>
      <c r="K98" s="6">
        <f t="shared" si="3"/>
        <v>1</v>
      </c>
    </row>
    <row r="99" spans="1:11" x14ac:dyDescent="0.25">
      <c r="A99" t="s">
        <v>0</v>
      </c>
      <c r="B99" t="s">
        <v>122</v>
      </c>
      <c r="C99" t="s">
        <v>126</v>
      </c>
      <c r="D99" t="s">
        <v>127</v>
      </c>
      <c r="H99" t="str">
        <f t="shared" si="2"/>
        <v>xlsx</v>
      </c>
      <c r="I99" s="5" t="str">
        <f>IFERROR(IF(OR(C99="PERAC",C99="FoPITY"),INDEX(Customizations!$C$2:$C$41,MATCH(Sheet1!D99,Customizations!$B$2:$B$41,0),1),INDEX(About!C:C,MATCH(Sheet1!C99,About!B:B,0),1)),"")</f>
        <v>Discount Rate.xlsx</v>
      </c>
      <c r="J99" s="5">
        <f>IFERROR(INDEX(About!$D$34:$D$222,MATCH(Sheet1!I99,About!$C$34:$C$222,0),1),0)</f>
        <v>1</v>
      </c>
      <c r="K99" s="6">
        <f t="shared" si="3"/>
        <v>0</v>
      </c>
    </row>
    <row r="100" spans="1:11" x14ac:dyDescent="0.25">
      <c r="A100" t="s">
        <v>0</v>
      </c>
      <c r="B100" t="s">
        <v>122</v>
      </c>
      <c r="C100" t="s">
        <v>126</v>
      </c>
      <c r="D100" t="s">
        <v>128</v>
      </c>
      <c r="H100" t="str">
        <f t="shared" si="2"/>
        <v>.csv</v>
      </c>
      <c r="I100" s="5" t="str">
        <f>IFERROR(IF(OR(C100="PERAC",C100="FoPITY"),INDEX(Customizations!$C$2:$C$41,MATCH(Sheet1!D100,Customizations!$B$2:$B$41,0),1),INDEX(About!C:C,MATCH(Sheet1!C100,About!B:B,0),1)),"")</f>
        <v>Discount Rate.xlsx</v>
      </c>
      <c r="J100" s="5">
        <f>IFERROR(INDEX(About!$D$34:$D$222,MATCH(Sheet1!I100,About!$C$34:$C$222,0),1),0)</f>
        <v>1</v>
      </c>
      <c r="K100" s="6">
        <f t="shared" si="3"/>
        <v>1</v>
      </c>
    </row>
    <row r="101" spans="1:11" x14ac:dyDescent="0.25">
      <c r="A101" t="s">
        <v>0</v>
      </c>
      <c r="B101" t="s">
        <v>1756</v>
      </c>
      <c r="C101" t="s">
        <v>1757</v>
      </c>
      <c r="D101" t="s">
        <v>1758</v>
      </c>
      <c r="H101" t="str">
        <f t="shared" si="2"/>
        <v>xlsx</v>
      </c>
      <c r="I101" s="5" t="str">
        <f>IFERROR(IF(OR(C101="PERAC",C101="FoPITY"),INDEX(Customizations!$C$2:$C$41,MATCH(Sheet1!D101,Customizations!$B$2:$B$41,0),1),INDEX(About!C:C,MATCH(Sheet1!C101,About!B:B,0),1)),"")</f>
        <v/>
      </c>
      <c r="J101" s="5">
        <f>IFERROR(INDEX(About!$D$34:$D$222,MATCH(Sheet1!I101,About!$C$34:$C$222,0),1),0)</f>
        <v>0</v>
      </c>
      <c r="K101" s="6">
        <f t="shared" si="3"/>
        <v>0</v>
      </c>
    </row>
    <row r="102" spans="1:11" x14ac:dyDescent="0.25">
      <c r="A102" t="s">
        <v>0</v>
      </c>
      <c r="B102" t="s">
        <v>1756</v>
      </c>
      <c r="C102" t="s">
        <v>1757</v>
      </c>
      <c r="D102" t="s">
        <v>1759</v>
      </c>
      <c r="H102" t="str">
        <f t="shared" si="2"/>
        <v>.csv</v>
      </c>
      <c r="I102" s="5" t="str">
        <f>IFERROR(IF(OR(C102="PERAC",C102="FoPITY"),INDEX(Customizations!$C$2:$C$41,MATCH(Sheet1!D102,Customizations!$B$2:$B$41,0),1),INDEX(About!C:C,MATCH(Sheet1!C102,About!B:B,0),1)),"")</f>
        <v/>
      </c>
      <c r="J102" s="5">
        <f>IFERROR(INDEX(About!$D$34:$D$222,MATCH(Sheet1!I102,About!$C$34:$C$222,0),1),0)</f>
        <v>0</v>
      </c>
      <c r="K102" s="6">
        <f t="shared" si="3"/>
        <v>0</v>
      </c>
    </row>
    <row r="103" spans="1:11" x14ac:dyDescent="0.25">
      <c r="A103" t="s">
        <v>0</v>
      </c>
      <c r="B103" t="s">
        <v>129</v>
      </c>
      <c r="C103" t="s">
        <v>130</v>
      </c>
      <c r="D103" t="s">
        <v>131</v>
      </c>
      <c r="H103" t="str">
        <f t="shared" si="2"/>
        <v>xlsx</v>
      </c>
      <c r="I103" s="5" t="str">
        <f>IFERROR(IF(OR(C103="PERAC",C103="FoPITY"),INDEX(Customizations!$C$2:$C$41,MATCH(Sheet1!D103,Customizations!$B$2:$B$41,0),1),INDEX(About!C:C,MATCH(Sheet1!C103,About!B:B,0),1)),"")</f>
        <v>BAU Fraction of Heat from CHP.xlsx</v>
      </c>
      <c r="J103" s="5">
        <f>IFERROR(INDEX(About!$D$34:$D$222,MATCH(Sheet1!I103,About!$C$34:$C$222,0),1),0)</f>
        <v>1</v>
      </c>
      <c r="K103" s="6">
        <f t="shared" si="3"/>
        <v>0</v>
      </c>
    </row>
    <row r="104" spans="1:11" x14ac:dyDescent="0.25">
      <c r="A104" t="s">
        <v>0</v>
      </c>
      <c r="B104" t="s">
        <v>129</v>
      </c>
      <c r="C104" t="s">
        <v>130</v>
      </c>
      <c r="D104" t="s">
        <v>132</v>
      </c>
      <c r="H104" t="str">
        <f t="shared" si="2"/>
        <v>.csv</v>
      </c>
      <c r="I104" s="5" t="str">
        <f>IFERROR(IF(OR(C104="PERAC",C104="FoPITY"),INDEX(Customizations!$C$2:$C$41,MATCH(Sheet1!D104,Customizations!$B$2:$B$41,0),1),INDEX(About!C:C,MATCH(Sheet1!C104,About!B:B,0),1)),"")</f>
        <v>BAU Fraction of Heat from CHP.xlsx</v>
      </c>
      <c r="J104" s="5">
        <f>IFERROR(INDEX(About!$D$34:$D$222,MATCH(Sheet1!I104,About!$C$34:$C$222,0),1),0)</f>
        <v>1</v>
      </c>
      <c r="K104" s="6">
        <f t="shared" si="3"/>
        <v>1</v>
      </c>
    </row>
    <row r="105" spans="1:11" x14ac:dyDescent="0.25">
      <c r="A105" t="s">
        <v>0</v>
      </c>
      <c r="B105" t="s">
        <v>129</v>
      </c>
      <c r="C105" t="s">
        <v>133</v>
      </c>
      <c r="D105" t="s">
        <v>134</v>
      </c>
      <c r="H105" t="str">
        <f t="shared" si="2"/>
        <v>xlsx</v>
      </c>
      <c r="I105" s="5" t="str">
        <f>IFERROR(IF(OR(C105="PERAC",C105="FoPITY"),INDEX(Customizations!$C$2:$C$41,MATCH(Sheet1!D105,Customizations!$B$2:$B$41,0),1),INDEX(About!C:C,MATCH(Sheet1!C105,About!B:B,0),1)),"")</f>
        <v>BAU Frac of Heat Provided by Fuel.xlsx</v>
      </c>
      <c r="J105" s="5">
        <f>IFERROR(INDEX(About!$D$34:$D$222,MATCH(Sheet1!I105,About!$C$34:$C$222,0),1),0)</f>
        <v>1</v>
      </c>
      <c r="K105" s="6">
        <f t="shared" si="3"/>
        <v>0</v>
      </c>
    </row>
    <row r="106" spans="1:11" x14ac:dyDescent="0.25">
      <c r="A106" t="s">
        <v>0</v>
      </c>
      <c r="B106" t="s">
        <v>129</v>
      </c>
      <c r="C106" t="s">
        <v>133</v>
      </c>
      <c r="D106" t="s">
        <v>135</v>
      </c>
      <c r="H106" t="str">
        <f t="shared" si="2"/>
        <v>.csv</v>
      </c>
      <c r="I106" s="5" t="str">
        <f>IFERROR(IF(OR(C106="PERAC",C106="FoPITY"),INDEX(Customizations!$C$2:$C$41,MATCH(Sheet1!D106,Customizations!$B$2:$B$41,0),1),INDEX(About!C:C,MATCH(Sheet1!C106,About!B:B,0),1)),"")</f>
        <v>BAU Frac of Heat Provided by Fuel.xlsx</v>
      </c>
      <c r="J106" s="5">
        <f>IFERROR(INDEX(About!$D$34:$D$222,MATCH(Sheet1!I106,About!$C$34:$C$222,0),1),0)</f>
        <v>1</v>
      </c>
      <c r="K106" s="6">
        <f t="shared" si="3"/>
        <v>1</v>
      </c>
    </row>
    <row r="107" spans="1:11" x14ac:dyDescent="0.25">
      <c r="A107" t="s">
        <v>0</v>
      </c>
      <c r="B107" t="s">
        <v>129</v>
      </c>
      <c r="C107" t="s">
        <v>136</v>
      </c>
      <c r="D107" t="s">
        <v>137</v>
      </c>
      <c r="H107" t="str">
        <f t="shared" si="2"/>
        <v>xlsx</v>
      </c>
      <c r="I107" s="5" t="str">
        <f>IFERROR(IF(OR(C107="PERAC",C107="FoPITY"),INDEX(Customizations!$C$2:$C$41,MATCH(Sheet1!D107,Customizations!$B$2:$B$41,0),1),INDEX(About!C:C,MATCH(Sheet1!C107,About!B:B,0),1)),"")</f>
        <v>Efficiency of Conversion to Usable Heat.xlsx</v>
      </c>
      <c r="J107" s="5">
        <f>IFERROR(INDEX(About!$D$34:$D$222,MATCH(Sheet1!I107,About!$C$34:$C$222,0),1),0)</f>
        <v>1</v>
      </c>
      <c r="K107" s="6">
        <f t="shared" si="3"/>
        <v>0</v>
      </c>
    </row>
    <row r="108" spans="1:11" x14ac:dyDescent="0.25">
      <c r="A108" t="s">
        <v>0</v>
      </c>
      <c r="B108" t="s">
        <v>129</v>
      </c>
      <c r="C108" t="s">
        <v>136</v>
      </c>
      <c r="D108" t="s">
        <v>138</v>
      </c>
      <c r="H108" t="str">
        <f t="shared" si="2"/>
        <v>.csv</v>
      </c>
      <c r="I108" s="5" t="str">
        <f>IFERROR(IF(OR(C108="PERAC",C108="FoPITY"),INDEX(Customizations!$C$2:$C$41,MATCH(Sheet1!D108,Customizations!$B$2:$B$41,0),1),INDEX(About!C:C,MATCH(Sheet1!C108,About!B:B,0),1)),"")</f>
        <v>Efficiency of Conversion to Usable Heat.xlsx</v>
      </c>
      <c r="J108" s="5">
        <f>IFERROR(INDEX(About!$D$34:$D$222,MATCH(Sheet1!I108,About!$C$34:$C$222,0),1),0)</f>
        <v>1</v>
      </c>
      <c r="K108" s="6">
        <f t="shared" si="3"/>
        <v>1</v>
      </c>
    </row>
    <row r="109" spans="1:11" x14ac:dyDescent="0.25">
      <c r="A109" t="s">
        <v>0</v>
      </c>
      <c r="B109" t="s">
        <v>129</v>
      </c>
      <c r="C109" t="s">
        <v>139</v>
      </c>
      <c r="D109" t="s">
        <v>140</v>
      </c>
      <c r="H109" t="str">
        <f t="shared" si="2"/>
        <v>xlsx</v>
      </c>
      <c r="I109" s="5" t="str">
        <f>IFERROR(IF(OR(C109="PERAC",C109="FoPITY"),INDEX(Customizations!$C$2:$C$41,MATCH(Sheet1!D109,Customizations!$B$2:$B$41,0),1),INDEX(About!C:C,MATCH(Sheet1!C109,About!B:B,0),1)),"")</f>
        <v>Recipient Heat Fuel Fractions.xlsx</v>
      </c>
      <c r="J109" s="5">
        <f>IFERROR(INDEX(About!$D$34:$D$222,MATCH(Sheet1!I109,About!$C$34:$C$222,0),1),0)</f>
        <v>1</v>
      </c>
      <c r="K109" s="6">
        <f t="shared" si="3"/>
        <v>0</v>
      </c>
    </row>
    <row r="110" spans="1:11" x14ac:dyDescent="0.25">
      <c r="A110" t="s">
        <v>0</v>
      </c>
      <c r="B110" t="s">
        <v>129</v>
      </c>
      <c r="C110" t="s">
        <v>139</v>
      </c>
      <c r="D110" t="s">
        <v>141</v>
      </c>
      <c r="H110" t="str">
        <f t="shared" si="2"/>
        <v>.csv</v>
      </c>
      <c r="I110" s="5" t="str">
        <f>IFERROR(IF(OR(C110="PERAC",C110="FoPITY"),INDEX(Customizations!$C$2:$C$41,MATCH(Sheet1!D110,Customizations!$B$2:$B$41,0),1),INDEX(About!C:C,MATCH(Sheet1!C110,About!B:B,0),1)),"")</f>
        <v>Recipient Heat Fuel Fractions.xlsx</v>
      </c>
      <c r="J110" s="5">
        <f>IFERROR(INDEX(About!$D$34:$D$222,MATCH(Sheet1!I110,About!$C$34:$C$222,0),1),0)</f>
        <v>1</v>
      </c>
      <c r="K110" s="6">
        <f t="shared" si="3"/>
        <v>1</v>
      </c>
    </row>
    <row r="111" spans="1:11" x14ac:dyDescent="0.25">
      <c r="A111" t="s">
        <v>0</v>
      </c>
      <c r="B111" t="s">
        <v>142</v>
      </c>
      <c r="C111" t="s">
        <v>143</v>
      </c>
      <c r="D111" t="s">
        <v>144</v>
      </c>
      <c r="H111" t="str">
        <f t="shared" si="2"/>
        <v>xlsx</v>
      </c>
      <c r="I111" s="5" t="str">
        <f>IFERROR(IF(OR(C111="PERAC",C111="FoPITY"),INDEX(Customizations!$C$2:$C$41,MATCH(Sheet1!D111,Customizations!$B$2:$B$41,0),1),INDEX(About!C:C,MATCH(Sheet1!C111,About!B:B,0),1)),"")</f>
        <v>Ann Ret per Unit Inc in Relative Cost.xlsx</v>
      </c>
      <c r="J111" s="5">
        <f>IFERROR(INDEX(About!$D$34:$D$222,MATCH(Sheet1!I111,About!$C$34:$C$222,0),1),0)</f>
        <v>1</v>
      </c>
      <c r="K111" s="6">
        <f t="shared" si="3"/>
        <v>0</v>
      </c>
    </row>
    <row r="112" spans="1:11" x14ac:dyDescent="0.25">
      <c r="A112" t="s">
        <v>0</v>
      </c>
      <c r="B112" t="s">
        <v>142</v>
      </c>
      <c r="C112" t="s">
        <v>143</v>
      </c>
      <c r="D112" t="s">
        <v>145</v>
      </c>
      <c r="H112" t="str">
        <f t="shared" si="2"/>
        <v>.csv</v>
      </c>
      <c r="I112" s="5" t="str">
        <f>IFERROR(IF(OR(C112="PERAC",C112="FoPITY"),INDEX(Customizations!$C$2:$C$41,MATCH(Sheet1!D112,Customizations!$B$2:$B$41,0),1),INDEX(About!C:C,MATCH(Sheet1!C112,About!B:B,0),1)),"")</f>
        <v>Ann Ret per Unit Inc in Relative Cost.xlsx</v>
      </c>
      <c r="J112" s="5">
        <f>IFERROR(INDEX(About!$D$34:$D$222,MATCH(Sheet1!I112,About!$C$34:$C$222,0),1),0)</f>
        <v>1</v>
      </c>
      <c r="K112" s="6">
        <f t="shared" si="3"/>
        <v>1</v>
      </c>
    </row>
    <row r="113" spans="1:11" x14ac:dyDescent="0.25">
      <c r="A113" t="s">
        <v>0</v>
      </c>
      <c r="B113" t="s">
        <v>142</v>
      </c>
      <c r="C113" t="s">
        <v>146</v>
      </c>
      <c r="D113" t="s">
        <v>147</v>
      </c>
      <c r="H113" t="str">
        <f t="shared" si="2"/>
        <v>xlsx</v>
      </c>
      <c r="I113" s="5" t="str">
        <f>IFERROR(IF(OR(C113="PERAC",C113="FoPITY"),INDEX(Customizations!$C$2:$C$41,MATCH(Sheet1!D113,Customizations!$B$2:$B$41,0),1),INDEX(About!C:C,MATCH(Sheet1!C113,About!B:B,0),1)),"")</f>
        <v>Battery Cost per Unit Cap.xlsx</v>
      </c>
      <c r="J113" s="5">
        <f>IFERROR(INDEX(About!$D$34:$D$222,MATCH(Sheet1!I113,About!$C$34:$C$222,0),1),0)</f>
        <v>1</v>
      </c>
      <c r="K113" s="6">
        <f t="shared" si="3"/>
        <v>0</v>
      </c>
    </row>
    <row r="114" spans="1:11" x14ac:dyDescent="0.25">
      <c r="A114" t="s">
        <v>0</v>
      </c>
      <c r="B114" t="s">
        <v>142</v>
      </c>
      <c r="C114" t="s">
        <v>146</v>
      </c>
      <c r="D114" t="s">
        <v>148</v>
      </c>
      <c r="H114" t="str">
        <f t="shared" si="2"/>
        <v>.csv</v>
      </c>
      <c r="I114" s="5" t="str">
        <f>IFERROR(IF(OR(C114="PERAC",C114="FoPITY"),INDEX(Customizations!$C$2:$C$41,MATCH(Sheet1!D114,Customizations!$B$2:$B$41,0),1),INDEX(About!C:C,MATCH(Sheet1!C114,About!B:B,0),1)),"")</f>
        <v>Battery Cost per Unit Cap.xlsx</v>
      </c>
      <c r="J114" s="5">
        <f>IFERROR(INDEX(About!$D$34:$D$222,MATCH(Sheet1!I114,About!$C$34:$C$222,0),1),0)</f>
        <v>1</v>
      </c>
      <c r="K114" s="6">
        <f t="shared" si="3"/>
        <v>1</v>
      </c>
    </row>
    <row r="115" spans="1:11" x14ac:dyDescent="0.25">
      <c r="A115" t="s">
        <v>0</v>
      </c>
      <c r="B115" t="s">
        <v>142</v>
      </c>
      <c r="C115" t="s">
        <v>149</v>
      </c>
      <c r="D115" t="s">
        <v>150</v>
      </c>
      <c r="H115" t="str">
        <f t="shared" si="2"/>
        <v>xlsx</v>
      </c>
      <c r="I115" s="5" t="str">
        <f>IFERROR(IF(OR(C115="PERAC",C115="FoPITY"),INDEX(Customizations!$C$2:$C$41,MATCH(Sheet1!D115,Customizations!$B$2:$B$41,0),1),INDEX(About!C:C,MATCH(Sheet1!C115,About!B:B,0),1)),"")</f>
        <v>BAU Cap Retirements before Quantization.xlsx</v>
      </c>
      <c r="J115" s="5">
        <f>IFERROR(INDEX(About!$D$34:$D$222,MATCH(Sheet1!I115,About!$C$34:$C$222,0),1),0)</f>
        <v>1</v>
      </c>
      <c r="K115" s="6">
        <f t="shared" si="3"/>
        <v>0</v>
      </c>
    </row>
    <row r="116" spans="1:11" x14ac:dyDescent="0.25">
      <c r="A116" t="s">
        <v>0</v>
      </c>
      <c r="B116" t="s">
        <v>142</v>
      </c>
      <c r="C116" t="s">
        <v>149</v>
      </c>
      <c r="D116" t="s">
        <v>151</v>
      </c>
      <c r="H116" t="str">
        <f t="shared" si="2"/>
        <v>.csv</v>
      </c>
      <c r="I116" s="5" t="str">
        <f>IFERROR(IF(OR(C116="PERAC",C116="FoPITY"),INDEX(Customizations!$C$2:$C$41,MATCH(Sheet1!D116,Customizations!$B$2:$B$41,0),1),INDEX(About!C:C,MATCH(Sheet1!C116,About!B:B,0),1)),"")</f>
        <v>BAU Cap Retirements before Quantization.xlsx</v>
      </c>
      <c r="J116" s="5">
        <f>IFERROR(INDEX(About!$D$34:$D$222,MATCH(Sheet1!I116,About!$C$34:$C$222,0),1),0)</f>
        <v>1</v>
      </c>
      <c r="K116" s="6">
        <f t="shared" si="3"/>
        <v>1</v>
      </c>
    </row>
    <row r="117" spans="1:11" x14ac:dyDescent="0.25">
      <c r="A117" t="s">
        <v>0</v>
      </c>
      <c r="B117" t="s">
        <v>142</v>
      </c>
      <c r="C117" t="s">
        <v>152</v>
      </c>
      <c r="D117" t="s">
        <v>153</v>
      </c>
      <c r="H117" t="str">
        <f t="shared" si="2"/>
        <v>xlsx</v>
      </c>
      <c r="I117" s="5" t="str">
        <f>IFERROR(IF(OR(C117="PERAC",C117="FoPITY"),INDEX(Customizations!$C$2:$C$41,MATCH(Sheet1!D117,Customizations!$B$2:$B$41,0),1),INDEX(About!C:C,MATCH(Sheet1!C117,About!B:B,0),1)),"")</f>
        <v>BAU Dispatch Priority by Elec Source.xlsx</v>
      </c>
      <c r="J117" s="5">
        <f>IFERROR(INDEX(About!$D$34:$D$222,MATCH(Sheet1!I117,About!$C$34:$C$222,0),1),0)</f>
        <v>1</v>
      </c>
      <c r="K117" s="6">
        <f t="shared" si="3"/>
        <v>0</v>
      </c>
    </row>
    <row r="118" spans="1:11" x14ac:dyDescent="0.25">
      <c r="A118" t="s">
        <v>0</v>
      </c>
      <c r="B118" t="s">
        <v>142</v>
      </c>
      <c r="C118" t="s">
        <v>152</v>
      </c>
      <c r="D118" t="s">
        <v>154</v>
      </c>
      <c r="H118" t="str">
        <f t="shared" si="2"/>
        <v>.csv</v>
      </c>
      <c r="I118" s="5" t="str">
        <f>IFERROR(IF(OR(C118="PERAC",C118="FoPITY"),INDEX(Customizations!$C$2:$C$41,MATCH(Sheet1!D118,Customizations!$B$2:$B$41,0),1),INDEX(About!C:C,MATCH(Sheet1!C118,About!B:B,0),1)),"")</f>
        <v>BAU Dispatch Priority by Elec Source.xlsx</v>
      </c>
      <c r="J118" s="5">
        <f>IFERROR(INDEX(About!$D$34:$D$222,MATCH(Sheet1!I118,About!$C$34:$C$222,0),1),0)</f>
        <v>1</v>
      </c>
      <c r="K118" s="6">
        <f t="shared" si="3"/>
        <v>1</v>
      </c>
    </row>
    <row r="119" spans="1:11" x14ac:dyDescent="0.25">
      <c r="A119" t="s">
        <v>0</v>
      </c>
      <c r="B119" t="s">
        <v>142</v>
      </c>
      <c r="C119" t="s">
        <v>155</v>
      </c>
      <c r="D119" t="s">
        <v>156</v>
      </c>
      <c r="H119" t="str">
        <f t="shared" si="2"/>
        <v>.csv</v>
      </c>
      <c r="I119" s="5" t="str">
        <f>IFERROR(IF(OR(C119="PERAC",C119="FoPITY"),INDEX(Customizations!$C$2:$C$41,MATCH(Sheet1!D119,Customizations!$B$2:$B$41,0),1),INDEX(About!C:C,MATCH(Sheet1!C119,About!B:B,0),1)),"")</f>
        <v>Boolean Do Suppliers Bid at Peak Capacity Factors.xlsx</v>
      </c>
      <c r="J119" s="5">
        <f>IFERROR(INDEX(About!$D$34:$D$222,MATCH(Sheet1!I119,About!$C$34:$C$222,0),1),0)</f>
        <v>1</v>
      </c>
      <c r="K119" s="6">
        <f t="shared" si="3"/>
        <v>1</v>
      </c>
    </row>
    <row r="120" spans="1:11" x14ac:dyDescent="0.25">
      <c r="A120" t="s">
        <v>0</v>
      </c>
      <c r="B120" t="s">
        <v>142</v>
      </c>
      <c r="C120" t="s">
        <v>155</v>
      </c>
      <c r="D120" t="s">
        <v>157</v>
      </c>
      <c r="H120" t="str">
        <f t="shared" si="2"/>
        <v>xlsx</v>
      </c>
      <c r="I120" s="5" t="str">
        <f>IFERROR(IF(OR(C120="PERAC",C120="FoPITY"),INDEX(Customizations!$C$2:$C$41,MATCH(Sheet1!D120,Customizations!$B$2:$B$41,0),1),INDEX(About!C:C,MATCH(Sheet1!C120,About!B:B,0),1)),"")</f>
        <v>Boolean Do Suppliers Bid at Peak Capacity Factors.xlsx</v>
      </c>
      <c r="J120" s="5">
        <f>IFERROR(INDEX(About!$D$34:$D$222,MATCH(Sheet1!I120,About!$C$34:$C$222,0),1),0)</f>
        <v>1</v>
      </c>
      <c r="K120" s="6">
        <f t="shared" si="3"/>
        <v>0</v>
      </c>
    </row>
    <row r="121" spans="1:11" x14ac:dyDescent="0.25">
      <c r="A121" t="s">
        <v>0</v>
      </c>
      <c r="B121" t="s">
        <v>142</v>
      </c>
      <c r="C121" t="s">
        <v>158</v>
      </c>
      <c r="D121" t="s">
        <v>159</v>
      </c>
      <c r="H121" t="str">
        <f t="shared" si="2"/>
        <v>xlsx</v>
      </c>
      <c r="I121" s="5" t="str">
        <f>IFERROR(IF(OR(C121="PERAC",C121="FoPITY"),INDEX(Customizations!$C$2:$C$41,MATCH(Sheet1!D121,Customizations!$B$2:$B$41,0),1),INDEX(About!C:C,MATCH(Sheet1!C121,About!B:B,0),1)),"")</f>
        <v>BAU Expected Capacity Factors.xlsx</v>
      </c>
      <c r="J121" s="5">
        <f>IFERROR(INDEX(About!$D$34:$D$222,MATCH(Sheet1!I121,About!$C$34:$C$222,0),1),0)</f>
        <v>1</v>
      </c>
      <c r="K121" s="6">
        <f t="shared" si="3"/>
        <v>0</v>
      </c>
    </row>
    <row r="122" spans="1:11" x14ac:dyDescent="0.25">
      <c r="A122" t="s">
        <v>0</v>
      </c>
      <c r="B122" t="s">
        <v>142</v>
      </c>
      <c r="C122" t="s">
        <v>158</v>
      </c>
      <c r="D122" t="s">
        <v>160</v>
      </c>
      <c r="H122" t="str">
        <f t="shared" si="2"/>
        <v>.csv</v>
      </c>
      <c r="I122" s="5" t="str">
        <f>IFERROR(IF(OR(C122="PERAC",C122="FoPITY"),INDEX(Customizations!$C$2:$C$41,MATCH(Sheet1!D122,Customizations!$B$2:$B$41,0),1),INDEX(About!C:C,MATCH(Sheet1!C122,About!B:B,0),1)),"")</f>
        <v>BAU Expected Capacity Factors.xlsx</v>
      </c>
      <c r="J122" s="5">
        <f>IFERROR(INDEX(About!$D$34:$D$222,MATCH(Sheet1!I122,About!$C$34:$C$222,0),1),0)</f>
        <v>1</v>
      </c>
      <c r="K122" s="6">
        <f t="shared" si="3"/>
        <v>1</v>
      </c>
    </row>
    <row r="123" spans="1:11" x14ac:dyDescent="0.25">
      <c r="A123" t="s">
        <v>0</v>
      </c>
      <c r="B123" t="s">
        <v>142</v>
      </c>
      <c r="C123" t="s">
        <v>158</v>
      </c>
      <c r="D123" t="s">
        <v>161</v>
      </c>
      <c r="H123" t="str">
        <f t="shared" si="2"/>
        <v>.csv</v>
      </c>
      <c r="I123" s="5" t="str">
        <f>IFERROR(IF(OR(C123="PERAC",C123="FoPITY"),INDEX(Customizations!$C$2:$C$41,MATCH(Sheet1!D123,Customizations!$B$2:$B$41,0),1),INDEX(About!C:C,MATCH(Sheet1!C123,About!B:B,0),1)),"")</f>
        <v>BAU Expected Capacity Factors.xlsx</v>
      </c>
      <c r="J123" s="5">
        <f>IFERROR(INDEX(About!$D$34:$D$222,MATCH(Sheet1!I123,About!$C$34:$C$222,0),1),0)</f>
        <v>1</v>
      </c>
      <c r="K123" s="6">
        <f t="shared" si="3"/>
        <v>1</v>
      </c>
    </row>
    <row r="124" spans="1:11" x14ac:dyDescent="0.25">
      <c r="A124" t="s">
        <v>0</v>
      </c>
      <c r="B124" t="s">
        <v>142</v>
      </c>
      <c r="C124" t="s">
        <v>158</v>
      </c>
      <c r="D124" t="s">
        <v>162</v>
      </c>
      <c r="H124" t="str">
        <f t="shared" si="2"/>
        <v>.csv</v>
      </c>
      <c r="I124" s="5" t="str">
        <f>IFERROR(IF(OR(C124="PERAC",C124="FoPITY"),INDEX(Customizations!$C$2:$C$41,MATCH(Sheet1!D124,Customizations!$B$2:$B$41,0),1),INDEX(About!C:C,MATCH(Sheet1!C124,About!B:B,0),1)),"")</f>
        <v>BAU Expected Capacity Factors.xlsx</v>
      </c>
      <c r="J124" s="5">
        <f>IFERROR(INDEX(About!$D$34:$D$222,MATCH(Sheet1!I124,About!$C$34:$C$222,0),1),0)</f>
        <v>1</v>
      </c>
      <c r="K124" s="6">
        <f t="shared" si="3"/>
        <v>1</v>
      </c>
    </row>
    <row r="125" spans="1:11" x14ac:dyDescent="0.25">
      <c r="A125" t="s">
        <v>0</v>
      </c>
      <c r="B125" t="s">
        <v>142</v>
      </c>
      <c r="C125" t="s">
        <v>163</v>
      </c>
      <c r="D125" t="s">
        <v>164</v>
      </c>
      <c r="H125" t="str">
        <f t="shared" si="2"/>
        <v>xlsx</v>
      </c>
      <c r="I125" s="5" t="str">
        <f>IFERROR(IF(OR(C125="PERAC",C125="FoPITY"),INDEX(Customizations!$C$2:$C$41,MATCH(Sheet1!D125,Customizations!$B$2:$B$41,0),1),INDEX(About!C:C,MATCH(Sheet1!C125,About!B:B,0),1)),"")</f>
        <v>BAU Generation Capacity Lifetime.xlsx</v>
      </c>
      <c r="J125" s="5">
        <f>IFERROR(INDEX(About!$D$34:$D$222,MATCH(Sheet1!I125,About!$C$34:$C$222,0),1),0)</f>
        <v>1</v>
      </c>
      <c r="K125" s="6">
        <f t="shared" si="3"/>
        <v>0</v>
      </c>
    </row>
    <row r="126" spans="1:11" x14ac:dyDescent="0.25">
      <c r="A126" t="s">
        <v>0</v>
      </c>
      <c r="B126" t="s">
        <v>142</v>
      </c>
      <c r="C126" t="s">
        <v>163</v>
      </c>
      <c r="D126" t="s">
        <v>165</v>
      </c>
      <c r="H126" t="str">
        <f t="shared" si="2"/>
        <v>.csv</v>
      </c>
      <c r="I126" s="5" t="str">
        <f>IFERROR(IF(OR(C126="PERAC",C126="FoPITY"),INDEX(Customizations!$C$2:$C$41,MATCH(Sheet1!D126,Customizations!$B$2:$B$41,0),1),INDEX(About!C:C,MATCH(Sheet1!C126,About!B:B,0),1)),"")</f>
        <v>BAU Generation Capacity Lifetime.xlsx</v>
      </c>
      <c r="J126" s="5">
        <f>IFERROR(INDEX(About!$D$34:$D$222,MATCH(Sheet1!I126,About!$C$34:$C$222,0),1),0)</f>
        <v>1</v>
      </c>
      <c r="K126" s="6">
        <f t="shared" si="3"/>
        <v>1</v>
      </c>
    </row>
    <row r="127" spans="1:11" x14ac:dyDescent="0.25">
      <c r="A127" t="s">
        <v>0</v>
      </c>
      <c r="B127" t="s">
        <v>142</v>
      </c>
      <c r="C127" t="s">
        <v>166</v>
      </c>
      <c r="D127" t="s">
        <v>167</v>
      </c>
      <c r="H127" t="str">
        <f t="shared" si="2"/>
        <v>xlsx</v>
      </c>
      <c r="I127" s="5" t="str">
        <f>IFERROR(IF(OR(C127="PERAC",C127="FoPITY"),INDEX(Customizations!$C$2:$C$41,MATCH(Sheet1!D127,Customizations!$B$2:$B$41,0),1),INDEX(About!C:C,MATCH(Sheet1!C127,About!B:B,0),1)),"")</f>
        <v>BAU Guaranteed Dispatch Perc by Elec Source.xlsx</v>
      </c>
      <c r="J127" s="5">
        <f>IFERROR(INDEX(About!$D$34:$D$222,MATCH(Sheet1!I127,About!$C$34:$C$222,0),1),0)</f>
        <v>1</v>
      </c>
      <c r="K127" s="6">
        <f t="shared" si="3"/>
        <v>0</v>
      </c>
    </row>
    <row r="128" spans="1:11" x14ac:dyDescent="0.25">
      <c r="A128" t="s">
        <v>0</v>
      </c>
      <c r="B128" t="s">
        <v>142</v>
      </c>
      <c r="C128" t="s">
        <v>166</v>
      </c>
      <c r="D128" t="s">
        <v>168</v>
      </c>
      <c r="H128" t="str">
        <f t="shared" si="2"/>
        <v>.csv</v>
      </c>
      <c r="I128" s="5" t="str">
        <f>IFERROR(IF(OR(C128="PERAC",C128="FoPITY"),INDEX(Customizations!$C$2:$C$41,MATCH(Sheet1!D128,Customizations!$B$2:$B$41,0),1),INDEX(About!C:C,MATCH(Sheet1!C128,About!B:B,0),1)),"")</f>
        <v>BAU Guaranteed Dispatch Perc by Elec Source.xlsx</v>
      </c>
      <c r="J128" s="5">
        <f>IFERROR(INDEX(About!$D$34:$D$222,MATCH(Sheet1!I128,About!$C$34:$C$222,0),1),0)</f>
        <v>1</v>
      </c>
      <c r="K128" s="6">
        <f t="shared" si="3"/>
        <v>1</v>
      </c>
    </row>
    <row r="129" spans="1:11" x14ac:dyDescent="0.25">
      <c r="A129" t="s">
        <v>0</v>
      </c>
      <c r="B129" t="s">
        <v>142</v>
      </c>
      <c r="C129" t="s">
        <v>169</v>
      </c>
      <c r="D129" t="s">
        <v>170</v>
      </c>
      <c r="H129" t="str">
        <f t="shared" si="2"/>
        <v>xlsx</v>
      </c>
      <c r="I129" s="5" t="str">
        <f>IFERROR(IF(OR(C129="PERAC",C129="FoPITY"),INDEX(Customizations!$C$2:$C$41,MATCH(Sheet1!D129,Customizations!$B$2:$B$41,0),1),INDEX(About!C:C,MATCH(Sheet1!C129,About!B:B,0),1)),"")</f>
        <v>BAU Grid Battery Storage Cap.xlsx</v>
      </c>
      <c r="J129" s="5">
        <f>IFERROR(INDEX(About!$D$34:$D$222,MATCH(Sheet1!I129,About!$C$34:$C$222,0),1),0)</f>
        <v>1</v>
      </c>
      <c r="K129" s="6">
        <f t="shared" si="3"/>
        <v>0</v>
      </c>
    </row>
    <row r="130" spans="1:11" x14ac:dyDescent="0.25">
      <c r="A130" t="s">
        <v>0</v>
      </c>
      <c r="B130" t="s">
        <v>142</v>
      </c>
      <c r="C130" t="s">
        <v>169</v>
      </c>
      <c r="D130" t="s">
        <v>171</v>
      </c>
      <c r="H130" t="str">
        <f t="shared" si="2"/>
        <v>.csv</v>
      </c>
      <c r="I130" s="5" t="str">
        <f>IFERROR(IF(OR(C130="PERAC",C130="FoPITY"),INDEX(Customizations!$C$2:$C$41,MATCH(Sheet1!D130,Customizations!$B$2:$B$41,0),1),INDEX(About!C:C,MATCH(Sheet1!C130,About!B:B,0),1)),"")</f>
        <v>BAU Grid Battery Storage Cap.xlsx</v>
      </c>
      <c r="J130" s="5">
        <f>IFERROR(INDEX(About!$D$34:$D$222,MATCH(Sheet1!I130,About!$C$34:$C$222,0),1),0)</f>
        <v>1</v>
      </c>
      <c r="K130" s="6">
        <f t="shared" si="3"/>
        <v>1</v>
      </c>
    </row>
    <row r="131" spans="1:11" x14ac:dyDescent="0.25">
      <c r="A131" t="s">
        <v>0</v>
      </c>
      <c r="B131" t="s">
        <v>142</v>
      </c>
      <c r="C131" t="s">
        <v>172</v>
      </c>
      <c r="D131" t="s">
        <v>173</v>
      </c>
      <c r="H131" t="str">
        <f t="shared" si="2"/>
        <v>xlsx</v>
      </c>
      <c r="I131" s="5" t="str">
        <f>IFERROR(IF(OR(C131="PERAC",C131="FoPITY"),INDEX(Customizations!$C$2:$C$41,MATCH(Sheet1!D131,Customizations!$B$2:$B$41,0),1),INDEX(About!C:C,MATCH(Sheet1!C131,About!B:B,0),1)),"")</f>
        <v>BAU Heat Rate by Electricity Fuel.xlsx</v>
      </c>
      <c r="J131" s="5">
        <f>IFERROR(INDEX(About!$D$34:$D$222,MATCH(Sheet1!I131,About!$C$34:$C$222,0),1),0)</f>
        <v>1</v>
      </c>
      <c r="K131" s="6">
        <f t="shared" si="3"/>
        <v>0</v>
      </c>
    </row>
    <row r="132" spans="1:11" x14ac:dyDescent="0.25">
      <c r="A132" t="s">
        <v>0</v>
      </c>
      <c r="B132" t="s">
        <v>142</v>
      </c>
      <c r="C132" t="s">
        <v>172</v>
      </c>
      <c r="D132" t="s">
        <v>174</v>
      </c>
      <c r="H132" t="str">
        <f t="shared" si="2"/>
        <v>.csv</v>
      </c>
      <c r="I132" s="5" t="str">
        <f>IFERROR(IF(OR(C132="PERAC",C132="FoPITY"),INDEX(Customizations!$C$2:$C$41,MATCH(Sheet1!D132,Customizations!$B$2:$B$41,0),1),INDEX(About!C:C,MATCH(Sheet1!C132,About!B:B,0),1)),"")</f>
        <v>BAU Heat Rate by Electricity Fuel.xlsx</v>
      </c>
      <c r="J132" s="5">
        <f>IFERROR(INDEX(About!$D$34:$D$222,MATCH(Sheet1!I132,About!$C$34:$C$222,0),1),0)</f>
        <v>1</v>
      </c>
      <c r="K132" s="6">
        <f t="shared" si="3"/>
        <v>1</v>
      </c>
    </row>
    <row r="133" spans="1:11" x14ac:dyDescent="0.25">
      <c r="A133" t="s">
        <v>0</v>
      </c>
      <c r="B133" t="s">
        <v>142</v>
      </c>
      <c r="C133" t="s">
        <v>175</v>
      </c>
      <c r="D133" t="s">
        <v>176</v>
      </c>
      <c r="H133" t="str">
        <f t="shared" ref="H133:H196" si="4">RIGHT(D133,"4")</f>
        <v>xlsx</v>
      </c>
      <c r="I133" s="5" t="str">
        <f>IFERROR(IF(OR(C133="PERAC",C133="FoPITY"),INDEX(Customizations!$C$2:$C$41,MATCH(Sheet1!D133,Customizations!$B$2:$B$41,0),1),INDEX(About!C:C,MATCH(Sheet1!C133,About!B:B,0),1)),"")</f>
        <v>Boolean Peaking and Flexibility Flags.xlsx</v>
      </c>
      <c r="J133" s="5">
        <f>IFERROR(INDEX(About!$D$34:$D$222,MATCH(Sheet1!I133,About!$C$34:$C$222,0),1),0)</f>
        <v>1</v>
      </c>
      <c r="K133" s="6">
        <f t="shared" ref="K133:K196" si="5">IF(H133=".csv",1,0)*J133</f>
        <v>0</v>
      </c>
    </row>
    <row r="134" spans="1:11" x14ac:dyDescent="0.25">
      <c r="A134" t="s">
        <v>0</v>
      </c>
      <c r="B134" t="s">
        <v>142</v>
      </c>
      <c r="C134" t="s">
        <v>175</v>
      </c>
      <c r="D134" t="s">
        <v>177</v>
      </c>
      <c r="H134" t="str">
        <f t="shared" si="4"/>
        <v>.csv</v>
      </c>
      <c r="I134" s="5" t="str">
        <f>IFERROR(IF(OR(C134="PERAC",C134="FoPITY"),INDEX(Customizations!$C$2:$C$41,MATCH(Sheet1!D134,Customizations!$B$2:$B$41,0),1),INDEX(About!C:C,MATCH(Sheet1!C134,About!B:B,0),1)),"")</f>
        <v>Boolean Peaking and Flexibility Flags.xlsx</v>
      </c>
      <c r="J134" s="5">
        <f>IFERROR(INDEX(About!$D$34:$D$222,MATCH(Sheet1!I134,About!$C$34:$C$222,0),1),0)</f>
        <v>1</v>
      </c>
      <c r="K134" s="6">
        <f t="shared" si="5"/>
        <v>1</v>
      </c>
    </row>
    <row r="135" spans="1:11" x14ac:dyDescent="0.25">
      <c r="A135" t="s">
        <v>0</v>
      </c>
      <c r="B135" t="s">
        <v>142</v>
      </c>
      <c r="C135" t="s">
        <v>175</v>
      </c>
      <c r="D135" t="s">
        <v>178</v>
      </c>
      <c r="H135" t="str">
        <f t="shared" si="4"/>
        <v>.csv</v>
      </c>
      <c r="I135" s="5" t="str">
        <f>IFERROR(IF(OR(C135="PERAC",C135="FoPITY"),INDEX(Customizations!$C$2:$C$41,MATCH(Sheet1!D135,Customizations!$B$2:$B$41,0),1),INDEX(About!C:C,MATCH(Sheet1!C135,About!B:B,0),1)),"")</f>
        <v>Boolean Peaking and Flexibility Flags.xlsx</v>
      </c>
      <c r="J135" s="5">
        <f>IFERROR(INDEX(About!$D$34:$D$222,MATCH(Sheet1!I135,About!$C$34:$C$222,0),1),0)</f>
        <v>1</v>
      </c>
      <c r="K135" s="6">
        <f t="shared" si="5"/>
        <v>1</v>
      </c>
    </row>
    <row r="136" spans="1:11" x14ac:dyDescent="0.25">
      <c r="A136" t="s">
        <v>0</v>
      </c>
      <c r="B136" t="s">
        <v>142</v>
      </c>
      <c r="C136" t="s">
        <v>179</v>
      </c>
      <c r="D136" t="s">
        <v>180</v>
      </c>
      <c r="H136" t="str">
        <f t="shared" si="4"/>
        <v>xlsx</v>
      </c>
      <c r="I136" s="5" t="str">
        <f>IFERROR(IF(OR(C136="PERAC",C136="FoPITY"),INDEX(Customizations!$C$2:$C$41,MATCH(Sheet1!D136,Customizations!$B$2:$B$41,0),1),INDEX(About!C:C,MATCH(Sheet1!C136,About!B:B,0),1)),"")</f>
        <v>BAU Pumped Hydro Cap.xlsx</v>
      </c>
      <c r="J136" s="5">
        <f>IFERROR(INDEX(About!$D$34:$D$222,MATCH(Sheet1!I136,About!$C$34:$C$222,0),1),0)</f>
        <v>1</v>
      </c>
      <c r="K136" s="6">
        <f t="shared" si="5"/>
        <v>0</v>
      </c>
    </row>
    <row r="137" spans="1:11" x14ac:dyDescent="0.25">
      <c r="A137" t="s">
        <v>0</v>
      </c>
      <c r="B137" t="s">
        <v>142</v>
      </c>
      <c r="C137" t="s">
        <v>179</v>
      </c>
      <c r="D137" t="s">
        <v>181</v>
      </c>
      <c r="H137" t="str">
        <f t="shared" si="4"/>
        <v>.csv</v>
      </c>
      <c r="I137" s="5" t="str">
        <f>IFERROR(IF(OR(C137="PERAC",C137="FoPITY"),INDEX(Customizations!$C$2:$C$41,MATCH(Sheet1!D137,Customizations!$B$2:$B$41,0),1),INDEX(About!C:C,MATCH(Sheet1!C137,About!B:B,0),1)),"")</f>
        <v>BAU Pumped Hydro Cap.xlsx</v>
      </c>
      <c r="J137" s="5">
        <f>IFERROR(INDEX(About!$D$34:$D$222,MATCH(Sheet1!I137,About!$C$34:$C$222,0),1),0)</f>
        <v>1</v>
      </c>
      <c r="K137" s="6">
        <f t="shared" si="5"/>
        <v>1</v>
      </c>
    </row>
    <row r="138" spans="1:11" x14ac:dyDescent="0.25">
      <c r="A138" t="s">
        <v>0</v>
      </c>
      <c r="B138" t="s">
        <v>142</v>
      </c>
      <c r="C138" t="s">
        <v>182</v>
      </c>
      <c r="D138" t="s">
        <v>183</v>
      </c>
      <c r="H138" t="str">
        <f t="shared" si="4"/>
        <v>xlsx</v>
      </c>
      <c r="I138" s="5" t="str">
        <f>IFERROR(IF(OR(C138="PERAC",C138="FoPITY"),INDEX(Customizations!$C$2:$C$41,MATCH(Sheet1!D138,Customizations!$B$2:$B$41,0),1),INDEX(About!C:C,MATCH(Sheet1!C138,About!B:B,0),1)),"")</f>
        <v>BAU Pol Mandated Cap Const Sched.xlsx</v>
      </c>
      <c r="J138" s="5">
        <f>IFERROR(INDEX(About!$D$34:$D$222,MATCH(Sheet1!I138,About!$C$34:$C$222,0),1),0)</f>
        <v>1</v>
      </c>
      <c r="K138" s="6">
        <f t="shared" si="5"/>
        <v>0</v>
      </c>
    </row>
    <row r="139" spans="1:11" x14ac:dyDescent="0.25">
      <c r="A139" t="s">
        <v>0</v>
      </c>
      <c r="B139" t="s">
        <v>142</v>
      </c>
      <c r="C139" t="s">
        <v>182</v>
      </c>
      <c r="D139" t="s">
        <v>184</v>
      </c>
      <c r="H139" t="str">
        <f t="shared" si="4"/>
        <v>.csv</v>
      </c>
      <c r="I139" s="5" t="str">
        <f>IFERROR(IF(OR(C139="PERAC",C139="FoPITY"),INDEX(Customizations!$C$2:$C$41,MATCH(Sheet1!D139,Customizations!$B$2:$B$41,0),1),INDEX(About!C:C,MATCH(Sheet1!C139,About!B:B,0),1)),"")</f>
        <v>BAU Pol Mandated Cap Const Sched.xlsx</v>
      </c>
      <c r="J139" s="5">
        <f>IFERROR(INDEX(About!$D$34:$D$222,MATCH(Sheet1!I139,About!$C$34:$C$222,0),1),0)</f>
        <v>1</v>
      </c>
      <c r="K139" s="6">
        <f t="shared" si="5"/>
        <v>1</v>
      </c>
    </row>
    <row r="140" spans="1:11" x14ac:dyDescent="0.25">
      <c r="A140" t="s">
        <v>0</v>
      </c>
      <c r="B140" t="s">
        <v>142</v>
      </c>
      <c r="C140" t="s">
        <v>185</v>
      </c>
      <c r="D140" t="s">
        <v>186</v>
      </c>
      <c r="H140" t="str">
        <f t="shared" si="4"/>
        <v>xlsx</v>
      </c>
      <c r="I140" s="5" t="str">
        <f>IFERROR(IF(OR(C140="PERAC",C140="FoPITY"),INDEX(Customizations!$C$2:$C$41,MATCH(Sheet1!D140,Customizations!$B$2:$B$41,0),1),INDEX(About!C:C,MATCH(Sheet1!C140,About!B:B,0),1)),"")</f>
        <v>BAU RPS Percentage This Year.xlsx</v>
      </c>
      <c r="J140" s="5">
        <f>IFERROR(INDEX(About!$D$34:$D$222,MATCH(Sheet1!I140,About!$C$34:$C$222,0),1),0)</f>
        <v>1</v>
      </c>
      <c r="K140" s="6">
        <f t="shared" si="5"/>
        <v>0</v>
      </c>
    </row>
    <row r="141" spans="1:11" x14ac:dyDescent="0.25">
      <c r="A141" t="s">
        <v>0</v>
      </c>
      <c r="B141" t="s">
        <v>142</v>
      </c>
      <c r="C141" t="s">
        <v>185</v>
      </c>
      <c r="D141" t="s">
        <v>187</v>
      </c>
      <c r="H141" t="str">
        <f t="shared" si="4"/>
        <v>.csv</v>
      </c>
      <c r="I141" s="5" t="str">
        <f>IFERROR(IF(OR(C141="PERAC",C141="FoPITY"),INDEX(Customizations!$C$2:$C$41,MATCH(Sheet1!D141,Customizations!$B$2:$B$41,0),1),INDEX(About!C:C,MATCH(Sheet1!C141,About!B:B,0),1)),"")</f>
        <v>BAU RPS Percentage This Year.xlsx</v>
      </c>
      <c r="J141" s="5">
        <f>IFERROR(INDEX(About!$D$34:$D$222,MATCH(Sheet1!I141,About!$C$34:$C$222,0),1),0)</f>
        <v>1</v>
      </c>
      <c r="K141" s="6">
        <f t="shared" si="5"/>
        <v>1</v>
      </c>
    </row>
    <row r="142" spans="1:11" x14ac:dyDescent="0.25">
      <c r="A142" t="s">
        <v>0</v>
      </c>
      <c r="B142" t="s">
        <v>142</v>
      </c>
      <c r="C142" t="s">
        <v>188</v>
      </c>
      <c r="D142" t="s">
        <v>189</v>
      </c>
      <c r="H142" t="str">
        <f t="shared" si="4"/>
        <v>xlsx</v>
      </c>
      <c r="I142" s="5" t="str">
        <f>IFERROR(IF(OR(C142="PERAC",C142="FoPITY"),INDEX(Customizations!$C$2:$C$41,MATCH(Sheet1!D142,Customizations!$B$2:$B$41,0),1),INDEX(About!C:C,MATCH(Sheet1!C142,About!B:B,0),1)),"")</f>
        <v>BAU Trans and Distr Loss Perc.xlsx</v>
      </c>
      <c r="J142" s="5">
        <f>IFERROR(INDEX(About!$D$34:$D$222,MATCH(Sheet1!I142,About!$C$34:$C$222,0),1),0)</f>
        <v>1</v>
      </c>
      <c r="K142" s="6">
        <f t="shared" si="5"/>
        <v>0</v>
      </c>
    </row>
    <row r="143" spans="1:11" x14ac:dyDescent="0.25">
      <c r="A143" t="s">
        <v>0</v>
      </c>
      <c r="B143" t="s">
        <v>142</v>
      </c>
      <c r="C143" t="s">
        <v>188</v>
      </c>
      <c r="D143" t="s">
        <v>190</v>
      </c>
      <c r="H143" t="str">
        <f t="shared" si="4"/>
        <v>.csv</v>
      </c>
      <c r="I143" s="5" t="str">
        <f>IFERROR(IF(OR(C143="PERAC",C143="FoPITY"),INDEX(Customizations!$C$2:$C$41,MATCH(Sheet1!D143,Customizations!$B$2:$B$41,0),1),INDEX(About!C:C,MATCH(Sheet1!C143,About!B:B,0),1)),"")</f>
        <v>BAU Trans and Distr Loss Perc.xlsx</v>
      </c>
      <c r="J143" s="5">
        <f>IFERROR(INDEX(About!$D$34:$D$222,MATCH(Sheet1!I143,About!$C$34:$C$222,0),1),0)</f>
        <v>1</v>
      </c>
      <c r="K143" s="6">
        <f t="shared" si="5"/>
        <v>1</v>
      </c>
    </row>
    <row r="144" spans="1:11" x14ac:dyDescent="0.25">
      <c r="A144" t="s">
        <v>0</v>
      </c>
      <c r="B144" t="s">
        <v>142</v>
      </c>
      <c r="C144" t="s">
        <v>191</v>
      </c>
      <c r="D144" t="s">
        <v>192</v>
      </c>
      <c r="H144" t="str">
        <f t="shared" si="4"/>
        <v>xlsx</v>
      </c>
      <c r="I144" s="5" t="str">
        <f>IFERROR(IF(OR(C144="PERAC",C144="FoPITY"),INDEX(Customizations!$C$2:$C$41,MATCH(Sheet1!D144,Customizations!$B$2:$B$41,0),1),INDEX(About!C:C,MATCH(Sheet1!C144,About!B:B,0),1)),"")</f>
        <v>BAU Transmission Capacity.xlsx</v>
      </c>
      <c r="J144" s="5">
        <f>IFERROR(INDEX(About!$D$34:$D$222,MATCH(Sheet1!I144,About!$C$34:$C$222,0),1),0)</f>
        <v>1</v>
      </c>
      <c r="K144" s="6">
        <f t="shared" si="5"/>
        <v>0</v>
      </c>
    </row>
    <row r="145" spans="1:11" x14ac:dyDescent="0.25">
      <c r="A145" t="s">
        <v>0</v>
      </c>
      <c r="B145" t="s">
        <v>142</v>
      </c>
      <c r="C145" t="s">
        <v>191</v>
      </c>
      <c r="D145" t="s">
        <v>193</v>
      </c>
      <c r="H145" t="str">
        <f t="shared" si="4"/>
        <v>.csv</v>
      </c>
      <c r="I145" s="5" t="str">
        <f>IFERROR(IF(OR(C145="PERAC",C145="FoPITY"),INDEX(Customizations!$C$2:$C$41,MATCH(Sheet1!D145,Customizations!$B$2:$B$41,0),1),INDEX(About!C:C,MATCH(Sheet1!C145,About!B:B,0),1)),"")</f>
        <v>BAU Transmission Capacity.xlsx</v>
      </c>
      <c r="J145" s="5">
        <f>IFERROR(INDEX(About!$D$34:$D$222,MATCH(Sheet1!I145,About!$C$34:$C$222,0),1),0)</f>
        <v>1</v>
      </c>
      <c r="K145" s="6">
        <f t="shared" si="5"/>
        <v>1</v>
      </c>
    </row>
    <row r="146" spans="1:11" x14ac:dyDescent="0.25">
      <c r="A146" t="s">
        <v>0</v>
      </c>
      <c r="B146" t="s">
        <v>142</v>
      </c>
      <c r="C146" t="s">
        <v>194</v>
      </c>
      <c r="D146" t="s">
        <v>195</v>
      </c>
      <c r="H146" t="str">
        <f t="shared" si="4"/>
        <v>xlsx</v>
      </c>
      <c r="I146" s="5" t="str">
        <f>IFERROR(IF(OR(C146="PERAC",C146="FoPITY"),INDEX(Customizations!$C$2:$C$41,MATCH(Sheet1!D146,Customizations!$B$2:$B$41,0),1),INDEX(About!C:C,MATCH(Sheet1!C146,About!B:B,0),1)),"")</f>
        <v>Capacity Construction and Maint Costs.xlsx</v>
      </c>
      <c r="J146" s="5">
        <f>IFERROR(INDEX(About!$D$34:$D$222,MATCH(Sheet1!I146,About!$C$34:$C$222,0),1),0)</f>
        <v>1</v>
      </c>
      <c r="K146" s="6">
        <f t="shared" si="5"/>
        <v>0</v>
      </c>
    </row>
    <row r="147" spans="1:11" x14ac:dyDescent="0.25">
      <c r="A147" t="s">
        <v>0</v>
      </c>
      <c r="B147" t="s">
        <v>142</v>
      </c>
      <c r="C147" t="s">
        <v>194</v>
      </c>
      <c r="D147" t="s">
        <v>196</v>
      </c>
      <c r="H147" t="str">
        <f t="shared" si="4"/>
        <v>.csv</v>
      </c>
      <c r="I147" s="5" t="str">
        <f>IFERROR(IF(OR(C147="PERAC",C147="FoPITY"),INDEX(Customizations!$C$2:$C$41,MATCH(Sheet1!D147,Customizations!$B$2:$B$41,0),1),INDEX(About!C:C,MATCH(Sheet1!C147,About!B:B,0),1)),"")</f>
        <v>Capacity Construction and Maint Costs.xlsx</v>
      </c>
      <c r="J147" s="5">
        <f>IFERROR(INDEX(About!$D$34:$D$222,MATCH(Sheet1!I147,About!$C$34:$C$222,0),1),0)</f>
        <v>1</v>
      </c>
      <c r="K147" s="6">
        <f t="shared" si="5"/>
        <v>1</v>
      </c>
    </row>
    <row r="148" spans="1:11" x14ac:dyDescent="0.25">
      <c r="A148" t="s">
        <v>0</v>
      </c>
      <c r="B148" t="s">
        <v>142</v>
      </c>
      <c r="C148" t="s">
        <v>194</v>
      </c>
      <c r="D148" t="s">
        <v>197</v>
      </c>
      <c r="H148" t="str">
        <f t="shared" si="4"/>
        <v>.csv</v>
      </c>
      <c r="I148" s="5" t="str">
        <f>IFERROR(IF(OR(C148="PERAC",C148="FoPITY"),INDEX(Customizations!$C$2:$C$41,MATCH(Sheet1!D148,Customizations!$B$2:$B$41,0),1),INDEX(About!C:C,MATCH(Sheet1!C148,About!B:B,0),1)),"")</f>
        <v>Capacity Construction and Maint Costs.xlsx</v>
      </c>
      <c r="J148" s="5">
        <f>IFERROR(INDEX(About!$D$34:$D$222,MATCH(Sheet1!I148,About!$C$34:$C$222,0),1),0)</f>
        <v>1</v>
      </c>
      <c r="K148" s="6">
        <f t="shared" si="5"/>
        <v>1</v>
      </c>
    </row>
    <row r="149" spans="1:11" x14ac:dyDescent="0.25">
      <c r="A149" t="s">
        <v>0</v>
      </c>
      <c r="B149" t="s">
        <v>142</v>
      </c>
      <c r="C149" t="s">
        <v>194</v>
      </c>
      <c r="D149" t="s">
        <v>198</v>
      </c>
      <c r="H149" t="str">
        <f t="shared" si="4"/>
        <v>.csv</v>
      </c>
      <c r="I149" s="5" t="str">
        <f>IFERROR(IF(OR(C149="PERAC",C149="FoPITY"),INDEX(Customizations!$C$2:$C$41,MATCH(Sheet1!D149,Customizations!$B$2:$B$41,0),1),INDEX(About!C:C,MATCH(Sheet1!C149,About!B:B,0),1)),"")</f>
        <v>Capacity Construction and Maint Costs.xlsx</v>
      </c>
      <c r="J149" s="5">
        <f>IFERROR(INDEX(About!$D$34:$D$222,MATCH(Sheet1!I149,About!$C$34:$C$222,0),1),0)</f>
        <v>1</v>
      </c>
      <c r="K149" s="6">
        <f t="shared" si="5"/>
        <v>1</v>
      </c>
    </row>
    <row r="150" spans="1:11" x14ac:dyDescent="0.25">
      <c r="A150" t="s">
        <v>0</v>
      </c>
      <c r="B150" t="s">
        <v>142</v>
      </c>
      <c r="C150" t="s">
        <v>199</v>
      </c>
      <c r="D150" t="s">
        <v>200</v>
      </c>
      <c r="H150" t="str">
        <f t="shared" si="4"/>
        <v>.csv</v>
      </c>
      <c r="I150" s="5" t="str">
        <f>IFERROR(IF(OR(C150="PERAC",C150="FoPITY"),INDEX(Customizations!$C$2:$C$41,MATCH(Sheet1!D150,Customizations!$B$2:$B$41,0),1),INDEX(About!C:C,MATCH(Sheet1!C150,About!B:B,0),1)),"")</f>
        <v>Decommissioning Cost per Unit Cap.xlsx</v>
      </c>
      <c r="J150" s="5">
        <f>IFERROR(INDEX(About!$D$34:$D$222,MATCH(Sheet1!I150,About!$C$34:$C$222,0),1),0)</f>
        <v>1</v>
      </c>
      <c r="K150" s="6">
        <f t="shared" si="5"/>
        <v>1</v>
      </c>
    </row>
    <row r="151" spans="1:11" x14ac:dyDescent="0.25">
      <c r="A151" t="s">
        <v>0</v>
      </c>
      <c r="B151" t="s">
        <v>142</v>
      </c>
      <c r="C151" t="s">
        <v>199</v>
      </c>
      <c r="D151" t="s">
        <v>201</v>
      </c>
      <c r="H151" t="str">
        <f t="shared" si="4"/>
        <v>xlsx</v>
      </c>
      <c r="I151" s="5" t="str">
        <f>IFERROR(IF(OR(C151="PERAC",C151="FoPITY"),INDEX(Customizations!$C$2:$C$41,MATCH(Sheet1!D151,Customizations!$B$2:$B$41,0),1),INDEX(About!C:C,MATCH(Sheet1!C151,About!B:B,0),1)),"")</f>
        <v>Decommissioning Cost per Unit Cap.xlsx</v>
      </c>
      <c r="J151" s="5">
        <f>IFERROR(INDEX(About!$D$34:$D$222,MATCH(Sheet1!I151,About!$C$34:$C$222,0),1),0)</f>
        <v>1</v>
      </c>
      <c r="K151" s="6">
        <f t="shared" si="5"/>
        <v>0</v>
      </c>
    </row>
    <row r="152" spans="1:11" x14ac:dyDescent="0.25">
      <c r="A152" t="s">
        <v>0</v>
      </c>
      <c r="B152" t="s">
        <v>142</v>
      </c>
      <c r="C152" t="s">
        <v>202</v>
      </c>
      <c r="D152" t="s">
        <v>203</v>
      </c>
      <c r="H152" t="str">
        <f t="shared" si="4"/>
        <v>xlsx</v>
      </c>
      <c r="I152" s="5" t="str">
        <f>IFERROR(IF(OR(C152="PERAC",C152="FoPITY"),INDEX(Customizations!$C$2:$C$41,MATCH(Sheet1!D152,Customizations!$B$2:$B$41,0),1),INDEX(About!C:C,MATCH(Sheet1!C152,About!B:B,0),1)),"")</f>
        <v>Dispatch Priority by Elec Source.xlsx</v>
      </c>
      <c r="J152" s="5">
        <f>IFERROR(INDEX(About!$D$34:$D$222,MATCH(Sheet1!I152,About!$C$34:$C$222,0),1),0)</f>
        <v>1</v>
      </c>
      <c r="K152" s="6">
        <f t="shared" si="5"/>
        <v>0</v>
      </c>
    </row>
    <row r="153" spans="1:11" x14ac:dyDescent="0.25">
      <c r="A153" t="s">
        <v>0</v>
      </c>
      <c r="B153" t="s">
        <v>142</v>
      </c>
      <c r="C153" t="s">
        <v>202</v>
      </c>
      <c r="D153" t="s">
        <v>204</v>
      </c>
      <c r="H153" t="str">
        <f t="shared" si="4"/>
        <v>.csv</v>
      </c>
      <c r="I153" s="5" t="str">
        <f>IFERROR(IF(OR(C153="PERAC",C153="FoPITY"),INDEX(Customizations!$C$2:$C$41,MATCH(Sheet1!D153,Customizations!$B$2:$B$41,0),1),INDEX(About!C:C,MATCH(Sheet1!C153,About!B:B,0),1)),"")</f>
        <v>Dispatch Priority by Elec Source.xlsx</v>
      </c>
      <c r="J153" s="5">
        <f>IFERROR(INDEX(About!$D$34:$D$222,MATCH(Sheet1!I153,About!$C$34:$C$222,0),1),0)</f>
        <v>1</v>
      </c>
      <c r="K153" s="6">
        <f t="shared" si="5"/>
        <v>1</v>
      </c>
    </row>
    <row r="154" spans="1:11" x14ac:dyDescent="0.25">
      <c r="A154" t="s">
        <v>0</v>
      </c>
      <c r="B154" t="s">
        <v>142</v>
      </c>
      <c r="C154" t="s">
        <v>205</v>
      </c>
      <c r="D154" t="s">
        <v>206</v>
      </c>
      <c r="H154" t="str">
        <f t="shared" si="4"/>
        <v>xlsx</v>
      </c>
      <c r="I154" s="5" t="str">
        <f>IFERROR(IF(OR(C154="PERAC",C154="FoPITY"),INDEX(Customizations!$C$2:$C$41,MATCH(Sheet1!D154,Customizations!$B$2:$B$41,0),1),INDEX(About!C:C,MATCH(Sheet1!C154,About!B:B,0),1)),"")</f>
        <v>Demand Response Capacity.xlsx</v>
      </c>
      <c r="J154" s="5">
        <f>IFERROR(INDEX(About!$D$34:$D$222,MATCH(Sheet1!I154,About!$C$34:$C$222,0),1),0)</f>
        <v>1</v>
      </c>
      <c r="K154" s="6">
        <f t="shared" si="5"/>
        <v>0</v>
      </c>
    </row>
    <row r="155" spans="1:11" x14ac:dyDescent="0.25">
      <c r="A155" t="s">
        <v>0</v>
      </c>
      <c r="B155" t="s">
        <v>142</v>
      </c>
      <c r="C155" t="s">
        <v>205</v>
      </c>
      <c r="D155" t="s">
        <v>207</v>
      </c>
      <c r="H155" t="str">
        <f t="shared" si="4"/>
        <v>.csv</v>
      </c>
      <c r="I155" s="5" t="str">
        <f>IFERROR(IF(OR(C155="PERAC",C155="FoPITY"),INDEX(Customizations!$C$2:$C$41,MATCH(Sheet1!D155,Customizations!$B$2:$B$41,0),1),INDEX(About!C:C,MATCH(Sheet1!C155,About!B:B,0),1)),"")</f>
        <v>Demand Response Capacity.xlsx</v>
      </c>
      <c r="J155" s="5">
        <f>IFERROR(INDEX(About!$D$34:$D$222,MATCH(Sheet1!I155,About!$C$34:$C$222,0),1),0)</f>
        <v>1</v>
      </c>
      <c r="K155" s="6">
        <f t="shared" si="5"/>
        <v>1</v>
      </c>
    </row>
    <row r="156" spans="1:11" x14ac:dyDescent="0.25">
      <c r="A156" t="s">
        <v>0</v>
      </c>
      <c r="B156" t="s">
        <v>142</v>
      </c>
      <c r="C156" t="s">
        <v>205</v>
      </c>
      <c r="D156" t="s">
        <v>208</v>
      </c>
      <c r="H156" t="str">
        <f t="shared" si="4"/>
        <v>.csv</v>
      </c>
      <c r="I156" s="5" t="str">
        <f>IFERROR(IF(OR(C156="PERAC",C156="FoPITY"),INDEX(Customizations!$C$2:$C$41,MATCH(Sheet1!D156,Customizations!$B$2:$B$41,0),1),INDEX(About!C:C,MATCH(Sheet1!C156,About!B:B,0),1)),"")</f>
        <v>Demand Response Capacity.xlsx</v>
      </c>
      <c r="J156" s="5">
        <f>IFERROR(INDEX(About!$D$34:$D$222,MATCH(Sheet1!I156,About!$C$34:$C$222,0),1),0)</f>
        <v>1</v>
      </c>
      <c r="K156" s="6">
        <f t="shared" si="5"/>
        <v>1</v>
      </c>
    </row>
    <row r="157" spans="1:11" x14ac:dyDescent="0.25">
      <c r="A157" t="s">
        <v>0</v>
      </c>
      <c r="B157" t="s">
        <v>142</v>
      </c>
      <c r="C157" t="s">
        <v>209</v>
      </c>
      <c r="D157" t="s">
        <v>210</v>
      </c>
      <c r="H157" t="str">
        <f t="shared" si="4"/>
        <v>xlsx</v>
      </c>
      <c r="I157" s="5" t="str">
        <f>IFERROR(IF(OR(C157="PERAC",C157="FoPITY"),INDEX(Customizations!$C$2:$C$41,MATCH(Sheet1!D157,Customizations!$B$2:$B$41,0),1),INDEX(About!C:C,MATCH(Sheet1!C157,About!B:B,0),1)),"")</f>
        <v>Demand Response Costs.xlsx</v>
      </c>
      <c r="J157" s="5">
        <f>IFERROR(INDEX(About!$D$34:$D$222,MATCH(Sheet1!I157,About!$C$34:$C$222,0),1),0)</f>
        <v>1</v>
      </c>
      <c r="K157" s="6">
        <f t="shared" si="5"/>
        <v>0</v>
      </c>
    </row>
    <row r="158" spans="1:11" x14ac:dyDescent="0.25">
      <c r="A158" t="s">
        <v>0</v>
      </c>
      <c r="B158" t="s">
        <v>142</v>
      </c>
      <c r="C158" t="s">
        <v>209</v>
      </c>
      <c r="D158" t="s">
        <v>211</v>
      </c>
      <c r="H158" t="str">
        <f t="shared" si="4"/>
        <v>.csv</v>
      </c>
      <c r="I158" s="5" t="str">
        <f>IFERROR(IF(OR(C158="PERAC",C158="FoPITY"),INDEX(Customizations!$C$2:$C$41,MATCH(Sheet1!D158,Customizations!$B$2:$B$41,0),1),INDEX(About!C:C,MATCH(Sheet1!C158,About!B:B,0),1)),"")</f>
        <v>Demand Response Costs.xlsx</v>
      </c>
      <c r="J158" s="5">
        <f>IFERROR(INDEX(About!$D$34:$D$222,MATCH(Sheet1!I158,About!$C$34:$C$222,0),1),0)</f>
        <v>1</v>
      </c>
      <c r="K158" s="6">
        <f t="shared" si="5"/>
        <v>1</v>
      </c>
    </row>
    <row r="159" spans="1:11" x14ac:dyDescent="0.25">
      <c r="A159" t="s">
        <v>0</v>
      </c>
      <c r="B159" t="s">
        <v>142</v>
      </c>
      <c r="C159" t="s">
        <v>209</v>
      </c>
      <c r="D159" t="s">
        <v>212</v>
      </c>
      <c r="H159" t="str">
        <f t="shared" si="4"/>
        <v>.csv</v>
      </c>
      <c r="I159" s="5" t="str">
        <f>IFERROR(IF(OR(C159="PERAC",C159="FoPITY"),INDEX(Customizations!$C$2:$C$41,MATCH(Sheet1!D159,Customizations!$B$2:$B$41,0),1),INDEX(About!C:C,MATCH(Sheet1!C159,About!B:B,0),1)),"")</f>
        <v>Demand Response Costs.xlsx</v>
      </c>
      <c r="J159" s="5">
        <f>IFERROR(INDEX(About!$D$34:$D$222,MATCH(Sheet1!I159,About!$C$34:$C$222,0),1),0)</f>
        <v>1</v>
      </c>
      <c r="K159" s="6">
        <f t="shared" si="5"/>
        <v>1</v>
      </c>
    </row>
    <row r="160" spans="1:11" x14ac:dyDescent="0.25">
      <c r="A160" t="s">
        <v>0</v>
      </c>
      <c r="B160" t="s">
        <v>142</v>
      </c>
      <c r="C160" t="s">
        <v>213</v>
      </c>
      <c r="D160" t="s">
        <v>214</v>
      </c>
      <c r="H160" t="str">
        <f t="shared" si="4"/>
        <v>.csv</v>
      </c>
      <c r="I160" s="5" t="str">
        <f>IFERROR(IF(OR(C160="PERAC",C160="FoPITY"),INDEX(Customizations!$C$2:$C$41,MATCH(Sheet1!D160,Customizations!$B$2:$B$41,0),1),INDEX(About!C:C,MATCH(Sheet1!C160,About!B:B,0),1)),"")</f>
        <v>Elec Imports and Exports.xlsx</v>
      </c>
      <c r="J160" s="5">
        <f>IFERROR(INDEX(About!$D$34:$D$222,MATCH(Sheet1!I160,About!$C$34:$C$222,0),1),0)</f>
        <v>1</v>
      </c>
      <c r="K160" s="6">
        <f t="shared" si="5"/>
        <v>1</v>
      </c>
    </row>
    <row r="161" spans="1:11" x14ac:dyDescent="0.25">
      <c r="A161" t="s">
        <v>0</v>
      </c>
      <c r="B161" t="s">
        <v>142</v>
      </c>
      <c r="C161" t="s">
        <v>213</v>
      </c>
      <c r="D161" t="s">
        <v>215</v>
      </c>
      <c r="H161" t="str">
        <f t="shared" si="4"/>
        <v>.csv</v>
      </c>
      <c r="I161" s="5" t="str">
        <f>IFERROR(IF(OR(C161="PERAC",C161="FoPITY"),INDEX(Customizations!$C$2:$C$41,MATCH(Sheet1!D161,Customizations!$B$2:$B$41,0),1),INDEX(About!C:C,MATCH(Sheet1!C161,About!B:B,0),1)),"")</f>
        <v>Elec Imports and Exports.xlsx</v>
      </c>
      <c r="J161" s="5">
        <f>IFERROR(INDEX(About!$D$34:$D$222,MATCH(Sheet1!I161,About!$C$34:$C$222,0),1),0)</f>
        <v>1</v>
      </c>
      <c r="K161" s="6">
        <f t="shared" si="5"/>
        <v>1</v>
      </c>
    </row>
    <row r="162" spans="1:11" x14ac:dyDescent="0.25">
      <c r="A162" t="s">
        <v>0</v>
      </c>
      <c r="B162" t="s">
        <v>142</v>
      </c>
      <c r="C162" t="s">
        <v>213</v>
      </c>
      <c r="D162" t="s">
        <v>216</v>
      </c>
      <c r="H162" t="str">
        <f t="shared" si="4"/>
        <v>xlsx</v>
      </c>
      <c r="I162" s="5" t="str">
        <f>IFERROR(IF(OR(C162="PERAC",C162="FoPITY"),INDEX(Customizations!$C$2:$C$41,MATCH(Sheet1!D162,Customizations!$B$2:$B$41,0),1),INDEX(About!C:C,MATCH(Sheet1!C162,About!B:B,0),1)),"")</f>
        <v>Elec Imports and Exports.xlsx</v>
      </c>
      <c r="J162" s="5">
        <f>IFERROR(INDEX(About!$D$34:$D$222,MATCH(Sheet1!I162,About!$C$34:$C$222,0),1),0)</f>
        <v>1</v>
      </c>
      <c r="K162" s="6">
        <f t="shared" si="5"/>
        <v>0</v>
      </c>
    </row>
    <row r="163" spans="1:11" x14ac:dyDescent="0.25">
      <c r="A163" t="s">
        <v>0</v>
      </c>
      <c r="B163" t="s">
        <v>142</v>
      </c>
      <c r="C163" t="s">
        <v>1760</v>
      </c>
      <c r="D163" t="s">
        <v>1761</v>
      </c>
      <c r="H163" t="str">
        <f t="shared" si="4"/>
        <v>xlsx</v>
      </c>
      <c r="I163" s="5" t="str">
        <f>IFERROR(IF(OR(C163="PERAC",C163="FoPITY"),INDEX(Customizations!$C$2:$C$41,MATCH(Sheet1!D163,Customizations!$B$2:$B$41,0),1),INDEX(About!C:C,MATCH(Sheet1!C163,About!B:B,0),1)),"")</f>
        <v/>
      </c>
      <c r="J163" s="5">
        <f>IFERROR(INDEX(About!$D$34:$D$222,MATCH(Sheet1!I163,About!$C$34:$C$222,0),1),0)</f>
        <v>0</v>
      </c>
      <c r="K163" s="6">
        <f t="shared" si="5"/>
        <v>0</v>
      </c>
    </row>
    <row r="164" spans="1:11" x14ac:dyDescent="0.25">
      <c r="A164" t="s">
        <v>0</v>
      </c>
      <c r="B164" t="s">
        <v>142</v>
      </c>
      <c r="C164" t="s">
        <v>1760</v>
      </c>
      <c r="D164" t="s">
        <v>1762</v>
      </c>
      <c r="H164" t="str">
        <f t="shared" si="4"/>
        <v>.csv</v>
      </c>
      <c r="I164" s="5" t="str">
        <f>IFERROR(IF(OR(C164="PERAC",C164="FoPITY"),INDEX(Customizations!$C$2:$C$41,MATCH(Sheet1!D164,Customizations!$B$2:$B$41,0),1),INDEX(About!C:C,MATCH(Sheet1!C164,About!B:B,0),1)),"")</f>
        <v/>
      </c>
      <c r="J164" s="5">
        <f>IFERROR(INDEX(About!$D$34:$D$222,MATCH(Sheet1!I164,About!$C$34:$C$222,0),1),0)</f>
        <v>0</v>
      </c>
      <c r="K164" s="6">
        <f t="shared" si="5"/>
        <v>0</v>
      </c>
    </row>
    <row r="165" spans="1:11" x14ac:dyDescent="0.25">
      <c r="A165" t="s">
        <v>0</v>
      </c>
      <c r="B165" t="s">
        <v>142</v>
      </c>
      <c r="C165" t="s">
        <v>217</v>
      </c>
      <c r="D165" t="s">
        <v>218</v>
      </c>
      <c r="H165" t="str">
        <f t="shared" si="4"/>
        <v>.csv</v>
      </c>
      <c r="I165" s="5" t="str">
        <f>IFERROR(IF(OR(C165="PERAC",C165="FoPITY"),INDEX(Customizations!$C$2:$C$41,MATCH(Sheet1!D165,Customizations!$B$2:$B$41,0),1),INDEX(About!C:C,MATCH(Sheet1!C165,About!B:B,0),1)),"")</f>
        <v>Fraction of OM Costs that is Labor.xlsx</v>
      </c>
      <c r="J165" s="5">
        <f>IFERROR(INDEX(About!$D$34:$D$222,MATCH(Sheet1!I165,About!$C$34:$C$222,0),1),0)</f>
        <v>1</v>
      </c>
      <c r="K165" s="6">
        <f t="shared" si="5"/>
        <v>1</v>
      </c>
    </row>
    <row r="166" spans="1:11" x14ac:dyDescent="0.25">
      <c r="A166" t="s">
        <v>0</v>
      </c>
      <c r="B166" t="s">
        <v>142</v>
      </c>
      <c r="C166" t="s">
        <v>217</v>
      </c>
      <c r="D166" t="s">
        <v>219</v>
      </c>
      <c r="H166" t="str">
        <f t="shared" si="4"/>
        <v>xlsx</v>
      </c>
      <c r="I166" s="5" t="str">
        <f>IFERROR(IF(OR(C166="PERAC",C166="FoPITY"),INDEX(Customizations!$C$2:$C$41,MATCH(Sheet1!D166,Customizations!$B$2:$B$41,0),1),INDEX(About!C:C,MATCH(Sheet1!C166,About!B:B,0),1)),"")</f>
        <v>Fraction of OM Costs that is Labor.xlsx</v>
      </c>
      <c r="J166" s="5">
        <f>IFERROR(INDEX(About!$D$34:$D$222,MATCH(Sheet1!I166,About!$C$34:$C$222,0),1),0)</f>
        <v>1</v>
      </c>
      <c r="K166" s="6">
        <f t="shared" si="5"/>
        <v>0</v>
      </c>
    </row>
    <row r="167" spans="1:11" x14ac:dyDescent="0.25">
      <c r="A167" t="s">
        <v>0</v>
      </c>
      <c r="B167" t="s">
        <v>142</v>
      </c>
      <c r="C167" t="s">
        <v>220</v>
      </c>
      <c r="D167" t="s">
        <v>221</v>
      </c>
      <c r="H167" t="str">
        <f t="shared" si="4"/>
        <v>.csv</v>
      </c>
      <c r="I167" s="5" t="str">
        <f>IFERROR(IF(OR(C167="PERAC",C167="FoPITY"),INDEX(Customizations!$C$2:$C$41,MATCH(Sheet1!D167,Customizations!$B$2:$B$41,0),1),INDEX(About!C:C,MATCH(Sheet1!C167,About!B:B,0),1)),"")</f>
        <v>Frac of TCAMRB that Provides Flexibility.xlsx</v>
      </c>
      <c r="J167" s="5">
        <f>IFERROR(INDEX(About!$D$34:$D$222,MATCH(Sheet1!I167,About!$C$34:$C$222,0),1),0)</f>
        <v>1</v>
      </c>
      <c r="K167" s="6">
        <f t="shared" si="5"/>
        <v>1</v>
      </c>
    </row>
    <row r="168" spans="1:11" x14ac:dyDescent="0.25">
      <c r="A168" t="s">
        <v>0</v>
      </c>
      <c r="B168" t="s">
        <v>142</v>
      </c>
      <c r="C168" t="s">
        <v>220</v>
      </c>
      <c r="D168" t="s">
        <v>222</v>
      </c>
      <c r="H168" t="str">
        <f t="shared" si="4"/>
        <v>xlsx</v>
      </c>
      <c r="I168" s="5" t="str">
        <f>IFERROR(IF(OR(C168="PERAC",C168="FoPITY"),INDEX(Customizations!$C$2:$C$41,MATCH(Sheet1!D168,Customizations!$B$2:$B$41,0),1),INDEX(About!C:C,MATCH(Sheet1!C168,About!B:B,0),1)),"")</f>
        <v>Frac of TCAMRB that Provides Flexibility.xlsx</v>
      </c>
      <c r="J168" s="5">
        <f>IFERROR(INDEX(About!$D$34:$D$222,MATCH(Sheet1!I168,About!$C$34:$C$222,0),1),0)</f>
        <v>1</v>
      </c>
      <c r="K168" s="6">
        <f t="shared" si="5"/>
        <v>0</v>
      </c>
    </row>
    <row r="169" spans="1:11" x14ac:dyDescent="0.25">
      <c r="A169" t="s">
        <v>0</v>
      </c>
      <c r="B169" t="s">
        <v>142</v>
      </c>
      <c r="C169" t="s">
        <v>223</v>
      </c>
      <c r="D169" t="s">
        <v>224</v>
      </c>
      <c r="H169" t="str">
        <f t="shared" si="4"/>
        <v>xlsx</v>
      </c>
      <c r="I169" s="5" t="str">
        <f>IFERROR(IF(OR(C169="PERAC",C169="FoPITY"),INDEX(Customizations!$C$2:$C$41,MATCH(Sheet1!D169,Customizations!$B$2:$B$41,0),1),INDEX(About!C:C,MATCH(Sheet1!C169,About!B:B,0),1)),"")</f>
        <v>Flexibility Point Calculations.xlsx</v>
      </c>
      <c r="J169" s="5">
        <f>IFERROR(INDEX(About!$D$34:$D$222,MATCH(Sheet1!I169,About!$C$34:$C$222,0),1),0)</f>
        <v>1</v>
      </c>
      <c r="K169" s="6">
        <f t="shared" si="5"/>
        <v>0</v>
      </c>
    </row>
    <row r="170" spans="1:11" x14ac:dyDescent="0.25">
      <c r="A170" t="s">
        <v>0</v>
      </c>
      <c r="B170" t="s">
        <v>142</v>
      </c>
      <c r="C170" t="s">
        <v>223</v>
      </c>
      <c r="D170" t="s">
        <v>225</v>
      </c>
      <c r="H170" t="str">
        <f t="shared" si="4"/>
        <v>.csv</v>
      </c>
      <c r="I170" s="5" t="str">
        <f>IFERROR(IF(OR(C170="PERAC",C170="FoPITY"),INDEX(Customizations!$C$2:$C$41,MATCH(Sheet1!D170,Customizations!$B$2:$B$41,0),1),INDEX(About!C:C,MATCH(Sheet1!C170,About!B:B,0),1)),"")</f>
        <v>Flexibility Point Calculations.xlsx</v>
      </c>
      <c r="J170" s="5">
        <f>IFERROR(INDEX(About!$D$34:$D$222,MATCH(Sheet1!I170,About!$C$34:$C$222,0),1),0)</f>
        <v>1</v>
      </c>
      <c r="K170" s="6">
        <f t="shared" si="5"/>
        <v>1</v>
      </c>
    </row>
    <row r="171" spans="1:11" x14ac:dyDescent="0.25">
      <c r="A171" t="s">
        <v>0</v>
      </c>
      <c r="B171" t="s">
        <v>142</v>
      </c>
      <c r="C171" t="s">
        <v>223</v>
      </c>
      <c r="D171" t="s">
        <v>226</v>
      </c>
      <c r="H171" t="str">
        <f t="shared" si="4"/>
        <v>.csv</v>
      </c>
      <c r="I171" s="5" t="str">
        <f>IFERROR(IF(OR(C171="PERAC",C171="FoPITY"),INDEX(Customizations!$C$2:$C$41,MATCH(Sheet1!D171,Customizations!$B$2:$B$41,0),1),INDEX(About!C:C,MATCH(Sheet1!C171,About!B:B,0),1)),"")</f>
        <v>Flexibility Point Calculations.xlsx</v>
      </c>
      <c r="J171" s="5">
        <f>IFERROR(INDEX(About!$D$34:$D$222,MATCH(Sheet1!I171,About!$C$34:$C$222,0),1),0)</f>
        <v>1</v>
      </c>
      <c r="K171" s="6">
        <f t="shared" si="5"/>
        <v>1</v>
      </c>
    </row>
    <row r="172" spans="1:11" x14ac:dyDescent="0.25">
      <c r="A172" t="s">
        <v>0</v>
      </c>
      <c r="B172" t="s">
        <v>142</v>
      </c>
      <c r="C172" t="s">
        <v>223</v>
      </c>
      <c r="D172" t="s">
        <v>227</v>
      </c>
      <c r="H172" t="str">
        <f t="shared" si="4"/>
        <v>.csv</v>
      </c>
      <c r="I172" s="5" t="str">
        <f>IFERROR(IF(OR(C172="PERAC",C172="FoPITY"),INDEX(Customizations!$C$2:$C$41,MATCH(Sheet1!D172,Customizations!$B$2:$B$41,0),1),INDEX(About!C:C,MATCH(Sheet1!C172,About!B:B,0),1)),"")</f>
        <v>Flexibility Point Calculations.xlsx</v>
      </c>
      <c r="J172" s="5">
        <f>IFERROR(INDEX(About!$D$34:$D$222,MATCH(Sheet1!I172,About!$C$34:$C$222,0),1),0)</f>
        <v>1</v>
      </c>
      <c r="K172" s="6">
        <f t="shared" si="5"/>
        <v>1</v>
      </c>
    </row>
    <row r="173" spans="1:11" x14ac:dyDescent="0.25">
      <c r="A173" t="s">
        <v>0</v>
      </c>
      <c r="B173" t="s">
        <v>142</v>
      </c>
      <c r="C173" t="s">
        <v>223</v>
      </c>
      <c r="D173" t="s">
        <v>228</v>
      </c>
      <c r="H173" t="str">
        <f t="shared" si="4"/>
        <v>.csv</v>
      </c>
      <c r="I173" s="5" t="str">
        <f>IFERROR(IF(OR(C173="PERAC",C173="FoPITY"),INDEX(Customizations!$C$2:$C$41,MATCH(Sheet1!D173,Customizations!$B$2:$B$41,0),1),INDEX(About!C:C,MATCH(Sheet1!C173,About!B:B,0),1)),"")</f>
        <v>Flexibility Point Calculations.xlsx</v>
      </c>
      <c r="J173" s="5">
        <f>IFERROR(INDEX(About!$D$34:$D$222,MATCH(Sheet1!I173,About!$C$34:$C$222,0),1),0)</f>
        <v>1</v>
      </c>
      <c r="K173" s="6">
        <f t="shared" si="5"/>
        <v>1</v>
      </c>
    </row>
    <row r="174" spans="1:11" x14ac:dyDescent="0.25">
      <c r="A174" t="s">
        <v>0</v>
      </c>
      <c r="B174" t="s">
        <v>142</v>
      </c>
      <c r="C174" t="s">
        <v>223</v>
      </c>
      <c r="D174" t="s">
        <v>229</v>
      </c>
      <c r="H174" t="str">
        <f t="shared" si="4"/>
        <v>.csv</v>
      </c>
      <c r="I174" s="5" t="str">
        <f>IFERROR(IF(OR(C174="PERAC",C174="FoPITY"),INDEX(Customizations!$C$2:$C$41,MATCH(Sheet1!D174,Customizations!$B$2:$B$41,0),1),INDEX(About!C:C,MATCH(Sheet1!C174,About!B:B,0),1)),"")</f>
        <v>Flexibility Point Calculations.xlsx</v>
      </c>
      <c r="J174" s="5">
        <f>IFERROR(INDEX(About!$D$34:$D$222,MATCH(Sheet1!I174,About!$C$34:$C$222,0),1),0)</f>
        <v>1</v>
      </c>
      <c r="K174" s="6">
        <f t="shared" si="5"/>
        <v>1</v>
      </c>
    </row>
    <row r="175" spans="1:11" x14ac:dyDescent="0.25">
      <c r="A175" t="s">
        <v>0</v>
      </c>
      <c r="B175" t="s">
        <v>142</v>
      </c>
      <c r="C175" t="s">
        <v>223</v>
      </c>
      <c r="D175" t="s">
        <v>230</v>
      </c>
      <c r="H175" t="str">
        <f t="shared" si="4"/>
        <v>.csv</v>
      </c>
      <c r="I175" s="5" t="str">
        <f>IFERROR(IF(OR(C175="PERAC",C175="FoPITY"),INDEX(Customizations!$C$2:$C$41,MATCH(Sheet1!D175,Customizations!$B$2:$B$41,0),1),INDEX(About!C:C,MATCH(Sheet1!C175,About!B:B,0),1)),"")</f>
        <v>Flexibility Point Calculations.xlsx</v>
      </c>
      <c r="J175" s="5">
        <f>IFERROR(INDEX(About!$D$34:$D$222,MATCH(Sheet1!I175,About!$C$34:$C$222,0),1),0)</f>
        <v>1</v>
      </c>
      <c r="K175" s="6">
        <f t="shared" si="5"/>
        <v>1</v>
      </c>
    </row>
    <row r="176" spans="1:11" x14ac:dyDescent="0.25">
      <c r="A176" t="s">
        <v>0</v>
      </c>
      <c r="B176" t="s">
        <v>142</v>
      </c>
      <c r="C176" t="s">
        <v>223</v>
      </c>
      <c r="D176" t="s">
        <v>231</v>
      </c>
      <c r="H176" t="str">
        <f t="shared" si="4"/>
        <v>.csv</v>
      </c>
      <c r="I176" s="5" t="str">
        <f>IFERROR(IF(OR(C176="PERAC",C176="FoPITY"),INDEX(Customizations!$C$2:$C$41,MATCH(Sheet1!D176,Customizations!$B$2:$B$41,0),1),INDEX(About!C:C,MATCH(Sheet1!C176,About!B:B,0),1)),"")</f>
        <v>Flexibility Point Calculations.xlsx</v>
      </c>
      <c r="J176" s="5">
        <f>IFERROR(INDEX(About!$D$34:$D$222,MATCH(Sheet1!I176,About!$C$34:$C$222,0),1),0)</f>
        <v>1</v>
      </c>
      <c r="K176" s="6">
        <f t="shared" si="5"/>
        <v>1</v>
      </c>
    </row>
    <row r="177" spans="1:11" x14ac:dyDescent="0.25">
      <c r="A177" t="s">
        <v>0</v>
      </c>
      <c r="B177" t="s">
        <v>142</v>
      </c>
      <c r="C177" t="s">
        <v>223</v>
      </c>
      <c r="D177" t="s">
        <v>232</v>
      </c>
      <c r="H177" t="str">
        <f t="shared" si="4"/>
        <v>.csv</v>
      </c>
      <c r="I177" s="5" t="str">
        <f>IFERROR(IF(OR(C177="PERAC",C177="FoPITY"),INDEX(Customizations!$C$2:$C$41,MATCH(Sheet1!D177,Customizations!$B$2:$B$41,0),1),INDEX(About!C:C,MATCH(Sheet1!C177,About!B:B,0),1)),"")</f>
        <v>Flexibility Point Calculations.xlsx</v>
      </c>
      <c r="J177" s="5">
        <f>IFERROR(INDEX(About!$D$34:$D$222,MATCH(Sheet1!I177,About!$C$34:$C$222,0),1),0)</f>
        <v>1</v>
      </c>
      <c r="K177" s="6">
        <f t="shared" si="5"/>
        <v>1</v>
      </c>
    </row>
    <row r="178" spans="1:11" x14ac:dyDescent="0.25">
      <c r="A178" t="s">
        <v>0</v>
      </c>
      <c r="B178" t="s">
        <v>142</v>
      </c>
      <c r="C178" t="s">
        <v>223</v>
      </c>
      <c r="D178" t="s">
        <v>233</v>
      </c>
      <c r="H178" t="str">
        <f t="shared" si="4"/>
        <v>.csv</v>
      </c>
      <c r="I178" s="5" t="str">
        <f>IFERROR(IF(OR(C178="PERAC",C178="FoPITY"),INDEX(Customizations!$C$2:$C$41,MATCH(Sheet1!D178,Customizations!$B$2:$B$41,0),1),INDEX(About!C:C,MATCH(Sheet1!C178,About!B:B,0),1)),"")</f>
        <v>Flexibility Point Calculations.xlsx</v>
      </c>
      <c r="J178" s="5">
        <f>IFERROR(INDEX(About!$D$34:$D$222,MATCH(Sheet1!I178,About!$C$34:$C$222,0),1),0)</f>
        <v>1</v>
      </c>
      <c r="K178" s="6">
        <f t="shared" si="5"/>
        <v>1</v>
      </c>
    </row>
    <row r="179" spans="1:11" x14ac:dyDescent="0.25">
      <c r="A179" t="s">
        <v>0</v>
      </c>
      <c r="B179" t="s">
        <v>142</v>
      </c>
      <c r="C179" t="s">
        <v>223</v>
      </c>
      <c r="D179" t="s">
        <v>234</v>
      </c>
      <c r="H179" t="str">
        <f t="shared" si="4"/>
        <v>.csv</v>
      </c>
      <c r="I179" s="5" t="str">
        <f>IFERROR(IF(OR(C179="PERAC",C179="FoPITY"),INDEX(Customizations!$C$2:$C$41,MATCH(Sheet1!D179,Customizations!$B$2:$B$41,0),1),INDEX(About!C:C,MATCH(Sheet1!C179,About!B:B,0),1)),"")</f>
        <v>Flexibility Point Calculations.xlsx</v>
      </c>
      <c r="J179" s="5">
        <f>IFERROR(INDEX(About!$D$34:$D$222,MATCH(Sheet1!I179,About!$C$34:$C$222,0),1),0)</f>
        <v>1</v>
      </c>
      <c r="K179" s="6">
        <f t="shared" si="5"/>
        <v>1</v>
      </c>
    </row>
    <row r="180" spans="1:11" x14ac:dyDescent="0.25">
      <c r="A180" t="s">
        <v>0</v>
      </c>
      <c r="B180" t="s">
        <v>142</v>
      </c>
      <c r="C180" t="s">
        <v>223</v>
      </c>
      <c r="D180" t="s">
        <v>235</v>
      </c>
      <c r="H180" t="str">
        <f t="shared" si="4"/>
        <v>.csv</v>
      </c>
      <c r="I180" s="5" t="str">
        <f>IFERROR(IF(OR(C180="PERAC",C180="FoPITY"),INDEX(Customizations!$C$2:$C$41,MATCH(Sheet1!D180,Customizations!$B$2:$B$41,0),1),INDEX(About!C:C,MATCH(Sheet1!C180,About!B:B,0),1)),"")</f>
        <v>Flexibility Point Calculations.xlsx</v>
      </c>
      <c r="J180" s="5">
        <f>IFERROR(INDEX(About!$D$34:$D$222,MATCH(Sheet1!I180,About!$C$34:$C$222,0),1),0)</f>
        <v>1</v>
      </c>
      <c r="K180" s="6">
        <f t="shared" si="5"/>
        <v>1</v>
      </c>
    </row>
    <row r="181" spans="1:11" x14ac:dyDescent="0.25">
      <c r="A181" t="s">
        <v>0</v>
      </c>
      <c r="B181" t="s">
        <v>142</v>
      </c>
      <c r="C181" t="s">
        <v>223</v>
      </c>
      <c r="D181" t="s">
        <v>236</v>
      </c>
      <c r="H181" t="str">
        <f t="shared" si="4"/>
        <v>.csv</v>
      </c>
      <c r="I181" s="5" t="str">
        <f>IFERROR(IF(OR(C181="PERAC",C181="FoPITY"),INDEX(Customizations!$C$2:$C$41,MATCH(Sheet1!D181,Customizations!$B$2:$B$41,0),1),INDEX(About!C:C,MATCH(Sheet1!C181,About!B:B,0),1)),"")</f>
        <v>Flexibility Point Calculations.xlsx</v>
      </c>
      <c r="J181" s="5">
        <f>IFERROR(INDEX(About!$D$34:$D$222,MATCH(Sheet1!I181,About!$C$34:$C$222,0),1),0)</f>
        <v>1</v>
      </c>
      <c r="K181" s="6">
        <f t="shared" si="5"/>
        <v>1</v>
      </c>
    </row>
    <row r="182" spans="1:11" x14ac:dyDescent="0.25">
      <c r="A182" t="s">
        <v>0</v>
      </c>
      <c r="B182" t="s">
        <v>142</v>
      </c>
      <c r="C182" t="s">
        <v>237</v>
      </c>
      <c r="D182" t="s">
        <v>238</v>
      </c>
      <c r="H182" t="str">
        <f t="shared" si="4"/>
        <v>xlsx</v>
      </c>
      <c r="I182" s="5" t="str">
        <f>IFERROR(IF(OR(C182="PERAC",C182="FoPITY"),INDEX(Customizations!$C$2:$C$41,MATCH(Sheet1!D182,Customizations!$B$2:$B$41,0),1),INDEX(About!C:C,MATCH(Sheet1!C182,About!B:B,0),1)),"")</f>
        <v>Flexibility Points Consumed by Source.xlsx</v>
      </c>
      <c r="J182" s="5">
        <f>IFERROR(INDEX(About!$D$34:$D$222,MATCH(Sheet1!I182,About!$C$34:$C$222,0),1),0)</f>
        <v>1</v>
      </c>
      <c r="K182" s="6">
        <f t="shared" si="5"/>
        <v>0</v>
      </c>
    </row>
    <row r="183" spans="1:11" x14ac:dyDescent="0.25">
      <c r="A183" t="s">
        <v>0</v>
      </c>
      <c r="B183" t="s">
        <v>142</v>
      </c>
      <c r="C183" t="s">
        <v>237</v>
      </c>
      <c r="D183" t="s">
        <v>239</v>
      </c>
      <c r="H183" t="str">
        <f t="shared" si="4"/>
        <v>.csv</v>
      </c>
      <c r="I183" s="5" t="str">
        <f>IFERROR(IF(OR(C183="PERAC",C183="FoPITY"),INDEX(Customizations!$C$2:$C$41,MATCH(Sheet1!D183,Customizations!$B$2:$B$41,0),1),INDEX(About!C:C,MATCH(Sheet1!C183,About!B:B,0),1)),"")</f>
        <v>Flexibility Points Consumed by Source.xlsx</v>
      </c>
      <c r="J183" s="5">
        <f>IFERROR(INDEX(About!$D$34:$D$222,MATCH(Sheet1!I183,About!$C$34:$C$222,0),1),0)</f>
        <v>1</v>
      </c>
      <c r="K183" s="6">
        <f t="shared" si="5"/>
        <v>1</v>
      </c>
    </row>
    <row r="184" spans="1:11" x14ac:dyDescent="0.25">
      <c r="A184" t="s">
        <v>0</v>
      </c>
      <c r="B184" t="s">
        <v>142</v>
      </c>
      <c r="C184" t="s">
        <v>1763</v>
      </c>
      <c r="D184" t="s">
        <v>1764</v>
      </c>
      <c r="H184" t="str">
        <f t="shared" si="4"/>
        <v>.csv</v>
      </c>
      <c r="I184" s="5" t="str">
        <f>IFERROR(IF(OR(C184="PERAC",C184="FoPITY"),INDEX(Customizations!$C$2:$C$41,MATCH(Sheet1!D184,Customizations!$B$2:$B$41,0),1),INDEX(About!C:C,MATCH(Sheet1!C184,About!B:B,0),1)),"")</f>
        <v/>
      </c>
      <c r="J184" s="5">
        <f>IFERROR(INDEX(About!$D$34:$D$222,MATCH(Sheet1!I184,About!$C$34:$C$222,0),1),0)</f>
        <v>0</v>
      </c>
      <c r="K184" s="6">
        <f t="shared" si="5"/>
        <v>0</v>
      </c>
    </row>
    <row r="185" spans="1:11" x14ac:dyDescent="0.25">
      <c r="A185" t="s">
        <v>0</v>
      </c>
      <c r="B185" t="s">
        <v>142</v>
      </c>
      <c r="C185" t="s">
        <v>1763</v>
      </c>
      <c r="D185" t="s">
        <v>1765</v>
      </c>
      <c r="H185" t="str">
        <f t="shared" si="4"/>
        <v>xlsx</v>
      </c>
      <c r="I185" s="5" t="str">
        <f>IFERROR(IF(OR(C185="PERAC",C185="FoPITY"),INDEX(Customizations!$C$2:$C$41,MATCH(Sheet1!D185,Customizations!$B$2:$B$41,0),1),INDEX(About!C:C,MATCH(Sheet1!C185,About!B:B,0),1)),"")</f>
        <v/>
      </c>
      <c r="J185" s="5">
        <f>IFERROR(INDEX(About!$D$34:$D$222,MATCH(Sheet1!I185,About!$C$34:$C$222,0),1),0)</f>
        <v>0</v>
      </c>
      <c r="K185" s="6">
        <f t="shared" si="5"/>
        <v>0</v>
      </c>
    </row>
    <row r="186" spans="1:11" x14ac:dyDescent="0.25">
      <c r="A186" t="s">
        <v>0</v>
      </c>
      <c r="B186" t="s">
        <v>142</v>
      </c>
      <c r="C186" t="s">
        <v>240</v>
      </c>
      <c r="D186" t="s">
        <v>241</v>
      </c>
      <c r="H186" t="str">
        <f t="shared" si="4"/>
        <v>.csv</v>
      </c>
      <c r="I186" s="5" t="str">
        <f>IFERROR(IF(OR(C186="PERAC",C186="FoPITY"),INDEX(Customizations!$C$2:$C$41,MATCH(Sheet1!D186,Customizations!$B$2:$B$41,0),1),INDEX(About!C:C,MATCH(Sheet1!C186,About!B:B,0),1)),"")</f>
        <v>Guaranteed Dispatch Perc by Elec Source.xlsx</v>
      </c>
      <c r="J186" s="5">
        <f>IFERROR(INDEX(About!$D$34:$D$222,MATCH(Sheet1!I186,About!$C$34:$C$222,0),1),0)</f>
        <v>1</v>
      </c>
      <c r="K186" s="6">
        <f t="shared" si="5"/>
        <v>1</v>
      </c>
    </row>
    <row r="187" spans="1:11" x14ac:dyDescent="0.25">
      <c r="A187" t="s">
        <v>0</v>
      </c>
      <c r="B187" t="s">
        <v>142</v>
      </c>
      <c r="C187" t="s">
        <v>240</v>
      </c>
      <c r="D187" t="s">
        <v>242</v>
      </c>
      <c r="H187" t="str">
        <f t="shared" si="4"/>
        <v>xlsx</v>
      </c>
      <c r="I187" s="5" t="str">
        <f>IFERROR(IF(OR(C187="PERAC",C187="FoPITY"),INDEX(Customizations!$C$2:$C$41,MATCH(Sheet1!D187,Customizations!$B$2:$B$41,0),1),INDEX(About!C:C,MATCH(Sheet1!C187,About!B:B,0),1)),"")</f>
        <v>Guaranteed Dispatch Perc by Elec Source.xlsx</v>
      </c>
      <c r="J187" s="5">
        <f>IFERROR(INDEX(About!$D$34:$D$222,MATCH(Sheet1!I187,About!$C$34:$C$222,0),1),0)</f>
        <v>1</v>
      </c>
      <c r="K187" s="6">
        <f t="shared" si="5"/>
        <v>0</v>
      </c>
    </row>
    <row r="188" spans="1:11" x14ac:dyDescent="0.25">
      <c r="A188" t="s">
        <v>0</v>
      </c>
      <c r="B188" t="s">
        <v>142</v>
      </c>
      <c r="C188" t="s">
        <v>243</v>
      </c>
      <c r="D188" t="s">
        <v>244</v>
      </c>
      <c r="H188" t="str">
        <f t="shared" si="4"/>
        <v>xlsx</v>
      </c>
      <c r="I188" s="5" t="str">
        <f>IFERROR(IF(OR(C188="PERAC",C188="FoPITY"),INDEX(Customizations!$C$2:$C$41,MATCH(Sheet1!D188,Customizations!$B$2:$B$41,0),1),INDEX(About!C:C,MATCH(Sheet1!C188,About!B:B,0),1)),"")</f>
        <v>Max Cap Growth Lookup Table.xlsx</v>
      </c>
      <c r="J188" s="5">
        <f>IFERROR(INDEX(About!$D$34:$D$222,MATCH(Sheet1!I188,About!$C$34:$C$222,0),1),0)</f>
        <v>1</v>
      </c>
      <c r="K188" s="6">
        <f t="shared" si="5"/>
        <v>0</v>
      </c>
    </row>
    <row r="189" spans="1:11" x14ac:dyDescent="0.25">
      <c r="A189" t="s">
        <v>0</v>
      </c>
      <c r="B189" t="s">
        <v>142</v>
      </c>
      <c r="C189" t="s">
        <v>243</v>
      </c>
      <c r="D189" t="s">
        <v>245</v>
      </c>
      <c r="H189" t="str">
        <f t="shared" si="4"/>
        <v>.csv</v>
      </c>
      <c r="I189" s="5" t="str">
        <f>IFERROR(IF(OR(C189="PERAC",C189="FoPITY"),INDEX(Customizations!$C$2:$C$41,MATCH(Sheet1!D189,Customizations!$B$2:$B$41,0),1),INDEX(About!C:C,MATCH(Sheet1!C189,About!B:B,0),1)),"")</f>
        <v>Max Cap Growth Lookup Table.xlsx</v>
      </c>
      <c r="J189" s="5">
        <f>IFERROR(INDEX(About!$D$34:$D$222,MATCH(Sheet1!I189,About!$C$34:$C$222,0),1),0)</f>
        <v>1</v>
      </c>
      <c r="K189" s="6">
        <f t="shared" si="5"/>
        <v>1</v>
      </c>
    </row>
    <row r="190" spans="1:11" x14ac:dyDescent="0.25">
      <c r="A190" t="s">
        <v>0</v>
      </c>
      <c r="B190" t="s">
        <v>142</v>
      </c>
      <c r="C190" t="s">
        <v>246</v>
      </c>
      <c r="D190" t="s">
        <v>247</v>
      </c>
      <c r="H190" t="str">
        <f t="shared" si="4"/>
        <v>xlsx</v>
      </c>
      <c r="I190" s="5" t="str">
        <f>IFERROR(IF(OR(C190="PERAC",C190="FoPITY"),INDEX(Customizations!$C$2:$C$41,MATCH(Sheet1!D190,Customizations!$B$2:$B$41,0),1),INDEX(About!C:C,MATCH(Sheet1!C190,About!B:B,0),1)),"")</f>
        <v>Max Potential Capacity by Source.xlsx</v>
      </c>
      <c r="J190" s="5">
        <f>IFERROR(INDEX(About!$D$34:$D$222,MATCH(Sheet1!I190,About!$C$34:$C$222,0),1),0)</f>
        <v>1</v>
      </c>
      <c r="K190" s="6">
        <f t="shared" si="5"/>
        <v>0</v>
      </c>
    </row>
    <row r="191" spans="1:11" x14ac:dyDescent="0.25">
      <c r="A191" t="s">
        <v>0</v>
      </c>
      <c r="B191" t="s">
        <v>142</v>
      </c>
      <c r="C191" t="s">
        <v>246</v>
      </c>
      <c r="D191" t="s">
        <v>248</v>
      </c>
      <c r="H191" t="str">
        <f t="shared" si="4"/>
        <v>.csv</v>
      </c>
      <c r="I191" s="5" t="str">
        <f>IFERROR(IF(OR(C191="PERAC",C191="FoPITY"),INDEX(Customizations!$C$2:$C$41,MATCH(Sheet1!D191,Customizations!$B$2:$B$41,0),1),INDEX(About!C:C,MATCH(Sheet1!C191,About!B:B,0),1)),"")</f>
        <v>Max Potential Capacity by Source.xlsx</v>
      </c>
      <c r="J191" s="5">
        <f>IFERROR(INDEX(About!$D$34:$D$222,MATCH(Sheet1!I191,About!$C$34:$C$222,0),1),0)</f>
        <v>1</v>
      </c>
      <c r="K191" s="6">
        <f t="shared" si="5"/>
        <v>1</v>
      </c>
    </row>
    <row r="192" spans="1:11" x14ac:dyDescent="0.25">
      <c r="A192" t="s">
        <v>0</v>
      </c>
      <c r="B192" t="s">
        <v>142</v>
      </c>
      <c r="C192" t="s">
        <v>249</v>
      </c>
      <c r="D192" t="s">
        <v>250</v>
      </c>
      <c r="H192" t="str">
        <f t="shared" si="4"/>
        <v>xlsx</v>
      </c>
      <c r="I192" s="5" t="str">
        <f>IFERROR(IF(OR(C192="PERAC",C192="FoPITY"),INDEX(Customizations!$C$2:$C$41,MATCH(Sheet1!D192,Customizations!$B$2:$B$41,0),1),INDEX(About!C:C,MATCH(Sheet1!C192,About!B:B,0),1)),"")</f>
        <v>Minimum Power Plant Capacity.xlsx</v>
      </c>
      <c r="J192" s="5">
        <f>IFERROR(INDEX(About!$D$34:$D$222,MATCH(Sheet1!I192,About!$C$34:$C$222,0),1),0)</f>
        <v>1</v>
      </c>
      <c r="K192" s="6">
        <f t="shared" si="5"/>
        <v>0</v>
      </c>
    </row>
    <row r="193" spans="1:11" x14ac:dyDescent="0.25">
      <c r="A193" t="s">
        <v>0</v>
      </c>
      <c r="B193" t="s">
        <v>142</v>
      </c>
      <c r="C193" t="s">
        <v>249</v>
      </c>
      <c r="D193" t="s">
        <v>251</v>
      </c>
      <c r="H193" t="str">
        <f t="shared" si="4"/>
        <v>.csv</v>
      </c>
      <c r="I193" s="5" t="str">
        <f>IFERROR(IF(OR(C193="PERAC",C193="FoPITY"),INDEX(Customizations!$C$2:$C$41,MATCH(Sheet1!D193,Customizations!$B$2:$B$41,0),1),INDEX(About!C:C,MATCH(Sheet1!C193,About!B:B,0),1)),"")</f>
        <v>Minimum Power Plant Capacity.xlsx</v>
      </c>
      <c r="J193" s="5">
        <f>IFERROR(INDEX(About!$D$34:$D$222,MATCH(Sheet1!I193,About!$C$34:$C$222,0),1),0)</f>
        <v>1</v>
      </c>
      <c r="K193" s="6">
        <f t="shared" si="5"/>
        <v>1</v>
      </c>
    </row>
    <row r="194" spans="1:11" x14ac:dyDescent="0.25">
      <c r="A194" t="s">
        <v>0</v>
      </c>
      <c r="B194" t="s">
        <v>142</v>
      </c>
      <c r="C194" t="s">
        <v>252</v>
      </c>
      <c r="D194" t="s">
        <v>253</v>
      </c>
      <c r="H194" t="str">
        <f t="shared" si="4"/>
        <v>.csv</v>
      </c>
      <c r="I194" s="5" t="str">
        <f>IFERROR(IF(OR(C194="PERAC",C194="FoPITY"),INDEX(Customizations!$C$2:$C$41,MATCH(Sheet1!D194,Customizations!$B$2:$B$41,0),1),INDEX(About!C:C,MATCH(Sheet1!C194,About!B:B,0),1)),"")</f>
        <v>Nonfuel GHG Emis per Unit Output.xlsx</v>
      </c>
      <c r="J194" s="5">
        <f>IFERROR(INDEX(About!$D$34:$D$222,MATCH(Sheet1!I194,About!$C$34:$C$222,0),1),0)</f>
        <v>1</v>
      </c>
      <c r="K194" s="6">
        <f t="shared" si="5"/>
        <v>1</v>
      </c>
    </row>
    <row r="195" spans="1:11" x14ac:dyDescent="0.25">
      <c r="A195" t="s">
        <v>0</v>
      </c>
      <c r="B195" t="s">
        <v>142</v>
      </c>
      <c r="C195" t="s">
        <v>252</v>
      </c>
      <c r="D195" t="s">
        <v>254</v>
      </c>
      <c r="H195" t="str">
        <f t="shared" si="4"/>
        <v>xlsx</v>
      </c>
      <c r="I195" s="5" t="str">
        <f>IFERROR(IF(OR(C195="PERAC",C195="FoPITY"),INDEX(Customizations!$C$2:$C$41,MATCH(Sheet1!D195,Customizations!$B$2:$B$41,0),1),INDEX(About!C:C,MATCH(Sheet1!C195,About!B:B,0),1)),"")</f>
        <v>Nonfuel GHG Emis per Unit Output.xlsx</v>
      </c>
      <c r="J195" s="5">
        <f>IFERROR(INDEX(About!$D$34:$D$222,MATCH(Sheet1!I195,About!$C$34:$C$222,0),1),0)</f>
        <v>1</v>
      </c>
      <c r="K195" s="6">
        <f t="shared" si="5"/>
        <v>0</v>
      </c>
    </row>
    <row r="196" spans="1:11" x14ac:dyDescent="0.25">
      <c r="A196" t="s">
        <v>0</v>
      </c>
      <c r="B196" t="s">
        <v>142</v>
      </c>
      <c r="C196" t="s">
        <v>255</v>
      </c>
      <c r="D196" t="s">
        <v>256</v>
      </c>
      <c r="H196" t="str">
        <f t="shared" si="4"/>
        <v>xlsx</v>
      </c>
      <c r="I196" s="5" t="str">
        <f>IFERROR(IF(OR(C196="PERAC",C196="FoPITY"),INDEX(Customizations!$C$2:$C$41,MATCH(Sheet1!D196,Customizations!$B$2:$B$41,0),1),INDEX(About!C:C,MATCH(Sheet1!C196,About!B:B,0),1)),"")</f>
        <v>Normalized Standard Deviation of Dispatch Costs.xlsx</v>
      </c>
      <c r="J196" s="5">
        <f>IFERROR(INDEX(About!$D$34:$D$222,MATCH(Sheet1!I196,About!$C$34:$C$222,0),1),0)</f>
        <v>1</v>
      </c>
      <c r="K196" s="6">
        <f t="shared" si="5"/>
        <v>0</v>
      </c>
    </row>
    <row r="197" spans="1:11" x14ac:dyDescent="0.25">
      <c r="A197" t="s">
        <v>0</v>
      </c>
      <c r="B197" t="s">
        <v>142</v>
      </c>
      <c r="C197" t="s">
        <v>255</v>
      </c>
      <c r="D197" t="s">
        <v>257</v>
      </c>
      <c r="H197" t="str">
        <f t="shared" ref="H197:H260" si="6">RIGHT(D197,"4")</f>
        <v>.csv</v>
      </c>
      <c r="I197" s="5" t="str">
        <f>IFERROR(IF(OR(C197="PERAC",C197="FoPITY"),INDEX(Customizations!$C$2:$C$41,MATCH(Sheet1!D197,Customizations!$B$2:$B$41,0),1),INDEX(About!C:C,MATCH(Sheet1!C197,About!B:B,0),1)),"")</f>
        <v>Normalized Standard Deviation of Dispatch Costs.xlsx</v>
      </c>
      <c r="J197" s="5">
        <f>IFERROR(INDEX(About!$D$34:$D$222,MATCH(Sheet1!I197,About!$C$34:$C$222,0),1),0)</f>
        <v>1</v>
      </c>
      <c r="K197" s="6">
        <f t="shared" ref="K197:K260" si="7">IF(H197=".csv",1,0)*J197</f>
        <v>1</v>
      </c>
    </row>
    <row r="198" spans="1:11" x14ac:dyDescent="0.25">
      <c r="A198" t="s">
        <v>0</v>
      </c>
      <c r="B198" t="s">
        <v>142</v>
      </c>
      <c r="C198" t="s">
        <v>258</v>
      </c>
      <c r="D198" t="s">
        <v>259</v>
      </c>
      <c r="H198" t="str">
        <f t="shared" si="6"/>
        <v>xlsx</v>
      </c>
      <c r="I198" s="5" t="str">
        <f>IFERROR(IF(OR(C198="PERAC",C198="FoPITY"),INDEX(Customizations!$C$2:$C$41,MATCH(Sheet1!D198,Customizations!$B$2:$B$41,0),1),INDEX(About!C:C,MATCH(Sheet1!C198,About!B:B,0),1)),"")</f>
        <v>Norm St Dev of New Cap Costs.xlsx</v>
      </c>
      <c r="J198" s="5">
        <f>IFERROR(INDEX(About!$D$34:$D$222,MATCH(Sheet1!I198,About!$C$34:$C$222,0),1),0)</f>
        <v>1</v>
      </c>
      <c r="K198" s="6">
        <f t="shared" si="7"/>
        <v>0</v>
      </c>
    </row>
    <row r="199" spans="1:11" x14ac:dyDescent="0.25">
      <c r="A199" t="s">
        <v>0</v>
      </c>
      <c r="B199" t="s">
        <v>142</v>
      </c>
      <c r="C199" t="s">
        <v>258</v>
      </c>
      <c r="D199" t="s">
        <v>260</v>
      </c>
      <c r="H199" t="str">
        <f t="shared" si="6"/>
        <v>.csv</v>
      </c>
      <c r="I199" s="5" t="str">
        <f>IFERROR(IF(OR(C199="PERAC",C199="FoPITY"),INDEX(Customizations!$C$2:$C$41,MATCH(Sheet1!D199,Customizations!$B$2:$B$41,0),1),INDEX(About!C:C,MATCH(Sheet1!C199,About!B:B,0),1)),"")</f>
        <v>Norm St Dev of New Cap Costs.xlsx</v>
      </c>
      <c r="J199" s="5">
        <f>IFERROR(INDEX(About!$D$34:$D$222,MATCH(Sheet1!I199,About!$C$34:$C$222,0),1),0)</f>
        <v>1</v>
      </c>
      <c r="K199" s="6">
        <f t="shared" si="7"/>
        <v>1</v>
      </c>
    </row>
    <row r="200" spans="1:11" x14ac:dyDescent="0.25">
      <c r="A200" t="s">
        <v>0</v>
      </c>
      <c r="B200" t="s">
        <v>142</v>
      </c>
      <c r="C200" t="s">
        <v>261</v>
      </c>
      <c r="D200" t="s">
        <v>262</v>
      </c>
      <c r="H200" t="str">
        <f t="shared" si="6"/>
        <v>.csv</v>
      </c>
      <c r="I200" s="5" t="str">
        <f>IFERROR(IF(OR(C200="PERAC",C200="FoPITY"),INDEX(Customizations!$C$2:$C$41,MATCH(Sheet1!D200,Customizations!$B$2:$B$41,0),1),INDEX(About!C:C,MATCH(Sheet1!C200,About!B:B,0),1)),"")</f>
        <v>Pol Mandated Cap Const Sched.xlsx</v>
      </c>
      <c r="J200" s="5">
        <f>IFERROR(INDEX(About!$D$34:$D$222,MATCH(Sheet1!I200,About!$C$34:$C$222,0),1),0)</f>
        <v>1</v>
      </c>
      <c r="K200" s="6">
        <f t="shared" si="7"/>
        <v>1</v>
      </c>
    </row>
    <row r="201" spans="1:11" x14ac:dyDescent="0.25">
      <c r="A201" t="s">
        <v>0</v>
      </c>
      <c r="B201" t="s">
        <v>142</v>
      </c>
      <c r="C201" t="s">
        <v>261</v>
      </c>
      <c r="D201" t="s">
        <v>263</v>
      </c>
      <c r="H201" t="str">
        <f t="shared" si="6"/>
        <v>xlsx</v>
      </c>
      <c r="I201" s="5" t="str">
        <f>IFERROR(IF(OR(C201="PERAC",C201="FoPITY"),INDEX(Customizations!$C$2:$C$41,MATCH(Sheet1!D201,Customizations!$B$2:$B$41,0),1),INDEX(About!C:C,MATCH(Sheet1!C201,About!B:B,0),1)),"")</f>
        <v>Pol Mandated Cap Const Sched.xlsx</v>
      </c>
      <c r="J201" s="5">
        <f>IFERROR(INDEX(About!$D$34:$D$222,MATCH(Sheet1!I201,About!$C$34:$C$222,0),1),0)</f>
        <v>1</v>
      </c>
      <c r="K201" s="6">
        <f t="shared" si="7"/>
        <v>0</v>
      </c>
    </row>
    <row r="202" spans="1:11" x14ac:dyDescent="0.25">
      <c r="A202" t="s">
        <v>0</v>
      </c>
      <c r="B202" t="s">
        <v>142</v>
      </c>
      <c r="C202" t="s">
        <v>264</v>
      </c>
      <c r="D202" t="s">
        <v>265</v>
      </c>
      <c r="H202" t="str">
        <f t="shared" si="6"/>
        <v>xlsx</v>
      </c>
      <c r="I202" s="5" t="str">
        <f>IFERROR(IF(OR(C202="PERAC",C202="FoPITY"),INDEX(Customizations!$C$2:$C$41,MATCH(Sheet1!D202,Customizations!$B$2:$B$41,0),1),INDEX(About!C:C,MATCH(Sheet1!C202,About!B:B,0),1)),"")</f>
        <v>Peak Time Capacity Factors.xlsx</v>
      </c>
      <c r="J202" s="5">
        <f>IFERROR(INDEX(About!$D$34:$D$222,MATCH(Sheet1!I202,About!$C$34:$C$222,0),1),0)</f>
        <v>1</v>
      </c>
      <c r="K202" s="6">
        <f t="shared" si="7"/>
        <v>0</v>
      </c>
    </row>
    <row r="203" spans="1:11" x14ac:dyDescent="0.25">
      <c r="A203" t="s">
        <v>0</v>
      </c>
      <c r="B203" t="s">
        <v>142</v>
      </c>
      <c r="C203" t="s">
        <v>264</v>
      </c>
      <c r="D203" t="s">
        <v>266</v>
      </c>
      <c r="H203" t="str">
        <f t="shared" si="6"/>
        <v>.csv</v>
      </c>
      <c r="I203" s="5" t="str">
        <f>IFERROR(IF(OR(C203="PERAC",C203="FoPITY"),INDEX(Customizations!$C$2:$C$41,MATCH(Sheet1!D203,Customizations!$B$2:$B$41,0),1),INDEX(About!C:C,MATCH(Sheet1!C203,About!B:B,0),1)),"")</f>
        <v>Peak Time Capacity Factors.xlsx</v>
      </c>
      <c r="J203" s="5">
        <f>IFERROR(INDEX(About!$D$34:$D$222,MATCH(Sheet1!I203,About!$C$34:$C$222,0),1),0)</f>
        <v>1</v>
      </c>
      <c r="K203" s="6">
        <f t="shared" si="7"/>
        <v>1</v>
      </c>
    </row>
    <row r="204" spans="1:11" x14ac:dyDescent="0.25">
      <c r="A204" t="s">
        <v>0</v>
      </c>
      <c r="B204" t="s">
        <v>142</v>
      </c>
      <c r="C204" t="s">
        <v>267</v>
      </c>
      <c r="D204" t="s">
        <v>268</v>
      </c>
      <c r="H204" t="str">
        <f t="shared" si="6"/>
        <v>xlsx</v>
      </c>
      <c r="I204" s="5" t="str">
        <f>IFERROR(IF(OR(C204="PERAC",C204="FoPITY"),INDEX(Customizations!$C$2:$C$41,MATCH(Sheet1!D204,Customizations!$B$2:$B$41,0),1),INDEX(About!C:C,MATCH(Sheet1!C204,About!B:B,0),1)),"")</f>
        <v>Reserve Margin.xlsx</v>
      </c>
      <c r="J204" s="5">
        <f>IFERROR(INDEX(About!$D$34:$D$222,MATCH(Sheet1!I204,About!$C$34:$C$222,0),1),0)</f>
        <v>1</v>
      </c>
      <c r="K204" s="6">
        <f t="shared" si="7"/>
        <v>0</v>
      </c>
    </row>
    <row r="205" spans="1:11" x14ac:dyDescent="0.25">
      <c r="A205" t="s">
        <v>0</v>
      </c>
      <c r="B205" t="s">
        <v>142</v>
      </c>
      <c r="C205" t="s">
        <v>267</v>
      </c>
      <c r="D205" t="s">
        <v>269</v>
      </c>
      <c r="H205" t="str">
        <f t="shared" si="6"/>
        <v>.csv</v>
      </c>
      <c r="I205" s="5" t="str">
        <f>IFERROR(IF(OR(C205="PERAC",C205="FoPITY"),INDEX(Customizations!$C$2:$C$41,MATCH(Sheet1!D205,Customizations!$B$2:$B$41,0),1),INDEX(About!C:C,MATCH(Sheet1!C205,About!B:B,0),1)),"")</f>
        <v>Reserve Margin.xlsx</v>
      </c>
      <c r="J205" s="5">
        <f>IFERROR(INDEX(About!$D$34:$D$222,MATCH(Sheet1!I205,About!$C$34:$C$222,0),1),0)</f>
        <v>1</v>
      </c>
      <c r="K205" s="6">
        <f t="shared" si="7"/>
        <v>1</v>
      </c>
    </row>
    <row r="206" spans="1:11" x14ac:dyDescent="0.25">
      <c r="A206" t="s">
        <v>0</v>
      </c>
      <c r="B206" t="s">
        <v>142</v>
      </c>
      <c r="C206" t="s">
        <v>270</v>
      </c>
      <c r="D206" t="s">
        <v>271</v>
      </c>
      <c r="H206" t="str">
        <f t="shared" si="6"/>
        <v>xlsx</v>
      </c>
      <c r="I206" s="5" t="str">
        <f>IFERROR(IF(OR(C206="PERAC",C206="FoPITY"),INDEX(Customizations!$C$2:$C$41,MATCH(Sheet1!D206,Customizations!$B$2:$B$41,0),1),INDEX(About!C:C,MATCH(Sheet1!C206,About!B:B,0),1)),"")</f>
        <v>RPS Qualifying Source Definitions.xlsx</v>
      </c>
      <c r="J206" s="5">
        <f>IFERROR(INDEX(About!$D$34:$D$222,MATCH(Sheet1!I206,About!$C$34:$C$222,0),1),0)</f>
        <v>1</v>
      </c>
      <c r="K206" s="6">
        <f t="shared" si="7"/>
        <v>0</v>
      </c>
    </row>
    <row r="207" spans="1:11" x14ac:dyDescent="0.25">
      <c r="A207" t="s">
        <v>0</v>
      </c>
      <c r="B207" t="s">
        <v>142</v>
      </c>
      <c r="C207" t="s">
        <v>270</v>
      </c>
      <c r="D207" t="s">
        <v>272</v>
      </c>
      <c r="H207" t="str">
        <f t="shared" si="6"/>
        <v>.csv</v>
      </c>
      <c r="I207" s="5" t="str">
        <f>IFERROR(IF(OR(C207="PERAC",C207="FoPITY"),INDEX(Customizations!$C$2:$C$41,MATCH(Sheet1!D207,Customizations!$B$2:$B$41,0),1),INDEX(About!C:C,MATCH(Sheet1!C207,About!B:B,0),1)),"")</f>
        <v>RPS Qualifying Source Definitions.xlsx</v>
      </c>
      <c r="J207" s="5">
        <f>IFERROR(INDEX(About!$D$34:$D$222,MATCH(Sheet1!I207,About!$C$34:$C$222,0),1),0)</f>
        <v>1</v>
      </c>
      <c r="K207" s="6">
        <f t="shared" si="7"/>
        <v>1</v>
      </c>
    </row>
    <row r="208" spans="1:11" x14ac:dyDescent="0.25">
      <c r="A208" t="s">
        <v>0</v>
      </c>
      <c r="B208" t="s">
        <v>142</v>
      </c>
      <c r="C208" t="s">
        <v>270</v>
      </c>
      <c r="D208" t="s">
        <v>273</v>
      </c>
      <c r="H208" t="str">
        <f t="shared" si="6"/>
        <v>.csv</v>
      </c>
      <c r="I208" s="5" t="str">
        <f>IFERROR(IF(OR(C208="PERAC",C208="FoPITY"),INDEX(Customizations!$C$2:$C$41,MATCH(Sheet1!D208,Customizations!$B$2:$B$41,0),1),INDEX(About!C:C,MATCH(Sheet1!C208,About!B:B,0),1)),"")</f>
        <v>RPS Qualifying Source Definitions.xlsx</v>
      </c>
      <c r="J208" s="5">
        <f>IFERROR(INDEX(About!$D$34:$D$222,MATCH(Sheet1!I208,About!$C$34:$C$222,0),1),0)</f>
        <v>1</v>
      </c>
      <c r="K208" s="6">
        <f t="shared" si="7"/>
        <v>1</v>
      </c>
    </row>
    <row r="209" spans="1:11" x14ac:dyDescent="0.25">
      <c r="A209" t="s">
        <v>0</v>
      </c>
      <c r="B209" t="s">
        <v>142</v>
      </c>
      <c r="C209" t="s">
        <v>274</v>
      </c>
      <c r="D209" t="s">
        <v>275</v>
      </c>
      <c r="H209" t="str">
        <f t="shared" si="6"/>
        <v>.csv</v>
      </c>
      <c r="I209" s="5" t="str">
        <f>IFERROR(IF(OR(C209="PERAC",C209="FoPITY"),INDEX(Customizations!$C$2:$C$41,MATCH(Sheet1!D209,Customizations!$B$2:$B$41,0),1),INDEX(About!C:C,MATCH(Sheet1!C209,About!B:B,0),1)),"")</f>
        <v>System Load Factor.xlsx</v>
      </c>
      <c r="J209" s="5">
        <f>IFERROR(INDEX(About!$D$34:$D$222,MATCH(Sheet1!I209,About!$C$34:$C$222,0),1),0)</f>
        <v>1</v>
      </c>
      <c r="K209" s="6">
        <f t="shared" si="7"/>
        <v>1</v>
      </c>
    </row>
    <row r="210" spans="1:11" x14ac:dyDescent="0.25">
      <c r="A210" t="s">
        <v>0</v>
      </c>
      <c r="B210" t="s">
        <v>142</v>
      </c>
      <c r="C210" t="s">
        <v>274</v>
      </c>
      <c r="D210" t="s">
        <v>276</v>
      </c>
      <c r="H210" t="str">
        <f t="shared" si="6"/>
        <v>xlsx</v>
      </c>
      <c r="I210" s="5" t="str">
        <f>IFERROR(IF(OR(C210="PERAC",C210="FoPITY"),INDEX(Customizations!$C$2:$C$41,MATCH(Sheet1!D210,Customizations!$B$2:$B$41,0),1),INDEX(About!C:C,MATCH(Sheet1!C210,About!B:B,0),1)),"")</f>
        <v>System Load Factor.xlsx</v>
      </c>
      <c r="J210" s="5">
        <f>IFERROR(INDEX(About!$D$34:$D$222,MATCH(Sheet1!I210,About!$C$34:$C$222,0),1),0)</f>
        <v>1</v>
      </c>
      <c r="K210" s="6">
        <f t="shared" si="7"/>
        <v>0</v>
      </c>
    </row>
    <row r="211" spans="1:11" x14ac:dyDescent="0.25">
      <c r="A211" t="s">
        <v>0</v>
      </c>
      <c r="B211" t="s">
        <v>142</v>
      </c>
      <c r="C211" t="s">
        <v>277</v>
      </c>
      <c r="D211" t="s">
        <v>278</v>
      </c>
      <c r="H211" t="str">
        <f t="shared" si="6"/>
        <v>xlsx</v>
      </c>
      <c r="I211" s="5" t="str">
        <f>IFERROR(IF(OR(C211="PERAC",C211="FoPITY"),INDEX(Customizations!$C$2:$C$41,MATCH(Sheet1!D211,Customizations!$B$2:$B$41,0),1),INDEX(About!C:C,MATCH(Sheet1!C211,About!B:B,0),1)),"")</f>
        <v>Start Year Capacities.xlsx</v>
      </c>
      <c r="J211" s="5">
        <f>IFERROR(INDEX(About!$D$34:$D$222,MATCH(Sheet1!I211,About!$C$34:$C$222,0),1),0)</f>
        <v>1</v>
      </c>
      <c r="K211" s="6">
        <f t="shared" si="7"/>
        <v>0</v>
      </c>
    </row>
    <row r="212" spans="1:11" x14ac:dyDescent="0.25">
      <c r="A212" t="s">
        <v>0</v>
      </c>
      <c r="B212" t="s">
        <v>142</v>
      </c>
      <c r="C212" t="s">
        <v>277</v>
      </c>
      <c r="D212" t="s">
        <v>279</v>
      </c>
      <c r="H212" t="str">
        <f t="shared" si="6"/>
        <v>.csv</v>
      </c>
      <c r="I212" s="5" t="str">
        <f>IFERROR(IF(OR(C212="PERAC",C212="FoPITY"),INDEX(Customizations!$C$2:$C$41,MATCH(Sheet1!D212,Customizations!$B$2:$B$41,0),1),INDEX(About!C:C,MATCH(Sheet1!C212,About!B:B,0),1)),"")</f>
        <v>Start Year Capacities.xlsx</v>
      </c>
      <c r="J212" s="5">
        <f>IFERROR(INDEX(About!$D$34:$D$222,MATCH(Sheet1!I212,About!$C$34:$C$222,0),1),0)</f>
        <v>1</v>
      </c>
      <c r="K212" s="6">
        <f t="shared" si="7"/>
        <v>1</v>
      </c>
    </row>
    <row r="213" spans="1:11" x14ac:dyDescent="0.25">
      <c r="A213" t="s">
        <v>0</v>
      </c>
      <c r="B213" t="s">
        <v>142</v>
      </c>
      <c r="C213" t="s">
        <v>277</v>
      </c>
      <c r="D213" t="s">
        <v>280</v>
      </c>
      <c r="H213" t="str">
        <f t="shared" si="6"/>
        <v>.csv</v>
      </c>
      <c r="I213" s="5" t="str">
        <f>IFERROR(IF(OR(C213="PERAC",C213="FoPITY"),INDEX(Customizations!$C$2:$C$41,MATCH(Sheet1!D213,Customizations!$B$2:$B$41,0),1),INDEX(About!C:C,MATCH(Sheet1!C213,About!B:B,0),1)),"")</f>
        <v>Start Year Capacities.xlsx</v>
      </c>
      <c r="J213" s="5">
        <f>IFERROR(INDEX(About!$D$34:$D$222,MATCH(Sheet1!I213,About!$C$34:$C$222,0),1),0)</f>
        <v>1</v>
      </c>
      <c r="K213" s="6">
        <f t="shared" si="7"/>
        <v>1</v>
      </c>
    </row>
    <row r="214" spans="1:11" x14ac:dyDescent="0.25">
      <c r="A214" t="s">
        <v>0</v>
      </c>
      <c r="B214" t="s">
        <v>142</v>
      </c>
      <c r="C214" t="s">
        <v>281</v>
      </c>
      <c r="D214" t="s">
        <v>282</v>
      </c>
      <c r="H214" t="str">
        <f t="shared" si="6"/>
        <v>.csv</v>
      </c>
      <c r="I214" s="5" t="str">
        <f>IFERROR(IF(OR(C214="PERAC",C214="FoPITY"),INDEX(Customizations!$C$2:$C$41,MATCH(Sheet1!D214,Customizations!$B$2:$B$41,0),1),INDEX(About!C:C,MATCH(Sheet1!C214,About!B:B,0),1)),"")</f>
        <v>Trans Cap Across Modeled Region Border.xlsx</v>
      </c>
      <c r="J214" s="5">
        <f>IFERROR(INDEX(About!$D$34:$D$222,MATCH(Sheet1!I214,About!$C$34:$C$222,0),1),0)</f>
        <v>1</v>
      </c>
      <c r="K214" s="6">
        <f t="shared" si="7"/>
        <v>1</v>
      </c>
    </row>
    <row r="215" spans="1:11" x14ac:dyDescent="0.25">
      <c r="A215" t="s">
        <v>0</v>
      </c>
      <c r="B215" t="s">
        <v>142</v>
      </c>
      <c r="C215" t="s">
        <v>281</v>
      </c>
      <c r="D215" t="s">
        <v>283</v>
      </c>
      <c r="H215" t="str">
        <f t="shared" si="6"/>
        <v>xlsx</v>
      </c>
      <c r="I215" s="5" t="str">
        <f>IFERROR(IF(OR(C215="PERAC",C215="FoPITY"),INDEX(Customizations!$C$2:$C$41,MATCH(Sheet1!D215,Customizations!$B$2:$B$41,0),1),INDEX(About!C:C,MATCH(Sheet1!C215,About!B:B,0),1)),"")</f>
        <v>Trans Cap Across Modeled Region Border.xlsx</v>
      </c>
      <c r="J215" s="5">
        <f>IFERROR(INDEX(About!$D$34:$D$222,MATCH(Sheet1!I215,About!$C$34:$C$222,0),1),0)</f>
        <v>1</v>
      </c>
      <c r="K215" s="6">
        <f t="shared" si="7"/>
        <v>0</v>
      </c>
    </row>
    <row r="216" spans="1:11" x14ac:dyDescent="0.25">
      <c r="A216" t="s">
        <v>0</v>
      </c>
      <c r="B216" t="s">
        <v>142</v>
      </c>
      <c r="C216" t="s">
        <v>284</v>
      </c>
      <c r="D216" t="s">
        <v>285</v>
      </c>
      <c r="H216" t="str">
        <f t="shared" si="6"/>
        <v>.csv</v>
      </c>
      <c r="I216" s="5" t="str">
        <f>IFERROR(IF(OR(C216="PERAC",C216="FoPITY"),INDEX(Customizations!$C$2:$C$41,MATCH(Sheet1!D216,Customizations!$B$2:$B$41,0),1),INDEX(About!C:C,MATCH(Sheet1!C216,About!B:B,0),1)),"")</f>
        <v>Trans Const Cost per Unit Cap Dist.xlsx</v>
      </c>
      <c r="J216" s="5">
        <f>IFERROR(INDEX(About!$D$34:$D$222,MATCH(Sheet1!I216,About!$C$34:$C$222,0),1),0)</f>
        <v>1</v>
      </c>
      <c r="K216" s="6">
        <f t="shared" si="7"/>
        <v>1</v>
      </c>
    </row>
    <row r="217" spans="1:11" x14ac:dyDescent="0.25">
      <c r="A217" t="s">
        <v>0</v>
      </c>
      <c r="B217" t="s">
        <v>142</v>
      </c>
      <c r="C217" t="s">
        <v>284</v>
      </c>
      <c r="D217" t="s">
        <v>286</v>
      </c>
      <c r="H217" t="str">
        <f t="shared" si="6"/>
        <v>xlsx</v>
      </c>
      <c r="I217" s="5" t="str">
        <f>IFERROR(IF(OR(C217="PERAC",C217="FoPITY"),INDEX(Customizations!$C$2:$C$41,MATCH(Sheet1!D217,Customizations!$B$2:$B$41,0),1),INDEX(About!C:C,MATCH(Sheet1!C217,About!B:B,0),1)),"")</f>
        <v>Trans Const Cost per Unit Cap Dist.xlsx</v>
      </c>
      <c r="J217" s="5">
        <f>IFERROR(INDEX(About!$D$34:$D$222,MATCH(Sheet1!I217,About!$C$34:$C$222,0),1),0)</f>
        <v>1</v>
      </c>
      <c r="K217" s="6">
        <f t="shared" si="7"/>
        <v>0</v>
      </c>
    </row>
    <row r="218" spans="1:11" x14ac:dyDescent="0.25">
      <c r="A218" t="s">
        <v>0</v>
      </c>
      <c r="B218" t="s">
        <v>142</v>
      </c>
      <c r="C218" t="s">
        <v>287</v>
      </c>
      <c r="D218" t="s">
        <v>288</v>
      </c>
      <c r="H218" t="str">
        <f t="shared" si="6"/>
        <v>xlsx</v>
      </c>
      <c r="I218" s="5" t="str">
        <f>IFERROR(IF(OR(C218="PERAC",C218="FoPITY"),INDEX(Customizations!$C$2:$C$41,MATCH(Sheet1!D218,Customizations!$B$2:$B$41,0),1),INDEX(About!C:C,MATCH(Sheet1!C218,About!B:B,0),1)),"")</f>
        <v>Water Use by Power Plant Type.xlsx</v>
      </c>
      <c r="J218" s="5">
        <f>IFERROR(INDEX(About!$D$34:$D$222,MATCH(Sheet1!I218,About!$C$34:$C$222,0),1),0)</f>
        <v>1</v>
      </c>
      <c r="K218" s="6">
        <f t="shared" si="7"/>
        <v>0</v>
      </c>
    </row>
    <row r="219" spans="1:11" x14ac:dyDescent="0.25">
      <c r="A219" t="s">
        <v>0</v>
      </c>
      <c r="B219" t="s">
        <v>142</v>
      </c>
      <c r="C219" t="s">
        <v>287</v>
      </c>
      <c r="D219" t="s">
        <v>289</v>
      </c>
      <c r="H219" t="str">
        <f t="shared" si="6"/>
        <v>.csv</v>
      </c>
      <c r="I219" s="5" t="str">
        <f>IFERROR(IF(OR(C219="PERAC",C219="FoPITY"),INDEX(Customizations!$C$2:$C$41,MATCH(Sheet1!D219,Customizations!$B$2:$B$41,0),1),INDEX(About!C:C,MATCH(Sheet1!C219,About!B:B,0),1)),"")</f>
        <v>Water Use by Power Plant Type.xlsx</v>
      </c>
      <c r="J219" s="5">
        <f>IFERROR(INDEX(About!$D$34:$D$222,MATCH(Sheet1!I219,About!$C$34:$C$222,0),1),0)</f>
        <v>1</v>
      </c>
      <c r="K219" s="6">
        <f t="shared" si="7"/>
        <v>1</v>
      </c>
    </row>
    <row r="220" spans="1:11" x14ac:dyDescent="0.25">
      <c r="A220" t="s">
        <v>0</v>
      </c>
      <c r="B220" t="s">
        <v>142</v>
      </c>
      <c r="C220" t="s">
        <v>287</v>
      </c>
      <c r="D220" t="s">
        <v>290</v>
      </c>
      <c r="H220" t="str">
        <f t="shared" si="6"/>
        <v>.csv</v>
      </c>
      <c r="I220" s="5" t="str">
        <f>IFERROR(IF(OR(C220="PERAC",C220="FoPITY"),INDEX(Customizations!$C$2:$C$41,MATCH(Sheet1!D220,Customizations!$B$2:$B$41,0),1),INDEX(About!C:C,MATCH(Sheet1!C220,About!B:B,0),1)),"")</f>
        <v>Water Use by Power Plant Type.xlsx</v>
      </c>
      <c r="J220" s="5">
        <f>IFERROR(INDEX(About!$D$34:$D$222,MATCH(Sheet1!I220,About!$C$34:$C$222,0),1),0)</f>
        <v>1</v>
      </c>
      <c r="K220" s="6">
        <f t="shared" si="7"/>
        <v>1</v>
      </c>
    </row>
    <row r="221" spans="1:11" x14ac:dyDescent="0.25">
      <c r="A221" t="s">
        <v>0</v>
      </c>
      <c r="B221" t="s">
        <v>291</v>
      </c>
      <c r="C221" t="s">
        <v>292</v>
      </c>
      <c r="D221" t="s">
        <v>293</v>
      </c>
      <c r="H221" t="str">
        <f t="shared" si="6"/>
        <v>xlsx</v>
      </c>
      <c r="I221" s="5" t="str">
        <f>IFERROR(IF(OR(C221="PERAC",C221="FoPITY"),INDEX(Customizations!$C$2:$C$41,MATCH(Sheet1!D221,Customizations!$B$2:$B$41,0),1),INDEX(About!C:C,MATCH(Sheet1!C221,About!B:B,0),1)),"")</f>
        <v>Battery Cap by Veh Type.xlsx</v>
      </c>
      <c r="J221" s="5">
        <f>IFERROR(INDEX(About!$D$34:$D$222,MATCH(Sheet1!I221,About!$C$34:$C$222,0),1),0)</f>
        <v>1</v>
      </c>
      <c r="K221" s="6">
        <f t="shared" si="7"/>
        <v>0</v>
      </c>
    </row>
    <row r="222" spans="1:11" x14ac:dyDescent="0.25">
      <c r="A222" t="s">
        <v>0</v>
      </c>
      <c r="B222" t="s">
        <v>291</v>
      </c>
      <c r="C222" t="s">
        <v>292</v>
      </c>
      <c r="D222" t="s">
        <v>294</v>
      </c>
      <c r="H222" t="str">
        <f t="shared" si="6"/>
        <v>.csv</v>
      </c>
      <c r="I222" s="5" t="str">
        <f>IFERROR(IF(OR(C222="PERAC",C222="FoPITY"),INDEX(Customizations!$C$2:$C$41,MATCH(Sheet1!D222,Customizations!$B$2:$B$41,0),1),INDEX(About!C:C,MATCH(Sheet1!C222,About!B:B,0),1)),"")</f>
        <v>Battery Cap by Veh Type.xlsx</v>
      </c>
      <c r="J222" s="5">
        <f>IFERROR(INDEX(About!$D$34:$D$222,MATCH(Sheet1!I222,About!$C$34:$C$222,0),1),0)</f>
        <v>1</v>
      </c>
      <c r="K222" s="6">
        <f t="shared" si="7"/>
        <v>1</v>
      </c>
    </row>
    <row r="223" spans="1:11" x14ac:dyDescent="0.25">
      <c r="A223" t="s">
        <v>0</v>
      </c>
      <c r="B223" t="s">
        <v>291</v>
      </c>
      <c r="C223" t="s">
        <v>292</v>
      </c>
      <c r="D223" t="s">
        <v>295</v>
      </c>
      <c r="H223" t="str">
        <f t="shared" si="6"/>
        <v>.csv</v>
      </c>
      <c r="I223" s="5" t="str">
        <f>IFERROR(IF(OR(C223="PERAC",C223="FoPITY"),INDEX(Customizations!$C$2:$C$41,MATCH(Sheet1!D223,Customizations!$B$2:$B$41,0),1),INDEX(About!C:C,MATCH(Sheet1!C223,About!B:B,0),1)),"")</f>
        <v>Battery Cap by Veh Type.xlsx</v>
      </c>
      <c r="J223" s="5">
        <f>IFERROR(INDEX(About!$D$34:$D$222,MATCH(Sheet1!I223,About!$C$34:$C$222,0),1),0)</f>
        <v>1</v>
      </c>
      <c r="K223" s="6">
        <f t="shared" si="7"/>
        <v>1</v>
      </c>
    </row>
    <row r="224" spans="1:11" x14ac:dyDescent="0.25">
      <c r="A224" t="s">
        <v>0</v>
      </c>
      <c r="B224" t="s">
        <v>291</v>
      </c>
      <c r="C224" t="s">
        <v>296</v>
      </c>
      <c r="D224" t="s">
        <v>297</v>
      </c>
      <c r="H224" t="str">
        <f t="shared" si="6"/>
        <v>xlsx</v>
      </c>
      <c r="I224" s="5" t="str">
        <f>IFERROR(IF(OR(C224="PERAC",C224="FoPITY"),INDEX(Customizations!$C$2:$C$41,MATCH(Sheet1!D224,Customizations!$B$2:$B$41,0),1),INDEX(About!C:C,MATCH(Sheet1!C224,About!B:B,0),1)),"")</f>
        <v>BAU CO2 Sequestered Globally.xlsx</v>
      </c>
      <c r="J224" s="5">
        <f>IFERROR(INDEX(About!$D$34:$D$222,MATCH(Sheet1!I224,About!$C$34:$C$222,0),1),0)</f>
        <v>1</v>
      </c>
      <c r="K224" s="6">
        <f t="shared" si="7"/>
        <v>0</v>
      </c>
    </row>
    <row r="225" spans="1:11" x14ac:dyDescent="0.25">
      <c r="A225" t="s">
        <v>0</v>
      </c>
      <c r="B225" t="s">
        <v>291</v>
      </c>
      <c r="C225" t="s">
        <v>296</v>
      </c>
      <c r="D225" t="s">
        <v>298</v>
      </c>
      <c r="H225" t="str">
        <f t="shared" si="6"/>
        <v>.csv</v>
      </c>
      <c r="I225" s="5" t="str">
        <f>IFERROR(IF(OR(C225="PERAC",C225="FoPITY"),INDEX(Customizations!$C$2:$C$41,MATCH(Sheet1!D225,Customizations!$B$2:$B$41,0),1),INDEX(About!C:C,MATCH(Sheet1!C225,About!B:B,0),1)),"")</f>
        <v>BAU CO2 Sequestered Globally.xlsx</v>
      </c>
      <c r="J225" s="5">
        <f>IFERROR(INDEX(About!$D$34:$D$222,MATCH(Sheet1!I225,About!$C$34:$C$222,0),1),0)</f>
        <v>1</v>
      </c>
      <c r="K225" s="6">
        <f t="shared" si="7"/>
        <v>1</v>
      </c>
    </row>
    <row r="226" spans="1:11" x14ac:dyDescent="0.25">
      <c r="A226" t="s">
        <v>0</v>
      </c>
      <c r="B226" t="s">
        <v>291</v>
      </c>
      <c r="C226" t="s">
        <v>299</v>
      </c>
      <c r="D226" t="s">
        <v>300</v>
      </c>
      <c r="H226" t="str">
        <f t="shared" si="6"/>
        <v>xlsx</v>
      </c>
      <c r="I226" s="5" t="str">
        <f>IFERROR(IF(OR(C226="PERAC",C226="FoPITY"),INDEX(Customizations!$C$2:$C$41,MATCH(Sheet1!D226,Customizations!$B$2:$B$41,0),1),INDEX(About!C:C,MATCH(Sheet1!C226,About!B:B,0),1)),"")</f>
        <v>BAU Global Battery Storage Cap.xlsx</v>
      </c>
      <c r="J226" s="5">
        <f>IFERROR(INDEX(About!$D$34:$D$222,MATCH(Sheet1!I226,About!$C$34:$C$222,0),1),0)</f>
        <v>1</v>
      </c>
      <c r="K226" s="6">
        <f t="shared" si="7"/>
        <v>0</v>
      </c>
    </row>
    <row r="227" spans="1:11" x14ac:dyDescent="0.25">
      <c r="A227" t="s">
        <v>0</v>
      </c>
      <c r="B227" t="s">
        <v>291</v>
      </c>
      <c r="C227" t="s">
        <v>299</v>
      </c>
      <c r="D227" t="s">
        <v>301</v>
      </c>
      <c r="H227" t="str">
        <f t="shared" si="6"/>
        <v>.csv</v>
      </c>
      <c r="I227" s="5" t="str">
        <f>IFERROR(IF(OR(C227="PERAC",C227="FoPITY"),INDEX(Customizations!$C$2:$C$41,MATCH(Sheet1!D227,Customizations!$B$2:$B$41,0),1),INDEX(About!C:C,MATCH(Sheet1!C227,About!B:B,0),1)),"")</f>
        <v>BAU Global Battery Storage Cap.xlsx</v>
      </c>
      <c r="J227" s="5">
        <f>IFERROR(INDEX(About!$D$34:$D$222,MATCH(Sheet1!I227,About!$C$34:$C$222,0),1),0)</f>
        <v>1</v>
      </c>
      <c r="K227" s="6">
        <f t="shared" si="7"/>
        <v>1</v>
      </c>
    </row>
    <row r="228" spans="1:11" x14ac:dyDescent="0.25">
      <c r="A228" t="s">
        <v>0</v>
      </c>
      <c r="B228" t="s">
        <v>291</v>
      </c>
      <c r="C228" t="s">
        <v>302</v>
      </c>
      <c r="D228" t="s">
        <v>303</v>
      </c>
      <c r="H228" t="str">
        <f t="shared" si="6"/>
        <v>xlsx</v>
      </c>
      <c r="I228" s="5" t="str">
        <f>IFERROR(IF(OR(C228="PERAC",C228="FoPITY"),INDEX(Customizations!$C$2:$C$41,MATCH(Sheet1!D228,Customizations!$B$2:$B$41,0),1),INDEX(About!C:C,MATCH(Sheet1!C228,About!B:B,0),1)),"")</f>
        <v>BAU Global Solar and Wind Cap.xlsx</v>
      </c>
      <c r="J228" s="5">
        <f>IFERROR(INDEX(About!$D$34:$D$222,MATCH(Sheet1!I228,About!$C$34:$C$222,0),1),0)</f>
        <v>1</v>
      </c>
      <c r="K228" s="6">
        <f t="shared" si="7"/>
        <v>0</v>
      </c>
    </row>
    <row r="229" spans="1:11" x14ac:dyDescent="0.25">
      <c r="A229" t="s">
        <v>0</v>
      </c>
      <c r="B229" t="s">
        <v>291</v>
      </c>
      <c r="C229" t="s">
        <v>302</v>
      </c>
      <c r="D229" t="s">
        <v>304</v>
      </c>
      <c r="H229" t="str">
        <f t="shared" si="6"/>
        <v>.csv</v>
      </c>
      <c r="I229" s="5" t="str">
        <f>IFERROR(IF(OR(C229="PERAC",C229="FoPITY"),INDEX(Customizations!$C$2:$C$41,MATCH(Sheet1!D229,Customizations!$B$2:$B$41,0),1),INDEX(About!C:C,MATCH(Sheet1!C229,About!B:B,0),1)),"")</f>
        <v>BAU Global Solar and Wind Cap.xlsx</v>
      </c>
      <c r="J229" s="5">
        <f>IFERROR(INDEX(About!$D$34:$D$222,MATCH(Sheet1!I229,About!$C$34:$C$222,0),1),0)</f>
        <v>1</v>
      </c>
      <c r="K229" s="6">
        <f t="shared" si="7"/>
        <v>1</v>
      </c>
    </row>
    <row r="230" spans="1:11" x14ac:dyDescent="0.25">
      <c r="A230" t="s">
        <v>0</v>
      </c>
      <c r="B230" t="s">
        <v>291</v>
      </c>
      <c r="C230" t="s">
        <v>305</v>
      </c>
      <c r="D230" t="s">
        <v>306</v>
      </c>
      <c r="H230" t="str">
        <f t="shared" si="6"/>
        <v>.csv</v>
      </c>
      <c r="I230" s="5" t="str">
        <f>IFERROR(IF(OR(C230="PERAC",C230="FoPITY"),INDEX(Customizations!$C$2:$C$41,MATCH(Sheet1!D230,Customizations!$B$2:$B$41,0),1),INDEX(About!C:C,MATCH(Sheet1!C230,About!B:B,0),1)),"")</f>
        <v>Grid Battery Energy to Power Ratio.xlsx</v>
      </c>
      <c r="J230" s="5">
        <f>IFERROR(INDEX(About!$D$34:$D$222,MATCH(Sheet1!I230,About!$C$34:$C$222,0),1),0)</f>
        <v>1</v>
      </c>
      <c r="K230" s="6">
        <f t="shared" si="7"/>
        <v>1</v>
      </c>
    </row>
    <row r="231" spans="1:11" x14ac:dyDescent="0.25">
      <c r="A231" t="s">
        <v>0</v>
      </c>
      <c r="B231" t="s">
        <v>291</v>
      </c>
      <c r="C231" t="s">
        <v>305</v>
      </c>
      <c r="D231" t="s">
        <v>307</v>
      </c>
      <c r="H231" t="str">
        <f t="shared" si="6"/>
        <v>xlsx</v>
      </c>
      <c r="I231" s="5" t="str">
        <f>IFERROR(IF(OR(C231="PERAC",C231="FoPITY"),INDEX(Customizations!$C$2:$C$41,MATCH(Sheet1!D231,Customizations!$B$2:$B$41,0),1),INDEX(About!C:C,MATCH(Sheet1!C231,About!B:B,0),1)),"")</f>
        <v>Grid Battery Energy to Power Ratio.xlsx</v>
      </c>
      <c r="J231" s="5">
        <f>IFERROR(INDEX(About!$D$34:$D$222,MATCH(Sheet1!I231,About!$C$34:$C$222,0),1),0)</f>
        <v>1</v>
      </c>
      <c r="K231" s="6">
        <f t="shared" si="7"/>
        <v>0</v>
      </c>
    </row>
    <row r="232" spans="1:11" x14ac:dyDescent="0.25">
      <c r="A232" t="s">
        <v>0</v>
      </c>
      <c r="B232" t="s">
        <v>291</v>
      </c>
      <c r="C232" t="s">
        <v>308</v>
      </c>
      <c r="D232" t="s">
        <v>309</v>
      </c>
      <c r="H232" t="str">
        <f t="shared" si="6"/>
        <v>.csv</v>
      </c>
      <c r="I232" s="5" t="str">
        <f>IFERROR(IF(OR(C232="PERAC",C232="FoPITY"),INDEX(Customizations!$C$2:$C$41,MATCH(Sheet1!D232,Customizations!$B$2:$B$41,0),1),INDEX(About!C:C,MATCH(Sheet1!C232,About!B:B,0),1)),"")</f>
        <v>Perc Decline in Battery Cost per Doubling of Cap.xlsx</v>
      </c>
      <c r="J232" s="5">
        <f>IFERROR(INDEX(About!$D$34:$D$222,MATCH(Sheet1!I232,About!$C$34:$C$222,0),1),0)</f>
        <v>1</v>
      </c>
      <c r="K232" s="6">
        <f t="shared" si="7"/>
        <v>1</v>
      </c>
    </row>
    <row r="233" spans="1:11" x14ac:dyDescent="0.25">
      <c r="A233" t="s">
        <v>0</v>
      </c>
      <c r="B233" t="s">
        <v>291</v>
      </c>
      <c r="C233" t="s">
        <v>308</v>
      </c>
      <c r="D233" t="s">
        <v>310</v>
      </c>
      <c r="H233" t="str">
        <f t="shared" si="6"/>
        <v>xlsx</v>
      </c>
      <c r="I233" s="5" t="str">
        <f>IFERROR(IF(OR(C233="PERAC",C233="FoPITY"),INDEX(Customizations!$C$2:$C$41,MATCH(Sheet1!D233,Customizations!$B$2:$B$41,0),1),INDEX(About!C:C,MATCH(Sheet1!C233,About!B:B,0),1)),"")</f>
        <v>Perc Decline in Battery Cost per Doubling of Cap.xlsx</v>
      </c>
      <c r="J233" s="5">
        <f>IFERROR(INDEX(About!$D$34:$D$222,MATCH(Sheet1!I233,About!$C$34:$C$222,0),1),0)</f>
        <v>1</v>
      </c>
      <c r="K233" s="6">
        <f t="shared" si="7"/>
        <v>0</v>
      </c>
    </row>
    <row r="234" spans="1:11" x14ac:dyDescent="0.25">
      <c r="A234" t="s">
        <v>0</v>
      </c>
      <c r="B234" t="s">
        <v>291</v>
      </c>
      <c r="C234" t="s">
        <v>311</v>
      </c>
      <c r="D234" t="s">
        <v>312</v>
      </c>
      <c r="H234" t="str">
        <f t="shared" si="6"/>
        <v>.csv</v>
      </c>
      <c r="I234" s="5" t="str">
        <f>IFERROR(IF(OR(C234="PERAC",C234="FoPITY"),INDEX(Customizations!$C$2:$C$41,MATCH(Sheet1!D234,Customizations!$B$2:$B$41,0),1),INDEX(About!C:C,MATCH(Sheet1!C234,About!B:B,0),1)),"")</f>
        <v>Perc Decline in Cap Cost per Doubling of Cap.xlsx</v>
      </c>
      <c r="J234" s="5">
        <f>IFERROR(INDEX(About!$D$34:$D$222,MATCH(Sheet1!I234,About!$C$34:$C$222,0),1),0)</f>
        <v>1</v>
      </c>
      <c r="K234" s="6">
        <f t="shared" si="7"/>
        <v>1</v>
      </c>
    </row>
    <row r="235" spans="1:11" x14ac:dyDescent="0.25">
      <c r="A235" t="s">
        <v>0</v>
      </c>
      <c r="B235" t="s">
        <v>291</v>
      </c>
      <c r="C235" t="s">
        <v>311</v>
      </c>
      <c r="D235" t="s">
        <v>313</v>
      </c>
      <c r="H235" t="str">
        <f t="shared" si="6"/>
        <v>xlsx</v>
      </c>
      <c r="I235" s="5" t="str">
        <f>IFERROR(IF(OR(C235="PERAC",C235="FoPITY"),INDEX(Customizations!$C$2:$C$41,MATCH(Sheet1!D235,Customizations!$B$2:$B$41,0),1),INDEX(About!C:C,MATCH(Sheet1!C235,About!B:B,0),1)),"")</f>
        <v>Perc Decline in Cap Cost per Doubling of Cap.xlsx</v>
      </c>
      <c r="J235" s="5">
        <f>IFERROR(INDEX(About!$D$34:$D$222,MATCH(Sheet1!I235,About!$C$34:$C$222,0),1),0)</f>
        <v>1</v>
      </c>
      <c r="K235" s="6">
        <f t="shared" si="7"/>
        <v>0</v>
      </c>
    </row>
    <row r="236" spans="1:11" x14ac:dyDescent="0.25">
      <c r="A236" t="s">
        <v>0</v>
      </c>
      <c r="B236" t="s">
        <v>291</v>
      </c>
      <c r="C236" t="s">
        <v>314</v>
      </c>
      <c r="D236" t="s">
        <v>315</v>
      </c>
      <c r="H236" t="str">
        <f t="shared" si="6"/>
        <v>.csv</v>
      </c>
      <c r="I236" s="5" t="str">
        <f>IFERROR(IF(OR(C236="PERAC",C236="FoPITY"),INDEX(Customizations!$C$2:$C$41,MATCH(Sheet1!D236,Customizations!$B$2:$B$41,0),1),INDEX(About!C:C,MATCH(Sheet1!C236,About!B:B,0),1)),"")</f>
        <v>Perc Decline in CCS Eqpt Cost per Doubling of Capacity.xlsx</v>
      </c>
      <c r="J236" s="5">
        <f>IFERROR(INDEX(About!$D$34:$D$222,MATCH(Sheet1!I236,About!$C$34:$C$222,0),1),0)</f>
        <v>1</v>
      </c>
      <c r="K236" s="6">
        <f t="shared" si="7"/>
        <v>1</v>
      </c>
    </row>
    <row r="237" spans="1:11" x14ac:dyDescent="0.25">
      <c r="A237" t="s">
        <v>0</v>
      </c>
      <c r="B237" t="s">
        <v>291</v>
      </c>
      <c r="C237" t="s">
        <v>314</v>
      </c>
      <c r="D237" t="s">
        <v>316</v>
      </c>
      <c r="H237" t="str">
        <f t="shared" si="6"/>
        <v>xlsx</v>
      </c>
      <c r="I237" s="5" t="str">
        <f>IFERROR(IF(OR(C237="PERAC",C237="FoPITY"),INDEX(Customizations!$C$2:$C$41,MATCH(Sheet1!D237,Customizations!$B$2:$B$41,0),1),INDEX(About!C:C,MATCH(Sheet1!C237,About!B:B,0),1)),"")</f>
        <v>Perc Decline in CCS Eqpt Cost per Doubling of Capacity.xlsx</v>
      </c>
      <c r="J237" s="5">
        <f>IFERROR(INDEX(About!$D$34:$D$222,MATCH(Sheet1!I237,About!$C$34:$C$222,0),1),0)</f>
        <v>1</v>
      </c>
      <c r="K237" s="6">
        <f t="shared" si="7"/>
        <v>0</v>
      </c>
    </row>
    <row r="238" spans="1:11" x14ac:dyDescent="0.25">
      <c r="A238" t="s">
        <v>0</v>
      </c>
      <c r="B238" t="s">
        <v>291</v>
      </c>
      <c r="C238" t="s">
        <v>317</v>
      </c>
      <c r="D238" t="s">
        <v>318</v>
      </c>
      <c r="H238" t="str">
        <f t="shared" si="6"/>
        <v>xlsx</v>
      </c>
      <c r="I238" s="5" t="str">
        <f>IFERROR(IF(OR(C238="PERAC",C238="FoPITY"),INDEX(Customizations!$C$2:$C$41,MATCH(Sheet1!D238,Customizations!$B$2:$B$41,0),1),INDEX(About!C:C,MATCH(Sheet1!C238,About!B:B,0),1)),"")</f>
        <v>Start Yr Shares of Capacity Costs that are Soft Costs.xlsx</v>
      </c>
      <c r="J238" s="5">
        <f>IFERROR(INDEX(About!$D$34:$D$222,MATCH(Sheet1!I238,About!$C$34:$C$222,0),1),0)</f>
        <v>1</v>
      </c>
      <c r="K238" s="6">
        <f t="shared" si="7"/>
        <v>0</v>
      </c>
    </row>
    <row r="239" spans="1:11" x14ac:dyDescent="0.25">
      <c r="A239" t="s">
        <v>0</v>
      </c>
      <c r="B239" t="s">
        <v>291</v>
      </c>
      <c r="C239" t="s">
        <v>317</v>
      </c>
      <c r="D239" t="s">
        <v>319</v>
      </c>
      <c r="H239" t="str">
        <f t="shared" si="6"/>
        <v>.csv</v>
      </c>
      <c r="I239" s="5" t="str">
        <f>IFERROR(IF(OR(C239="PERAC",C239="FoPITY"),INDEX(Customizations!$C$2:$C$41,MATCH(Sheet1!D239,Customizations!$B$2:$B$41,0),1),INDEX(About!C:C,MATCH(Sheet1!C239,About!B:B,0),1)),"")</f>
        <v>Start Yr Shares of Capacity Costs that are Soft Costs.xlsx</v>
      </c>
      <c r="J239" s="5">
        <f>IFERROR(INDEX(About!$D$34:$D$222,MATCH(Sheet1!I239,About!$C$34:$C$222,0),1),0)</f>
        <v>1</v>
      </c>
      <c r="K239" s="6">
        <f t="shared" si="7"/>
        <v>1</v>
      </c>
    </row>
    <row r="240" spans="1:11" x14ac:dyDescent="0.25">
      <c r="A240" t="s">
        <v>0</v>
      </c>
      <c r="B240" t="s">
        <v>320</v>
      </c>
      <c r="C240" t="s">
        <v>321</v>
      </c>
      <c r="D240" t="s">
        <v>322</v>
      </c>
      <c r="H240" t="str">
        <f t="shared" si="6"/>
        <v>xlsx</v>
      </c>
      <c r="I240" s="5" t="str">
        <f>IFERROR(IF(OR(C240="PERAC",C240="FoPITY"),INDEX(Customizations!$C$2:$C$41,MATCH(Sheet1!D240,Customizations!$B$2:$B$41,0),1),INDEX(About!C:C,MATCH(Sheet1!C240,About!B:B,0),1)),"")</f>
        <v>BAU Fuel Cost per Unit Energy by Sector.xlsx</v>
      </c>
      <c r="J240" s="5">
        <f>IFERROR(INDEX(About!$D$34:$D$222,MATCH(Sheet1!I240,About!$C$34:$C$222,0),1),0)</f>
        <v>1</v>
      </c>
      <c r="K240" s="6">
        <f t="shared" si="7"/>
        <v>0</v>
      </c>
    </row>
    <row r="241" spans="1:11" x14ac:dyDescent="0.25">
      <c r="A241" t="s">
        <v>0</v>
      </c>
      <c r="B241" t="s">
        <v>320</v>
      </c>
      <c r="C241" t="s">
        <v>321</v>
      </c>
      <c r="D241" t="s">
        <v>323</v>
      </c>
      <c r="H241" t="str">
        <f t="shared" si="6"/>
        <v>.csv</v>
      </c>
      <c r="I241" s="5" t="str">
        <f>IFERROR(IF(OR(C241="PERAC",C241="FoPITY"),INDEX(Customizations!$C$2:$C$41,MATCH(Sheet1!D241,Customizations!$B$2:$B$41,0),1),INDEX(About!C:C,MATCH(Sheet1!C241,About!B:B,0),1)),"")</f>
        <v>BAU Fuel Cost per Unit Energy by Sector.xlsx</v>
      </c>
      <c r="J241" s="5">
        <f>IFERROR(INDEX(About!$D$34:$D$222,MATCH(Sheet1!I241,About!$C$34:$C$222,0),1),0)</f>
        <v>1</v>
      </c>
      <c r="K241" s="6">
        <f t="shared" si="7"/>
        <v>1</v>
      </c>
    </row>
    <row r="242" spans="1:11" x14ac:dyDescent="0.25">
      <c r="A242" t="s">
        <v>0</v>
      </c>
      <c r="B242" t="s">
        <v>320</v>
      </c>
      <c r="C242" t="s">
        <v>321</v>
      </c>
      <c r="D242" t="s">
        <v>324</v>
      </c>
      <c r="H242" t="str">
        <f t="shared" si="6"/>
        <v>.csv</v>
      </c>
      <c r="I242" s="5" t="str">
        <f>IFERROR(IF(OR(C242="PERAC",C242="FoPITY"),INDEX(Customizations!$C$2:$C$41,MATCH(Sheet1!D242,Customizations!$B$2:$B$41,0),1),INDEX(About!C:C,MATCH(Sheet1!C242,About!B:B,0),1)),"")</f>
        <v>BAU Fuel Cost per Unit Energy by Sector.xlsx</v>
      </c>
      <c r="J242" s="5">
        <f>IFERROR(INDEX(About!$D$34:$D$222,MATCH(Sheet1!I242,About!$C$34:$C$222,0),1),0)</f>
        <v>1</v>
      </c>
      <c r="K242" s="6">
        <f t="shared" si="7"/>
        <v>1</v>
      </c>
    </row>
    <row r="243" spans="1:11" x14ac:dyDescent="0.25">
      <c r="A243" t="s">
        <v>0</v>
      </c>
      <c r="B243" t="s">
        <v>320</v>
      </c>
      <c r="C243" t="s">
        <v>321</v>
      </c>
      <c r="D243" t="s">
        <v>325</v>
      </c>
      <c r="H243" t="str">
        <f t="shared" si="6"/>
        <v>.csv</v>
      </c>
      <c r="I243" s="5" t="str">
        <f>IFERROR(IF(OR(C243="PERAC",C243="FoPITY"),INDEX(Customizations!$C$2:$C$41,MATCH(Sheet1!D243,Customizations!$B$2:$B$41,0),1),INDEX(About!C:C,MATCH(Sheet1!C243,About!B:B,0),1)),"")</f>
        <v>BAU Fuel Cost per Unit Energy by Sector.xlsx</v>
      </c>
      <c r="J243" s="5">
        <f>IFERROR(INDEX(About!$D$34:$D$222,MATCH(Sheet1!I243,About!$C$34:$C$222,0),1),0)</f>
        <v>1</v>
      </c>
      <c r="K243" s="6">
        <f t="shared" si="7"/>
        <v>1</v>
      </c>
    </row>
    <row r="244" spans="1:11" x14ac:dyDescent="0.25">
      <c r="A244" t="s">
        <v>0</v>
      </c>
      <c r="B244" t="s">
        <v>320</v>
      </c>
      <c r="C244" t="s">
        <v>321</v>
      </c>
      <c r="D244" t="s">
        <v>326</v>
      </c>
      <c r="H244" t="str">
        <f t="shared" si="6"/>
        <v>.csv</v>
      </c>
      <c r="I244" s="5" t="str">
        <f>IFERROR(IF(OR(C244="PERAC",C244="FoPITY"),INDEX(Customizations!$C$2:$C$41,MATCH(Sheet1!D244,Customizations!$B$2:$B$41,0),1),INDEX(About!C:C,MATCH(Sheet1!C244,About!B:B,0),1)),"")</f>
        <v>BAU Fuel Cost per Unit Energy by Sector.xlsx</v>
      </c>
      <c r="J244" s="5">
        <f>IFERROR(INDEX(About!$D$34:$D$222,MATCH(Sheet1!I244,About!$C$34:$C$222,0),1),0)</f>
        <v>1</v>
      </c>
      <c r="K244" s="6">
        <f t="shared" si="7"/>
        <v>1</v>
      </c>
    </row>
    <row r="245" spans="1:11" x14ac:dyDescent="0.25">
      <c r="A245" t="s">
        <v>0</v>
      </c>
      <c r="B245" t="s">
        <v>320</v>
      </c>
      <c r="C245" t="s">
        <v>321</v>
      </c>
      <c r="D245" t="s">
        <v>327</v>
      </c>
      <c r="H245" t="str">
        <f t="shared" si="6"/>
        <v>.csv</v>
      </c>
      <c r="I245" s="5" t="str">
        <f>IFERROR(IF(OR(C245="PERAC",C245="FoPITY"),INDEX(Customizations!$C$2:$C$41,MATCH(Sheet1!D245,Customizations!$B$2:$B$41,0),1),INDEX(About!C:C,MATCH(Sheet1!C245,About!B:B,0),1)),"")</f>
        <v>BAU Fuel Cost per Unit Energy by Sector.xlsx</v>
      </c>
      <c r="J245" s="5">
        <f>IFERROR(INDEX(About!$D$34:$D$222,MATCH(Sheet1!I245,About!$C$34:$C$222,0),1),0)</f>
        <v>1</v>
      </c>
      <c r="K245" s="6">
        <f t="shared" si="7"/>
        <v>1</v>
      </c>
    </row>
    <row r="246" spans="1:11" x14ac:dyDescent="0.25">
      <c r="A246" t="s">
        <v>0</v>
      </c>
      <c r="B246" t="s">
        <v>320</v>
      </c>
      <c r="C246" t="s">
        <v>321</v>
      </c>
      <c r="D246" t="s">
        <v>328</v>
      </c>
      <c r="H246" t="str">
        <f t="shared" si="6"/>
        <v>.csv</v>
      </c>
      <c r="I246" s="5" t="str">
        <f>IFERROR(IF(OR(C246="PERAC",C246="FoPITY"),INDEX(Customizations!$C$2:$C$41,MATCH(Sheet1!D246,Customizations!$B$2:$B$41,0),1),INDEX(About!C:C,MATCH(Sheet1!C246,About!B:B,0),1)),"")</f>
        <v>BAU Fuel Cost per Unit Energy by Sector.xlsx</v>
      </c>
      <c r="J246" s="5">
        <f>IFERROR(INDEX(About!$D$34:$D$222,MATCH(Sheet1!I246,About!$C$34:$C$222,0),1),0)</f>
        <v>1</v>
      </c>
      <c r="K246" s="6">
        <f t="shared" si="7"/>
        <v>1</v>
      </c>
    </row>
    <row r="247" spans="1:11" x14ac:dyDescent="0.25">
      <c r="A247" t="s">
        <v>0</v>
      </c>
      <c r="B247" t="s">
        <v>320</v>
      </c>
      <c r="C247" t="s">
        <v>321</v>
      </c>
      <c r="D247" t="s">
        <v>329</v>
      </c>
      <c r="H247" t="str">
        <f t="shared" si="6"/>
        <v>.csv</v>
      </c>
      <c r="I247" s="5" t="str">
        <f>IFERROR(IF(OR(C247="PERAC",C247="FoPITY"),INDEX(Customizations!$C$2:$C$41,MATCH(Sheet1!D247,Customizations!$B$2:$B$41,0),1),INDEX(About!C:C,MATCH(Sheet1!C247,About!B:B,0),1)),"")</f>
        <v>BAU Fuel Cost per Unit Energy by Sector.xlsx</v>
      </c>
      <c r="J247" s="5">
        <f>IFERROR(INDEX(About!$D$34:$D$222,MATCH(Sheet1!I247,About!$C$34:$C$222,0),1),0)</f>
        <v>1</v>
      </c>
      <c r="K247" s="6">
        <f t="shared" si="7"/>
        <v>1</v>
      </c>
    </row>
    <row r="248" spans="1:11" x14ac:dyDescent="0.25">
      <c r="A248" t="s">
        <v>0</v>
      </c>
      <c r="B248" t="s">
        <v>320</v>
      </c>
      <c r="C248" t="s">
        <v>321</v>
      </c>
      <c r="D248" t="s">
        <v>330</v>
      </c>
      <c r="H248" t="str">
        <f t="shared" si="6"/>
        <v>.csv</v>
      </c>
      <c r="I248" s="5" t="str">
        <f>IFERROR(IF(OR(C248="PERAC",C248="FoPITY"),INDEX(Customizations!$C$2:$C$41,MATCH(Sheet1!D248,Customizations!$B$2:$B$41,0),1),INDEX(About!C:C,MATCH(Sheet1!C248,About!B:B,0),1)),"")</f>
        <v>BAU Fuel Cost per Unit Energy by Sector.xlsx</v>
      </c>
      <c r="J248" s="5">
        <f>IFERROR(INDEX(About!$D$34:$D$222,MATCH(Sheet1!I248,About!$C$34:$C$222,0),1),0)</f>
        <v>1</v>
      </c>
      <c r="K248" s="6">
        <f t="shared" si="7"/>
        <v>1</v>
      </c>
    </row>
    <row r="249" spans="1:11" x14ac:dyDescent="0.25">
      <c r="A249" t="s">
        <v>0</v>
      </c>
      <c r="B249" t="s">
        <v>320</v>
      </c>
      <c r="C249" t="s">
        <v>321</v>
      </c>
      <c r="D249" t="s">
        <v>331</v>
      </c>
      <c r="H249" t="str">
        <f t="shared" si="6"/>
        <v>.csv</v>
      </c>
      <c r="I249" s="5" t="str">
        <f>IFERROR(IF(OR(C249="PERAC",C249="FoPITY"),INDEX(Customizations!$C$2:$C$41,MATCH(Sheet1!D249,Customizations!$B$2:$B$41,0),1),INDEX(About!C:C,MATCH(Sheet1!C249,About!B:B,0),1)),"")</f>
        <v>BAU Fuel Cost per Unit Energy by Sector.xlsx</v>
      </c>
      <c r="J249" s="5">
        <f>IFERROR(INDEX(About!$D$34:$D$222,MATCH(Sheet1!I249,About!$C$34:$C$222,0),1),0)</f>
        <v>1</v>
      </c>
      <c r="K249" s="6">
        <f t="shared" si="7"/>
        <v>1</v>
      </c>
    </row>
    <row r="250" spans="1:11" x14ac:dyDescent="0.25">
      <c r="A250" t="s">
        <v>0</v>
      </c>
      <c r="B250" t="s">
        <v>320</v>
      </c>
      <c r="C250" t="s">
        <v>321</v>
      </c>
      <c r="D250" t="s">
        <v>332</v>
      </c>
      <c r="H250" t="str">
        <f t="shared" si="6"/>
        <v>.csv</v>
      </c>
      <c r="I250" s="5" t="str">
        <f>IFERROR(IF(OR(C250="PERAC",C250="FoPITY"),INDEX(Customizations!$C$2:$C$41,MATCH(Sheet1!D250,Customizations!$B$2:$B$41,0),1),INDEX(About!C:C,MATCH(Sheet1!C250,About!B:B,0),1)),"")</f>
        <v>BAU Fuel Cost per Unit Energy by Sector.xlsx</v>
      </c>
      <c r="J250" s="5">
        <f>IFERROR(INDEX(About!$D$34:$D$222,MATCH(Sheet1!I250,About!$C$34:$C$222,0),1),0)</f>
        <v>1</v>
      </c>
      <c r="K250" s="6">
        <f t="shared" si="7"/>
        <v>1</v>
      </c>
    </row>
    <row r="251" spans="1:11" x14ac:dyDescent="0.25">
      <c r="A251" t="s">
        <v>0</v>
      </c>
      <c r="B251" t="s">
        <v>320</v>
      </c>
      <c r="C251" t="s">
        <v>321</v>
      </c>
      <c r="D251" t="s">
        <v>333</v>
      </c>
      <c r="H251" t="str">
        <f t="shared" si="6"/>
        <v>.csv</v>
      </c>
      <c r="I251" s="5" t="str">
        <f>IFERROR(IF(OR(C251="PERAC",C251="FoPITY"),INDEX(Customizations!$C$2:$C$41,MATCH(Sheet1!D251,Customizations!$B$2:$B$41,0),1),INDEX(About!C:C,MATCH(Sheet1!C251,About!B:B,0),1)),"")</f>
        <v>BAU Fuel Cost per Unit Energy by Sector.xlsx</v>
      </c>
      <c r="J251" s="5">
        <f>IFERROR(INDEX(About!$D$34:$D$222,MATCH(Sheet1!I251,About!$C$34:$C$222,0),1),0)</f>
        <v>1</v>
      </c>
      <c r="K251" s="6">
        <f t="shared" si="7"/>
        <v>1</v>
      </c>
    </row>
    <row r="252" spans="1:11" x14ac:dyDescent="0.25">
      <c r="A252" t="s">
        <v>0</v>
      </c>
      <c r="B252" t="s">
        <v>320</v>
      </c>
      <c r="C252" t="s">
        <v>321</v>
      </c>
      <c r="D252" t="s">
        <v>334</v>
      </c>
      <c r="H252" t="str">
        <f t="shared" si="6"/>
        <v>.csv</v>
      </c>
      <c r="I252" s="5" t="str">
        <f>IFERROR(IF(OR(C252="PERAC",C252="FoPITY"),INDEX(Customizations!$C$2:$C$41,MATCH(Sheet1!D252,Customizations!$B$2:$B$41,0),1),INDEX(About!C:C,MATCH(Sheet1!C252,About!B:B,0),1)),"")</f>
        <v>BAU Fuel Cost per Unit Energy by Sector.xlsx</v>
      </c>
      <c r="J252" s="5">
        <f>IFERROR(INDEX(About!$D$34:$D$222,MATCH(Sheet1!I252,About!$C$34:$C$222,0),1),0)</f>
        <v>1</v>
      </c>
      <c r="K252" s="6">
        <f t="shared" si="7"/>
        <v>1</v>
      </c>
    </row>
    <row r="253" spans="1:11" x14ac:dyDescent="0.25">
      <c r="A253" t="s">
        <v>0</v>
      </c>
      <c r="B253" t="s">
        <v>320</v>
      </c>
      <c r="C253" t="s">
        <v>321</v>
      </c>
      <c r="D253" t="s">
        <v>335</v>
      </c>
      <c r="H253" t="str">
        <f t="shared" si="6"/>
        <v>.csv</v>
      </c>
      <c r="I253" s="5" t="str">
        <f>IFERROR(IF(OR(C253="PERAC",C253="FoPITY"),INDEX(Customizations!$C$2:$C$41,MATCH(Sheet1!D253,Customizations!$B$2:$B$41,0),1),INDEX(About!C:C,MATCH(Sheet1!C253,About!B:B,0),1)),"")</f>
        <v>BAU Fuel Cost per Unit Energy by Sector.xlsx</v>
      </c>
      <c r="J253" s="5">
        <f>IFERROR(INDEX(About!$D$34:$D$222,MATCH(Sheet1!I253,About!$C$34:$C$222,0),1),0)</f>
        <v>1</v>
      </c>
      <c r="K253" s="6">
        <f t="shared" si="7"/>
        <v>1</v>
      </c>
    </row>
    <row r="254" spans="1:11" x14ac:dyDescent="0.25">
      <c r="A254" t="s">
        <v>0</v>
      </c>
      <c r="B254" t="s">
        <v>320</v>
      </c>
      <c r="C254" t="s">
        <v>321</v>
      </c>
      <c r="D254" t="s">
        <v>336</v>
      </c>
      <c r="H254" t="str">
        <f t="shared" si="6"/>
        <v>.csv</v>
      </c>
      <c r="I254" s="5" t="str">
        <f>IFERROR(IF(OR(C254="PERAC",C254="FoPITY"),INDEX(Customizations!$C$2:$C$41,MATCH(Sheet1!D254,Customizations!$B$2:$B$41,0),1),INDEX(About!C:C,MATCH(Sheet1!C254,About!B:B,0),1)),"")</f>
        <v>BAU Fuel Cost per Unit Energy by Sector.xlsx</v>
      </c>
      <c r="J254" s="5">
        <f>IFERROR(INDEX(About!$D$34:$D$222,MATCH(Sheet1!I254,About!$C$34:$C$222,0),1),0)</f>
        <v>1</v>
      </c>
      <c r="K254" s="6">
        <f t="shared" si="7"/>
        <v>1</v>
      </c>
    </row>
    <row r="255" spans="1:11" x14ac:dyDescent="0.25">
      <c r="A255" t="s">
        <v>0</v>
      </c>
      <c r="B255" t="s">
        <v>320</v>
      </c>
      <c r="C255" t="s">
        <v>321</v>
      </c>
      <c r="D255" t="s">
        <v>337</v>
      </c>
      <c r="H255" t="str">
        <f t="shared" si="6"/>
        <v>.csv</v>
      </c>
      <c r="I255" s="5" t="str">
        <f>IFERROR(IF(OR(C255="PERAC",C255="FoPITY"),INDEX(Customizations!$C$2:$C$41,MATCH(Sheet1!D255,Customizations!$B$2:$B$41,0),1),INDEX(About!C:C,MATCH(Sheet1!C255,About!B:B,0),1)),"")</f>
        <v>BAU Fuel Cost per Unit Energy by Sector.xlsx</v>
      </c>
      <c r="J255" s="5">
        <f>IFERROR(INDEX(About!$D$34:$D$222,MATCH(Sheet1!I255,About!$C$34:$C$222,0),1),0)</f>
        <v>1</v>
      </c>
      <c r="K255" s="6">
        <f t="shared" si="7"/>
        <v>1</v>
      </c>
    </row>
    <row r="256" spans="1:11" x14ac:dyDescent="0.25">
      <c r="A256" t="s">
        <v>0</v>
      </c>
      <c r="B256" t="s">
        <v>320</v>
      </c>
      <c r="C256" t="s">
        <v>321</v>
      </c>
      <c r="D256" t="s">
        <v>338</v>
      </c>
      <c r="H256" t="str">
        <f t="shared" si="6"/>
        <v>.csv</v>
      </c>
      <c r="I256" s="5" t="str">
        <f>IFERROR(IF(OR(C256="PERAC",C256="FoPITY"),INDEX(Customizations!$C$2:$C$41,MATCH(Sheet1!D256,Customizations!$B$2:$B$41,0),1),INDEX(About!C:C,MATCH(Sheet1!C256,About!B:B,0),1)),"")</f>
        <v>BAU Fuel Cost per Unit Energy by Sector.xlsx</v>
      </c>
      <c r="J256" s="5">
        <f>IFERROR(INDEX(About!$D$34:$D$222,MATCH(Sheet1!I256,About!$C$34:$C$222,0),1),0)</f>
        <v>1</v>
      </c>
      <c r="K256" s="6">
        <f t="shared" si="7"/>
        <v>1</v>
      </c>
    </row>
    <row r="257" spans="1:11" x14ac:dyDescent="0.25">
      <c r="A257" t="s">
        <v>0</v>
      </c>
      <c r="B257" t="s">
        <v>320</v>
      </c>
      <c r="C257" t="s">
        <v>321</v>
      </c>
      <c r="D257" t="s">
        <v>339</v>
      </c>
      <c r="H257" t="str">
        <f t="shared" si="6"/>
        <v>.csv</v>
      </c>
      <c r="I257" s="5" t="str">
        <f>IFERROR(IF(OR(C257="PERAC",C257="FoPITY"),INDEX(Customizations!$C$2:$C$41,MATCH(Sheet1!D257,Customizations!$B$2:$B$41,0),1),INDEX(About!C:C,MATCH(Sheet1!C257,About!B:B,0),1)),"")</f>
        <v>BAU Fuel Cost per Unit Energy by Sector.xlsx</v>
      </c>
      <c r="J257" s="5">
        <f>IFERROR(INDEX(About!$D$34:$D$222,MATCH(Sheet1!I257,About!$C$34:$C$222,0),1),0)</f>
        <v>1</v>
      </c>
      <c r="K257" s="6">
        <f t="shared" si="7"/>
        <v>1</v>
      </c>
    </row>
    <row r="258" spans="1:11" x14ac:dyDescent="0.25">
      <c r="A258" t="s">
        <v>0</v>
      </c>
      <c r="B258" t="s">
        <v>320</v>
      </c>
      <c r="C258" t="s">
        <v>321</v>
      </c>
      <c r="D258" t="s">
        <v>340</v>
      </c>
      <c r="H258" t="str">
        <f t="shared" si="6"/>
        <v>.csv</v>
      </c>
      <c r="I258" s="5" t="str">
        <f>IFERROR(IF(OR(C258="PERAC",C258="FoPITY"),INDEX(Customizations!$C$2:$C$41,MATCH(Sheet1!D258,Customizations!$B$2:$B$41,0),1),INDEX(About!C:C,MATCH(Sheet1!C258,About!B:B,0),1)),"")</f>
        <v>BAU Fuel Cost per Unit Energy by Sector.xlsx</v>
      </c>
      <c r="J258" s="5">
        <f>IFERROR(INDEX(About!$D$34:$D$222,MATCH(Sheet1!I258,About!$C$34:$C$222,0),1),0)</f>
        <v>1</v>
      </c>
      <c r="K258" s="6">
        <f t="shared" si="7"/>
        <v>1</v>
      </c>
    </row>
    <row r="259" spans="1:11" x14ac:dyDescent="0.25">
      <c r="A259" t="s">
        <v>0</v>
      </c>
      <c r="B259" t="s">
        <v>320</v>
      </c>
      <c r="C259" t="s">
        <v>321</v>
      </c>
      <c r="D259" t="s">
        <v>341</v>
      </c>
      <c r="H259" t="str">
        <f t="shared" si="6"/>
        <v>.csv</v>
      </c>
      <c r="I259" s="5" t="str">
        <f>IFERROR(IF(OR(C259="PERAC",C259="FoPITY"),INDEX(Customizations!$C$2:$C$41,MATCH(Sheet1!D259,Customizations!$B$2:$B$41,0),1),INDEX(About!C:C,MATCH(Sheet1!C259,About!B:B,0),1)),"")</f>
        <v>BAU Fuel Cost per Unit Energy by Sector.xlsx</v>
      </c>
      <c r="J259" s="5">
        <f>IFERROR(INDEX(About!$D$34:$D$222,MATCH(Sheet1!I259,About!$C$34:$C$222,0),1),0)</f>
        <v>1</v>
      </c>
      <c r="K259" s="6">
        <f t="shared" si="7"/>
        <v>1</v>
      </c>
    </row>
    <row r="260" spans="1:11" x14ac:dyDescent="0.25">
      <c r="A260" t="s">
        <v>0</v>
      </c>
      <c r="B260" t="s">
        <v>320</v>
      </c>
      <c r="C260" t="s">
        <v>321</v>
      </c>
      <c r="D260" t="s">
        <v>342</v>
      </c>
      <c r="H260" t="str">
        <f t="shared" si="6"/>
        <v>.csv</v>
      </c>
      <c r="I260" s="5" t="str">
        <f>IFERROR(IF(OR(C260="PERAC",C260="FoPITY"),INDEX(Customizations!$C$2:$C$41,MATCH(Sheet1!D260,Customizations!$B$2:$B$41,0),1),INDEX(About!C:C,MATCH(Sheet1!C260,About!B:B,0),1)),"")</f>
        <v>BAU Fuel Cost per Unit Energy by Sector.xlsx</v>
      </c>
      <c r="J260" s="5">
        <f>IFERROR(INDEX(About!$D$34:$D$222,MATCH(Sheet1!I260,About!$C$34:$C$222,0),1),0)</f>
        <v>1</v>
      </c>
      <c r="K260" s="6">
        <f t="shared" si="7"/>
        <v>1</v>
      </c>
    </row>
    <row r="261" spans="1:11" x14ac:dyDescent="0.25">
      <c r="A261" t="s">
        <v>0</v>
      </c>
      <c r="B261" t="s">
        <v>320</v>
      </c>
      <c r="C261" t="s">
        <v>321</v>
      </c>
      <c r="D261" t="s">
        <v>343</v>
      </c>
      <c r="H261" t="str">
        <f t="shared" ref="H261:H324" si="8">RIGHT(D261,"4")</f>
        <v>.csv</v>
      </c>
      <c r="I261" s="5" t="str">
        <f>IFERROR(IF(OR(C261="PERAC",C261="FoPITY"),INDEX(Customizations!$C$2:$C$41,MATCH(Sheet1!D261,Customizations!$B$2:$B$41,0),1),INDEX(About!C:C,MATCH(Sheet1!C261,About!B:B,0),1)),"")</f>
        <v>BAU Fuel Cost per Unit Energy by Sector.xlsx</v>
      </c>
      <c r="J261" s="5">
        <f>IFERROR(INDEX(About!$D$34:$D$222,MATCH(Sheet1!I261,About!$C$34:$C$222,0),1),0)</f>
        <v>1</v>
      </c>
      <c r="K261" s="6">
        <f t="shared" ref="K261:K324" si="9">IF(H261=".csv",1,0)*J261</f>
        <v>1</v>
      </c>
    </row>
    <row r="262" spans="1:11" x14ac:dyDescent="0.25">
      <c r="A262" t="s">
        <v>0</v>
      </c>
      <c r="B262" t="s">
        <v>320</v>
      </c>
      <c r="C262" t="s">
        <v>344</v>
      </c>
      <c r="D262" t="s">
        <v>345</v>
      </c>
      <c r="H262" t="str">
        <f t="shared" si="8"/>
        <v>xlsx</v>
      </c>
      <c r="I262" s="5" t="str">
        <f>IFERROR(IF(OR(C262="PERAC",C262="FoPITY"),INDEX(Customizations!$C$2:$C$41,MATCH(Sheet1!D262,Customizations!$B$2:$B$41,0),1),INDEX(About!C:C,MATCH(Sheet1!C262,About!B:B,0),1)),"")</f>
        <v>BAU Fuel Production Imports and Exports.xlsx</v>
      </c>
      <c r="J262" s="5">
        <f>IFERROR(INDEX(About!$D$34:$D$222,MATCH(Sheet1!I262,About!$C$34:$C$222,0),1),0)</f>
        <v>1</v>
      </c>
      <c r="K262" s="6">
        <f t="shared" si="9"/>
        <v>0</v>
      </c>
    </row>
    <row r="263" spans="1:11" x14ac:dyDescent="0.25">
      <c r="A263" t="s">
        <v>0</v>
      </c>
      <c r="B263" t="s">
        <v>320</v>
      </c>
      <c r="C263" t="s">
        <v>344</v>
      </c>
      <c r="D263" t="s">
        <v>346</v>
      </c>
      <c r="H263" t="str">
        <f t="shared" si="8"/>
        <v>.csv</v>
      </c>
      <c r="I263" s="5" t="str">
        <f>IFERROR(IF(OR(C263="PERAC",C263="FoPITY"),INDEX(Customizations!$C$2:$C$41,MATCH(Sheet1!D263,Customizations!$B$2:$B$41,0),1),INDEX(About!C:C,MATCH(Sheet1!C263,About!B:B,0),1)),"")</f>
        <v>BAU Fuel Production Imports and Exports.xlsx</v>
      </c>
      <c r="J263" s="5">
        <f>IFERROR(INDEX(About!$D$34:$D$222,MATCH(Sheet1!I263,About!$C$34:$C$222,0),1),0)</f>
        <v>1</v>
      </c>
      <c r="K263" s="6">
        <f t="shared" si="9"/>
        <v>1</v>
      </c>
    </row>
    <row r="264" spans="1:11" x14ac:dyDescent="0.25">
      <c r="A264" t="s">
        <v>0</v>
      </c>
      <c r="B264" t="s">
        <v>320</v>
      </c>
      <c r="C264" t="s">
        <v>344</v>
      </c>
      <c r="D264" t="s">
        <v>347</v>
      </c>
      <c r="H264" t="str">
        <f t="shared" si="8"/>
        <v>.csv</v>
      </c>
      <c r="I264" s="5" t="str">
        <f>IFERROR(IF(OR(C264="PERAC",C264="FoPITY"),INDEX(Customizations!$C$2:$C$41,MATCH(Sheet1!D264,Customizations!$B$2:$B$41,0),1),INDEX(About!C:C,MATCH(Sheet1!C264,About!B:B,0),1)),"")</f>
        <v>BAU Fuel Production Imports and Exports.xlsx</v>
      </c>
      <c r="J264" s="5">
        <f>IFERROR(INDEX(About!$D$34:$D$222,MATCH(Sheet1!I264,About!$C$34:$C$222,0),1),0)</f>
        <v>1</v>
      </c>
      <c r="K264" s="6">
        <f t="shared" si="9"/>
        <v>1</v>
      </c>
    </row>
    <row r="265" spans="1:11" x14ac:dyDescent="0.25">
      <c r="A265" t="s">
        <v>0</v>
      </c>
      <c r="B265" t="s">
        <v>320</v>
      </c>
      <c r="C265" t="s">
        <v>344</v>
      </c>
      <c r="D265" t="s">
        <v>348</v>
      </c>
      <c r="H265" t="str">
        <f t="shared" si="8"/>
        <v>.csv</v>
      </c>
      <c r="I265" s="5" t="str">
        <f>IFERROR(IF(OR(C265="PERAC",C265="FoPITY"),INDEX(Customizations!$C$2:$C$41,MATCH(Sheet1!D265,Customizations!$B$2:$B$41,0),1),INDEX(About!C:C,MATCH(Sheet1!C265,About!B:B,0),1)),"")</f>
        <v>BAU Fuel Production Imports and Exports.xlsx</v>
      </c>
      <c r="J265" s="5">
        <f>IFERROR(INDEX(About!$D$34:$D$222,MATCH(Sheet1!I265,About!$C$34:$C$222,0),1),0)</f>
        <v>1</v>
      </c>
      <c r="K265" s="6">
        <f t="shared" si="9"/>
        <v>1</v>
      </c>
    </row>
    <row r="266" spans="1:11" x14ac:dyDescent="0.25">
      <c r="A266" t="s">
        <v>0</v>
      </c>
      <c r="B266" t="s">
        <v>320</v>
      </c>
      <c r="C266" t="s">
        <v>349</v>
      </c>
      <c r="D266" t="s">
        <v>350</v>
      </c>
      <c r="H266" t="str">
        <f t="shared" si="8"/>
        <v>xlsx</v>
      </c>
      <c r="I266" s="5" t="str">
        <f>IFERROR(IF(OR(C266="PERAC",C266="FoPITY"),INDEX(Customizations!$C$2:$C$41,MATCH(Sheet1!D266,Customizations!$B$2:$B$41,0),1),INDEX(About!C:C,MATCH(Sheet1!C266,About!B:B,0),1)),"")</f>
        <v>BAU Subsidies.xlsx</v>
      </c>
      <c r="J266" s="5">
        <f>IFERROR(INDEX(About!$D$34:$D$222,MATCH(Sheet1!I266,About!$C$34:$C$222,0),1),0)</f>
        <v>1</v>
      </c>
      <c r="K266" s="6">
        <f t="shared" si="9"/>
        <v>0</v>
      </c>
    </row>
    <row r="267" spans="1:11" x14ac:dyDescent="0.25">
      <c r="A267" t="s">
        <v>0</v>
      </c>
      <c r="B267" t="s">
        <v>320</v>
      </c>
      <c r="C267" t="s">
        <v>349</v>
      </c>
      <c r="D267" t="s">
        <v>351</v>
      </c>
      <c r="H267" t="str">
        <f t="shared" si="8"/>
        <v>.csv</v>
      </c>
      <c r="I267" s="5" t="str">
        <f>IFERROR(IF(OR(C267="PERAC",C267="FoPITY"),INDEX(Customizations!$C$2:$C$41,MATCH(Sheet1!D267,Customizations!$B$2:$B$41,0),1),INDEX(About!C:C,MATCH(Sheet1!C267,About!B:B,0),1)),"")</f>
        <v>BAU Subsidies.xlsx</v>
      </c>
      <c r="J267" s="5">
        <f>IFERROR(INDEX(About!$D$34:$D$222,MATCH(Sheet1!I267,About!$C$34:$C$222,0),1),0)</f>
        <v>1</v>
      </c>
      <c r="K267" s="6">
        <f t="shared" si="9"/>
        <v>1</v>
      </c>
    </row>
    <row r="268" spans="1:11" x14ac:dyDescent="0.25">
      <c r="A268" t="s">
        <v>0</v>
      </c>
      <c r="B268" t="s">
        <v>320</v>
      </c>
      <c r="C268" t="s">
        <v>349</v>
      </c>
      <c r="D268" t="s">
        <v>352</v>
      </c>
      <c r="H268" t="str">
        <f t="shared" si="8"/>
        <v>.csv</v>
      </c>
      <c r="I268" s="5" t="str">
        <f>IFERROR(IF(OR(C268="PERAC",C268="FoPITY"),INDEX(Customizations!$C$2:$C$41,MATCH(Sheet1!D268,Customizations!$B$2:$B$41,0),1),INDEX(About!C:C,MATCH(Sheet1!C268,About!B:B,0),1)),"")</f>
        <v>BAU Subsidies.xlsx</v>
      </c>
      <c r="J268" s="5">
        <f>IFERROR(INDEX(About!$D$34:$D$222,MATCH(Sheet1!I268,About!$C$34:$C$222,0),1),0)</f>
        <v>1</v>
      </c>
      <c r="K268" s="6">
        <f t="shared" si="9"/>
        <v>1</v>
      </c>
    </row>
    <row r="269" spans="1:11" x14ac:dyDescent="0.25">
      <c r="A269" t="s">
        <v>0</v>
      </c>
      <c r="B269" t="s">
        <v>320</v>
      </c>
      <c r="C269" t="s">
        <v>349</v>
      </c>
      <c r="D269" t="s">
        <v>353</v>
      </c>
      <c r="H269" t="str">
        <f t="shared" si="8"/>
        <v>.csv</v>
      </c>
      <c r="I269" s="5" t="str">
        <f>IFERROR(IF(OR(C269="PERAC",C269="FoPITY"),INDEX(Customizations!$C$2:$C$41,MATCH(Sheet1!D269,Customizations!$B$2:$B$41,0),1),INDEX(About!C:C,MATCH(Sheet1!C269,About!B:B,0),1)),"")</f>
        <v>BAU Subsidies.xlsx</v>
      </c>
      <c r="J269" s="5">
        <f>IFERROR(INDEX(About!$D$34:$D$222,MATCH(Sheet1!I269,About!$C$34:$C$222,0),1),0)</f>
        <v>1</v>
      </c>
      <c r="K269" s="6">
        <f t="shared" si="9"/>
        <v>1</v>
      </c>
    </row>
    <row r="270" spans="1:11" x14ac:dyDescent="0.25">
      <c r="A270" t="s">
        <v>0</v>
      </c>
      <c r="B270" t="s">
        <v>320</v>
      </c>
      <c r="C270" t="s">
        <v>354</v>
      </c>
      <c r="D270" t="s">
        <v>355</v>
      </c>
      <c r="H270" t="str">
        <f t="shared" si="8"/>
        <v>xlsx</v>
      </c>
      <c r="I270" s="5" t="str">
        <f>IFERROR(IF(OR(C270="PERAC",C270="FoPITY"),INDEX(Customizations!$C$2:$C$41,MATCH(Sheet1!D270,Customizations!$B$2:$B$41,0),1),INDEX(About!C:C,MATCH(Sheet1!C270,About!B:B,0),1)),"")</f>
        <v>BAU Share of Fuel Price that is Tax.xlsx</v>
      </c>
      <c r="J270" s="5">
        <f>IFERROR(INDEX(About!$D$34:$D$222,MATCH(Sheet1!I270,About!$C$34:$C$222,0),1),0)</f>
        <v>1</v>
      </c>
      <c r="K270" s="6">
        <f t="shared" si="9"/>
        <v>0</v>
      </c>
    </row>
    <row r="271" spans="1:11" x14ac:dyDescent="0.25">
      <c r="A271" t="s">
        <v>0</v>
      </c>
      <c r="B271" t="s">
        <v>320</v>
      </c>
      <c r="C271" t="s">
        <v>354</v>
      </c>
      <c r="D271" t="s">
        <v>356</v>
      </c>
      <c r="H271" t="str">
        <f t="shared" si="8"/>
        <v>.csv</v>
      </c>
      <c r="I271" s="5" t="str">
        <f>IFERROR(IF(OR(C271="PERAC",C271="FoPITY"),INDEX(Customizations!$C$2:$C$41,MATCH(Sheet1!D271,Customizations!$B$2:$B$41,0),1),INDEX(About!C:C,MATCH(Sheet1!C271,About!B:B,0),1)),"")</f>
        <v>BAU Share of Fuel Price that is Tax.xlsx</v>
      </c>
      <c r="J271" s="5">
        <f>IFERROR(INDEX(About!$D$34:$D$222,MATCH(Sheet1!I271,About!$C$34:$C$222,0),1),0)</f>
        <v>1</v>
      </c>
      <c r="K271" s="6">
        <f t="shared" si="9"/>
        <v>1</v>
      </c>
    </row>
    <row r="272" spans="1:11" x14ac:dyDescent="0.25">
      <c r="A272" t="s">
        <v>0</v>
      </c>
      <c r="B272" t="s">
        <v>320</v>
      </c>
      <c r="C272" t="s">
        <v>357</v>
      </c>
      <c r="D272" t="s">
        <v>358</v>
      </c>
      <c r="H272" t="str">
        <f t="shared" si="8"/>
        <v>xlsx</v>
      </c>
      <c r="I272" s="5" t="str">
        <f>IFERROR(IF(OR(C272="PERAC",C272="FoPITY"),INDEX(Customizations!$C$2:$C$41,MATCH(Sheet1!D272,Customizations!$B$2:$B$41,0),1),INDEX(About!C:C,MATCH(Sheet1!C272,About!B:B,0),1)),"")</f>
        <v>Energy Quantization Size.xlsx</v>
      </c>
      <c r="J272" s="5">
        <f>IFERROR(INDEX(About!$D$34:$D$222,MATCH(Sheet1!I272,About!$C$34:$C$222,0),1),0)</f>
        <v>1</v>
      </c>
      <c r="K272" s="6">
        <f t="shared" si="9"/>
        <v>0</v>
      </c>
    </row>
    <row r="273" spans="1:11" x14ac:dyDescent="0.25">
      <c r="A273" t="s">
        <v>0</v>
      </c>
      <c r="B273" t="s">
        <v>320</v>
      </c>
      <c r="C273" t="s">
        <v>357</v>
      </c>
      <c r="D273" t="s">
        <v>359</v>
      </c>
      <c r="H273" t="str">
        <f t="shared" si="8"/>
        <v>.csv</v>
      </c>
      <c r="I273" s="5" t="str">
        <f>IFERROR(IF(OR(C273="PERAC",C273="FoPITY"),INDEX(Customizations!$C$2:$C$41,MATCH(Sheet1!D273,Customizations!$B$2:$B$41,0),1),INDEX(About!C:C,MATCH(Sheet1!C273,About!B:B,0),1)),"")</f>
        <v>Energy Quantization Size.xlsx</v>
      </c>
      <c r="J273" s="5">
        <f>IFERROR(INDEX(About!$D$34:$D$222,MATCH(Sheet1!I273,About!$C$34:$C$222,0),1),0)</f>
        <v>1</v>
      </c>
      <c r="K273" s="6">
        <f t="shared" si="9"/>
        <v>1</v>
      </c>
    </row>
    <row r="274" spans="1:11" x14ac:dyDescent="0.25">
      <c r="A274" t="s">
        <v>0</v>
      </c>
      <c r="B274" t="s">
        <v>320</v>
      </c>
      <c r="C274" t="s">
        <v>360</v>
      </c>
      <c r="D274" t="s">
        <v>361</v>
      </c>
      <c r="H274" t="str">
        <f t="shared" si="8"/>
        <v>.csv</v>
      </c>
      <c r="I274" s="5" t="str">
        <f>IFERROR(IF(OR(C274="PERAC",C274="FoPITY"),INDEX(Customizations!$C$2:$C$41,MATCH(Sheet1!D274,Customizations!$B$2:$B$41,0),1),INDEX(About!C:C,MATCH(Sheet1!C274,About!B:B,0),1)),"")</f>
        <v>Export Tax Rate by Fuel.xlsx</v>
      </c>
      <c r="J274" s="5">
        <f>IFERROR(INDEX(About!$D$34:$D$222,MATCH(Sheet1!I274,About!$C$34:$C$222,0),1),0)</f>
        <v>1</v>
      </c>
      <c r="K274" s="6">
        <f t="shared" si="9"/>
        <v>1</v>
      </c>
    </row>
    <row r="275" spans="1:11" x14ac:dyDescent="0.25">
      <c r="A275" t="s">
        <v>0</v>
      </c>
      <c r="B275" t="s">
        <v>320</v>
      </c>
      <c r="C275" t="s">
        <v>360</v>
      </c>
      <c r="D275" t="s">
        <v>362</v>
      </c>
      <c r="H275" t="str">
        <f t="shared" si="8"/>
        <v>xlsx</v>
      </c>
      <c r="I275" s="5" t="str">
        <f>IFERROR(IF(OR(C275="PERAC",C275="FoPITY"),INDEX(Customizations!$C$2:$C$41,MATCH(Sheet1!D275,Customizations!$B$2:$B$41,0),1),INDEX(About!C:C,MATCH(Sheet1!C275,About!B:B,0),1)),"")</f>
        <v>Export Tax Rate by Fuel.xlsx</v>
      </c>
      <c r="J275" s="5">
        <f>IFERROR(INDEX(About!$D$34:$D$222,MATCH(Sheet1!I275,About!$C$34:$C$222,0),1),0)</f>
        <v>1</v>
      </c>
      <c r="K275" s="6">
        <f t="shared" si="9"/>
        <v>0</v>
      </c>
    </row>
    <row r="276" spans="1:11" x14ac:dyDescent="0.25">
      <c r="A276" t="s">
        <v>0</v>
      </c>
      <c r="B276" t="s">
        <v>320</v>
      </c>
      <c r="C276" t="s">
        <v>363</v>
      </c>
      <c r="D276" t="s">
        <v>364</v>
      </c>
      <c r="H276" t="str">
        <f t="shared" si="8"/>
        <v>.csv</v>
      </c>
      <c r="I276" s="5" t="str">
        <f>IFERROR(IF(OR(C276="PERAC",C276="FoPITY"),INDEX(Customizations!$C$2:$C$41,MATCH(Sheet1!D276,Customizations!$B$2:$B$41,0),1),INDEX(About!C:C,MATCH(Sheet1!C276,About!B:B,0),1)),"")</f>
        <v>GWP by Pollutant by Timeframe.xlsx</v>
      </c>
      <c r="J276" s="5">
        <f>IFERROR(INDEX(About!$D$34:$D$222,MATCH(Sheet1!I276,About!$C$34:$C$222,0),1),0)</f>
        <v>1</v>
      </c>
      <c r="K276" s="6">
        <f t="shared" si="9"/>
        <v>1</v>
      </c>
    </row>
    <row r="277" spans="1:11" x14ac:dyDescent="0.25">
      <c r="A277" t="s">
        <v>0</v>
      </c>
      <c r="B277" t="s">
        <v>320</v>
      </c>
      <c r="C277" t="s">
        <v>363</v>
      </c>
      <c r="D277" t="s">
        <v>365</v>
      </c>
      <c r="H277" t="str">
        <f t="shared" si="8"/>
        <v>xlsx</v>
      </c>
      <c r="I277" s="5" t="str">
        <f>IFERROR(IF(OR(C277="PERAC",C277="FoPITY"),INDEX(Customizations!$C$2:$C$41,MATCH(Sheet1!D277,Customizations!$B$2:$B$41,0),1),INDEX(About!C:C,MATCH(Sheet1!C277,About!B:B,0),1)),"")</f>
        <v>GWP by Pollutant by Timeframe.xlsx</v>
      </c>
      <c r="J277" s="5">
        <f>IFERROR(INDEX(About!$D$34:$D$222,MATCH(Sheet1!I277,About!$C$34:$C$222,0),1),0)</f>
        <v>1</v>
      </c>
      <c r="K277" s="6">
        <f t="shared" si="9"/>
        <v>0</v>
      </c>
    </row>
    <row r="278" spans="1:11" x14ac:dyDescent="0.25">
      <c r="A278" t="s">
        <v>0</v>
      </c>
      <c r="B278" t="s">
        <v>320</v>
      </c>
      <c r="C278" t="s">
        <v>366</v>
      </c>
      <c r="D278" t="s">
        <v>367</v>
      </c>
      <c r="H278" t="str">
        <f t="shared" si="8"/>
        <v>.csv</v>
      </c>
      <c r="I278" s="5" t="str">
        <f>IFERROR(IF(OR(C278="PERAC",C278="FoPITY"),INDEX(Customizations!$C$2:$C$41,MATCH(Sheet1!D278,Customizations!$B$2:$B$41,0),1),INDEX(About!C:C,MATCH(Sheet1!C278,About!B:B,0),1)),"")</f>
        <v>Intnl Market Fuel Price by Fuel Type.xlsx</v>
      </c>
      <c r="J278" s="5">
        <f>IFERROR(INDEX(About!$D$34:$D$222,MATCH(Sheet1!I278,About!$C$34:$C$222,0),1),0)</f>
        <v>1</v>
      </c>
      <c r="K278" s="6">
        <f t="shared" si="9"/>
        <v>1</v>
      </c>
    </row>
    <row r="279" spans="1:11" x14ac:dyDescent="0.25">
      <c r="A279" t="s">
        <v>0</v>
      </c>
      <c r="B279" t="s">
        <v>320</v>
      </c>
      <c r="C279" t="s">
        <v>366</v>
      </c>
      <c r="D279" t="s">
        <v>368</v>
      </c>
      <c r="H279" t="str">
        <f t="shared" si="8"/>
        <v>xlsx</v>
      </c>
      <c r="I279" s="5" t="str">
        <f>IFERROR(IF(OR(C279="PERAC",C279="FoPITY"),INDEX(Customizations!$C$2:$C$41,MATCH(Sheet1!D279,Customizations!$B$2:$B$41,0),1),INDEX(About!C:C,MATCH(Sheet1!C279,About!B:B,0),1)),"")</f>
        <v>Intnl Market Fuel Price by Fuel Type.xlsx</v>
      </c>
      <c r="J279" s="5">
        <f>IFERROR(INDEX(About!$D$34:$D$222,MATCH(Sheet1!I279,About!$C$34:$C$222,0),1),0)</f>
        <v>1</v>
      </c>
      <c r="K279" s="6">
        <f t="shared" si="9"/>
        <v>0</v>
      </c>
    </row>
    <row r="280" spans="1:11" x14ac:dyDescent="0.25">
      <c r="A280" t="s">
        <v>0</v>
      </c>
      <c r="B280" t="s">
        <v>320</v>
      </c>
      <c r="C280" t="s">
        <v>369</v>
      </c>
      <c r="D280" t="s">
        <v>370</v>
      </c>
      <c r="H280" t="str">
        <f t="shared" si="8"/>
        <v>xlsx</v>
      </c>
      <c r="I280" s="5" t="str">
        <f>IFERROR(IF(OR(C280="PERAC",C280="FoPITY"),INDEX(Customizations!$C$2:$C$41,MATCH(Sheet1!D280,Customizations!$B$2:$B$41,0),1),INDEX(About!C:C,MATCH(Sheet1!C280,About!B:B,0),1)),"")</f>
        <v>Max Perc Inc in Fuel Exports.xlsx</v>
      </c>
      <c r="J280" s="5">
        <f>IFERROR(INDEX(About!$D$34:$D$222,MATCH(Sheet1!I280,About!$C$34:$C$222,0),1),0)</f>
        <v>1</v>
      </c>
      <c r="K280" s="6">
        <f t="shared" si="9"/>
        <v>0</v>
      </c>
    </row>
    <row r="281" spans="1:11" x14ac:dyDescent="0.25">
      <c r="A281" t="s">
        <v>0</v>
      </c>
      <c r="B281" t="s">
        <v>320</v>
      </c>
      <c r="C281" t="s">
        <v>369</v>
      </c>
      <c r="D281" t="s">
        <v>371</v>
      </c>
      <c r="H281" t="str">
        <f t="shared" si="8"/>
        <v>.csv</v>
      </c>
      <c r="I281" s="5" t="str">
        <f>IFERROR(IF(OR(C281="PERAC",C281="FoPITY"),INDEX(Customizations!$C$2:$C$41,MATCH(Sheet1!D281,Customizations!$B$2:$B$41,0),1),INDEX(About!C:C,MATCH(Sheet1!C281,About!B:B,0),1)),"")</f>
        <v>Max Perc Inc in Fuel Exports.xlsx</v>
      </c>
      <c r="J281" s="5">
        <f>IFERROR(INDEX(About!$D$34:$D$222,MATCH(Sheet1!I281,About!$C$34:$C$222,0),1),0)</f>
        <v>1</v>
      </c>
      <c r="K281" s="6">
        <f t="shared" si="9"/>
        <v>1</v>
      </c>
    </row>
    <row r="282" spans="1:11" x14ac:dyDescent="0.25">
      <c r="A282" t="s">
        <v>0</v>
      </c>
      <c r="B282" t="s">
        <v>320</v>
      </c>
      <c r="C282" t="s">
        <v>372</v>
      </c>
      <c r="D282" t="s">
        <v>373</v>
      </c>
      <c r="H282" t="str">
        <f t="shared" si="8"/>
        <v>xlsx</v>
      </c>
      <c r="I282" s="5" t="str">
        <f>IFERROR(IF(OR(C282="PERAC",C282="FoPITY"),INDEX(Customizations!$C$2:$C$41,MATCH(Sheet1!D282,Customizations!$B$2:$B$41,0),1),INDEX(About!C:C,MATCH(Sheet1!C282,About!B:B,0),1)),"")</f>
        <v>Max Perc Inc in Fuel Imports.xlsx</v>
      </c>
      <c r="J282" s="5">
        <f>IFERROR(INDEX(About!$D$34:$D$222,MATCH(Sheet1!I282,About!$C$34:$C$222,0),1),0)</f>
        <v>1</v>
      </c>
      <c r="K282" s="6">
        <f t="shared" si="9"/>
        <v>0</v>
      </c>
    </row>
    <row r="283" spans="1:11" x14ac:dyDescent="0.25">
      <c r="A283" t="s">
        <v>0</v>
      </c>
      <c r="B283" t="s">
        <v>320</v>
      </c>
      <c r="C283" t="s">
        <v>372</v>
      </c>
      <c r="D283" t="s">
        <v>374</v>
      </c>
      <c r="H283" t="str">
        <f t="shared" si="8"/>
        <v>.csv</v>
      </c>
      <c r="I283" s="5" t="str">
        <f>IFERROR(IF(OR(C283="PERAC",C283="FoPITY"),INDEX(Customizations!$C$2:$C$41,MATCH(Sheet1!D283,Customizations!$B$2:$B$41,0),1),INDEX(About!C:C,MATCH(Sheet1!C283,About!B:B,0),1)),"")</f>
        <v>Max Perc Inc in Fuel Imports.xlsx</v>
      </c>
      <c r="J283" s="5">
        <f>IFERROR(INDEX(About!$D$34:$D$222,MATCH(Sheet1!I283,About!$C$34:$C$222,0),1),0)</f>
        <v>1</v>
      </c>
      <c r="K283" s="6">
        <f t="shared" si="9"/>
        <v>1</v>
      </c>
    </row>
    <row r="284" spans="1:11" x14ac:dyDescent="0.25">
      <c r="A284" t="s">
        <v>0</v>
      </c>
      <c r="B284" t="s">
        <v>320</v>
      </c>
      <c r="C284" t="s">
        <v>375</v>
      </c>
      <c r="D284" t="s">
        <v>376</v>
      </c>
      <c r="H284" t="str">
        <f t="shared" si="8"/>
        <v>xlsx</v>
      </c>
      <c r="I284" s="5" t="str">
        <f>IFERROR(IF(OR(C284="PERAC",C284="FoPITY"),INDEX(Customizations!$C$2:$C$41,MATCH(Sheet1!D284,Customizations!$B$2:$B$41,0),1),INDEX(About!C:C,MATCH(Sheet1!C284,About!B:B,0),1)),"")</f>
        <v>Max Perc Inc in Fuel Production.xlsx</v>
      </c>
      <c r="J284" s="5">
        <f>IFERROR(INDEX(About!$D$34:$D$222,MATCH(Sheet1!I284,About!$C$34:$C$222,0),1),0)</f>
        <v>1</v>
      </c>
      <c r="K284" s="6">
        <f t="shared" si="9"/>
        <v>0</v>
      </c>
    </row>
    <row r="285" spans="1:11" x14ac:dyDescent="0.25">
      <c r="A285" t="s">
        <v>0</v>
      </c>
      <c r="B285" t="s">
        <v>320</v>
      </c>
      <c r="C285" t="s">
        <v>375</v>
      </c>
      <c r="D285" t="s">
        <v>377</v>
      </c>
      <c r="H285" t="str">
        <f t="shared" si="8"/>
        <v>.csv</v>
      </c>
      <c r="I285" s="5" t="str">
        <f>IFERROR(IF(OR(C285="PERAC",C285="FoPITY"),INDEX(Customizations!$C$2:$C$41,MATCH(Sheet1!D285,Customizations!$B$2:$B$41,0),1),INDEX(About!C:C,MATCH(Sheet1!C285,About!B:B,0),1)),"")</f>
        <v>Max Perc Inc in Fuel Production.xlsx</v>
      </c>
      <c r="J285" s="5">
        <f>IFERROR(INDEX(About!$D$34:$D$222,MATCH(Sheet1!I285,About!$C$34:$C$222,0),1),0)</f>
        <v>1</v>
      </c>
      <c r="K285" s="6">
        <f t="shared" si="9"/>
        <v>1</v>
      </c>
    </row>
    <row r="286" spans="1:11" x14ac:dyDescent="0.25">
      <c r="A286" t="s">
        <v>0</v>
      </c>
      <c r="B286" t="s">
        <v>320</v>
      </c>
      <c r="C286" t="s">
        <v>378</v>
      </c>
      <c r="D286" t="s">
        <v>379</v>
      </c>
      <c r="H286" t="str">
        <f t="shared" si="8"/>
        <v>.csv</v>
      </c>
      <c r="I286" s="5" t="str">
        <f>IFERROR(IF(OR(C286="PERAC",C286="FoPITY"),INDEX(Customizations!$C$2:$C$41,MATCH(Sheet1!D286,Customizations!$B$2:$B$41,0),1),INDEX(About!C:C,MATCH(Sheet1!C286,About!B:B,0),1)),"")</f>
        <v>Pollutant Emissions Intensities.xlsx</v>
      </c>
      <c r="J286" s="5">
        <f>IFERROR(INDEX(About!$D$34:$D$222,MATCH(Sheet1!I286,About!$C$34:$C$222,0),1),0)</f>
        <v>1</v>
      </c>
      <c r="K286" s="6">
        <f t="shared" si="9"/>
        <v>1</v>
      </c>
    </row>
    <row r="287" spans="1:11" x14ac:dyDescent="0.25">
      <c r="A287" t="s">
        <v>0</v>
      </c>
      <c r="B287" t="s">
        <v>320</v>
      </c>
      <c r="C287" t="s">
        <v>378</v>
      </c>
      <c r="D287" t="s">
        <v>380</v>
      </c>
      <c r="H287" t="str">
        <f t="shared" si="8"/>
        <v>.csv</v>
      </c>
      <c r="I287" s="5" t="str">
        <f>IFERROR(IF(OR(C287="PERAC",C287="FoPITY"),INDEX(Customizations!$C$2:$C$41,MATCH(Sheet1!D287,Customizations!$B$2:$B$41,0),1),INDEX(About!C:C,MATCH(Sheet1!C287,About!B:B,0),1)),"")</f>
        <v>Pollutant Emissions Intensities.xlsx</v>
      </c>
      <c r="J287" s="5">
        <f>IFERROR(INDEX(About!$D$34:$D$222,MATCH(Sheet1!I287,About!$C$34:$C$222,0),1),0)</f>
        <v>1</v>
      </c>
      <c r="K287" s="6">
        <f t="shared" si="9"/>
        <v>1</v>
      </c>
    </row>
    <row r="288" spans="1:11" x14ac:dyDescent="0.25">
      <c r="A288" t="s">
        <v>0</v>
      </c>
      <c r="B288" t="s">
        <v>320</v>
      </c>
      <c r="C288" t="s">
        <v>378</v>
      </c>
      <c r="D288" t="s">
        <v>381</v>
      </c>
      <c r="H288" t="str">
        <f t="shared" si="8"/>
        <v>.csv</v>
      </c>
      <c r="I288" s="5" t="str">
        <f>IFERROR(IF(OR(C288="PERAC",C288="FoPITY"),INDEX(Customizations!$C$2:$C$41,MATCH(Sheet1!D288,Customizations!$B$2:$B$41,0),1),INDEX(About!C:C,MATCH(Sheet1!C288,About!B:B,0),1)),"")</f>
        <v>Pollutant Emissions Intensities.xlsx</v>
      </c>
      <c r="J288" s="5">
        <f>IFERROR(INDEX(About!$D$34:$D$222,MATCH(Sheet1!I288,About!$C$34:$C$222,0),1),0)</f>
        <v>1</v>
      </c>
      <c r="K288" s="6">
        <f t="shared" si="9"/>
        <v>1</v>
      </c>
    </row>
    <row r="289" spans="1:11" x14ac:dyDescent="0.25">
      <c r="A289" t="s">
        <v>0</v>
      </c>
      <c r="B289" t="s">
        <v>320</v>
      </c>
      <c r="C289" t="s">
        <v>378</v>
      </c>
      <c r="D289" t="s">
        <v>382</v>
      </c>
      <c r="H289" t="str">
        <f t="shared" si="8"/>
        <v>.csv</v>
      </c>
      <c r="I289" s="5" t="str">
        <f>IFERROR(IF(OR(C289="PERAC",C289="FoPITY"),INDEX(Customizations!$C$2:$C$41,MATCH(Sheet1!D289,Customizations!$B$2:$B$41,0),1),INDEX(About!C:C,MATCH(Sheet1!C289,About!B:B,0),1)),"")</f>
        <v>Pollutant Emissions Intensities.xlsx</v>
      </c>
      <c r="J289" s="5">
        <f>IFERROR(INDEX(About!$D$34:$D$222,MATCH(Sheet1!I289,About!$C$34:$C$222,0),1),0)</f>
        <v>1</v>
      </c>
      <c r="K289" s="6">
        <f t="shared" si="9"/>
        <v>1</v>
      </c>
    </row>
    <row r="290" spans="1:11" x14ac:dyDescent="0.25">
      <c r="A290" t="s">
        <v>0</v>
      </c>
      <c r="B290" t="s">
        <v>320</v>
      </c>
      <c r="C290" t="s">
        <v>378</v>
      </c>
      <c r="D290" t="s">
        <v>383</v>
      </c>
      <c r="H290" t="str">
        <f t="shared" si="8"/>
        <v>.csv</v>
      </c>
      <c r="I290" s="5" t="str">
        <f>IFERROR(IF(OR(C290="PERAC",C290="FoPITY"),INDEX(Customizations!$C$2:$C$41,MATCH(Sheet1!D290,Customizations!$B$2:$B$41,0),1),INDEX(About!C:C,MATCH(Sheet1!C290,About!B:B,0),1)),"")</f>
        <v>Pollutant Emissions Intensities.xlsx</v>
      </c>
      <c r="J290" s="5">
        <f>IFERROR(INDEX(About!$D$34:$D$222,MATCH(Sheet1!I290,About!$C$34:$C$222,0),1),0)</f>
        <v>1</v>
      </c>
      <c r="K290" s="6">
        <f t="shared" si="9"/>
        <v>1</v>
      </c>
    </row>
    <row r="291" spans="1:11" x14ac:dyDescent="0.25">
      <c r="A291" t="s">
        <v>0</v>
      </c>
      <c r="B291" t="s">
        <v>320</v>
      </c>
      <c r="C291" t="s">
        <v>378</v>
      </c>
      <c r="D291" t="s">
        <v>384</v>
      </c>
      <c r="H291" t="str">
        <f t="shared" si="8"/>
        <v>.csv</v>
      </c>
      <c r="I291" s="5" t="str">
        <f>IFERROR(IF(OR(C291="PERAC",C291="FoPITY"),INDEX(Customizations!$C$2:$C$41,MATCH(Sheet1!D291,Customizations!$B$2:$B$41,0),1),INDEX(About!C:C,MATCH(Sheet1!C291,About!B:B,0),1)),"")</f>
        <v>Pollutant Emissions Intensities.xlsx</v>
      </c>
      <c r="J291" s="5">
        <f>IFERROR(INDEX(About!$D$34:$D$222,MATCH(Sheet1!I291,About!$C$34:$C$222,0),1),0)</f>
        <v>1</v>
      </c>
      <c r="K291" s="6">
        <f t="shared" si="9"/>
        <v>1</v>
      </c>
    </row>
    <row r="292" spans="1:11" x14ac:dyDescent="0.25">
      <c r="A292" t="s">
        <v>0</v>
      </c>
      <c r="B292" t="s">
        <v>320</v>
      </c>
      <c r="C292" t="s">
        <v>378</v>
      </c>
      <c r="D292" t="s">
        <v>385</v>
      </c>
      <c r="H292" t="str">
        <f t="shared" si="8"/>
        <v>.csv</v>
      </c>
      <c r="I292" s="5" t="str">
        <f>IFERROR(IF(OR(C292="PERAC",C292="FoPITY"),INDEX(Customizations!$C$2:$C$41,MATCH(Sheet1!D292,Customizations!$B$2:$B$41,0),1),INDEX(About!C:C,MATCH(Sheet1!C292,About!B:B,0),1)),"")</f>
        <v>Pollutant Emissions Intensities.xlsx</v>
      </c>
      <c r="J292" s="5">
        <f>IFERROR(INDEX(About!$D$34:$D$222,MATCH(Sheet1!I292,About!$C$34:$C$222,0),1),0)</f>
        <v>1</v>
      </c>
      <c r="K292" s="6">
        <f t="shared" si="9"/>
        <v>1</v>
      </c>
    </row>
    <row r="293" spans="1:11" x14ac:dyDescent="0.25">
      <c r="A293" t="s">
        <v>0</v>
      </c>
      <c r="B293" t="s">
        <v>320</v>
      </c>
      <c r="C293" t="s">
        <v>378</v>
      </c>
      <c r="D293" t="s">
        <v>386</v>
      </c>
      <c r="H293" t="str">
        <f t="shared" si="8"/>
        <v>.csv</v>
      </c>
      <c r="I293" s="5" t="str">
        <f>IFERROR(IF(OR(C293="PERAC",C293="FoPITY"),INDEX(Customizations!$C$2:$C$41,MATCH(Sheet1!D293,Customizations!$B$2:$B$41,0),1),INDEX(About!C:C,MATCH(Sheet1!C293,About!B:B,0),1)),"")</f>
        <v>Pollutant Emissions Intensities.xlsx</v>
      </c>
      <c r="J293" s="5">
        <f>IFERROR(INDEX(About!$D$34:$D$222,MATCH(Sheet1!I293,About!$C$34:$C$222,0),1),0)</f>
        <v>1</v>
      </c>
      <c r="K293" s="6">
        <f t="shared" si="9"/>
        <v>1</v>
      </c>
    </row>
    <row r="294" spans="1:11" x14ac:dyDescent="0.25">
      <c r="A294" t="s">
        <v>0</v>
      </c>
      <c r="B294" t="s">
        <v>320</v>
      </c>
      <c r="C294" t="s">
        <v>378</v>
      </c>
      <c r="D294" t="s">
        <v>387</v>
      </c>
      <c r="H294" t="str">
        <f t="shared" si="8"/>
        <v>.csv</v>
      </c>
      <c r="I294" s="5" t="str">
        <f>IFERROR(IF(OR(C294="PERAC",C294="FoPITY"),INDEX(Customizations!$C$2:$C$41,MATCH(Sheet1!D294,Customizations!$B$2:$B$41,0),1),INDEX(About!C:C,MATCH(Sheet1!C294,About!B:B,0),1)),"")</f>
        <v>Pollutant Emissions Intensities.xlsx</v>
      </c>
      <c r="J294" s="5">
        <f>IFERROR(INDEX(About!$D$34:$D$222,MATCH(Sheet1!I294,About!$C$34:$C$222,0),1),0)</f>
        <v>1</v>
      </c>
      <c r="K294" s="6">
        <f t="shared" si="9"/>
        <v>1</v>
      </c>
    </row>
    <row r="295" spans="1:11" x14ac:dyDescent="0.25">
      <c r="A295" t="s">
        <v>0</v>
      </c>
      <c r="B295" t="s">
        <v>320</v>
      </c>
      <c r="C295" t="s">
        <v>378</v>
      </c>
      <c r="D295" t="s">
        <v>388</v>
      </c>
      <c r="H295" t="str">
        <f t="shared" si="8"/>
        <v>.csv</v>
      </c>
      <c r="I295" s="5" t="str">
        <f>IFERROR(IF(OR(C295="PERAC",C295="FoPITY"),INDEX(Customizations!$C$2:$C$41,MATCH(Sheet1!D295,Customizations!$B$2:$B$41,0),1),INDEX(About!C:C,MATCH(Sheet1!C295,About!B:B,0),1)),"")</f>
        <v>Pollutant Emissions Intensities.xlsx</v>
      </c>
      <c r="J295" s="5">
        <f>IFERROR(INDEX(About!$D$34:$D$222,MATCH(Sheet1!I295,About!$C$34:$C$222,0),1),0)</f>
        <v>1</v>
      </c>
      <c r="K295" s="6">
        <f t="shared" si="9"/>
        <v>1</v>
      </c>
    </row>
    <row r="296" spans="1:11" x14ac:dyDescent="0.25">
      <c r="A296" t="s">
        <v>0</v>
      </c>
      <c r="B296" t="s">
        <v>320</v>
      </c>
      <c r="C296" t="s">
        <v>378</v>
      </c>
      <c r="D296" t="s">
        <v>389</v>
      </c>
      <c r="H296" t="str">
        <f t="shared" si="8"/>
        <v>.csv</v>
      </c>
      <c r="I296" s="5" t="str">
        <f>IFERROR(IF(OR(C296="PERAC",C296="FoPITY"),INDEX(Customizations!$C$2:$C$41,MATCH(Sheet1!D296,Customizations!$B$2:$B$41,0),1),INDEX(About!C:C,MATCH(Sheet1!C296,About!B:B,0),1)),"")</f>
        <v>Pollutant Emissions Intensities.xlsx</v>
      </c>
      <c r="J296" s="5">
        <f>IFERROR(INDEX(About!$D$34:$D$222,MATCH(Sheet1!I296,About!$C$34:$C$222,0),1),0)</f>
        <v>1</v>
      </c>
      <c r="K296" s="6">
        <f t="shared" si="9"/>
        <v>1</v>
      </c>
    </row>
    <row r="297" spans="1:11" x14ac:dyDescent="0.25">
      <c r="A297" t="s">
        <v>0</v>
      </c>
      <c r="B297" t="s">
        <v>320</v>
      </c>
      <c r="C297" t="s">
        <v>378</v>
      </c>
      <c r="D297" t="s">
        <v>390</v>
      </c>
      <c r="H297" t="str">
        <f t="shared" si="8"/>
        <v>.csv</v>
      </c>
      <c r="I297" s="5" t="str">
        <f>IFERROR(IF(OR(C297="PERAC",C297="FoPITY"),INDEX(Customizations!$C$2:$C$41,MATCH(Sheet1!D297,Customizations!$B$2:$B$41,0),1),INDEX(About!C:C,MATCH(Sheet1!C297,About!B:B,0),1)),"")</f>
        <v>Pollutant Emissions Intensities.xlsx</v>
      </c>
      <c r="J297" s="5">
        <f>IFERROR(INDEX(About!$D$34:$D$222,MATCH(Sheet1!I297,About!$C$34:$C$222,0),1),0)</f>
        <v>1</v>
      </c>
      <c r="K297" s="6">
        <f t="shared" si="9"/>
        <v>1</v>
      </c>
    </row>
    <row r="298" spans="1:11" x14ac:dyDescent="0.25">
      <c r="A298" t="s">
        <v>0</v>
      </c>
      <c r="B298" t="s">
        <v>320</v>
      </c>
      <c r="C298" t="s">
        <v>378</v>
      </c>
      <c r="D298" t="s">
        <v>391</v>
      </c>
      <c r="H298" t="str">
        <f t="shared" si="8"/>
        <v>.csv</v>
      </c>
      <c r="I298" s="5" t="str">
        <f>IFERROR(IF(OR(C298="PERAC",C298="FoPITY"),INDEX(Customizations!$C$2:$C$41,MATCH(Sheet1!D298,Customizations!$B$2:$B$41,0),1),INDEX(About!C:C,MATCH(Sheet1!C298,About!B:B,0),1)),"")</f>
        <v>Pollutant Emissions Intensities.xlsx</v>
      </c>
      <c r="J298" s="5">
        <f>IFERROR(INDEX(About!$D$34:$D$222,MATCH(Sheet1!I298,About!$C$34:$C$222,0),1),0)</f>
        <v>1</v>
      </c>
      <c r="K298" s="6">
        <f t="shared" si="9"/>
        <v>1</v>
      </c>
    </row>
    <row r="299" spans="1:11" x14ac:dyDescent="0.25">
      <c r="A299" t="s">
        <v>0</v>
      </c>
      <c r="B299" t="s">
        <v>320</v>
      </c>
      <c r="C299" t="s">
        <v>378</v>
      </c>
      <c r="D299" t="s">
        <v>392</v>
      </c>
      <c r="H299" t="str">
        <f t="shared" si="8"/>
        <v>.csv</v>
      </c>
      <c r="I299" s="5" t="str">
        <f>IFERROR(IF(OR(C299="PERAC",C299="FoPITY"),INDEX(Customizations!$C$2:$C$41,MATCH(Sheet1!D299,Customizations!$B$2:$B$41,0),1),INDEX(About!C:C,MATCH(Sheet1!C299,About!B:B,0),1)),"")</f>
        <v>Pollutant Emissions Intensities.xlsx</v>
      </c>
      <c r="J299" s="5">
        <f>IFERROR(INDEX(About!$D$34:$D$222,MATCH(Sheet1!I299,About!$C$34:$C$222,0),1),0)</f>
        <v>1</v>
      </c>
      <c r="K299" s="6">
        <f t="shared" si="9"/>
        <v>1</v>
      </c>
    </row>
    <row r="300" spans="1:11" x14ac:dyDescent="0.25">
      <c r="A300" t="s">
        <v>0</v>
      </c>
      <c r="B300" t="s">
        <v>320</v>
      </c>
      <c r="C300" t="s">
        <v>378</v>
      </c>
      <c r="D300" t="s">
        <v>393</v>
      </c>
      <c r="H300" t="str">
        <f t="shared" si="8"/>
        <v>.csv</v>
      </c>
      <c r="I300" s="5" t="str">
        <f>IFERROR(IF(OR(C300="PERAC",C300="FoPITY"),INDEX(Customizations!$C$2:$C$41,MATCH(Sheet1!D300,Customizations!$B$2:$B$41,0),1),INDEX(About!C:C,MATCH(Sheet1!C300,About!B:B,0),1)),"")</f>
        <v>Pollutant Emissions Intensities.xlsx</v>
      </c>
      <c r="J300" s="5">
        <f>IFERROR(INDEX(About!$D$34:$D$222,MATCH(Sheet1!I300,About!$C$34:$C$222,0),1),0)</f>
        <v>1</v>
      </c>
      <c r="K300" s="6">
        <f t="shared" si="9"/>
        <v>1</v>
      </c>
    </row>
    <row r="301" spans="1:11" x14ac:dyDescent="0.25">
      <c r="A301" t="s">
        <v>0</v>
      </c>
      <c r="B301" t="s">
        <v>320</v>
      </c>
      <c r="C301" t="s">
        <v>378</v>
      </c>
      <c r="D301" t="s">
        <v>394</v>
      </c>
      <c r="H301" t="str">
        <f t="shared" si="8"/>
        <v>.csv</v>
      </c>
      <c r="I301" s="5" t="str">
        <f>IFERROR(IF(OR(C301="PERAC",C301="FoPITY"),INDEX(Customizations!$C$2:$C$41,MATCH(Sheet1!D301,Customizations!$B$2:$B$41,0),1),INDEX(About!C:C,MATCH(Sheet1!C301,About!B:B,0),1)),"")</f>
        <v>Pollutant Emissions Intensities.xlsx</v>
      </c>
      <c r="J301" s="5">
        <f>IFERROR(INDEX(About!$D$34:$D$222,MATCH(Sheet1!I301,About!$C$34:$C$222,0),1),0)</f>
        <v>1</v>
      </c>
      <c r="K301" s="6">
        <f t="shared" si="9"/>
        <v>1</v>
      </c>
    </row>
    <row r="302" spans="1:11" x14ac:dyDescent="0.25">
      <c r="A302" t="s">
        <v>0</v>
      </c>
      <c r="B302" t="s">
        <v>320</v>
      </c>
      <c r="C302" t="s">
        <v>378</v>
      </c>
      <c r="D302" t="s">
        <v>395</v>
      </c>
      <c r="H302" t="str">
        <f t="shared" si="8"/>
        <v>xlsx</v>
      </c>
      <c r="I302" s="5" t="str">
        <f>IFERROR(IF(OR(C302="PERAC",C302="FoPITY"),INDEX(Customizations!$C$2:$C$41,MATCH(Sheet1!D302,Customizations!$B$2:$B$41,0),1),INDEX(About!C:C,MATCH(Sheet1!C302,About!B:B,0),1)),"")</f>
        <v>Pollutant Emissions Intensities.xlsx</v>
      </c>
      <c r="J302" s="5">
        <f>IFERROR(INDEX(About!$D$34:$D$222,MATCH(Sheet1!I302,About!$C$34:$C$222,0),1),0)</f>
        <v>1</v>
      </c>
      <c r="K302" s="6">
        <f t="shared" si="9"/>
        <v>0</v>
      </c>
    </row>
    <row r="303" spans="1:11" x14ac:dyDescent="0.25">
      <c r="A303" t="s">
        <v>0</v>
      </c>
      <c r="B303" t="s">
        <v>320</v>
      </c>
      <c r="C303" t="s">
        <v>396</v>
      </c>
      <c r="D303" t="s">
        <v>397</v>
      </c>
      <c r="H303" t="str">
        <f t="shared" si="8"/>
        <v>.csv</v>
      </c>
      <c r="I303" s="5" t="str">
        <f>IFERROR(IF(OR(C303="PERAC",C303="FoPITY"),INDEX(Customizations!$C$2:$C$41,MATCH(Sheet1!D303,Customizations!$B$2:$B$41,0),1),INDEX(About!C:C,MATCH(Sheet1!C303,About!B:B,0),1)),"")</f>
        <v>Pollutant Emissions Intensity Improvement Rate.xlsx</v>
      </c>
      <c r="J303" s="5">
        <f>IFERROR(INDEX(About!$D$34:$D$222,MATCH(Sheet1!I303,About!$C$34:$C$222,0),1),0)</f>
        <v>1</v>
      </c>
      <c r="K303" s="6">
        <f t="shared" si="9"/>
        <v>1</v>
      </c>
    </row>
    <row r="304" spans="1:11" x14ac:dyDescent="0.25">
      <c r="A304" t="s">
        <v>0</v>
      </c>
      <c r="B304" t="s">
        <v>320</v>
      </c>
      <c r="C304" t="s">
        <v>396</v>
      </c>
      <c r="D304" t="s">
        <v>398</v>
      </c>
      <c r="H304" t="str">
        <f t="shared" si="8"/>
        <v>.csv</v>
      </c>
      <c r="I304" s="5" t="str">
        <f>IFERROR(IF(OR(C304="PERAC",C304="FoPITY"),INDEX(Customizations!$C$2:$C$41,MATCH(Sheet1!D304,Customizations!$B$2:$B$41,0),1),INDEX(About!C:C,MATCH(Sheet1!C304,About!B:B,0),1)),"")</f>
        <v>Pollutant Emissions Intensity Improvement Rate.xlsx</v>
      </c>
      <c r="J304" s="5">
        <f>IFERROR(INDEX(About!$D$34:$D$222,MATCH(Sheet1!I304,About!$C$34:$C$222,0),1),0)</f>
        <v>1</v>
      </c>
      <c r="K304" s="6">
        <f t="shared" si="9"/>
        <v>1</v>
      </c>
    </row>
    <row r="305" spans="1:11" x14ac:dyDescent="0.25">
      <c r="A305" t="s">
        <v>0</v>
      </c>
      <c r="B305" t="s">
        <v>320</v>
      </c>
      <c r="C305" t="s">
        <v>396</v>
      </c>
      <c r="D305" t="s">
        <v>399</v>
      </c>
      <c r="H305" t="str">
        <f t="shared" si="8"/>
        <v>.csv</v>
      </c>
      <c r="I305" s="5" t="str">
        <f>IFERROR(IF(OR(C305="PERAC",C305="FoPITY"),INDEX(Customizations!$C$2:$C$41,MATCH(Sheet1!D305,Customizations!$B$2:$B$41,0),1),INDEX(About!C:C,MATCH(Sheet1!C305,About!B:B,0),1)),"")</f>
        <v>Pollutant Emissions Intensity Improvement Rate.xlsx</v>
      </c>
      <c r="J305" s="5">
        <f>IFERROR(INDEX(About!$D$34:$D$222,MATCH(Sheet1!I305,About!$C$34:$C$222,0),1),0)</f>
        <v>1</v>
      </c>
      <c r="K305" s="6">
        <f t="shared" si="9"/>
        <v>1</v>
      </c>
    </row>
    <row r="306" spans="1:11" x14ac:dyDescent="0.25">
      <c r="A306" t="s">
        <v>0</v>
      </c>
      <c r="B306" t="s">
        <v>320</v>
      </c>
      <c r="C306" t="s">
        <v>396</v>
      </c>
      <c r="D306" t="s">
        <v>400</v>
      </c>
      <c r="H306" t="str">
        <f t="shared" si="8"/>
        <v>.csv</v>
      </c>
      <c r="I306" s="5" t="str">
        <f>IFERROR(IF(OR(C306="PERAC",C306="FoPITY"),INDEX(Customizations!$C$2:$C$41,MATCH(Sheet1!D306,Customizations!$B$2:$B$41,0),1),INDEX(About!C:C,MATCH(Sheet1!C306,About!B:B,0),1)),"")</f>
        <v>Pollutant Emissions Intensity Improvement Rate.xlsx</v>
      </c>
      <c r="J306" s="5">
        <f>IFERROR(INDEX(About!$D$34:$D$222,MATCH(Sheet1!I306,About!$C$34:$C$222,0),1),0)</f>
        <v>1</v>
      </c>
      <c r="K306" s="6">
        <f t="shared" si="9"/>
        <v>1</v>
      </c>
    </row>
    <row r="307" spans="1:11" x14ac:dyDescent="0.25">
      <c r="A307" t="s">
        <v>0</v>
      </c>
      <c r="B307" t="s">
        <v>320</v>
      </c>
      <c r="C307" t="s">
        <v>396</v>
      </c>
      <c r="D307" t="s">
        <v>401</v>
      </c>
      <c r="H307" t="str">
        <f t="shared" si="8"/>
        <v>.csv</v>
      </c>
      <c r="I307" s="5" t="str">
        <f>IFERROR(IF(OR(C307="PERAC",C307="FoPITY"),INDEX(Customizations!$C$2:$C$41,MATCH(Sheet1!D307,Customizations!$B$2:$B$41,0),1),INDEX(About!C:C,MATCH(Sheet1!C307,About!B:B,0),1)),"")</f>
        <v>Pollutant Emissions Intensity Improvement Rate.xlsx</v>
      </c>
      <c r="J307" s="5">
        <f>IFERROR(INDEX(About!$D$34:$D$222,MATCH(Sheet1!I307,About!$C$34:$C$222,0),1),0)</f>
        <v>1</v>
      </c>
      <c r="K307" s="6">
        <f t="shared" si="9"/>
        <v>1</v>
      </c>
    </row>
    <row r="308" spans="1:11" x14ac:dyDescent="0.25">
      <c r="A308" t="s">
        <v>0</v>
      </c>
      <c r="B308" t="s">
        <v>320</v>
      </c>
      <c r="C308" t="s">
        <v>396</v>
      </c>
      <c r="D308" t="s">
        <v>402</v>
      </c>
      <c r="H308" t="str">
        <f t="shared" si="8"/>
        <v>.csv</v>
      </c>
      <c r="I308" s="5" t="str">
        <f>IFERROR(IF(OR(C308="PERAC",C308="FoPITY"),INDEX(Customizations!$C$2:$C$41,MATCH(Sheet1!D308,Customizations!$B$2:$B$41,0),1),INDEX(About!C:C,MATCH(Sheet1!C308,About!B:B,0),1)),"")</f>
        <v>Pollutant Emissions Intensity Improvement Rate.xlsx</v>
      </c>
      <c r="J308" s="5">
        <f>IFERROR(INDEX(About!$D$34:$D$222,MATCH(Sheet1!I308,About!$C$34:$C$222,0),1),0)</f>
        <v>1</v>
      </c>
      <c r="K308" s="6">
        <f t="shared" si="9"/>
        <v>1</v>
      </c>
    </row>
    <row r="309" spans="1:11" x14ac:dyDescent="0.25">
      <c r="A309" t="s">
        <v>0</v>
      </c>
      <c r="B309" t="s">
        <v>320</v>
      </c>
      <c r="C309" t="s">
        <v>396</v>
      </c>
      <c r="D309" t="s">
        <v>403</v>
      </c>
      <c r="H309" t="str">
        <f t="shared" si="8"/>
        <v>.csv</v>
      </c>
      <c r="I309" s="5" t="str">
        <f>IFERROR(IF(OR(C309="PERAC",C309="FoPITY"),INDEX(Customizations!$C$2:$C$41,MATCH(Sheet1!D309,Customizations!$B$2:$B$41,0),1),INDEX(About!C:C,MATCH(Sheet1!C309,About!B:B,0),1)),"")</f>
        <v>Pollutant Emissions Intensity Improvement Rate.xlsx</v>
      </c>
      <c r="J309" s="5">
        <f>IFERROR(INDEX(About!$D$34:$D$222,MATCH(Sheet1!I309,About!$C$34:$C$222,0),1),0)</f>
        <v>1</v>
      </c>
      <c r="K309" s="6">
        <f t="shared" si="9"/>
        <v>1</v>
      </c>
    </row>
    <row r="310" spans="1:11" x14ac:dyDescent="0.25">
      <c r="A310" t="s">
        <v>0</v>
      </c>
      <c r="B310" t="s">
        <v>320</v>
      </c>
      <c r="C310" t="s">
        <v>396</v>
      </c>
      <c r="D310" t="s">
        <v>404</v>
      </c>
      <c r="H310" t="str">
        <f t="shared" si="8"/>
        <v>.csv</v>
      </c>
      <c r="I310" s="5" t="str">
        <f>IFERROR(IF(OR(C310="PERAC",C310="FoPITY"),INDEX(Customizations!$C$2:$C$41,MATCH(Sheet1!D310,Customizations!$B$2:$B$41,0),1),INDEX(About!C:C,MATCH(Sheet1!C310,About!B:B,0),1)),"")</f>
        <v>Pollutant Emissions Intensity Improvement Rate.xlsx</v>
      </c>
      <c r="J310" s="5">
        <f>IFERROR(INDEX(About!$D$34:$D$222,MATCH(Sheet1!I310,About!$C$34:$C$222,0),1),0)</f>
        <v>1</v>
      </c>
      <c r="K310" s="6">
        <f t="shared" si="9"/>
        <v>1</v>
      </c>
    </row>
    <row r="311" spans="1:11" x14ac:dyDescent="0.25">
      <c r="A311" t="s">
        <v>0</v>
      </c>
      <c r="B311" t="s">
        <v>320</v>
      </c>
      <c r="C311" t="s">
        <v>396</v>
      </c>
      <c r="D311" t="s">
        <v>405</v>
      </c>
      <c r="H311" t="str">
        <f t="shared" si="8"/>
        <v>.csv</v>
      </c>
      <c r="I311" s="5" t="str">
        <f>IFERROR(IF(OR(C311="PERAC",C311="FoPITY"),INDEX(Customizations!$C$2:$C$41,MATCH(Sheet1!D311,Customizations!$B$2:$B$41,0),1),INDEX(About!C:C,MATCH(Sheet1!C311,About!B:B,0),1)),"")</f>
        <v>Pollutant Emissions Intensity Improvement Rate.xlsx</v>
      </c>
      <c r="J311" s="5">
        <f>IFERROR(INDEX(About!$D$34:$D$222,MATCH(Sheet1!I311,About!$C$34:$C$222,0),1),0)</f>
        <v>1</v>
      </c>
      <c r="K311" s="6">
        <f t="shared" si="9"/>
        <v>1</v>
      </c>
    </row>
    <row r="312" spans="1:11" x14ac:dyDescent="0.25">
      <c r="A312" t="s">
        <v>0</v>
      </c>
      <c r="B312" t="s">
        <v>320</v>
      </c>
      <c r="C312" t="s">
        <v>396</v>
      </c>
      <c r="D312" t="s">
        <v>406</v>
      </c>
      <c r="H312" t="str">
        <f t="shared" si="8"/>
        <v>.csv</v>
      </c>
      <c r="I312" s="5" t="str">
        <f>IFERROR(IF(OR(C312="PERAC",C312="FoPITY"),INDEX(Customizations!$C$2:$C$41,MATCH(Sheet1!D312,Customizations!$B$2:$B$41,0),1),INDEX(About!C:C,MATCH(Sheet1!C312,About!B:B,0),1)),"")</f>
        <v>Pollutant Emissions Intensity Improvement Rate.xlsx</v>
      </c>
      <c r="J312" s="5">
        <f>IFERROR(INDEX(About!$D$34:$D$222,MATCH(Sheet1!I312,About!$C$34:$C$222,0),1),0)</f>
        <v>1</v>
      </c>
      <c r="K312" s="6">
        <f t="shared" si="9"/>
        <v>1</v>
      </c>
    </row>
    <row r="313" spans="1:11" x14ac:dyDescent="0.25">
      <c r="A313" t="s">
        <v>0</v>
      </c>
      <c r="B313" t="s">
        <v>320</v>
      </c>
      <c r="C313" t="s">
        <v>396</v>
      </c>
      <c r="D313" t="s">
        <v>407</v>
      </c>
      <c r="H313" t="str">
        <f t="shared" si="8"/>
        <v>.csv</v>
      </c>
      <c r="I313" s="5" t="str">
        <f>IFERROR(IF(OR(C313="PERAC",C313="FoPITY"),INDEX(Customizations!$C$2:$C$41,MATCH(Sheet1!D313,Customizations!$B$2:$B$41,0),1),INDEX(About!C:C,MATCH(Sheet1!C313,About!B:B,0),1)),"")</f>
        <v>Pollutant Emissions Intensity Improvement Rate.xlsx</v>
      </c>
      <c r="J313" s="5">
        <f>IFERROR(INDEX(About!$D$34:$D$222,MATCH(Sheet1!I313,About!$C$34:$C$222,0),1),0)</f>
        <v>1</v>
      </c>
      <c r="K313" s="6">
        <f t="shared" si="9"/>
        <v>1</v>
      </c>
    </row>
    <row r="314" spans="1:11" x14ac:dyDescent="0.25">
      <c r="A314" t="s">
        <v>0</v>
      </c>
      <c r="B314" t="s">
        <v>320</v>
      </c>
      <c r="C314" t="s">
        <v>396</v>
      </c>
      <c r="D314" t="s">
        <v>408</v>
      </c>
      <c r="H314" t="str">
        <f t="shared" si="8"/>
        <v>.csv</v>
      </c>
      <c r="I314" s="5" t="str">
        <f>IFERROR(IF(OR(C314="PERAC",C314="FoPITY"),INDEX(Customizations!$C$2:$C$41,MATCH(Sheet1!D314,Customizations!$B$2:$B$41,0),1),INDEX(About!C:C,MATCH(Sheet1!C314,About!B:B,0),1)),"")</f>
        <v>Pollutant Emissions Intensity Improvement Rate.xlsx</v>
      </c>
      <c r="J314" s="5">
        <f>IFERROR(INDEX(About!$D$34:$D$222,MATCH(Sheet1!I314,About!$C$34:$C$222,0),1),0)</f>
        <v>1</v>
      </c>
      <c r="K314" s="6">
        <f t="shared" si="9"/>
        <v>1</v>
      </c>
    </row>
    <row r="315" spans="1:11" x14ac:dyDescent="0.25">
      <c r="A315" t="s">
        <v>0</v>
      </c>
      <c r="B315" t="s">
        <v>320</v>
      </c>
      <c r="C315" t="s">
        <v>396</v>
      </c>
      <c r="D315" t="s">
        <v>409</v>
      </c>
      <c r="H315" t="str">
        <f t="shared" si="8"/>
        <v>.csv</v>
      </c>
      <c r="I315" s="5" t="str">
        <f>IFERROR(IF(OR(C315="PERAC",C315="FoPITY"),INDEX(Customizations!$C$2:$C$41,MATCH(Sheet1!D315,Customizations!$B$2:$B$41,0),1),INDEX(About!C:C,MATCH(Sheet1!C315,About!B:B,0),1)),"")</f>
        <v>Pollutant Emissions Intensity Improvement Rate.xlsx</v>
      </c>
      <c r="J315" s="5">
        <f>IFERROR(INDEX(About!$D$34:$D$222,MATCH(Sheet1!I315,About!$C$34:$C$222,0),1),0)</f>
        <v>1</v>
      </c>
      <c r="K315" s="6">
        <f t="shared" si="9"/>
        <v>1</v>
      </c>
    </row>
    <row r="316" spans="1:11" x14ac:dyDescent="0.25">
      <c r="A316" t="s">
        <v>0</v>
      </c>
      <c r="B316" t="s">
        <v>320</v>
      </c>
      <c r="C316" t="s">
        <v>396</v>
      </c>
      <c r="D316" t="s">
        <v>410</v>
      </c>
      <c r="H316" t="str">
        <f t="shared" si="8"/>
        <v>.csv</v>
      </c>
      <c r="I316" s="5" t="str">
        <f>IFERROR(IF(OR(C316="PERAC",C316="FoPITY"),INDEX(Customizations!$C$2:$C$41,MATCH(Sheet1!D316,Customizations!$B$2:$B$41,0),1),INDEX(About!C:C,MATCH(Sheet1!C316,About!B:B,0),1)),"")</f>
        <v>Pollutant Emissions Intensity Improvement Rate.xlsx</v>
      </c>
      <c r="J316" s="5">
        <f>IFERROR(INDEX(About!$D$34:$D$222,MATCH(Sheet1!I316,About!$C$34:$C$222,0),1),0)</f>
        <v>1</v>
      </c>
      <c r="K316" s="6">
        <f t="shared" si="9"/>
        <v>1</v>
      </c>
    </row>
    <row r="317" spans="1:11" x14ac:dyDescent="0.25">
      <c r="A317" t="s">
        <v>0</v>
      </c>
      <c r="B317" t="s">
        <v>320</v>
      </c>
      <c r="C317" t="s">
        <v>396</v>
      </c>
      <c r="D317" t="s">
        <v>411</v>
      </c>
      <c r="H317" t="str">
        <f t="shared" si="8"/>
        <v>.csv</v>
      </c>
      <c r="I317" s="5" t="str">
        <f>IFERROR(IF(OR(C317="PERAC",C317="FoPITY"),INDEX(Customizations!$C$2:$C$41,MATCH(Sheet1!D317,Customizations!$B$2:$B$41,0),1),INDEX(About!C:C,MATCH(Sheet1!C317,About!B:B,0),1)),"")</f>
        <v>Pollutant Emissions Intensity Improvement Rate.xlsx</v>
      </c>
      <c r="J317" s="5">
        <f>IFERROR(INDEX(About!$D$34:$D$222,MATCH(Sheet1!I317,About!$C$34:$C$222,0),1),0)</f>
        <v>1</v>
      </c>
      <c r="K317" s="6">
        <f t="shared" si="9"/>
        <v>1</v>
      </c>
    </row>
    <row r="318" spans="1:11" x14ac:dyDescent="0.25">
      <c r="A318" t="s">
        <v>0</v>
      </c>
      <c r="B318" t="s">
        <v>320</v>
      </c>
      <c r="C318" t="s">
        <v>396</v>
      </c>
      <c r="D318" t="s">
        <v>412</v>
      </c>
      <c r="H318" t="str">
        <f t="shared" si="8"/>
        <v>.csv</v>
      </c>
      <c r="I318" s="5" t="str">
        <f>IFERROR(IF(OR(C318="PERAC",C318="FoPITY"),INDEX(Customizations!$C$2:$C$41,MATCH(Sheet1!D318,Customizations!$B$2:$B$41,0),1),INDEX(About!C:C,MATCH(Sheet1!C318,About!B:B,0),1)),"")</f>
        <v>Pollutant Emissions Intensity Improvement Rate.xlsx</v>
      </c>
      <c r="J318" s="5">
        <f>IFERROR(INDEX(About!$D$34:$D$222,MATCH(Sheet1!I318,About!$C$34:$C$222,0),1),0)</f>
        <v>1</v>
      </c>
      <c r="K318" s="6">
        <f t="shared" si="9"/>
        <v>1</v>
      </c>
    </row>
    <row r="319" spans="1:11" x14ac:dyDescent="0.25">
      <c r="A319" t="s">
        <v>0</v>
      </c>
      <c r="B319" t="s">
        <v>320</v>
      </c>
      <c r="C319" t="s">
        <v>396</v>
      </c>
      <c r="D319" t="s">
        <v>413</v>
      </c>
      <c r="H319" t="str">
        <f t="shared" si="8"/>
        <v>xlsx</v>
      </c>
      <c r="I319" s="5" t="str">
        <f>IFERROR(IF(OR(C319="PERAC",C319="FoPITY"),INDEX(Customizations!$C$2:$C$41,MATCH(Sheet1!D319,Customizations!$B$2:$B$41,0),1),INDEX(About!C:C,MATCH(Sheet1!C319,About!B:B,0),1)),"")</f>
        <v>Pollutant Emissions Intensity Improvement Rate.xlsx</v>
      </c>
      <c r="J319" s="5">
        <f>IFERROR(INDEX(About!$D$34:$D$222,MATCH(Sheet1!I319,About!$C$34:$C$222,0),1),0)</f>
        <v>1</v>
      </c>
      <c r="K319" s="6">
        <f t="shared" si="9"/>
        <v>0</v>
      </c>
    </row>
    <row r="320" spans="1:11" x14ac:dyDescent="0.25">
      <c r="A320" t="s">
        <v>0</v>
      </c>
      <c r="B320" t="s">
        <v>320</v>
      </c>
      <c r="C320" t="s">
        <v>414</v>
      </c>
      <c r="D320" t="s">
        <v>415</v>
      </c>
      <c r="H320" t="str">
        <f t="shared" si="8"/>
        <v>xlsx</v>
      </c>
      <c r="I320" s="5" t="str">
        <f>IFERROR(IF(OR(C320="PERAC",C320="FoPITY"),INDEX(Customizations!$C$2:$C$41,MATCH(Sheet1!D320,Customizations!$B$2:$B$41,0),1),INDEX(About!C:C,MATCH(Sheet1!C320,About!B:B,0),1)),"")</f>
        <v>Perc of Fuel Demand Changes that Affect Exports.xlsx</v>
      </c>
      <c r="J320" s="5">
        <f>IFERROR(INDEX(About!$D$34:$D$222,MATCH(Sheet1!I320,About!$C$34:$C$222,0),1),0)</f>
        <v>1</v>
      </c>
      <c r="K320" s="6">
        <f t="shared" si="9"/>
        <v>0</v>
      </c>
    </row>
    <row r="321" spans="1:11" x14ac:dyDescent="0.25">
      <c r="A321" t="s">
        <v>0</v>
      </c>
      <c r="B321" t="s">
        <v>320</v>
      </c>
      <c r="C321" t="s">
        <v>414</v>
      </c>
      <c r="D321" t="s">
        <v>416</v>
      </c>
      <c r="H321" t="str">
        <f t="shared" si="8"/>
        <v>.csv</v>
      </c>
      <c r="I321" s="5" t="str">
        <f>IFERROR(IF(OR(C321="PERAC",C321="FoPITY"),INDEX(Customizations!$C$2:$C$41,MATCH(Sheet1!D321,Customizations!$B$2:$B$41,0),1),INDEX(About!C:C,MATCH(Sheet1!C321,About!B:B,0),1)),"")</f>
        <v>Perc of Fuel Demand Changes that Affect Exports.xlsx</v>
      </c>
      <c r="J321" s="5">
        <f>IFERROR(INDEX(About!$D$34:$D$222,MATCH(Sheet1!I321,About!$C$34:$C$222,0),1),0)</f>
        <v>1</v>
      </c>
      <c r="K321" s="6">
        <f t="shared" si="9"/>
        <v>1</v>
      </c>
    </row>
    <row r="322" spans="1:11" x14ac:dyDescent="0.25">
      <c r="A322" t="s">
        <v>0</v>
      </c>
      <c r="B322" t="s">
        <v>1766</v>
      </c>
      <c r="C322" t="s">
        <v>1767</v>
      </c>
      <c r="D322" t="s">
        <v>1768</v>
      </c>
      <c r="H322" t="str">
        <f t="shared" si="8"/>
        <v>.csv</v>
      </c>
      <c r="I322" s="5" t="str">
        <f>IFERROR(IF(OR(C322="PERAC",C322="FoPITY"),INDEX(Customizations!$C$2:$C$41,MATCH(Sheet1!D322,Customizations!$B$2:$B$41,0),1),INDEX(About!C:C,MATCH(Sheet1!C322,About!B:B,0),1)),"")</f>
        <v/>
      </c>
      <c r="J322" s="5">
        <f>IFERROR(INDEX(About!$D$34:$D$222,MATCH(Sheet1!I322,About!$C$34:$C$222,0),1),0)</f>
        <v>0</v>
      </c>
      <c r="K322" s="6">
        <f t="shared" si="9"/>
        <v>0</v>
      </c>
    </row>
    <row r="323" spans="1:11" x14ac:dyDescent="0.25">
      <c r="A323" t="s">
        <v>0</v>
      </c>
      <c r="B323" t="s">
        <v>1766</v>
      </c>
      <c r="C323" t="s">
        <v>1767</v>
      </c>
      <c r="D323" t="s">
        <v>1769</v>
      </c>
      <c r="H323" t="str">
        <f t="shared" si="8"/>
        <v>.csv</v>
      </c>
      <c r="I323" s="5" t="str">
        <f>IFERROR(IF(OR(C323="PERAC",C323="FoPITY"),INDEX(Customizations!$C$2:$C$41,MATCH(Sheet1!D323,Customizations!$B$2:$B$41,0),1),INDEX(About!C:C,MATCH(Sheet1!C323,About!B:B,0),1)),"")</f>
        <v/>
      </c>
      <c r="J323" s="5">
        <f>IFERROR(INDEX(About!$D$34:$D$222,MATCH(Sheet1!I323,About!$C$34:$C$222,0),1),0)</f>
        <v>0</v>
      </c>
      <c r="K323" s="6">
        <f t="shared" si="9"/>
        <v>0</v>
      </c>
    </row>
    <row r="324" spans="1:11" x14ac:dyDescent="0.25">
      <c r="A324" t="s">
        <v>0</v>
      </c>
      <c r="B324" t="s">
        <v>1766</v>
      </c>
      <c r="C324" t="s">
        <v>1767</v>
      </c>
      <c r="D324" t="s">
        <v>1770</v>
      </c>
      <c r="H324" t="str">
        <f t="shared" si="8"/>
        <v>.csv</v>
      </c>
      <c r="I324" s="5" t="str">
        <f>IFERROR(IF(OR(C324="PERAC",C324="FoPITY"),INDEX(Customizations!$C$2:$C$41,MATCH(Sheet1!D324,Customizations!$B$2:$B$41,0),1),INDEX(About!C:C,MATCH(Sheet1!C324,About!B:B,0),1)),"")</f>
        <v/>
      </c>
      <c r="J324" s="5">
        <f>IFERROR(INDEX(About!$D$34:$D$222,MATCH(Sheet1!I324,About!$C$34:$C$222,0),1),0)</f>
        <v>0</v>
      </c>
      <c r="K324" s="6">
        <f t="shared" si="9"/>
        <v>0</v>
      </c>
    </row>
    <row r="325" spans="1:11" x14ac:dyDescent="0.25">
      <c r="A325" t="s">
        <v>0</v>
      </c>
      <c r="B325" t="s">
        <v>1766</v>
      </c>
      <c r="C325" t="s">
        <v>1767</v>
      </c>
      <c r="D325" t="s">
        <v>1771</v>
      </c>
      <c r="H325" t="str">
        <f t="shared" ref="H325:H388" si="10">RIGHT(D325,"4")</f>
        <v>xlsx</v>
      </c>
      <c r="I325" s="5" t="str">
        <f>IFERROR(IF(OR(C325="PERAC",C325="FoPITY"),INDEX(Customizations!$C$2:$C$41,MATCH(Sheet1!D325,Customizations!$B$2:$B$41,0),1),INDEX(About!C:C,MATCH(Sheet1!C325,About!B:B,0),1)),"")</f>
        <v/>
      </c>
      <c r="J325" s="5">
        <f>IFERROR(INDEX(About!$D$34:$D$222,MATCH(Sheet1!I325,About!$C$34:$C$222,0),1),0)</f>
        <v>0</v>
      </c>
      <c r="K325" s="6">
        <f t="shared" ref="K325:K388" si="11">IF(H325=".csv",1,0)*J325</f>
        <v>0</v>
      </c>
    </row>
    <row r="326" spans="1:11" x14ac:dyDescent="0.25">
      <c r="A326" t="s">
        <v>0</v>
      </c>
      <c r="B326" t="s">
        <v>417</v>
      </c>
      <c r="C326" t="s">
        <v>418</v>
      </c>
      <c r="D326" t="s">
        <v>419</v>
      </c>
      <c r="H326" t="str">
        <f t="shared" si="10"/>
        <v>xlsx</v>
      </c>
      <c r="I326" s="5" t="str">
        <f>IFERROR(IF(OR(C326="PERAC",C326="FoPITY"),INDEX(Customizations!$C$2:$C$41,MATCH(Sheet1!D326,Customizations!$B$2:$B$41,0),1),INDEX(About!C:C,MATCH(Sheet1!C326,About!B:B,0),1)),"")</f>
        <v>BAU Hydrogen Production Shr by Pathway.xlsx</v>
      </c>
      <c r="J326" s="5">
        <f>IFERROR(INDEX(About!$D$34:$D$222,MATCH(Sheet1!I326,About!$C$34:$C$222,0),1),0)</f>
        <v>1</v>
      </c>
      <c r="K326" s="6">
        <f t="shared" si="11"/>
        <v>0</v>
      </c>
    </row>
    <row r="327" spans="1:11" x14ac:dyDescent="0.25">
      <c r="A327" t="s">
        <v>0</v>
      </c>
      <c r="B327" t="s">
        <v>417</v>
      </c>
      <c r="C327" t="s">
        <v>418</v>
      </c>
      <c r="D327" t="s">
        <v>420</v>
      </c>
      <c r="H327" t="str">
        <f t="shared" si="10"/>
        <v>.csv</v>
      </c>
      <c r="I327" s="5" t="str">
        <f>IFERROR(IF(OR(C327="PERAC",C327="FoPITY"),INDEX(Customizations!$C$2:$C$41,MATCH(Sheet1!D327,Customizations!$B$2:$B$41,0),1),INDEX(About!C:C,MATCH(Sheet1!C327,About!B:B,0),1)),"")</f>
        <v>BAU Hydrogen Production Shr by Pathway.xlsx</v>
      </c>
      <c r="J327" s="5">
        <f>IFERROR(INDEX(About!$D$34:$D$222,MATCH(Sheet1!I327,About!$C$34:$C$222,0),1),0)</f>
        <v>1</v>
      </c>
      <c r="K327" s="6">
        <f t="shared" si="11"/>
        <v>1</v>
      </c>
    </row>
    <row r="328" spans="1:11" x14ac:dyDescent="0.25">
      <c r="A328" t="s">
        <v>0</v>
      </c>
      <c r="B328" t="s">
        <v>417</v>
      </c>
      <c r="C328" t="s">
        <v>421</v>
      </c>
      <c r="D328" t="s">
        <v>422</v>
      </c>
      <c r="H328" t="str">
        <f t="shared" si="10"/>
        <v>.csv</v>
      </c>
      <c r="I328" s="5" t="str">
        <f>IFERROR(IF(OR(C328="PERAC",C328="FoPITY"),INDEX(Customizations!$C$2:$C$41,MATCH(Sheet1!D328,Customizations!$B$2:$B$41,0),1),INDEX(About!C:C,MATCH(Sheet1!C328,About!B:B,0),1)),"")</f>
        <v>Electrolyzer Hydrogen Production per Unit Capacity.xlsx</v>
      </c>
      <c r="J328" s="5">
        <f>IFERROR(INDEX(About!$D$34:$D$222,MATCH(Sheet1!I328,About!$C$34:$C$222,0),1),0)</f>
        <v>1</v>
      </c>
      <c r="K328" s="6">
        <f t="shared" si="11"/>
        <v>1</v>
      </c>
    </row>
    <row r="329" spans="1:11" x14ac:dyDescent="0.25">
      <c r="A329" t="s">
        <v>0</v>
      </c>
      <c r="B329" t="s">
        <v>417</v>
      </c>
      <c r="C329" t="s">
        <v>421</v>
      </c>
      <c r="D329" t="s">
        <v>423</v>
      </c>
      <c r="H329" t="str">
        <f t="shared" si="10"/>
        <v>xlsx</v>
      </c>
      <c r="I329" s="5" t="str">
        <f>IFERROR(IF(OR(C329="PERAC",C329="FoPITY"),INDEX(Customizations!$C$2:$C$41,MATCH(Sheet1!D329,Customizations!$B$2:$B$41,0),1),INDEX(About!C:C,MATCH(Sheet1!C329,About!B:B,0),1)),"")</f>
        <v>Electrolyzer Hydrogen Production per Unit Capacity.xlsx</v>
      </c>
      <c r="J329" s="5">
        <f>IFERROR(INDEX(About!$D$34:$D$222,MATCH(Sheet1!I329,About!$C$34:$C$222,0),1),0)</f>
        <v>1</v>
      </c>
      <c r="K329" s="6">
        <f t="shared" si="11"/>
        <v>0</v>
      </c>
    </row>
    <row r="330" spans="1:11" x14ac:dyDescent="0.25">
      <c r="A330" t="s">
        <v>0</v>
      </c>
      <c r="B330" t="s">
        <v>417</v>
      </c>
      <c r="C330" t="s">
        <v>424</v>
      </c>
      <c r="D330" t="s">
        <v>425</v>
      </c>
      <c r="H330" t="str">
        <f t="shared" si="10"/>
        <v>.csv</v>
      </c>
      <c r="I330" s="5" t="str">
        <f>IFERROR(IF(OR(C330="PERAC",C330="FoPITY"),INDEX(Customizations!$C$2:$C$41,MATCH(Sheet1!D330,Customizations!$B$2:$B$41,0),1),INDEX(About!C:C,MATCH(Sheet1!C330,About!B:B,0),1)),"")</f>
        <v>Hydgn Production Eff by Pathway.xlsx</v>
      </c>
      <c r="J330" s="5">
        <f>IFERROR(INDEX(About!$D$34:$D$222,MATCH(Sheet1!I330,About!$C$34:$C$222,0),1),0)</f>
        <v>1</v>
      </c>
      <c r="K330" s="6">
        <f t="shared" si="11"/>
        <v>1</v>
      </c>
    </row>
    <row r="331" spans="1:11" x14ac:dyDescent="0.25">
      <c r="A331" t="s">
        <v>0</v>
      </c>
      <c r="B331" t="s">
        <v>417</v>
      </c>
      <c r="C331" t="s">
        <v>424</v>
      </c>
      <c r="D331" t="s">
        <v>426</v>
      </c>
      <c r="H331" t="str">
        <f t="shared" si="10"/>
        <v>xlsx</v>
      </c>
      <c r="I331" s="5" t="str">
        <f>IFERROR(IF(OR(C331="PERAC",C331="FoPITY"),INDEX(Customizations!$C$2:$C$41,MATCH(Sheet1!D331,Customizations!$B$2:$B$41,0),1),INDEX(About!C:C,MATCH(Sheet1!C331,About!B:B,0),1)),"")</f>
        <v>Hydgn Production Eff by Pathway.xlsx</v>
      </c>
      <c r="J331" s="5">
        <f>IFERROR(INDEX(About!$D$34:$D$222,MATCH(Sheet1!I331,About!$C$34:$C$222,0),1),0)</f>
        <v>1</v>
      </c>
      <c r="K331" s="6">
        <f t="shared" si="11"/>
        <v>0</v>
      </c>
    </row>
    <row r="332" spans="1:11" x14ac:dyDescent="0.25">
      <c r="A332" t="s">
        <v>0</v>
      </c>
      <c r="B332" t="s">
        <v>417</v>
      </c>
      <c r="C332" t="s">
        <v>427</v>
      </c>
      <c r="D332" t="s">
        <v>428</v>
      </c>
      <c r="H332" t="str">
        <f t="shared" si="10"/>
        <v>.csv</v>
      </c>
      <c r="I332" s="5" t="str">
        <f>IFERROR(IF(OR(C332="PERAC",C332="FoPITY"),INDEX(Customizations!$C$2:$C$41,MATCH(Sheet1!D332,Customizations!$B$2:$B$41,0),1),INDEX(About!C:C,MATCH(Sheet1!C332,About!B:B,0),1)),"")</f>
        <v>Hydrogen Production Eqpt Costs.xlsx</v>
      </c>
      <c r="J332" s="5">
        <f>IFERROR(INDEX(About!$D$34:$D$222,MATCH(Sheet1!I332,About!$C$34:$C$222,0),1),0)</f>
        <v>1</v>
      </c>
      <c r="K332" s="6">
        <f t="shared" si="11"/>
        <v>1</v>
      </c>
    </row>
    <row r="333" spans="1:11" x14ac:dyDescent="0.25">
      <c r="A333" t="s">
        <v>0</v>
      </c>
      <c r="B333" t="s">
        <v>417</v>
      </c>
      <c r="C333" t="s">
        <v>427</v>
      </c>
      <c r="D333" t="s">
        <v>429</v>
      </c>
      <c r="H333" t="str">
        <f t="shared" si="10"/>
        <v>.csv</v>
      </c>
      <c r="I333" s="5" t="str">
        <f>IFERROR(IF(OR(C333="PERAC",C333="FoPITY"),INDEX(Customizations!$C$2:$C$41,MATCH(Sheet1!D333,Customizations!$B$2:$B$41,0),1),INDEX(About!C:C,MATCH(Sheet1!C333,About!B:B,0),1)),"")</f>
        <v>Hydrogen Production Eqpt Costs.xlsx</v>
      </c>
      <c r="J333" s="5">
        <f>IFERROR(INDEX(About!$D$34:$D$222,MATCH(Sheet1!I333,About!$C$34:$C$222,0),1),0)</f>
        <v>1</v>
      </c>
      <c r="K333" s="6">
        <f t="shared" si="11"/>
        <v>1</v>
      </c>
    </row>
    <row r="334" spans="1:11" x14ac:dyDescent="0.25">
      <c r="A334" t="s">
        <v>0</v>
      </c>
      <c r="B334" t="s">
        <v>417</v>
      </c>
      <c r="C334" t="s">
        <v>427</v>
      </c>
      <c r="D334" t="s">
        <v>430</v>
      </c>
      <c r="H334" t="str">
        <f t="shared" si="10"/>
        <v>xlsx</v>
      </c>
      <c r="I334" s="5" t="str">
        <f>IFERROR(IF(OR(C334="PERAC",C334="FoPITY"),INDEX(Customizations!$C$2:$C$41,MATCH(Sheet1!D334,Customizations!$B$2:$B$41,0),1),INDEX(About!C:C,MATCH(Sheet1!C334,About!B:B,0),1)),"")</f>
        <v>Hydrogen Production Eqpt Costs.xlsx</v>
      </c>
      <c r="J334" s="5">
        <f>IFERROR(INDEX(About!$D$34:$D$222,MATCH(Sheet1!I334,About!$C$34:$C$222,0),1),0)</f>
        <v>1</v>
      </c>
      <c r="K334" s="6">
        <f t="shared" si="11"/>
        <v>0</v>
      </c>
    </row>
    <row r="335" spans="1:11" x14ac:dyDescent="0.25">
      <c r="A335" t="s">
        <v>0</v>
      </c>
      <c r="B335" t="s">
        <v>417</v>
      </c>
      <c r="C335" t="s">
        <v>431</v>
      </c>
      <c r="D335" t="s">
        <v>432</v>
      </c>
      <c r="H335" t="str">
        <f t="shared" si="10"/>
        <v>.csv</v>
      </c>
      <c r="I335" s="5" t="str">
        <f>IFERROR(IF(OR(C335="PERAC",C335="FoPITY"),INDEX(Customizations!$C$2:$C$41,MATCH(Sheet1!D335,Customizations!$B$2:$B$41,0),1),INDEX(About!C:C,MATCH(Sheet1!C335,About!B:B,0),1)),"")</f>
        <v>Hydgn Prod Perc Excess Cap by Pathway.xlsx</v>
      </c>
      <c r="J335" s="5">
        <f>IFERROR(INDEX(About!$D$34:$D$222,MATCH(Sheet1!I335,About!$C$34:$C$222,0),1),0)</f>
        <v>1</v>
      </c>
      <c r="K335" s="6">
        <f t="shared" si="11"/>
        <v>1</v>
      </c>
    </row>
    <row r="336" spans="1:11" x14ac:dyDescent="0.25">
      <c r="A336" t="s">
        <v>0</v>
      </c>
      <c r="B336" t="s">
        <v>417</v>
      </c>
      <c r="C336" t="s">
        <v>431</v>
      </c>
      <c r="D336" t="s">
        <v>433</v>
      </c>
      <c r="H336" t="str">
        <f t="shared" si="10"/>
        <v>xlsx</v>
      </c>
      <c r="I336" s="5" t="str">
        <f>IFERROR(IF(OR(C336="PERAC",C336="FoPITY"),INDEX(Customizations!$C$2:$C$41,MATCH(Sheet1!D336,Customizations!$B$2:$B$41,0),1),INDEX(About!C:C,MATCH(Sheet1!C336,About!B:B,0),1)),"")</f>
        <v>Hydgn Prod Perc Excess Cap by Pathway.xlsx</v>
      </c>
      <c r="J336" s="5">
        <f>IFERROR(INDEX(About!$D$34:$D$222,MATCH(Sheet1!I336,About!$C$34:$C$222,0),1),0)</f>
        <v>1</v>
      </c>
      <c r="K336" s="6">
        <f t="shared" si="11"/>
        <v>0</v>
      </c>
    </row>
    <row r="337" spans="1:11" x14ac:dyDescent="0.25">
      <c r="A337" t="s">
        <v>0</v>
      </c>
      <c r="B337" t="s">
        <v>417</v>
      </c>
      <c r="C337" t="s">
        <v>434</v>
      </c>
      <c r="D337" t="s">
        <v>435</v>
      </c>
      <c r="H337" t="str">
        <f t="shared" si="10"/>
        <v>.csv</v>
      </c>
      <c r="I337" s="5" t="str">
        <f>IFERROR(IF(OR(C337="PERAC",C337="FoPITY"),INDEX(Customizations!$C$2:$C$41,MATCH(Sheet1!D337,Customizations!$B$2:$B$41,0),1),INDEX(About!C:C,MATCH(Sheet1!C337,About!B:B,0),1)),"")</f>
        <v>Hydrogen Pathway to Fuel Mappings.xlsx</v>
      </c>
      <c r="J337" s="5">
        <f>IFERROR(INDEX(About!$D$34:$D$222,MATCH(Sheet1!I337,About!$C$34:$C$222,0),1),0)</f>
        <v>1</v>
      </c>
      <c r="K337" s="6">
        <f t="shared" si="11"/>
        <v>1</v>
      </c>
    </row>
    <row r="338" spans="1:11" x14ac:dyDescent="0.25">
      <c r="A338" t="s">
        <v>0</v>
      </c>
      <c r="B338" t="s">
        <v>417</v>
      </c>
      <c r="C338" t="s">
        <v>434</v>
      </c>
      <c r="D338" t="s">
        <v>436</v>
      </c>
      <c r="H338" t="str">
        <f t="shared" si="10"/>
        <v>xlsx</v>
      </c>
      <c r="I338" s="5" t="str">
        <f>IFERROR(IF(OR(C338="PERAC",C338="FoPITY"),INDEX(Customizations!$C$2:$C$41,MATCH(Sheet1!D338,Customizations!$B$2:$B$41,0),1),INDEX(About!C:C,MATCH(Sheet1!C338,About!B:B,0),1)),"")</f>
        <v>Hydrogen Pathway to Fuel Mappings.xlsx</v>
      </c>
      <c r="J338" s="5">
        <f>IFERROR(INDEX(About!$D$34:$D$222,MATCH(Sheet1!I338,About!$C$34:$C$222,0),1),0)</f>
        <v>1</v>
      </c>
      <c r="K338" s="6">
        <f t="shared" si="11"/>
        <v>0</v>
      </c>
    </row>
    <row r="339" spans="1:11" x14ac:dyDescent="0.25">
      <c r="A339" t="s">
        <v>0</v>
      </c>
      <c r="B339" t="s">
        <v>417</v>
      </c>
      <c r="C339" t="s">
        <v>437</v>
      </c>
      <c r="D339" t="s">
        <v>438</v>
      </c>
      <c r="H339" t="str">
        <f t="shared" si="10"/>
        <v>xlsx</v>
      </c>
      <c r="I339" s="5" t="str">
        <f>IFERROR(IF(OR(C339="PERAC",C339="FoPITY"),INDEX(Customizations!$C$2:$C$41,MATCH(Sheet1!D339,Customizations!$B$2:$B$41,0),1),INDEX(About!C:C,MATCH(Sheet1!C339,About!B:B,0),1)),"")</f>
        <v>Recipient Hydrogen Pathway Fractions.xlsx</v>
      </c>
      <c r="J339" s="5">
        <f>IFERROR(INDEX(About!$D$34:$D$222,MATCH(Sheet1!I339,About!$C$34:$C$222,0),1),0)</f>
        <v>1</v>
      </c>
      <c r="K339" s="6">
        <f t="shared" si="11"/>
        <v>0</v>
      </c>
    </row>
    <row r="340" spans="1:11" x14ac:dyDescent="0.25">
      <c r="A340" t="s">
        <v>0</v>
      </c>
      <c r="B340" t="s">
        <v>417</v>
      </c>
      <c r="C340" t="s">
        <v>437</v>
      </c>
      <c r="D340" t="s">
        <v>439</v>
      </c>
      <c r="H340" t="str">
        <f t="shared" si="10"/>
        <v>.csv</v>
      </c>
      <c r="I340" s="5" t="str">
        <f>IFERROR(IF(OR(C340="PERAC",C340="FoPITY"),INDEX(Customizations!$C$2:$C$41,MATCH(Sheet1!D340,Customizations!$B$2:$B$41,0),1),INDEX(About!C:C,MATCH(Sheet1!C340,About!B:B,0),1)),"")</f>
        <v>Recipient Hydrogen Pathway Fractions.xlsx</v>
      </c>
      <c r="J340" s="5">
        <f>IFERROR(INDEX(About!$D$34:$D$222,MATCH(Sheet1!I340,About!$C$34:$C$222,0),1),0)</f>
        <v>1</v>
      </c>
      <c r="K340" s="6">
        <f t="shared" si="11"/>
        <v>1</v>
      </c>
    </row>
    <row r="341" spans="1:11" x14ac:dyDescent="0.25">
      <c r="A341" t="s">
        <v>0</v>
      </c>
      <c r="B341" t="s">
        <v>440</v>
      </c>
      <c r="C341" t="s">
        <v>441</v>
      </c>
      <c r="D341" t="s">
        <v>442</v>
      </c>
      <c r="H341" t="str">
        <f t="shared" si="10"/>
        <v>xlsx</v>
      </c>
      <c r="I341" s="5" t="str">
        <f>IFERROR(IF(OR(C341="PERAC",C341="FoPITY"),INDEX(Customizations!$C$2:$C$41,MATCH(Sheet1!D341,Customizations!$B$2:$B$41,0),1),INDEX(About!C:C,MATCH(Sheet1!C341,About!B:B,0),1)),"")</f>
        <v>BAU Industrial Fuel Use before CCS.xlsx</v>
      </c>
      <c r="J341" s="5">
        <f>IFERROR(INDEX(About!$D$34:$D$222,MATCH(Sheet1!I341,About!$C$34:$C$222,0),1),0)</f>
        <v>1</v>
      </c>
      <c r="K341" s="6">
        <f t="shared" si="11"/>
        <v>0</v>
      </c>
    </row>
    <row r="342" spans="1:11" x14ac:dyDescent="0.25">
      <c r="A342" t="s">
        <v>0</v>
      </c>
      <c r="B342" t="s">
        <v>440</v>
      </c>
      <c r="C342" t="s">
        <v>441</v>
      </c>
      <c r="D342" t="s">
        <v>443</v>
      </c>
      <c r="H342" t="str">
        <f t="shared" si="10"/>
        <v>.csv</v>
      </c>
      <c r="I342" s="5" t="str">
        <f>IFERROR(IF(OR(C342="PERAC",C342="FoPITY"),INDEX(Customizations!$C$2:$C$41,MATCH(Sheet1!D342,Customizations!$B$2:$B$41,0),1),INDEX(About!C:C,MATCH(Sheet1!C342,About!B:B,0),1)),"")</f>
        <v>BAU Industrial Fuel Use before CCS.xlsx</v>
      </c>
      <c r="J342" s="5">
        <f>IFERROR(INDEX(About!$D$34:$D$222,MATCH(Sheet1!I342,About!$C$34:$C$222,0),1),0)</f>
        <v>1</v>
      </c>
      <c r="K342" s="6">
        <f t="shared" si="11"/>
        <v>1</v>
      </c>
    </row>
    <row r="343" spans="1:11" x14ac:dyDescent="0.25">
      <c r="A343" t="s">
        <v>0</v>
      </c>
      <c r="B343" t="s">
        <v>440</v>
      </c>
      <c r="C343" t="s">
        <v>441</v>
      </c>
      <c r="D343" t="s">
        <v>444</v>
      </c>
      <c r="H343" t="str">
        <f t="shared" si="10"/>
        <v>.csv</v>
      </c>
      <c r="I343" s="5" t="str">
        <f>IFERROR(IF(OR(C343="PERAC",C343="FoPITY"),INDEX(Customizations!$C$2:$C$41,MATCH(Sheet1!D343,Customizations!$B$2:$B$41,0),1),INDEX(About!C:C,MATCH(Sheet1!C343,About!B:B,0),1)),"")</f>
        <v>BAU Industrial Fuel Use before CCS.xlsx</v>
      </c>
      <c r="J343" s="5">
        <f>IFERROR(INDEX(About!$D$34:$D$222,MATCH(Sheet1!I343,About!$C$34:$C$222,0),1),0)</f>
        <v>1</v>
      </c>
      <c r="K343" s="6">
        <f t="shared" si="11"/>
        <v>1</v>
      </c>
    </row>
    <row r="344" spans="1:11" x14ac:dyDescent="0.25">
      <c r="A344" t="s">
        <v>0</v>
      </c>
      <c r="B344" t="s">
        <v>440</v>
      </c>
      <c r="C344" t="s">
        <v>441</v>
      </c>
      <c r="D344" t="s">
        <v>445</v>
      </c>
      <c r="H344" t="str">
        <f t="shared" si="10"/>
        <v>.csv</v>
      </c>
      <c r="I344" s="5" t="str">
        <f>IFERROR(IF(OR(C344="PERAC",C344="FoPITY"),INDEX(Customizations!$C$2:$C$41,MATCH(Sheet1!D344,Customizations!$B$2:$B$41,0),1),INDEX(About!C:C,MATCH(Sheet1!C344,About!B:B,0),1)),"")</f>
        <v>BAU Industrial Fuel Use before CCS.xlsx</v>
      </c>
      <c r="J344" s="5">
        <f>IFERROR(INDEX(About!$D$34:$D$222,MATCH(Sheet1!I344,About!$C$34:$C$222,0),1),0)</f>
        <v>1</v>
      </c>
      <c r="K344" s="6">
        <f t="shared" si="11"/>
        <v>1</v>
      </c>
    </row>
    <row r="345" spans="1:11" x14ac:dyDescent="0.25">
      <c r="A345" t="s">
        <v>0</v>
      </c>
      <c r="B345" t="s">
        <v>440</v>
      </c>
      <c r="C345" t="s">
        <v>441</v>
      </c>
      <c r="D345" t="s">
        <v>446</v>
      </c>
      <c r="H345" t="str">
        <f t="shared" si="10"/>
        <v>.csv</v>
      </c>
      <c r="I345" s="5" t="str">
        <f>IFERROR(IF(OR(C345="PERAC",C345="FoPITY"),INDEX(Customizations!$C$2:$C$41,MATCH(Sheet1!D345,Customizations!$B$2:$B$41,0),1),INDEX(About!C:C,MATCH(Sheet1!C345,About!B:B,0),1)),"")</f>
        <v>BAU Industrial Fuel Use before CCS.xlsx</v>
      </c>
      <c r="J345" s="5">
        <f>IFERROR(INDEX(About!$D$34:$D$222,MATCH(Sheet1!I345,About!$C$34:$C$222,0),1),0)</f>
        <v>1</v>
      </c>
      <c r="K345" s="6">
        <f t="shared" si="11"/>
        <v>1</v>
      </c>
    </row>
    <row r="346" spans="1:11" x14ac:dyDescent="0.25">
      <c r="A346" t="s">
        <v>0</v>
      </c>
      <c r="B346" t="s">
        <v>440</v>
      </c>
      <c r="C346" t="s">
        <v>441</v>
      </c>
      <c r="D346" t="s">
        <v>447</v>
      </c>
      <c r="H346" t="str">
        <f t="shared" si="10"/>
        <v>.csv</v>
      </c>
      <c r="I346" s="5" t="str">
        <f>IFERROR(IF(OR(C346="PERAC",C346="FoPITY"),INDEX(Customizations!$C$2:$C$41,MATCH(Sheet1!D346,Customizations!$B$2:$B$41,0),1),INDEX(About!C:C,MATCH(Sheet1!C346,About!B:B,0),1)),"")</f>
        <v>BAU Industrial Fuel Use before CCS.xlsx</v>
      </c>
      <c r="J346" s="5">
        <f>IFERROR(INDEX(About!$D$34:$D$222,MATCH(Sheet1!I346,About!$C$34:$C$222,0),1),0)</f>
        <v>1</v>
      </c>
      <c r="K346" s="6">
        <f t="shared" si="11"/>
        <v>1</v>
      </c>
    </row>
    <row r="347" spans="1:11" x14ac:dyDescent="0.25">
      <c r="A347" t="s">
        <v>0</v>
      </c>
      <c r="B347" t="s">
        <v>440</v>
      </c>
      <c r="C347" t="s">
        <v>441</v>
      </c>
      <c r="D347" t="s">
        <v>448</v>
      </c>
      <c r="H347" t="str">
        <f t="shared" si="10"/>
        <v>.csv</v>
      </c>
      <c r="I347" s="5" t="str">
        <f>IFERROR(IF(OR(C347="PERAC",C347="FoPITY"),INDEX(Customizations!$C$2:$C$41,MATCH(Sheet1!D347,Customizations!$B$2:$B$41,0),1),INDEX(About!C:C,MATCH(Sheet1!C347,About!B:B,0),1)),"")</f>
        <v>BAU Industrial Fuel Use before CCS.xlsx</v>
      </c>
      <c r="J347" s="5">
        <f>IFERROR(INDEX(About!$D$34:$D$222,MATCH(Sheet1!I347,About!$C$34:$C$222,0),1),0)</f>
        <v>1</v>
      </c>
      <c r="K347" s="6">
        <f t="shared" si="11"/>
        <v>1</v>
      </c>
    </row>
    <row r="348" spans="1:11" x14ac:dyDescent="0.25">
      <c r="A348" t="s">
        <v>0</v>
      </c>
      <c r="B348" t="s">
        <v>440</v>
      </c>
      <c r="C348" t="s">
        <v>441</v>
      </c>
      <c r="D348" t="s">
        <v>449</v>
      </c>
      <c r="H348" t="str">
        <f t="shared" si="10"/>
        <v>.csv</v>
      </c>
      <c r="I348" s="5" t="str">
        <f>IFERROR(IF(OR(C348="PERAC",C348="FoPITY"),INDEX(Customizations!$C$2:$C$41,MATCH(Sheet1!D348,Customizations!$B$2:$B$41,0),1),INDEX(About!C:C,MATCH(Sheet1!C348,About!B:B,0),1)),"")</f>
        <v>BAU Industrial Fuel Use before CCS.xlsx</v>
      </c>
      <c r="J348" s="5">
        <f>IFERROR(INDEX(About!$D$34:$D$222,MATCH(Sheet1!I348,About!$C$34:$C$222,0),1),0)</f>
        <v>1</v>
      </c>
      <c r="K348" s="6">
        <f t="shared" si="11"/>
        <v>1</v>
      </c>
    </row>
    <row r="349" spans="1:11" x14ac:dyDescent="0.25">
      <c r="A349" t="s">
        <v>0</v>
      </c>
      <c r="B349" t="s">
        <v>440</v>
      </c>
      <c r="C349" t="s">
        <v>441</v>
      </c>
      <c r="D349" t="s">
        <v>450</v>
      </c>
      <c r="H349" t="str">
        <f t="shared" si="10"/>
        <v>.csv</v>
      </c>
      <c r="I349" s="5" t="str">
        <f>IFERROR(IF(OR(C349="PERAC",C349="FoPITY"),INDEX(Customizations!$C$2:$C$41,MATCH(Sheet1!D349,Customizations!$B$2:$B$41,0),1),INDEX(About!C:C,MATCH(Sheet1!C349,About!B:B,0),1)),"")</f>
        <v>BAU Industrial Fuel Use before CCS.xlsx</v>
      </c>
      <c r="J349" s="5">
        <f>IFERROR(INDEX(About!$D$34:$D$222,MATCH(Sheet1!I349,About!$C$34:$C$222,0),1),0)</f>
        <v>1</v>
      </c>
      <c r="K349" s="6">
        <f t="shared" si="11"/>
        <v>1</v>
      </c>
    </row>
    <row r="350" spans="1:11" x14ac:dyDescent="0.25">
      <c r="A350" t="s">
        <v>0</v>
      </c>
      <c r="B350" t="s">
        <v>440</v>
      </c>
      <c r="C350" t="s">
        <v>441</v>
      </c>
      <c r="D350" t="s">
        <v>451</v>
      </c>
      <c r="H350" t="str">
        <f t="shared" si="10"/>
        <v>.csv</v>
      </c>
      <c r="I350" s="5" t="str">
        <f>IFERROR(IF(OR(C350="PERAC",C350="FoPITY"),INDEX(Customizations!$C$2:$C$41,MATCH(Sheet1!D350,Customizations!$B$2:$B$41,0),1),INDEX(About!C:C,MATCH(Sheet1!C350,About!B:B,0),1)),"")</f>
        <v>BAU Industrial Fuel Use before CCS.xlsx</v>
      </c>
      <c r="J350" s="5">
        <f>IFERROR(INDEX(About!$D$34:$D$222,MATCH(Sheet1!I350,About!$C$34:$C$222,0),1),0)</f>
        <v>1</v>
      </c>
      <c r="K350" s="6">
        <f t="shared" si="11"/>
        <v>1</v>
      </c>
    </row>
    <row r="351" spans="1:11" x14ac:dyDescent="0.25">
      <c r="A351" t="s">
        <v>0</v>
      </c>
      <c r="B351" t="s">
        <v>440</v>
      </c>
      <c r="C351" t="s">
        <v>441</v>
      </c>
      <c r="D351" t="s">
        <v>452</v>
      </c>
      <c r="H351" t="str">
        <f t="shared" si="10"/>
        <v>.csv</v>
      </c>
      <c r="I351" s="5" t="str">
        <f>IFERROR(IF(OR(C351="PERAC",C351="FoPITY"),INDEX(Customizations!$C$2:$C$41,MATCH(Sheet1!D351,Customizations!$B$2:$B$41,0),1),INDEX(About!C:C,MATCH(Sheet1!C351,About!B:B,0),1)),"")</f>
        <v>BAU Industrial Fuel Use before CCS.xlsx</v>
      </c>
      <c r="J351" s="5">
        <f>IFERROR(INDEX(About!$D$34:$D$222,MATCH(Sheet1!I351,About!$C$34:$C$222,0),1),0)</f>
        <v>1</v>
      </c>
      <c r="K351" s="6">
        <f t="shared" si="11"/>
        <v>1</v>
      </c>
    </row>
    <row r="352" spans="1:11" x14ac:dyDescent="0.25">
      <c r="A352" t="s">
        <v>0</v>
      </c>
      <c r="B352" t="s">
        <v>440</v>
      </c>
      <c r="C352" t="s">
        <v>453</v>
      </c>
      <c r="D352" t="s">
        <v>454</v>
      </c>
      <c r="H352" t="str">
        <f t="shared" si="10"/>
        <v>xlsx</v>
      </c>
      <c r="I352" s="5" t="str">
        <f>IFERROR(IF(OR(C352="PERAC",C352="FoPITY"),INDEX(Customizations!$C$2:$C$41,MATCH(Sheet1!D352,Customizations!$B$2:$B$41,0),1),INDEX(About!C:C,MATCH(Sheet1!C352,About!B:B,0),1)),"")</f>
        <v>BAU Process Emis in CO2e.xlsx</v>
      </c>
      <c r="J352" s="5">
        <f>IFERROR(INDEX(About!$D$34:$D$222,MATCH(Sheet1!I352,About!$C$34:$C$222,0),1),0)</f>
        <v>1</v>
      </c>
      <c r="K352" s="6">
        <f t="shared" si="11"/>
        <v>0</v>
      </c>
    </row>
    <row r="353" spans="1:11" x14ac:dyDescent="0.25">
      <c r="A353" t="s">
        <v>0</v>
      </c>
      <c r="B353" t="s">
        <v>440</v>
      </c>
      <c r="C353" t="s">
        <v>453</v>
      </c>
      <c r="D353" t="s">
        <v>455</v>
      </c>
      <c r="H353" t="str">
        <f t="shared" si="10"/>
        <v>.csv</v>
      </c>
      <c r="I353" s="5" t="str">
        <f>IFERROR(IF(OR(C353="PERAC",C353="FoPITY"),INDEX(Customizations!$C$2:$C$41,MATCH(Sheet1!D353,Customizations!$B$2:$B$41,0),1),INDEX(About!C:C,MATCH(Sheet1!C353,About!B:B,0),1)),"")</f>
        <v>BAU Process Emis in CO2e.xlsx</v>
      </c>
      <c r="J353" s="5">
        <f>IFERROR(INDEX(About!$D$34:$D$222,MATCH(Sheet1!I353,About!$C$34:$C$222,0),1),0)</f>
        <v>1</v>
      </c>
      <c r="K353" s="6">
        <f t="shared" si="11"/>
        <v>1</v>
      </c>
    </row>
    <row r="354" spans="1:11" x14ac:dyDescent="0.25">
      <c r="A354" t="s">
        <v>0</v>
      </c>
      <c r="B354" t="s">
        <v>440</v>
      </c>
      <c r="C354" t="s">
        <v>453</v>
      </c>
      <c r="D354" t="s">
        <v>456</v>
      </c>
      <c r="H354" t="str">
        <f t="shared" si="10"/>
        <v>.csv</v>
      </c>
      <c r="I354" s="5" t="str">
        <f>IFERROR(IF(OR(C354="PERAC",C354="FoPITY"),INDEX(Customizations!$C$2:$C$41,MATCH(Sheet1!D354,Customizations!$B$2:$B$41,0),1),INDEX(About!C:C,MATCH(Sheet1!C354,About!B:B,0),1)),"")</f>
        <v>BAU Process Emis in CO2e.xlsx</v>
      </c>
      <c r="J354" s="5">
        <f>IFERROR(INDEX(About!$D$34:$D$222,MATCH(Sheet1!I354,About!$C$34:$C$222,0),1),0)</f>
        <v>1</v>
      </c>
      <c r="K354" s="6">
        <f t="shared" si="11"/>
        <v>1</v>
      </c>
    </row>
    <row r="355" spans="1:11" x14ac:dyDescent="0.25">
      <c r="A355" t="s">
        <v>0</v>
      </c>
      <c r="B355" t="s">
        <v>440</v>
      </c>
      <c r="C355" t="s">
        <v>453</v>
      </c>
      <c r="D355" t="s">
        <v>457</v>
      </c>
      <c r="H355" t="str">
        <f t="shared" si="10"/>
        <v>.csv</v>
      </c>
      <c r="I355" s="5" t="str">
        <f>IFERROR(IF(OR(C355="PERAC",C355="FoPITY"),INDEX(Customizations!$C$2:$C$41,MATCH(Sheet1!D355,Customizations!$B$2:$B$41,0),1),INDEX(About!C:C,MATCH(Sheet1!C355,About!B:B,0),1)),"")</f>
        <v>BAU Process Emis in CO2e.xlsx</v>
      </c>
      <c r="J355" s="5">
        <f>IFERROR(INDEX(About!$D$34:$D$222,MATCH(Sheet1!I355,About!$C$34:$C$222,0),1),0)</f>
        <v>1</v>
      </c>
      <c r="K355" s="6">
        <f t="shared" si="11"/>
        <v>1</v>
      </c>
    </row>
    <row r="356" spans="1:11" x14ac:dyDescent="0.25">
      <c r="A356" t="s">
        <v>0</v>
      </c>
      <c r="B356" t="s">
        <v>440</v>
      </c>
      <c r="C356" t="s">
        <v>453</v>
      </c>
      <c r="D356" t="s">
        <v>458</v>
      </c>
      <c r="H356" t="str">
        <f t="shared" si="10"/>
        <v>.csv</v>
      </c>
      <c r="I356" s="5" t="str">
        <f>IFERROR(IF(OR(C356="PERAC",C356="FoPITY"),INDEX(Customizations!$C$2:$C$41,MATCH(Sheet1!D356,Customizations!$B$2:$B$41,0),1),INDEX(About!C:C,MATCH(Sheet1!C356,About!B:B,0),1)),"")</f>
        <v>BAU Process Emis in CO2e.xlsx</v>
      </c>
      <c r="J356" s="5">
        <f>IFERROR(INDEX(About!$D$34:$D$222,MATCH(Sheet1!I356,About!$C$34:$C$222,0),1),0)</f>
        <v>1</v>
      </c>
      <c r="K356" s="6">
        <f t="shared" si="11"/>
        <v>1</v>
      </c>
    </row>
    <row r="357" spans="1:11" x14ac:dyDescent="0.25">
      <c r="A357" t="s">
        <v>0</v>
      </c>
      <c r="B357" t="s">
        <v>440</v>
      </c>
      <c r="C357" t="s">
        <v>453</v>
      </c>
      <c r="D357" t="s">
        <v>459</v>
      </c>
      <c r="H357" t="str">
        <f t="shared" si="10"/>
        <v>.csv</v>
      </c>
      <c r="I357" s="5" t="str">
        <f>IFERROR(IF(OR(C357="PERAC",C357="FoPITY"),INDEX(Customizations!$C$2:$C$41,MATCH(Sheet1!D357,Customizations!$B$2:$B$41,0),1),INDEX(About!C:C,MATCH(Sheet1!C357,About!B:B,0),1)),"")</f>
        <v>BAU Process Emis in CO2e.xlsx</v>
      </c>
      <c r="J357" s="5">
        <f>IFERROR(INDEX(About!$D$34:$D$222,MATCH(Sheet1!I357,About!$C$34:$C$222,0),1),0)</f>
        <v>1</v>
      </c>
      <c r="K357" s="6">
        <f t="shared" si="11"/>
        <v>1</v>
      </c>
    </row>
    <row r="358" spans="1:11" x14ac:dyDescent="0.25">
      <c r="A358" t="s">
        <v>0</v>
      </c>
      <c r="B358" t="s">
        <v>440</v>
      </c>
      <c r="C358" t="s">
        <v>460</v>
      </c>
      <c r="D358" t="s">
        <v>461</v>
      </c>
      <c r="H358" t="str">
        <f t="shared" si="10"/>
        <v>xlsx</v>
      </c>
      <c r="I358" s="5" t="str">
        <f>IFERROR(IF(OR(C358="PERAC",C358="FoPITY"),INDEX(Customizations!$C$2:$C$41,MATCH(Sheet1!D358,Customizations!$B$2:$B$41,0),1),INDEX(About!C:C,MATCH(Sheet1!C358,About!B:B,0),1)),"")</f>
        <v>BAU Proportion of Industrial Fuel Used for Energy.xlsx</v>
      </c>
      <c r="J358" s="5">
        <f>IFERROR(INDEX(About!$D$34:$D$222,MATCH(Sheet1!I358,About!$C$34:$C$222,0),1),0)</f>
        <v>1</v>
      </c>
      <c r="K358" s="6">
        <f t="shared" si="11"/>
        <v>0</v>
      </c>
    </row>
    <row r="359" spans="1:11" x14ac:dyDescent="0.25">
      <c r="A359" t="s">
        <v>0</v>
      </c>
      <c r="B359" t="s">
        <v>440</v>
      </c>
      <c r="C359" t="s">
        <v>460</v>
      </c>
      <c r="D359" t="s">
        <v>462</v>
      </c>
      <c r="H359" t="str">
        <f t="shared" si="10"/>
        <v>.csv</v>
      </c>
      <c r="I359" s="5" t="str">
        <f>IFERROR(IF(OR(C359="PERAC",C359="FoPITY"),INDEX(Customizations!$C$2:$C$41,MATCH(Sheet1!D359,Customizations!$B$2:$B$41,0),1),INDEX(About!C:C,MATCH(Sheet1!C359,About!B:B,0),1)),"")</f>
        <v>BAU Proportion of Industrial Fuel Used for Energy.xlsx</v>
      </c>
      <c r="J359" s="5">
        <f>IFERROR(INDEX(About!$D$34:$D$222,MATCH(Sheet1!I359,About!$C$34:$C$222,0),1),0)</f>
        <v>1</v>
      </c>
      <c r="K359" s="6">
        <f t="shared" si="11"/>
        <v>1</v>
      </c>
    </row>
    <row r="360" spans="1:11" x14ac:dyDescent="0.25">
      <c r="A360" t="s">
        <v>0</v>
      </c>
      <c r="B360" t="s">
        <v>440</v>
      </c>
      <c r="C360" t="s">
        <v>463</v>
      </c>
      <c r="D360" t="s">
        <v>464</v>
      </c>
      <c r="H360" t="str">
        <f t="shared" si="10"/>
        <v>xlsx</v>
      </c>
      <c r="I360" s="5" t="str">
        <f>IFERROR(IF(OR(C360="PERAC",C360="FoPITY"),INDEX(Customizations!$C$2:$C$41,MATCH(Sheet1!D360,Customizations!$B$2:$B$41,0),1),INDEX(About!C:C,MATCH(Sheet1!C360,About!B:B,0),1)),"")</f>
        <v>BAU Shr of Ag Indst Going to Anml Prdcts.xlsx</v>
      </c>
      <c r="J360" s="5">
        <f>IFERROR(INDEX(About!$D$34:$D$222,MATCH(Sheet1!I360,About!$C$34:$C$222,0),1),0)</f>
        <v>1</v>
      </c>
      <c r="K360" s="6">
        <f t="shared" si="11"/>
        <v>0</v>
      </c>
    </row>
    <row r="361" spans="1:11" x14ac:dyDescent="0.25">
      <c r="A361" t="s">
        <v>0</v>
      </c>
      <c r="B361" t="s">
        <v>440</v>
      </c>
      <c r="C361" t="s">
        <v>463</v>
      </c>
      <c r="D361" t="s">
        <v>465</v>
      </c>
      <c r="H361" t="str">
        <f t="shared" si="10"/>
        <v>.csv</v>
      </c>
      <c r="I361" s="5" t="str">
        <f>IFERROR(IF(OR(C361="PERAC",C361="FoPITY"),INDEX(Customizations!$C$2:$C$41,MATCH(Sheet1!D361,Customizations!$B$2:$B$41,0),1),INDEX(About!C:C,MATCH(Sheet1!C361,About!B:B,0),1)),"")</f>
        <v>BAU Shr of Ag Indst Going to Anml Prdcts.xlsx</v>
      </c>
      <c r="J361" s="5">
        <f>IFERROR(INDEX(About!$D$34:$D$222,MATCH(Sheet1!I361,About!$C$34:$C$222,0),1),0)</f>
        <v>1</v>
      </c>
      <c r="K361" s="6">
        <f t="shared" si="11"/>
        <v>1</v>
      </c>
    </row>
    <row r="362" spans="1:11" x14ac:dyDescent="0.25">
      <c r="A362" t="s">
        <v>0</v>
      </c>
      <c r="B362" t="s">
        <v>440</v>
      </c>
      <c r="C362" t="s">
        <v>466</v>
      </c>
      <c r="D362" t="s">
        <v>467</v>
      </c>
      <c r="H362" t="str">
        <f t="shared" si="10"/>
        <v>xlsx</v>
      </c>
      <c r="I362" s="5" t="str">
        <f>IFERROR(IF(OR(C362="PERAC",C362="FoPITY"),INDEX(Customizations!$C$2:$C$41,MATCH(Sheet1!D362,Customizations!$B$2:$B$41,0),1),INDEX(About!C:C,MATCH(Sheet1!C362,About!B:B,0),1)),"")</f>
        <v>Capital Eqpt Sales Tax Rate.xlsx</v>
      </c>
      <c r="J362" s="5">
        <f>IFERROR(INDEX(About!$D$34:$D$222,MATCH(Sheet1!I362,About!$C$34:$C$222,0),1),0)</f>
        <v>1</v>
      </c>
      <c r="K362" s="6">
        <f t="shared" si="11"/>
        <v>0</v>
      </c>
    </row>
    <row r="363" spans="1:11" x14ac:dyDescent="0.25">
      <c r="A363" t="s">
        <v>0</v>
      </c>
      <c r="B363" t="s">
        <v>440</v>
      </c>
      <c r="C363" t="s">
        <v>466</v>
      </c>
      <c r="D363" t="s">
        <v>468</v>
      </c>
      <c r="H363" t="str">
        <f t="shared" si="10"/>
        <v>.csv</v>
      </c>
      <c r="I363" s="5" t="str">
        <f>IFERROR(IF(OR(C363="PERAC",C363="FoPITY"),INDEX(Customizations!$C$2:$C$41,MATCH(Sheet1!D363,Customizations!$B$2:$B$41,0),1),INDEX(About!C:C,MATCH(Sheet1!C363,About!B:B,0),1)),"")</f>
        <v>Capital Eqpt Sales Tax Rate.xlsx</v>
      </c>
      <c r="J363" s="5">
        <f>IFERROR(INDEX(About!$D$34:$D$222,MATCH(Sheet1!I363,About!$C$34:$C$222,0),1),0)</f>
        <v>1</v>
      </c>
      <c r="K363" s="6">
        <f t="shared" si="11"/>
        <v>1</v>
      </c>
    </row>
    <row r="364" spans="1:11" s="3" customFormat="1" x14ac:dyDescent="0.25">
      <c r="A364" t="s">
        <v>0</v>
      </c>
      <c r="B364" t="s">
        <v>440</v>
      </c>
      <c r="C364" t="s">
        <v>469</v>
      </c>
      <c r="D364" t="s">
        <v>470</v>
      </c>
      <c r="H364" s="3" t="str">
        <f t="shared" si="10"/>
        <v>xlsx</v>
      </c>
      <c r="I364" s="5" t="str">
        <f>IFERROR(IF(OR(C364="PERAC",C364="FoPITY"),INDEX(Customizations!$C$2:$C$41,MATCH(Sheet1!D364,Customizations!$B$2:$B$41,0),1),INDEX(About!C:C,MATCH(Sheet1!C364,About!B:B,0),1)),"")</f>
        <v>Cost to Impl Eff Policy per Unit E Saved or Shifted.xlsx</v>
      </c>
      <c r="J364" s="5">
        <f>IFERROR(INDEX(About!$D$34:$D$222,MATCH(Sheet1!I364,About!$C$34:$C$222,0),1),0)</f>
        <v>1</v>
      </c>
      <c r="K364" s="6">
        <f t="shared" si="11"/>
        <v>0</v>
      </c>
    </row>
    <row r="365" spans="1:11" s="3" customFormat="1" x14ac:dyDescent="0.25">
      <c r="A365" t="s">
        <v>0</v>
      </c>
      <c r="B365" t="s">
        <v>440</v>
      </c>
      <c r="C365" t="s">
        <v>469</v>
      </c>
      <c r="D365" t="s">
        <v>471</v>
      </c>
      <c r="H365" s="3" t="str">
        <f t="shared" si="10"/>
        <v>.csv</v>
      </c>
      <c r="I365" s="5" t="str">
        <f>IFERROR(IF(OR(C365="PERAC",C365="FoPITY"),INDEX(Customizations!$C$2:$C$41,MATCH(Sheet1!D365,Customizations!$B$2:$B$41,0),1),INDEX(About!C:C,MATCH(Sheet1!C365,About!B:B,0),1)),"")</f>
        <v>Cost to Impl Eff Policy per Unit E Saved or Shifted.xlsx</v>
      </c>
      <c r="J365" s="5">
        <f>IFERROR(INDEX(About!$D$34:$D$222,MATCH(Sheet1!I365,About!$C$34:$C$222,0),1),0)</f>
        <v>1</v>
      </c>
      <c r="K365" s="6">
        <f t="shared" si="11"/>
        <v>1</v>
      </c>
    </row>
    <row r="366" spans="1:11" s="3" customFormat="1" x14ac:dyDescent="0.25">
      <c r="A366" t="s">
        <v>0</v>
      </c>
      <c r="B366" t="s">
        <v>440</v>
      </c>
      <c r="C366" t="s">
        <v>472</v>
      </c>
      <c r="D366" t="s">
        <v>473</v>
      </c>
      <c r="H366" s="3" t="str">
        <f t="shared" si="10"/>
        <v>xlsx</v>
      </c>
      <c r="I366" s="5" t="str">
        <f>IFERROR(IF(OR(C366="PERAC",C366="FoPITY"),INDEX(Customizations!$C$2:$C$41,MATCH(Sheet1!D366,Customizations!$B$2:$B$41,0),1),INDEX(About!C:C,MATCH(Sheet1!C366,About!B:B,0),1)),"")</f>
        <v>Elasticities of Production.xlsx</v>
      </c>
      <c r="J366" s="5">
        <f>IFERROR(INDEX(About!$D$34:$D$222,MATCH(Sheet1!I366,About!$C$34:$C$222,0),1),0)</f>
        <v>1</v>
      </c>
      <c r="K366" s="6">
        <f t="shared" si="11"/>
        <v>0</v>
      </c>
    </row>
    <row r="367" spans="1:11" s="3" customFormat="1" x14ac:dyDescent="0.25">
      <c r="A367" t="s">
        <v>0</v>
      </c>
      <c r="B367" t="s">
        <v>440</v>
      </c>
      <c r="C367" t="s">
        <v>472</v>
      </c>
      <c r="D367" t="s">
        <v>474</v>
      </c>
      <c r="H367" s="3" t="str">
        <f t="shared" si="10"/>
        <v>.csv</v>
      </c>
      <c r="I367" s="5" t="str">
        <f>IFERROR(IF(OR(C367="PERAC",C367="FoPITY"),INDEX(Customizations!$C$2:$C$41,MATCH(Sheet1!D367,Customizations!$B$2:$B$41,0),1),INDEX(About!C:C,MATCH(Sheet1!C367,About!B:B,0),1)),"")</f>
        <v>Elasticities of Production.xlsx</v>
      </c>
      <c r="J367" s="5">
        <f>IFERROR(INDEX(About!$D$34:$D$222,MATCH(Sheet1!I367,About!$C$34:$C$222,0),1),0)</f>
        <v>1</v>
      </c>
      <c r="K367" s="6">
        <f t="shared" si="11"/>
        <v>1</v>
      </c>
    </row>
    <row r="368" spans="1:11" s="3" customFormat="1" x14ac:dyDescent="0.25">
      <c r="A368" t="s">
        <v>0</v>
      </c>
      <c r="B368" t="s">
        <v>440</v>
      </c>
      <c r="C368" t="s">
        <v>472</v>
      </c>
      <c r="D368" t="s">
        <v>475</v>
      </c>
      <c r="H368" s="3" t="str">
        <f t="shared" si="10"/>
        <v>.csv</v>
      </c>
      <c r="I368" s="5" t="str">
        <f>IFERROR(IF(OR(C368="PERAC",C368="FoPITY"),INDEX(Customizations!$C$2:$C$41,MATCH(Sheet1!D368,Customizations!$B$2:$B$41,0),1),INDEX(About!C:C,MATCH(Sheet1!C368,About!B:B,0),1)),"")</f>
        <v>Elasticities of Production.xlsx</v>
      </c>
      <c r="J368" s="5">
        <f>IFERROR(INDEX(About!$D$34:$D$222,MATCH(Sheet1!I368,About!$C$34:$C$222,0),1),0)</f>
        <v>1</v>
      </c>
      <c r="K368" s="6">
        <f t="shared" si="11"/>
        <v>1</v>
      </c>
    </row>
    <row r="369" spans="1:11" s="3" customFormat="1" x14ac:dyDescent="0.25">
      <c r="A369" t="s">
        <v>0</v>
      </c>
      <c r="B369" t="s">
        <v>440</v>
      </c>
      <c r="C369" t="s">
        <v>476</v>
      </c>
      <c r="D369" t="s">
        <v>477</v>
      </c>
      <c r="H369" s="3" t="str">
        <f t="shared" si="10"/>
        <v>.csv</v>
      </c>
      <c r="I369" s="5" t="str">
        <f>IFERROR(IF(OR(C369="PERAC",C369="FoPITY"),INDEX(Customizations!$C$2:$C$41,MATCH(Sheet1!D369,Customizations!$B$2:$B$41,0),1),INDEX(About!C:C,MATCH(Sheet1!C369,About!B:B,0),1)),"")</f>
        <v>Foreign Leakage Rate by Industry.xlsx</v>
      </c>
      <c r="J369" s="5">
        <f>IFERROR(INDEX(About!$D$34:$D$222,MATCH(Sheet1!I369,About!$C$34:$C$222,0),1),0)</f>
        <v>1</v>
      </c>
      <c r="K369" s="6">
        <f t="shared" si="11"/>
        <v>1</v>
      </c>
    </row>
    <row r="370" spans="1:11" s="3" customFormat="1" x14ac:dyDescent="0.25">
      <c r="A370" t="s">
        <v>0</v>
      </c>
      <c r="B370" t="s">
        <v>440</v>
      </c>
      <c r="C370" t="s">
        <v>476</v>
      </c>
      <c r="D370" t="s">
        <v>478</v>
      </c>
      <c r="H370" s="3" t="str">
        <f t="shared" si="10"/>
        <v>xlsx</v>
      </c>
      <c r="I370" s="5" t="str">
        <f>IFERROR(IF(OR(C370="PERAC",C370="FoPITY"),INDEX(Customizations!$C$2:$C$41,MATCH(Sheet1!D370,Customizations!$B$2:$B$41,0),1),INDEX(About!C:C,MATCH(Sheet1!C370,About!B:B,0),1)),"")</f>
        <v>Foreign Leakage Rate by Industry.xlsx</v>
      </c>
      <c r="J370" s="5">
        <f>IFERROR(INDEX(About!$D$34:$D$222,MATCH(Sheet1!I370,About!$C$34:$C$222,0),1),0)</f>
        <v>1</v>
      </c>
      <c r="K370" s="6">
        <f t="shared" si="11"/>
        <v>0</v>
      </c>
    </row>
    <row r="371" spans="1:11" s="3" customFormat="1" x14ac:dyDescent="0.25">
      <c r="A371" t="s">
        <v>0</v>
      </c>
      <c r="B371" t="s">
        <v>440</v>
      </c>
      <c r="C371" t="s">
        <v>479</v>
      </c>
      <c r="D371" t="s">
        <v>480</v>
      </c>
      <c r="H371" s="3" t="str">
        <f t="shared" si="10"/>
        <v>.csv</v>
      </c>
      <c r="I371" s="5" t="str">
        <f>IFERROR(IF(OR(C371="PERAC",C371="FoPITY"),INDEX(Customizations!$C$2:$C$41,MATCH(Sheet1!D371,Customizations!$B$2:$B$41,0),1),INDEX(About!C:C,MATCH(Sheet1!C371,About!B:B,0),1)),"")</f>
        <v>Fraction of Inputs Supplied and Goods Purchased by Entity.xlsx</v>
      </c>
      <c r="J371" s="5">
        <f>IFERROR(INDEX(About!$D$34:$D$222,MATCH(Sheet1!I371,About!$C$34:$C$222,0),1),0)</f>
        <v>1</v>
      </c>
      <c r="K371" s="6">
        <f t="shared" si="11"/>
        <v>1</v>
      </c>
    </row>
    <row r="372" spans="1:11" s="3" customFormat="1" x14ac:dyDescent="0.25">
      <c r="A372" t="s">
        <v>0</v>
      </c>
      <c r="B372" t="s">
        <v>440</v>
      </c>
      <c r="C372" t="s">
        <v>479</v>
      </c>
      <c r="D372" t="s">
        <v>481</v>
      </c>
      <c r="H372" s="3" t="str">
        <f t="shared" si="10"/>
        <v>.csv</v>
      </c>
      <c r="I372" s="5" t="str">
        <f>IFERROR(IF(OR(C372="PERAC",C372="FoPITY"),INDEX(Customizations!$C$2:$C$41,MATCH(Sheet1!D372,Customizations!$B$2:$B$41,0),1),INDEX(About!C:C,MATCH(Sheet1!C372,About!B:B,0),1)),"")</f>
        <v>Fraction of Inputs Supplied and Goods Purchased by Entity.xlsx</v>
      </c>
      <c r="J372" s="5">
        <f>IFERROR(INDEX(About!$D$34:$D$222,MATCH(Sheet1!I372,About!$C$34:$C$222,0),1),0)</f>
        <v>1</v>
      </c>
      <c r="K372" s="6">
        <f t="shared" si="11"/>
        <v>1</v>
      </c>
    </row>
    <row r="373" spans="1:11" s="3" customFormat="1" x14ac:dyDescent="0.25">
      <c r="A373" t="s">
        <v>0</v>
      </c>
      <c r="B373" t="s">
        <v>440</v>
      </c>
      <c r="C373" t="s">
        <v>479</v>
      </c>
      <c r="D373" t="s">
        <v>482</v>
      </c>
      <c r="H373" s="3" t="str">
        <f t="shared" si="10"/>
        <v>xlsx</v>
      </c>
      <c r="I373" s="5" t="str">
        <f>IFERROR(IF(OR(C373="PERAC",C373="FoPITY"),INDEX(Customizations!$C$2:$C$41,MATCH(Sheet1!D373,Customizations!$B$2:$B$41,0),1),INDEX(About!C:C,MATCH(Sheet1!C373,About!B:B,0),1)),"")</f>
        <v>Fraction of Inputs Supplied and Goods Purchased by Entity.xlsx</v>
      </c>
      <c r="J373" s="5">
        <f>IFERROR(INDEX(About!$D$34:$D$222,MATCH(Sheet1!I373,About!$C$34:$C$222,0),1),0)</f>
        <v>1</v>
      </c>
      <c r="K373" s="6">
        <f t="shared" si="11"/>
        <v>0</v>
      </c>
    </row>
    <row r="374" spans="1:11" s="3" customFormat="1" x14ac:dyDescent="0.25">
      <c r="A374" t="s">
        <v>0</v>
      </c>
      <c r="B374" t="s">
        <v>440</v>
      </c>
      <c r="C374" t="s">
        <v>483</v>
      </c>
      <c r="D374" t="s">
        <v>484</v>
      </c>
      <c r="H374" s="3" t="str">
        <f t="shared" si="10"/>
        <v>.csv</v>
      </c>
      <c r="I374" s="5" t="str">
        <f>IFERROR(IF(OR(C374="PERAC",C374="FoPITY"),INDEX(Customizations!$C$2:$C$41,MATCH(Sheet1!D374,Customizations!$B$2:$B$41,0),1),INDEX(About!C:C,MATCH(Sheet1!C374,About!B:B,0),1)),"")</f>
        <v>Frac of Nonenergy Expenses that Vary with Production.xlsx</v>
      </c>
      <c r="J374" s="5">
        <f>IFERROR(INDEX(About!$D$34:$D$222,MATCH(Sheet1!I374,About!$C$34:$C$222,0),1),0)</f>
        <v>1</v>
      </c>
      <c r="K374" s="6">
        <f t="shared" si="11"/>
        <v>1</v>
      </c>
    </row>
    <row r="375" spans="1:11" s="3" customFormat="1" x14ac:dyDescent="0.25">
      <c r="A375" t="s">
        <v>0</v>
      </c>
      <c r="B375" t="s">
        <v>440</v>
      </c>
      <c r="C375" t="s">
        <v>483</v>
      </c>
      <c r="D375" t="s">
        <v>485</v>
      </c>
      <c r="H375" s="3" t="str">
        <f t="shared" si="10"/>
        <v>xlsx</v>
      </c>
      <c r="I375" s="5" t="str">
        <f>IFERROR(IF(OR(C375="PERAC",C375="FoPITY"),INDEX(Customizations!$C$2:$C$41,MATCH(Sheet1!D375,Customizations!$B$2:$B$41,0),1),INDEX(About!C:C,MATCH(Sheet1!C375,About!B:B,0),1)),"")</f>
        <v>Frac of Nonenergy Expenses that Vary with Production.xlsx</v>
      </c>
      <c r="J375" s="5">
        <f>IFERROR(INDEX(About!$D$34:$D$222,MATCH(Sheet1!I375,About!$C$34:$C$222,0),1),0)</f>
        <v>1</v>
      </c>
      <c r="K375" s="6">
        <f t="shared" si="11"/>
        <v>0</v>
      </c>
    </row>
    <row r="376" spans="1:11" s="3" customFormat="1" x14ac:dyDescent="0.25">
      <c r="A376" t="s">
        <v>0</v>
      </c>
      <c r="B376" t="s">
        <v>440</v>
      </c>
      <c r="C376" t="s">
        <v>486</v>
      </c>
      <c r="D376" t="s">
        <v>487</v>
      </c>
      <c r="H376" s="3" t="str">
        <f t="shared" si="10"/>
        <v>xlsx</v>
      </c>
      <c r="I376" s="5" t="str">
        <f>IFERROR(IF(OR(C376="PERAC",C376="FoPITY"),INDEX(Customizations!$C$2:$C$41,MATCH(Sheet1!D376,Customizations!$B$2:$B$41,0),1),INDEX(About!C:C,MATCH(Sheet1!C376,About!B:B,0),1)),"")</f>
        <v>Methane Heating Value.xlsx</v>
      </c>
      <c r="J376" s="5">
        <f>IFERROR(INDEX(About!$D$34:$D$222,MATCH(Sheet1!I376,About!$C$34:$C$222,0),1),0)</f>
        <v>1</v>
      </c>
      <c r="K376" s="6">
        <f t="shared" si="11"/>
        <v>0</v>
      </c>
    </row>
    <row r="377" spans="1:11" s="3" customFormat="1" x14ac:dyDescent="0.25">
      <c r="A377" t="s">
        <v>0</v>
      </c>
      <c r="B377" t="s">
        <v>440</v>
      </c>
      <c r="C377" t="s">
        <v>486</v>
      </c>
      <c r="D377" t="s">
        <v>488</v>
      </c>
      <c r="H377" s="3" t="str">
        <f t="shared" si="10"/>
        <v>.csv</v>
      </c>
      <c r="I377" s="5" t="str">
        <f>IFERROR(IF(OR(C377="PERAC",C377="FoPITY"),INDEX(Customizations!$C$2:$C$41,MATCH(Sheet1!D377,Customizations!$B$2:$B$41,0),1),INDEX(About!C:C,MATCH(Sheet1!C377,About!B:B,0),1)),"")</f>
        <v>Methane Heating Value.xlsx</v>
      </c>
      <c r="J377" s="5">
        <f>IFERROR(INDEX(About!$D$34:$D$222,MATCH(Sheet1!I377,About!$C$34:$C$222,0),1),0)</f>
        <v>1</v>
      </c>
      <c r="K377" s="6">
        <f t="shared" si="11"/>
        <v>1</v>
      </c>
    </row>
    <row r="378" spans="1:11" s="3" customFormat="1" x14ac:dyDescent="0.25">
      <c r="A378" t="s">
        <v>0</v>
      </c>
      <c r="B378" t="s">
        <v>440</v>
      </c>
      <c r="C378" t="s">
        <v>489</v>
      </c>
      <c r="D378" t="s">
        <v>1772</v>
      </c>
      <c r="H378" s="3" t="str">
        <f t="shared" si="10"/>
        <v>.csv</v>
      </c>
      <c r="I378" s="5" t="str">
        <f>IFERROR(IF(OR(C378="PERAC",C378="FoPITY"),INDEX(Customizations!$C$2:$C$41,MATCH(Sheet1!D378,Customizations!$B$2:$B$41,0),1),INDEX(About!C:C,MATCH(Sheet1!C378,About!B:B,0),1)),"")</f>
        <v/>
      </c>
      <c r="J378" s="5">
        <f>IFERROR(INDEX(About!$D$34:$D$222,MATCH(Sheet1!I378,About!$C$34:$C$222,0),1),0)</f>
        <v>0</v>
      </c>
      <c r="K378" s="6">
        <f t="shared" si="11"/>
        <v>0</v>
      </c>
    </row>
    <row r="379" spans="1:11" s="3" customFormat="1" x14ac:dyDescent="0.25">
      <c r="A379" t="s">
        <v>0</v>
      </c>
      <c r="B379" t="s">
        <v>440</v>
      </c>
      <c r="C379" t="s">
        <v>489</v>
      </c>
      <c r="D379" t="s">
        <v>1773</v>
      </c>
      <c r="H379" s="3" t="str">
        <f t="shared" si="10"/>
        <v>.csv</v>
      </c>
      <c r="I379" s="5" t="str">
        <f>IFERROR(IF(OR(C379="PERAC",C379="FoPITY"),INDEX(Customizations!$C$2:$C$41,MATCH(Sheet1!D379,Customizations!$B$2:$B$41,0),1),INDEX(About!C:C,MATCH(Sheet1!C379,About!B:B,0),1)),"")</f>
        <v/>
      </c>
      <c r="J379" s="5">
        <f>IFERROR(INDEX(About!$D$34:$D$222,MATCH(Sheet1!I379,About!$C$34:$C$222,0),1),0)</f>
        <v>0</v>
      </c>
      <c r="K379" s="6">
        <f t="shared" si="11"/>
        <v>0</v>
      </c>
    </row>
    <row r="380" spans="1:11" s="3" customFormat="1" x14ac:dyDescent="0.25">
      <c r="A380" t="s">
        <v>0</v>
      </c>
      <c r="B380" t="s">
        <v>440</v>
      </c>
      <c r="C380" t="s">
        <v>489</v>
      </c>
      <c r="D380" t="s">
        <v>1774</v>
      </c>
      <c r="H380" s="3" t="str">
        <f t="shared" si="10"/>
        <v>.csv</v>
      </c>
      <c r="I380" s="5" t="str">
        <f>IFERROR(IF(OR(C380="PERAC",C380="FoPITY"),INDEX(Customizations!$C$2:$C$41,MATCH(Sheet1!D380,Customizations!$B$2:$B$41,0),1),INDEX(About!C:C,MATCH(Sheet1!C380,About!B:B,0),1)),"")</f>
        <v/>
      </c>
      <c r="J380" s="5">
        <f>IFERROR(INDEX(About!$D$34:$D$222,MATCH(Sheet1!I380,About!$C$34:$C$222,0),1),0)</f>
        <v>0</v>
      </c>
      <c r="K380" s="6">
        <f t="shared" si="11"/>
        <v>0</v>
      </c>
    </row>
    <row r="381" spans="1:11" s="3" customFormat="1" x14ac:dyDescent="0.25">
      <c r="A381" t="s">
        <v>0</v>
      </c>
      <c r="B381" t="s">
        <v>440</v>
      </c>
      <c r="C381" t="s">
        <v>489</v>
      </c>
      <c r="D381" t="s">
        <v>1775</v>
      </c>
      <c r="H381" s="3" t="str">
        <f t="shared" si="10"/>
        <v>.csv</v>
      </c>
      <c r="I381" s="5" t="str">
        <f>IFERROR(IF(OR(C381="PERAC",C381="FoPITY"),INDEX(Customizations!$C$2:$C$41,MATCH(Sheet1!D381,Customizations!$B$2:$B$41,0),1),INDEX(About!C:C,MATCH(Sheet1!C381,About!B:B,0),1)),"")</f>
        <v/>
      </c>
      <c r="J381" s="5">
        <f>IFERROR(INDEX(About!$D$34:$D$222,MATCH(Sheet1!I381,About!$C$34:$C$222,0),1),0)</f>
        <v>0</v>
      </c>
      <c r="K381" s="6">
        <f t="shared" si="11"/>
        <v>0</v>
      </c>
    </row>
    <row r="382" spans="1:11" s="3" customFormat="1" x14ac:dyDescent="0.25">
      <c r="A382" t="s">
        <v>0</v>
      </c>
      <c r="B382" t="s">
        <v>440</v>
      </c>
      <c r="C382" t="s">
        <v>489</v>
      </c>
      <c r="D382" t="s">
        <v>1776</v>
      </c>
      <c r="H382" s="3" t="str">
        <f t="shared" si="10"/>
        <v>.csv</v>
      </c>
      <c r="I382" s="5" t="str">
        <f>IFERROR(IF(OR(C382="PERAC",C382="FoPITY"),INDEX(Customizations!$C$2:$C$41,MATCH(Sheet1!D382,Customizations!$B$2:$B$41,0),1),INDEX(About!C:C,MATCH(Sheet1!C382,About!B:B,0),1)),"")</f>
        <v/>
      </c>
      <c r="J382" s="5">
        <f>IFERROR(INDEX(About!$D$34:$D$222,MATCH(Sheet1!I382,About!$C$34:$C$222,0),1),0)</f>
        <v>0</v>
      </c>
      <c r="K382" s="6">
        <f t="shared" si="11"/>
        <v>0</v>
      </c>
    </row>
    <row r="383" spans="1:11" s="3" customFormat="1" x14ac:dyDescent="0.25">
      <c r="A383" t="s">
        <v>0</v>
      </c>
      <c r="B383" t="s">
        <v>440</v>
      </c>
      <c r="C383" t="s">
        <v>489</v>
      </c>
      <c r="D383" t="s">
        <v>1777</v>
      </c>
      <c r="E383" s="3" t="s">
        <v>505</v>
      </c>
      <c r="H383" s="3" t="str">
        <f t="shared" si="10"/>
        <v>.csv</v>
      </c>
      <c r="I383" s="5" t="str">
        <f>IFERROR(IF(OR(C383="PERAC",C383="FoPITY"),INDEX(Customizations!$C$2:$C$41,MATCH(Sheet1!D383,Customizations!$B$2:$B$41,0),1),INDEX(About!C:C,MATCH(Sheet1!C383,About!B:B,0),1)),"")</f>
        <v/>
      </c>
      <c r="J383" s="5">
        <f>IFERROR(INDEX(About!$D$34:$D$222,MATCH(Sheet1!I383,About!$C$34:$C$222,0),1),0)</f>
        <v>0</v>
      </c>
      <c r="K383" s="6">
        <f t="shared" si="11"/>
        <v>0</v>
      </c>
    </row>
    <row r="384" spans="1:11" s="3" customFormat="1" x14ac:dyDescent="0.25">
      <c r="A384" t="s">
        <v>0</v>
      </c>
      <c r="B384" t="s">
        <v>440</v>
      </c>
      <c r="C384" t="s">
        <v>489</v>
      </c>
      <c r="D384" t="s">
        <v>1778</v>
      </c>
      <c r="E384" s="3" t="s">
        <v>506</v>
      </c>
      <c r="H384" s="3" t="str">
        <f t="shared" si="10"/>
        <v>.csv</v>
      </c>
      <c r="I384" s="5" t="str">
        <f>IFERROR(IF(OR(C384="PERAC",C384="FoPITY"),INDEX(Customizations!$C$2:$C$41,MATCH(Sheet1!D384,Customizations!$B$2:$B$41,0),1),INDEX(About!C:C,MATCH(Sheet1!C384,About!B:B,0),1)),"")</f>
        <v/>
      </c>
      <c r="J384" s="5">
        <f>IFERROR(INDEX(About!$D$34:$D$222,MATCH(Sheet1!I384,About!$C$34:$C$222,0),1),0)</f>
        <v>0</v>
      </c>
      <c r="K384" s="6">
        <f t="shared" si="11"/>
        <v>0</v>
      </c>
    </row>
    <row r="385" spans="1:11" s="3" customFormat="1" x14ac:dyDescent="0.25">
      <c r="A385" t="s">
        <v>0</v>
      </c>
      <c r="B385" t="s">
        <v>440</v>
      </c>
      <c r="C385" t="s">
        <v>489</v>
      </c>
      <c r="D385" t="s">
        <v>1779</v>
      </c>
      <c r="E385" s="3" t="s">
        <v>507</v>
      </c>
      <c r="H385" s="3" t="str">
        <f t="shared" si="10"/>
        <v>.csv</v>
      </c>
      <c r="I385" s="5" t="str">
        <f>IFERROR(IF(OR(C385="PERAC",C385="FoPITY"),INDEX(Customizations!$C$2:$C$41,MATCH(Sheet1!D385,Customizations!$B$2:$B$41,0),1),INDEX(About!C:C,MATCH(Sheet1!C385,About!B:B,0),1)),"")</f>
        <v/>
      </c>
      <c r="J385" s="5">
        <f>IFERROR(INDEX(About!$D$34:$D$222,MATCH(Sheet1!I385,About!$C$34:$C$222,0),1),0)</f>
        <v>0</v>
      </c>
      <c r="K385" s="6">
        <f t="shared" si="11"/>
        <v>0</v>
      </c>
    </row>
    <row r="386" spans="1:11" s="7" customFormat="1" x14ac:dyDescent="0.25">
      <c r="A386" t="s">
        <v>0</v>
      </c>
      <c r="B386" t="s">
        <v>440</v>
      </c>
      <c r="C386" t="s">
        <v>489</v>
      </c>
      <c r="D386" t="s">
        <v>1780</v>
      </c>
      <c r="E386" s="7" t="s">
        <v>509</v>
      </c>
      <c r="H386" s="7" t="str">
        <f t="shared" si="10"/>
        <v>.csv</v>
      </c>
      <c r="I386" s="5" t="str">
        <f>IFERROR(IF(OR(C386="PERAC",C386="FoPITY"),INDEX(Customizations!$C$2:$C$41,MATCH(Sheet1!D386,Customizations!$B$2:$B$41,0),1),INDEX(About!C:C,MATCH(Sheet1!C386,About!B:B,0),1)),"")</f>
        <v/>
      </c>
      <c r="J386" s="5">
        <f>IFERROR(INDEX(About!$D$34:$D$222,MATCH(Sheet1!I386,About!$C$34:$C$222,0),1),0)</f>
        <v>0</v>
      </c>
      <c r="K386" s="6">
        <f t="shared" si="11"/>
        <v>0</v>
      </c>
    </row>
    <row r="387" spans="1:11" x14ac:dyDescent="0.25">
      <c r="A387" t="s">
        <v>0</v>
      </c>
      <c r="B387" t="s">
        <v>440</v>
      </c>
      <c r="C387" t="s">
        <v>489</v>
      </c>
      <c r="D387" t="s">
        <v>1781</v>
      </c>
      <c r="E387" t="s">
        <v>510</v>
      </c>
      <c r="H387" t="str">
        <f t="shared" si="10"/>
        <v>.csv</v>
      </c>
      <c r="I387" s="5" t="str">
        <f>IFERROR(IF(OR(C387="PERAC",C387="FoPITY"),INDEX(Customizations!$C$2:$C$41,MATCH(Sheet1!D387,Customizations!$B$2:$B$41,0),1),INDEX(About!C:C,MATCH(Sheet1!C387,About!B:B,0),1)),"")</f>
        <v/>
      </c>
      <c r="J387" s="5">
        <f>IFERROR(INDEX(About!$D$34:$D$222,MATCH(Sheet1!I387,About!$C$34:$C$222,0),1),0)</f>
        <v>0</v>
      </c>
      <c r="K387" s="6">
        <f t="shared" si="11"/>
        <v>0</v>
      </c>
    </row>
    <row r="388" spans="1:11" x14ac:dyDescent="0.25">
      <c r="A388" t="s">
        <v>0</v>
      </c>
      <c r="B388" t="s">
        <v>440</v>
      </c>
      <c r="C388" t="s">
        <v>489</v>
      </c>
      <c r="D388" t="s">
        <v>1782</v>
      </c>
      <c r="H388" t="str">
        <f t="shared" si="10"/>
        <v>.csv</v>
      </c>
      <c r="I388" s="5" t="str">
        <f>IFERROR(IF(OR(C388="PERAC",C388="FoPITY"),INDEX(Customizations!$C$2:$C$41,MATCH(Sheet1!D388,Customizations!$B$2:$B$41,0),1),INDEX(About!C:C,MATCH(Sheet1!C388,About!B:B,0),1)),"")</f>
        <v/>
      </c>
      <c r="J388" s="5">
        <f>IFERROR(INDEX(About!$D$34:$D$222,MATCH(Sheet1!I388,About!$C$34:$C$222,0),1),0)</f>
        <v>0</v>
      </c>
      <c r="K388" s="6">
        <f t="shared" si="11"/>
        <v>0</v>
      </c>
    </row>
    <row r="389" spans="1:11" x14ac:dyDescent="0.25">
      <c r="A389" t="s">
        <v>0</v>
      </c>
      <c r="B389" t="s">
        <v>440</v>
      </c>
      <c r="C389" t="s">
        <v>489</v>
      </c>
      <c r="D389" t="s">
        <v>1783</v>
      </c>
      <c r="H389" t="str">
        <f t="shared" ref="H389:H453" si="12">RIGHT(D389,"4")</f>
        <v>.csv</v>
      </c>
      <c r="I389" s="5" t="str">
        <f>IFERROR(IF(OR(C389="PERAC",C389="FoPITY"),INDEX(Customizations!$C$2:$C$41,MATCH(Sheet1!D389,Customizations!$B$2:$B$41,0),1),INDEX(About!C:C,MATCH(Sheet1!C389,About!B:B,0),1)),"")</f>
        <v/>
      </c>
      <c r="J389" s="5">
        <f>IFERROR(INDEX(About!$D$34:$D$222,MATCH(Sheet1!I389,About!$C$34:$C$222,0),1),0)</f>
        <v>0</v>
      </c>
      <c r="K389" s="6">
        <f t="shared" ref="K389:K453" si="13">IF(H389=".csv",1,0)*J389</f>
        <v>0</v>
      </c>
    </row>
    <row r="390" spans="1:11" x14ac:dyDescent="0.25">
      <c r="A390" t="s">
        <v>0</v>
      </c>
      <c r="B390" t="s">
        <v>440</v>
      </c>
      <c r="C390" t="s">
        <v>489</v>
      </c>
      <c r="D390" t="s">
        <v>1784</v>
      </c>
      <c r="H390" t="str">
        <f t="shared" si="12"/>
        <v>.csv</v>
      </c>
      <c r="I390" s="5" t="str">
        <f>IFERROR(IF(OR(C390="PERAC",C390="FoPITY"),INDEX(Customizations!$C$2:$C$41,MATCH(Sheet1!D390,Customizations!$B$2:$B$41,0),1),INDEX(About!C:C,MATCH(Sheet1!C390,About!B:B,0),1)),"")</f>
        <v/>
      </c>
      <c r="J390" s="5">
        <f>IFERROR(INDEX(About!$D$34:$D$222,MATCH(Sheet1!I390,About!$C$34:$C$222,0),1),0)</f>
        <v>0</v>
      </c>
      <c r="K390" s="6">
        <f t="shared" si="13"/>
        <v>0</v>
      </c>
    </row>
    <row r="391" spans="1:11" x14ac:dyDescent="0.25">
      <c r="A391" t="s">
        <v>0</v>
      </c>
      <c r="B391" t="s">
        <v>440</v>
      </c>
      <c r="C391" t="s">
        <v>489</v>
      </c>
      <c r="D391" t="s">
        <v>1785</v>
      </c>
      <c r="H391" t="str">
        <f t="shared" si="12"/>
        <v>.csv</v>
      </c>
      <c r="I391" s="5" t="str">
        <f>IFERROR(IF(OR(C391="PERAC",C391="FoPITY"),INDEX(Customizations!$C$2:$C$41,MATCH(Sheet1!D391,Customizations!$B$2:$B$41,0),1),INDEX(About!C:C,MATCH(Sheet1!C391,About!B:B,0),1)),"")</f>
        <v/>
      </c>
      <c r="J391" s="5">
        <f>IFERROR(INDEX(About!$D$34:$D$222,MATCH(Sheet1!I391,About!$C$34:$C$222,0),1),0)</f>
        <v>0</v>
      </c>
      <c r="K391" s="6">
        <f t="shared" si="13"/>
        <v>0</v>
      </c>
    </row>
    <row r="392" spans="1:11" x14ac:dyDescent="0.25">
      <c r="A392" t="s">
        <v>0</v>
      </c>
      <c r="B392" t="s">
        <v>440</v>
      </c>
      <c r="C392" t="s">
        <v>489</v>
      </c>
      <c r="D392" t="s">
        <v>1786</v>
      </c>
      <c r="H392" t="str">
        <f t="shared" si="12"/>
        <v>xlsx</v>
      </c>
      <c r="I392" s="5" t="str">
        <f>IFERROR(IF(OR(C392="PERAC",C392="FoPITY"),INDEX(Customizations!$C$2:$C$41,MATCH(Sheet1!D392,Customizations!$B$2:$B$41,0),1),INDEX(About!C:C,MATCH(Sheet1!C392,About!B:B,0),1)),"")</f>
        <v/>
      </c>
      <c r="J392" s="5">
        <f>IFERROR(INDEX(About!$D$34:$D$222,MATCH(Sheet1!I392,About!$C$34:$C$222,0),1),0)</f>
        <v>0</v>
      </c>
      <c r="K392" s="6">
        <f t="shared" si="13"/>
        <v>0</v>
      </c>
    </row>
    <row r="393" spans="1:11" x14ac:dyDescent="0.25">
      <c r="A393" t="s">
        <v>0</v>
      </c>
      <c r="B393" t="s">
        <v>440</v>
      </c>
      <c r="C393" t="s">
        <v>512</v>
      </c>
      <c r="D393" t="s">
        <v>513</v>
      </c>
      <c r="H393" t="str">
        <f t="shared" si="12"/>
        <v>xlsx</v>
      </c>
      <c r="I393" s="5" t="str">
        <f>IFERROR(IF(OR(C393="PERAC",C393="FoPITY"),INDEX(Customizations!$C$2:$C$41,MATCH(Sheet1!D393,Customizations!$B$2:$B$41,0),1),INDEX(About!C:C,MATCH(Sheet1!C393,About!B:B,0),1)),"")</f>
        <v>Perc Indst Fuel Use Reduction for Elec.xlsx</v>
      </c>
      <c r="J393" s="5">
        <f>IFERROR(INDEX(About!$D$34:$D$222,MATCH(Sheet1!I393,About!$C$34:$C$222,0),1),0)</f>
        <v>1</v>
      </c>
      <c r="K393" s="6">
        <f t="shared" si="13"/>
        <v>0</v>
      </c>
    </row>
    <row r="394" spans="1:11" x14ac:dyDescent="0.25">
      <c r="A394" t="s">
        <v>0</v>
      </c>
      <c r="B394" t="s">
        <v>440</v>
      </c>
      <c r="C394" t="s">
        <v>512</v>
      </c>
      <c r="D394" t="s">
        <v>514</v>
      </c>
      <c r="H394" t="str">
        <f t="shared" si="12"/>
        <v>.csv</v>
      </c>
      <c r="I394" s="5" t="str">
        <f>IFERROR(IF(OR(C394="PERAC",C394="FoPITY"),INDEX(Customizations!$C$2:$C$41,MATCH(Sheet1!D394,Customizations!$B$2:$B$41,0),1),INDEX(About!C:C,MATCH(Sheet1!C394,About!B:B,0),1)),"")</f>
        <v>Perc Indst Fuel Use Reduction for Elec.xlsx</v>
      </c>
      <c r="J394" s="5">
        <f>IFERROR(INDEX(About!$D$34:$D$222,MATCH(Sheet1!I394,About!$C$34:$C$222,0),1),0)</f>
        <v>1</v>
      </c>
      <c r="K394" s="6">
        <f t="shared" si="13"/>
        <v>1</v>
      </c>
    </row>
    <row r="395" spans="1:11" x14ac:dyDescent="0.25">
      <c r="A395" t="s">
        <v>0</v>
      </c>
      <c r="B395" t="s">
        <v>440</v>
      </c>
      <c r="C395" t="s">
        <v>515</v>
      </c>
      <c r="D395" t="s">
        <v>516</v>
      </c>
      <c r="H395" t="str">
        <f t="shared" si="12"/>
        <v>xlsx</v>
      </c>
      <c r="I395" s="5" t="str">
        <f>IFERROR(IF(OR(C395="PERAC",C395="FoPITY"),INDEX(Customizations!$C$2:$C$41,MATCH(Sheet1!D395,Customizations!$B$2:$B$41,0),1),INDEX(About!C:C,MATCH(Sheet1!C395,About!B:B,0),1)),"")</f>
        <v>Pot Perc Reduction in Fuel Use from Early Retirement.xlsx</v>
      </c>
      <c r="J395" s="5">
        <f>IFERROR(INDEX(About!$D$34:$D$222,MATCH(Sheet1!I395,About!$C$34:$C$222,0),1),0)</f>
        <v>1</v>
      </c>
      <c r="K395" s="6">
        <f t="shared" si="13"/>
        <v>0</v>
      </c>
    </row>
    <row r="396" spans="1:11" x14ac:dyDescent="0.25">
      <c r="A396" t="s">
        <v>0</v>
      </c>
      <c r="B396" t="s">
        <v>440</v>
      </c>
      <c r="C396" t="s">
        <v>515</v>
      </c>
      <c r="D396" t="s">
        <v>517</v>
      </c>
      <c r="H396" t="str">
        <f t="shared" si="12"/>
        <v>.csv</v>
      </c>
      <c r="I396" s="5" t="str">
        <f>IFERROR(IF(OR(C396="PERAC",C396="FoPITY"),INDEX(Customizations!$C$2:$C$41,MATCH(Sheet1!D396,Customizations!$B$2:$B$41,0),1),INDEX(About!C:C,MATCH(Sheet1!C396,About!B:B,0),1)),"")</f>
        <v>Pot Perc Reduction in Fuel Use from Early Retirement.xlsx</v>
      </c>
      <c r="J396" s="5">
        <f>IFERROR(INDEX(About!$D$34:$D$222,MATCH(Sheet1!I396,About!$C$34:$C$222,0),1),0)</f>
        <v>1</v>
      </c>
      <c r="K396" s="6">
        <f t="shared" si="13"/>
        <v>1</v>
      </c>
    </row>
    <row r="397" spans="1:11" x14ac:dyDescent="0.25">
      <c r="A397" t="s">
        <v>0</v>
      </c>
      <c r="B397" t="s">
        <v>440</v>
      </c>
      <c r="C397" t="s">
        <v>518</v>
      </c>
      <c r="D397" t="s">
        <v>519</v>
      </c>
      <c r="H397" t="str">
        <f t="shared" si="12"/>
        <v>xlsx</v>
      </c>
      <c r="I397" s="5" t="str">
        <f>IFERROR(IF(OR(C397="PERAC",C397="FoPITY"),INDEX(Customizations!$C$2:$C$41,MATCH(Sheet1!D397,Customizations!$B$2:$B$41,0),1),INDEX(About!C:C,MATCH(Sheet1!C397,About!B:B,0),1)),"")</f>
        <v>Pot Perc Red in Fuel Use fr Inc Cogen and WHR.xlsx</v>
      </c>
      <c r="J397" s="5">
        <f>IFERROR(INDEX(About!$D$34:$D$222,MATCH(Sheet1!I397,About!$C$34:$C$222,0),1),0)</f>
        <v>1</v>
      </c>
      <c r="K397" s="6">
        <f t="shared" si="13"/>
        <v>0</v>
      </c>
    </row>
    <row r="398" spans="1:11" x14ac:dyDescent="0.25">
      <c r="A398" t="s">
        <v>0</v>
      </c>
      <c r="B398" t="s">
        <v>440</v>
      </c>
      <c r="C398" t="s">
        <v>518</v>
      </c>
      <c r="D398" t="s">
        <v>520</v>
      </c>
      <c r="H398" t="str">
        <f t="shared" si="12"/>
        <v>.csv</v>
      </c>
      <c r="I398" s="5" t="str">
        <f>IFERROR(IF(OR(C398="PERAC",C398="FoPITY"),INDEX(Customizations!$C$2:$C$41,MATCH(Sheet1!D398,Customizations!$B$2:$B$41,0),1),INDEX(About!C:C,MATCH(Sheet1!C398,About!B:B,0),1)),"")</f>
        <v>Pot Perc Red in Fuel Use fr Inc Cogen and WHR.xlsx</v>
      </c>
      <c r="J398" s="5">
        <f>IFERROR(INDEX(About!$D$34:$D$222,MATCH(Sheet1!I398,About!$C$34:$C$222,0),1),0)</f>
        <v>1</v>
      </c>
      <c r="K398" s="6">
        <f t="shared" si="13"/>
        <v>1</v>
      </c>
    </row>
    <row r="399" spans="1:11" x14ac:dyDescent="0.25">
      <c r="A399" t="s">
        <v>0</v>
      </c>
      <c r="B399" t="s">
        <v>440</v>
      </c>
      <c r="C399" t="s">
        <v>521</v>
      </c>
      <c r="D399" t="s">
        <v>522</v>
      </c>
      <c r="H399" t="str">
        <f t="shared" si="12"/>
        <v>xlsx</v>
      </c>
      <c r="I399" s="5" t="str">
        <f>IFERROR(IF(OR(C399="PERAC",C399="FoPITY"),INDEX(Customizations!$C$2:$C$41,MATCH(Sheet1!D399,Customizations!$B$2:$B$41,0),1),INDEX(About!C:C,MATCH(Sheet1!C399,About!B:B,0),1)),"")</f>
        <v>Pot Perc Red in Fuel Use fr Impr Inst and Integ of Eqpt.xlsx</v>
      </c>
      <c r="J399" s="5">
        <f>IFERROR(INDEX(About!$D$34:$D$222,MATCH(Sheet1!I399,About!$C$34:$C$222,0),1),0)</f>
        <v>1</v>
      </c>
      <c r="K399" s="6">
        <f t="shared" si="13"/>
        <v>0</v>
      </c>
    </row>
    <row r="400" spans="1:11" x14ac:dyDescent="0.25">
      <c r="A400" t="s">
        <v>0</v>
      </c>
      <c r="B400" t="s">
        <v>440</v>
      </c>
      <c r="C400" t="s">
        <v>521</v>
      </c>
      <c r="D400" t="s">
        <v>523</v>
      </c>
      <c r="H400" t="str">
        <f t="shared" si="12"/>
        <v>.csv</v>
      </c>
      <c r="I400" s="5" t="str">
        <f>IFERROR(IF(OR(C400="PERAC",C400="FoPITY"),INDEX(Customizations!$C$2:$C$41,MATCH(Sheet1!D400,Customizations!$B$2:$B$41,0),1),INDEX(About!C:C,MATCH(Sheet1!C400,About!B:B,0),1)),"")</f>
        <v>Pot Perc Red in Fuel Use fr Impr Inst and Integ of Eqpt.xlsx</v>
      </c>
      <c r="J400" s="5">
        <f>IFERROR(INDEX(About!$D$34:$D$222,MATCH(Sheet1!I400,About!$C$34:$C$222,0),1),0)</f>
        <v>1</v>
      </c>
      <c r="K400" s="6">
        <f t="shared" si="13"/>
        <v>1</v>
      </c>
    </row>
    <row r="401" spans="1:11" x14ac:dyDescent="0.25">
      <c r="A401" t="s">
        <v>0</v>
      </c>
      <c r="B401" t="s">
        <v>440</v>
      </c>
      <c r="C401" t="s">
        <v>524</v>
      </c>
      <c r="D401" t="s">
        <v>525</v>
      </c>
      <c r="H401" t="str">
        <f t="shared" si="12"/>
        <v>xlsx</v>
      </c>
      <c r="I401" s="5" t="str">
        <f>IFERROR(IF(OR(C401="PERAC",C401="FoPITY"),INDEX(Customizations!$C$2:$C$41,MATCH(Sheet1!D401,Customizations!$B$2:$B$41,0),1),INDEX(About!C:C,MATCH(Sheet1!C401,About!B:B,0),1)),"")</f>
        <v>Recipient Industrial Fuel Fractions.xlsx</v>
      </c>
      <c r="J401" s="5">
        <f>IFERROR(INDEX(About!$D$34:$D$222,MATCH(Sheet1!I401,About!$C$34:$C$222,0),1),0)</f>
        <v>1</v>
      </c>
      <c r="K401" s="6">
        <f t="shared" si="13"/>
        <v>0</v>
      </c>
    </row>
    <row r="402" spans="1:11" x14ac:dyDescent="0.25">
      <c r="A402" t="s">
        <v>0</v>
      </c>
      <c r="B402" t="s">
        <v>440</v>
      </c>
      <c r="C402" t="s">
        <v>524</v>
      </c>
      <c r="D402" t="s">
        <v>526</v>
      </c>
      <c r="H402" t="str">
        <f t="shared" si="12"/>
        <v>.csv</v>
      </c>
      <c r="I402" s="5" t="str">
        <f>IFERROR(IF(OR(C402="PERAC",C402="FoPITY"),INDEX(Customizations!$C$2:$C$41,MATCH(Sheet1!D402,Customizations!$B$2:$B$41,0),1),INDEX(About!C:C,MATCH(Sheet1!C402,About!B:B,0),1)),"")</f>
        <v>Recipient Industrial Fuel Fractions.xlsx</v>
      </c>
      <c r="J402" s="5">
        <f>IFERROR(INDEX(About!$D$34:$D$222,MATCH(Sheet1!I402,About!$C$34:$C$222,0),1),0)</f>
        <v>1</v>
      </c>
      <c r="K402" s="6">
        <f t="shared" si="13"/>
        <v>1</v>
      </c>
    </row>
    <row r="403" spans="1:11" x14ac:dyDescent="0.25">
      <c r="A403" t="s">
        <v>0</v>
      </c>
      <c r="B403" t="s">
        <v>440</v>
      </c>
      <c r="C403" t="s">
        <v>524</v>
      </c>
      <c r="D403" t="s">
        <v>527</v>
      </c>
      <c r="H403" t="str">
        <f t="shared" si="12"/>
        <v>.csv</v>
      </c>
      <c r="I403" s="5" t="str">
        <f>IFERROR(IF(OR(C403="PERAC",C403="FoPITY"),INDEX(Customizations!$C$2:$C$41,MATCH(Sheet1!D403,Customizations!$B$2:$B$41,0),1),INDEX(About!C:C,MATCH(Sheet1!C403,About!B:B,0),1)),"")</f>
        <v>Recipient Industrial Fuel Fractions.xlsx</v>
      </c>
      <c r="J403" s="5">
        <f>IFERROR(INDEX(About!$D$34:$D$222,MATCH(Sheet1!I403,About!$C$34:$C$222,0),1),0)</f>
        <v>1</v>
      </c>
      <c r="K403" s="6">
        <f t="shared" si="13"/>
        <v>1</v>
      </c>
    </row>
    <row r="404" spans="1:11" x14ac:dyDescent="0.25">
      <c r="A404" t="s">
        <v>0</v>
      </c>
      <c r="B404" t="s">
        <v>440</v>
      </c>
      <c r="C404" t="s">
        <v>524</v>
      </c>
      <c r="D404" t="s">
        <v>528</v>
      </c>
      <c r="H404" t="str">
        <f t="shared" si="12"/>
        <v>.csv</v>
      </c>
      <c r="I404" s="5" t="str">
        <f>IFERROR(IF(OR(C404="PERAC",C404="FoPITY"),INDEX(Customizations!$C$2:$C$41,MATCH(Sheet1!D404,Customizations!$B$2:$B$41,0),1),INDEX(About!C:C,MATCH(Sheet1!C404,About!B:B,0),1)),"")</f>
        <v>Recipient Industrial Fuel Fractions.xlsx</v>
      </c>
      <c r="J404" s="5">
        <f>IFERROR(INDEX(About!$D$34:$D$222,MATCH(Sheet1!I404,About!$C$34:$C$222,0),1),0)</f>
        <v>1</v>
      </c>
      <c r="K404" s="6">
        <f t="shared" si="13"/>
        <v>1</v>
      </c>
    </row>
    <row r="405" spans="1:11" x14ac:dyDescent="0.25">
      <c r="A405" t="s">
        <v>0</v>
      </c>
      <c r="B405" t="s">
        <v>440</v>
      </c>
      <c r="C405" t="s">
        <v>524</v>
      </c>
      <c r="D405" t="s">
        <v>529</v>
      </c>
      <c r="H405" t="str">
        <f t="shared" si="12"/>
        <v>.csv</v>
      </c>
      <c r="I405" s="5" t="str">
        <f>IFERROR(IF(OR(C405="PERAC",C405="FoPITY"),INDEX(Customizations!$C$2:$C$41,MATCH(Sheet1!D405,Customizations!$B$2:$B$41,0),1),INDEX(About!C:C,MATCH(Sheet1!C405,About!B:B,0),1)),"")</f>
        <v>Recipient Industrial Fuel Fractions.xlsx</v>
      </c>
      <c r="J405" s="5">
        <f>IFERROR(INDEX(About!$D$34:$D$222,MATCH(Sheet1!I405,About!$C$34:$C$222,0),1),0)</f>
        <v>1</v>
      </c>
      <c r="K405" s="6">
        <f t="shared" si="13"/>
        <v>1</v>
      </c>
    </row>
    <row r="406" spans="1:11" x14ac:dyDescent="0.25">
      <c r="A406" t="s">
        <v>0</v>
      </c>
      <c r="B406" t="s">
        <v>440</v>
      </c>
      <c r="C406" t="s">
        <v>524</v>
      </c>
      <c r="D406" t="s">
        <v>530</v>
      </c>
      <c r="H406" t="str">
        <f t="shared" si="12"/>
        <v>.csv</v>
      </c>
      <c r="I406" s="5" t="str">
        <f>IFERROR(IF(OR(C406="PERAC",C406="FoPITY"),INDEX(Customizations!$C$2:$C$41,MATCH(Sheet1!D406,Customizations!$B$2:$B$41,0),1),INDEX(About!C:C,MATCH(Sheet1!C406,About!B:B,0),1)),"")</f>
        <v>Recipient Industrial Fuel Fractions.xlsx</v>
      </c>
      <c r="J406" s="5">
        <f>IFERROR(INDEX(About!$D$34:$D$222,MATCH(Sheet1!I406,About!$C$34:$C$222,0),1),0)</f>
        <v>1</v>
      </c>
      <c r="K406" s="6">
        <f t="shared" si="13"/>
        <v>1</v>
      </c>
    </row>
    <row r="407" spans="1:11" x14ac:dyDescent="0.25">
      <c r="A407" t="s">
        <v>0</v>
      </c>
      <c r="B407" t="s">
        <v>440</v>
      </c>
      <c r="C407" t="s">
        <v>524</v>
      </c>
      <c r="D407" t="s">
        <v>531</v>
      </c>
      <c r="H407" t="str">
        <f t="shared" si="12"/>
        <v>.csv</v>
      </c>
      <c r="I407" s="5" t="str">
        <f>IFERROR(IF(OR(C407="PERAC",C407="FoPITY"),INDEX(Customizations!$C$2:$C$41,MATCH(Sheet1!D407,Customizations!$B$2:$B$41,0),1),INDEX(About!C:C,MATCH(Sheet1!C407,About!B:B,0),1)),"")</f>
        <v>Recipient Industrial Fuel Fractions.xlsx</v>
      </c>
      <c r="J407" s="5">
        <f>IFERROR(INDEX(About!$D$34:$D$222,MATCH(Sheet1!I407,About!$C$34:$C$222,0),1),0)</f>
        <v>1</v>
      </c>
      <c r="K407" s="6">
        <f t="shared" si="13"/>
        <v>1</v>
      </c>
    </row>
    <row r="408" spans="1:11" x14ac:dyDescent="0.25">
      <c r="A408" t="s">
        <v>0</v>
      </c>
      <c r="B408" t="s">
        <v>440</v>
      </c>
      <c r="C408" t="s">
        <v>524</v>
      </c>
      <c r="D408" t="s">
        <v>532</v>
      </c>
      <c r="H408" t="str">
        <f t="shared" si="12"/>
        <v>.csv</v>
      </c>
      <c r="I408" s="5" t="str">
        <f>IFERROR(IF(OR(C408="PERAC",C408="FoPITY"),INDEX(Customizations!$C$2:$C$41,MATCH(Sheet1!D408,Customizations!$B$2:$B$41,0),1),INDEX(About!C:C,MATCH(Sheet1!C408,About!B:B,0),1)),"")</f>
        <v>Recipient Industrial Fuel Fractions.xlsx</v>
      </c>
      <c r="J408" s="5">
        <f>IFERROR(INDEX(About!$D$34:$D$222,MATCH(Sheet1!I408,About!$C$34:$C$222,0),1),0)</f>
        <v>1</v>
      </c>
      <c r="K408" s="6">
        <f t="shared" si="13"/>
        <v>1</v>
      </c>
    </row>
    <row r="409" spans="1:11" x14ac:dyDescent="0.25">
      <c r="A409" t="s">
        <v>0</v>
      </c>
      <c r="B409" t="s">
        <v>440</v>
      </c>
      <c r="C409" t="s">
        <v>524</v>
      </c>
      <c r="D409" t="s">
        <v>533</v>
      </c>
      <c r="H409" t="str">
        <f t="shared" si="12"/>
        <v>.csv</v>
      </c>
      <c r="I409" s="5" t="str">
        <f>IFERROR(IF(OR(C409="PERAC",C409="FoPITY"),INDEX(Customizations!$C$2:$C$41,MATCH(Sheet1!D409,Customizations!$B$2:$B$41,0),1),INDEX(About!C:C,MATCH(Sheet1!C409,About!B:B,0),1)),"")</f>
        <v>Recipient Industrial Fuel Fractions.xlsx</v>
      </c>
      <c r="J409" s="5">
        <f>IFERROR(INDEX(About!$D$34:$D$222,MATCH(Sheet1!I409,About!$C$34:$C$222,0),1),0)</f>
        <v>1</v>
      </c>
      <c r="K409" s="6">
        <f t="shared" si="13"/>
        <v>1</v>
      </c>
    </row>
    <row r="410" spans="1:11" x14ac:dyDescent="0.25">
      <c r="A410" t="s">
        <v>0</v>
      </c>
      <c r="B410" t="s">
        <v>440</v>
      </c>
      <c r="C410" t="s">
        <v>534</v>
      </c>
      <c r="D410" t="s">
        <v>535</v>
      </c>
      <c r="H410" t="str">
        <f t="shared" si="12"/>
        <v>xlsx</v>
      </c>
      <c r="I410" s="5" t="str">
        <f>IFERROR(IF(OR(C410="PERAC",C410="FoPITY"),INDEX(Customizations!$C$2:$C$41,MATCH(Sheet1!D410,Customizations!$B$2:$B$41,0),1),INDEX(About!C:C,MATCH(Sheet1!C410,About!B:B,0),1)),"")</f>
        <v>Ratio of ppl supportable on plt bsd vs omnivorous diet.xlsx</v>
      </c>
      <c r="J410" s="5">
        <f>IFERROR(INDEX(About!$D$34:$D$222,MATCH(Sheet1!I410,About!$C$34:$C$222,0),1),0)</f>
        <v>1</v>
      </c>
      <c r="K410" s="6">
        <f t="shared" si="13"/>
        <v>0</v>
      </c>
    </row>
    <row r="411" spans="1:11" x14ac:dyDescent="0.25">
      <c r="A411" t="s">
        <v>0</v>
      </c>
      <c r="B411" t="s">
        <v>440</v>
      </c>
      <c r="C411" t="s">
        <v>534</v>
      </c>
      <c r="D411" t="s">
        <v>536</v>
      </c>
      <c r="H411" t="str">
        <f t="shared" si="12"/>
        <v>.csv</v>
      </c>
      <c r="I411" s="5" t="str">
        <f>IFERROR(IF(OR(C411="PERAC",C411="FoPITY"),INDEX(Customizations!$C$2:$C$41,MATCH(Sheet1!D411,Customizations!$B$2:$B$41,0),1),INDEX(About!C:C,MATCH(Sheet1!C411,About!B:B,0),1)),"")</f>
        <v>Ratio of ppl supportable on plt bsd vs omnivorous diet.xlsx</v>
      </c>
      <c r="J411" s="5">
        <f>IFERROR(INDEX(About!$D$34:$D$222,MATCH(Sheet1!I411,About!$C$34:$C$222,0),1),0)</f>
        <v>1</v>
      </c>
      <c r="K411" s="6">
        <f t="shared" si="13"/>
        <v>1</v>
      </c>
    </row>
    <row r="412" spans="1:11" x14ac:dyDescent="0.25">
      <c r="A412" t="s">
        <v>0</v>
      </c>
      <c r="B412" t="s">
        <v>440</v>
      </c>
      <c r="C412" t="s">
        <v>537</v>
      </c>
      <c r="D412" t="s">
        <v>538</v>
      </c>
      <c r="H412" t="str">
        <f t="shared" si="12"/>
        <v>.csv</v>
      </c>
      <c r="I412" s="5" t="str">
        <f>IFERROR(IF(OR(C412="PERAC",C412="FoPITY"),INDEX(Customizations!$C$2:$C$41,MATCH(Sheet1!D412,Customizations!$B$2:$B$41,0),1),INDEX(About!C:C,MATCH(Sheet1!C412,About!B:B,0),1)),"")</f>
        <v>Total Nonfuel Revenue by Industry.xlsx</v>
      </c>
      <c r="J412" s="5">
        <f>IFERROR(INDEX(About!$D$34:$D$222,MATCH(Sheet1!I412,About!$C$34:$C$222,0),1),0)</f>
        <v>1</v>
      </c>
      <c r="K412" s="6">
        <f t="shared" si="13"/>
        <v>1</v>
      </c>
    </row>
    <row r="413" spans="1:11" x14ac:dyDescent="0.25">
      <c r="A413" t="s">
        <v>0</v>
      </c>
      <c r="B413" t="s">
        <v>440</v>
      </c>
      <c r="C413" t="s">
        <v>537</v>
      </c>
      <c r="D413" t="s">
        <v>539</v>
      </c>
      <c r="H413" t="str">
        <f t="shared" si="12"/>
        <v>xlsx</v>
      </c>
      <c r="I413" s="5" t="str">
        <f>IFERROR(IF(OR(C413="PERAC",C413="FoPITY"),INDEX(Customizations!$C$2:$C$41,MATCH(Sheet1!D413,Customizations!$B$2:$B$41,0),1),INDEX(About!C:C,MATCH(Sheet1!C413,About!B:B,0),1)),"")</f>
        <v>Total Nonfuel Revenue by Industry.xlsx</v>
      </c>
      <c r="J413" s="5">
        <f>IFERROR(INDEX(About!$D$34:$D$222,MATCH(Sheet1!I413,About!$C$34:$C$222,0),1),0)</f>
        <v>1</v>
      </c>
      <c r="K413" s="6">
        <f t="shared" si="13"/>
        <v>0</v>
      </c>
    </row>
    <row r="414" spans="1:11" x14ac:dyDescent="0.25">
      <c r="A414" t="s">
        <v>0</v>
      </c>
      <c r="B414" t="s">
        <v>440</v>
      </c>
      <c r="C414" t="s">
        <v>540</v>
      </c>
      <c r="D414" t="s">
        <v>541</v>
      </c>
      <c r="H414" t="str">
        <f t="shared" si="12"/>
        <v>.csv</v>
      </c>
      <c r="I414" s="5" t="str">
        <f>IFERROR(IF(OR(C414="PERAC",C414="FoPITY"),INDEX(Customizations!$C$2:$C$41,MATCH(Sheet1!D414,Customizations!$B$2:$B$41,0),1),INDEX(About!C:C,MATCH(Sheet1!C414,About!B:B,0),1)),"")</f>
        <v>Worker Marg Income Tax Rate.xlsx</v>
      </c>
      <c r="J414" s="5">
        <f>IFERROR(INDEX(About!$D$34:$D$222,MATCH(Sheet1!I414,About!$C$34:$C$222,0),1),0)</f>
        <v>1</v>
      </c>
      <c r="K414" s="6">
        <f t="shared" si="13"/>
        <v>1</v>
      </c>
    </row>
    <row r="415" spans="1:11" x14ac:dyDescent="0.25">
      <c r="A415" t="s">
        <v>0</v>
      </c>
      <c r="B415" t="s">
        <v>440</v>
      </c>
      <c r="C415" t="s">
        <v>540</v>
      </c>
      <c r="D415" t="s">
        <v>542</v>
      </c>
      <c r="H415" t="str">
        <f t="shared" si="12"/>
        <v>xlsx</v>
      </c>
      <c r="I415" s="5" t="str">
        <f>IFERROR(IF(OR(C415="PERAC",C415="FoPITY"),INDEX(Customizations!$C$2:$C$41,MATCH(Sheet1!D415,Customizations!$B$2:$B$41,0),1),INDEX(About!C:C,MATCH(Sheet1!C415,About!B:B,0),1)),"")</f>
        <v>Worker Marg Income Tax Rate.xlsx</v>
      </c>
      <c r="J415" s="5">
        <f>IFERROR(INDEX(About!$D$34:$D$222,MATCH(Sheet1!I415,About!$C$34:$C$222,0),1),0)</f>
        <v>1</v>
      </c>
      <c r="K415" s="6">
        <f t="shared" si="13"/>
        <v>0</v>
      </c>
    </row>
    <row r="416" spans="1:11" x14ac:dyDescent="0.25">
      <c r="A416" t="s">
        <v>0</v>
      </c>
      <c r="B416" t="s">
        <v>543</v>
      </c>
      <c r="C416" t="s">
        <v>544</v>
      </c>
      <c r="D416" t="s">
        <v>545</v>
      </c>
      <c r="H416" t="str">
        <f t="shared" si="12"/>
        <v>xlsx</v>
      </c>
      <c r="I416" s="5" t="str">
        <f>IFERROR(IF(OR(C416="PERAC",C416="FoPITY"),INDEX(Customizations!$C$2:$C$41,MATCH(Sheet1!D416,Customizations!$B$2:$B$41,0),1),INDEX(About!C:C,MATCH(Sheet1!C416,About!B:B,0),1)),"")</f>
        <v>Annual Ongoing Cost of Land Use Pol per Unit Area.xlsx</v>
      </c>
      <c r="J416" s="5">
        <f>IFERROR(INDEX(About!$D$34:$D$222,MATCH(Sheet1!I416,About!$C$34:$C$222,0),1),0)</f>
        <v>1</v>
      </c>
      <c r="K416" s="6">
        <f t="shared" si="13"/>
        <v>0</v>
      </c>
    </row>
    <row r="417" spans="1:11" x14ac:dyDescent="0.25">
      <c r="A417" t="s">
        <v>0</v>
      </c>
      <c r="B417" t="s">
        <v>543</v>
      </c>
      <c r="C417" t="s">
        <v>544</v>
      </c>
      <c r="D417" t="s">
        <v>546</v>
      </c>
      <c r="H417" t="str">
        <f t="shared" si="12"/>
        <v>.csv</v>
      </c>
      <c r="I417" s="5" t="str">
        <f>IFERROR(IF(OR(C417="PERAC",C417="FoPITY"),INDEX(Customizations!$C$2:$C$41,MATCH(Sheet1!D417,Customizations!$B$2:$B$41,0),1),INDEX(About!C:C,MATCH(Sheet1!C417,About!B:B,0),1)),"")</f>
        <v>Annual Ongoing Cost of Land Use Pol per Unit Area.xlsx</v>
      </c>
      <c r="J417" s="5">
        <f>IFERROR(INDEX(About!$D$34:$D$222,MATCH(Sheet1!I417,About!$C$34:$C$222,0),1),0)</f>
        <v>1</v>
      </c>
      <c r="K417" s="6">
        <f t="shared" si="13"/>
        <v>1</v>
      </c>
    </row>
    <row r="418" spans="1:11" x14ac:dyDescent="0.25">
      <c r="A418" t="s">
        <v>0</v>
      </c>
      <c r="B418" t="s">
        <v>543</v>
      </c>
      <c r="C418" t="s">
        <v>547</v>
      </c>
      <c r="D418" t="s">
        <v>548</v>
      </c>
      <c r="H418" t="str">
        <f t="shared" si="12"/>
        <v>xlsx</v>
      </c>
      <c r="I418" s="5" t="str">
        <f>IFERROR(IF(OR(C418="PERAC",C418="FoPITY"),INDEX(Customizations!$C$2:$C$41,MATCH(Sheet1!D418,Customizations!$B$2:$B$41,0),1),INDEX(About!C:C,MATCH(Sheet1!C418,About!B:B,0),1)),"")</f>
        <v>BAU LULUCF Anthro Pollutant Emis.xlsx</v>
      </c>
      <c r="J418" s="5">
        <f>IFERROR(INDEX(About!$D$34:$D$222,MATCH(Sheet1!I418,About!$C$34:$C$222,0),1),0)</f>
        <v>1</v>
      </c>
      <c r="K418" s="6">
        <f t="shared" si="13"/>
        <v>0</v>
      </c>
    </row>
    <row r="419" spans="1:11" x14ac:dyDescent="0.25">
      <c r="A419" t="s">
        <v>0</v>
      </c>
      <c r="B419" t="s">
        <v>543</v>
      </c>
      <c r="C419" t="s">
        <v>547</v>
      </c>
      <c r="D419" t="s">
        <v>549</v>
      </c>
      <c r="H419" t="str">
        <f t="shared" si="12"/>
        <v>.csv</v>
      </c>
      <c r="I419" s="5" t="str">
        <f>IFERROR(IF(OR(C419="PERAC",C419="FoPITY"),INDEX(Customizations!$C$2:$C$41,MATCH(Sheet1!D419,Customizations!$B$2:$B$41,0),1),INDEX(About!C:C,MATCH(Sheet1!C419,About!B:B,0),1)),"")</f>
        <v>BAU LULUCF Anthro Pollutant Emis.xlsx</v>
      </c>
      <c r="J419" s="5">
        <f>IFERROR(INDEX(About!$D$34:$D$222,MATCH(Sheet1!I419,About!$C$34:$C$222,0),1),0)</f>
        <v>1</v>
      </c>
      <c r="K419" s="6">
        <f t="shared" si="13"/>
        <v>1</v>
      </c>
    </row>
    <row r="420" spans="1:11" x14ac:dyDescent="0.25">
      <c r="A420" t="s">
        <v>0</v>
      </c>
      <c r="B420" t="s">
        <v>543</v>
      </c>
      <c r="C420" t="s">
        <v>550</v>
      </c>
      <c r="D420" t="s">
        <v>551</v>
      </c>
      <c r="H420" t="str">
        <f t="shared" si="12"/>
        <v>.csv</v>
      </c>
      <c r="I420" s="5" t="str">
        <f>IFERROR(IF(OR(C420="PERAC",C420="FoPITY"),INDEX(Customizations!$C$2:$C$41,MATCH(Sheet1!D420,Customizations!$B$2:$B$41,0),1),INDEX(About!C:C,MATCH(Sheet1!C420,About!B:B,0),1)),"")</f>
        <v>CO2 Abated per Unit Land Area by Impr For Mgmt.xlsx</v>
      </c>
      <c r="J420" s="5">
        <f>IFERROR(INDEX(About!$D$34:$D$222,MATCH(Sheet1!I420,About!$C$34:$C$222,0),1),0)</f>
        <v>1</v>
      </c>
      <c r="K420" s="6">
        <f t="shared" si="13"/>
        <v>1</v>
      </c>
    </row>
    <row r="421" spans="1:11" x14ac:dyDescent="0.25">
      <c r="A421" t="s">
        <v>0</v>
      </c>
      <c r="B421" t="s">
        <v>543</v>
      </c>
      <c r="C421" t="s">
        <v>550</v>
      </c>
      <c r="D421" t="s">
        <v>552</v>
      </c>
      <c r="H421" t="str">
        <f t="shared" si="12"/>
        <v>xlsx</v>
      </c>
      <c r="I421" s="5" t="str">
        <f>IFERROR(IF(OR(C421="PERAC",C421="FoPITY"),INDEX(Customizations!$C$2:$C$41,MATCH(Sheet1!D421,Customizations!$B$2:$B$41,0),1),INDEX(About!C:C,MATCH(Sheet1!C421,About!B:B,0),1)),"")</f>
        <v>CO2 Abated per Unit Land Area by Impr For Mgmt.xlsx</v>
      </c>
      <c r="J421" s="5">
        <f>IFERROR(INDEX(About!$D$34:$D$222,MATCH(Sheet1!I421,About!$C$34:$C$222,0),1),0)</f>
        <v>1</v>
      </c>
      <c r="K421" s="6">
        <f t="shared" si="13"/>
        <v>0</v>
      </c>
    </row>
    <row r="422" spans="1:11" x14ac:dyDescent="0.25">
      <c r="A422" t="s">
        <v>0</v>
      </c>
      <c r="B422" t="s">
        <v>543</v>
      </c>
      <c r="C422" t="s">
        <v>553</v>
      </c>
      <c r="D422" t="s">
        <v>554</v>
      </c>
      <c r="H422" t="str">
        <f t="shared" si="12"/>
        <v>xlsx</v>
      </c>
      <c r="I422" s="5" t="str">
        <f>IFERROR(IF(OR(C422="PERAC",C422="FoPITY"),INDEX(Customizations!$C$2:$C$41,MATCH(Sheet1!D422,Customizations!$B$2:$B$41,0),1),INDEX(About!C:C,MATCH(Sheet1!C422,About!B:B,0),1)),"")</f>
        <v>Chg in Land Val per Unit Area Affected by Pol.xlsx</v>
      </c>
      <c r="J422" s="5">
        <f>IFERROR(INDEX(About!$D$34:$D$222,MATCH(Sheet1!I422,About!$C$34:$C$222,0),1),0)</f>
        <v>1</v>
      </c>
      <c r="K422" s="6">
        <f t="shared" si="13"/>
        <v>0</v>
      </c>
    </row>
    <row r="423" spans="1:11" x14ac:dyDescent="0.25">
      <c r="A423" t="s">
        <v>0</v>
      </c>
      <c r="B423" t="s">
        <v>543</v>
      </c>
      <c r="C423" t="s">
        <v>553</v>
      </c>
      <c r="D423" t="s">
        <v>555</v>
      </c>
      <c r="H423" t="str">
        <f t="shared" si="12"/>
        <v>.csv</v>
      </c>
      <c r="I423" s="5" t="str">
        <f>IFERROR(IF(OR(C423="PERAC",C423="FoPITY"),INDEX(Customizations!$C$2:$C$41,MATCH(Sheet1!D423,Customizations!$B$2:$B$41,0),1),INDEX(About!C:C,MATCH(Sheet1!C423,About!B:B,0),1)),"")</f>
        <v>Chg in Land Val per Unit Area Affected by Pol.xlsx</v>
      </c>
      <c r="J423" s="5">
        <f>IFERROR(INDEX(About!$D$34:$D$222,MATCH(Sheet1!I423,About!$C$34:$C$222,0),1),0)</f>
        <v>1</v>
      </c>
      <c r="K423" s="6">
        <f t="shared" si="13"/>
        <v>1</v>
      </c>
    </row>
    <row r="424" spans="1:11" x14ac:dyDescent="0.25">
      <c r="A424" t="s">
        <v>0</v>
      </c>
      <c r="B424" t="s">
        <v>543</v>
      </c>
      <c r="C424" t="s">
        <v>556</v>
      </c>
      <c r="D424" t="s">
        <v>557</v>
      </c>
      <c r="H424" t="str">
        <f t="shared" si="12"/>
        <v>xlsx</v>
      </c>
      <c r="I424" s="5" t="str">
        <f>IFERROR(IF(OR(C424="PERAC",C424="FoPITY"),INDEX(Customizations!$C$2:$C$41,MATCH(Sheet1!D424,Customizations!$B$2:$B$41,0),1),INDEX(About!C:C,MATCH(Sheet1!C424,About!B:B,0),1)),"")</f>
        <v>CO2 Sequestered per Unit Land Area per Year by Pol.xlsx</v>
      </c>
      <c r="J424" s="5">
        <f>IFERROR(INDEX(About!$D$34:$D$222,MATCH(Sheet1!I424,About!$C$34:$C$222,0),1),0)</f>
        <v>1</v>
      </c>
      <c r="K424" s="6">
        <f t="shared" si="13"/>
        <v>0</v>
      </c>
    </row>
    <row r="425" spans="1:11" x14ac:dyDescent="0.25">
      <c r="A425" t="s">
        <v>0</v>
      </c>
      <c r="B425" t="s">
        <v>543</v>
      </c>
      <c r="C425" t="s">
        <v>556</v>
      </c>
      <c r="D425" t="s">
        <v>558</v>
      </c>
      <c r="H425" t="str">
        <f t="shared" si="12"/>
        <v>.csv</v>
      </c>
      <c r="I425" s="5" t="str">
        <f>IFERROR(IF(OR(C425="PERAC",C425="FoPITY"),INDEX(Customizations!$C$2:$C$41,MATCH(Sheet1!D425,Customizations!$B$2:$B$41,0),1),INDEX(About!C:C,MATCH(Sheet1!C425,About!B:B,0),1)),"")</f>
        <v>CO2 Sequestered per Unit Land Area per Year by Pol.xlsx</v>
      </c>
      <c r="J425" s="5">
        <f>IFERROR(INDEX(About!$D$34:$D$222,MATCH(Sheet1!I425,About!$C$34:$C$222,0),1),0)</f>
        <v>1</v>
      </c>
      <c r="K425" s="6">
        <f t="shared" si="13"/>
        <v>1</v>
      </c>
    </row>
    <row r="426" spans="1:11" x14ac:dyDescent="0.25">
      <c r="A426" t="s">
        <v>0</v>
      </c>
      <c r="B426" t="s">
        <v>543</v>
      </c>
      <c r="C426" t="s">
        <v>559</v>
      </c>
      <c r="D426" t="s">
        <v>560</v>
      </c>
      <c r="H426" t="str">
        <f t="shared" si="12"/>
        <v>.csv</v>
      </c>
      <c r="I426" s="5" t="str">
        <f>IFERROR(IF(OR(C426="PERAC",C426="FoPITY"),INDEX(Customizations!$C$2:$C$41,MATCH(Sheet1!D426,Customizations!$B$2:$B$41,0),1),INDEX(About!C:C,MATCH(Sheet1!C426,About!B:B,0),1)),"")</f>
        <v>Frac of Forestry Expenses that is Labor.xlsx</v>
      </c>
      <c r="J426" s="5">
        <f>IFERROR(INDEX(About!$D$34:$D$222,MATCH(Sheet1!I426,About!$C$34:$C$222,0),1),0)</f>
        <v>1</v>
      </c>
      <c r="K426" s="6">
        <f t="shared" si="13"/>
        <v>1</v>
      </c>
    </row>
    <row r="427" spans="1:11" x14ac:dyDescent="0.25">
      <c r="A427" t="s">
        <v>0</v>
      </c>
      <c r="B427" t="s">
        <v>543</v>
      </c>
      <c r="C427" t="s">
        <v>559</v>
      </c>
      <c r="D427" t="s">
        <v>561</v>
      </c>
      <c r="H427" t="str">
        <f t="shared" si="12"/>
        <v>xlsx</v>
      </c>
      <c r="I427" s="5" t="str">
        <f>IFERROR(IF(OR(C427="PERAC",C427="FoPITY"),INDEX(Customizations!$C$2:$C$41,MATCH(Sheet1!D427,Customizations!$B$2:$B$41,0),1),INDEX(About!C:C,MATCH(Sheet1!C427,About!B:B,0),1)),"")</f>
        <v>Frac of Forestry Expenses that is Labor.xlsx</v>
      </c>
      <c r="J427" s="5">
        <f>IFERROR(INDEX(About!$D$34:$D$222,MATCH(Sheet1!I427,About!$C$34:$C$222,0),1),0)</f>
        <v>1</v>
      </c>
      <c r="K427" s="6">
        <f t="shared" si="13"/>
        <v>0</v>
      </c>
    </row>
    <row r="428" spans="1:11" x14ac:dyDescent="0.25">
      <c r="A428" t="s">
        <v>0</v>
      </c>
      <c r="B428" t="s">
        <v>543</v>
      </c>
      <c r="C428" t="s">
        <v>562</v>
      </c>
      <c r="D428" t="s">
        <v>563</v>
      </c>
      <c r="H428" t="str">
        <f t="shared" si="12"/>
        <v>.csv</v>
      </c>
      <c r="I428" s="5" t="str">
        <f>IFERROR(IF(OR(C428="PERAC",C428="FoPITY"),INDEX(Customizations!$C$2:$C$41,MATCH(Sheet1!D428,Customizations!$B$2:$B$41,0),1),INDEX(About!C:C,MATCH(Sheet1!C428,About!B:B,0),1)),"")</f>
        <v>Fraction of Forests Owned by Entity.xlsx</v>
      </c>
      <c r="J428" s="5">
        <f>IFERROR(INDEX(About!$D$34:$D$222,MATCH(Sheet1!I428,About!$C$34:$C$222,0),1),0)</f>
        <v>1</v>
      </c>
      <c r="K428" s="6">
        <f t="shared" si="13"/>
        <v>1</v>
      </c>
    </row>
    <row r="429" spans="1:11" x14ac:dyDescent="0.25">
      <c r="A429" t="s">
        <v>0</v>
      </c>
      <c r="B429" t="s">
        <v>543</v>
      </c>
      <c r="C429" t="s">
        <v>562</v>
      </c>
      <c r="D429" t="s">
        <v>564</v>
      </c>
      <c r="H429" t="str">
        <f t="shared" si="12"/>
        <v>xlsx</v>
      </c>
      <c r="I429" s="5" t="str">
        <f>IFERROR(IF(OR(C429="PERAC",C429="FoPITY"),INDEX(Customizations!$C$2:$C$41,MATCH(Sheet1!D429,Customizations!$B$2:$B$41,0),1),INDEX(About!C:C,MATCH(Sheet1!C429,About!B:B,0),1)),"")</f>
        <v>Fraction of Forests Owned by Entity.xlsx</v>
      </c>
      <c r="J429" s="5">
        <f>IFERROR(INDEX(About!$D$34:$D$222,MATCH(Sheet1!I429,About!$C$34:$C$222,0),1),0)</f>
        <v>1</v>
      </c>
      <c r="K429" s="6">
        <f t="shared" si="13"/>
        <v>0</v>
      </c>
    </row>
    <row r="430" spans="1:11" x14ac:dyDescent="0.25">
      <c r="A430" t="s">
        <v>0</v>
      </c>
      <c r="B430" t="s">
        <v>543</v>
      </c>
      <c r="C430" t="s">
        <v>565</v>
      </c>
      <c r="D430" t="s">
        <v>566</v>
      </c>
      <c r="H430" t="str">
        <f t="shared" si="12"/>
        <v>.csv</v>
      </c>
      <c r="I430" s="5" t="str">
        <f>IFERROR(IF(OR(C430="PERAC",C430="FoPITY"),INDEX(Customizations!$C$2:$C$41,MATCH(Sheet1!D430,Customizations!$B$2:$B$41,0),1),INDEX(About!C:C,MATCH(Sheet1!C430,About!B:B,0),1)),"")</f>
        <v>Impl Cost of Land Use Policies per Unit Area.xlsx</v>
      </c>
      <c r="J430" s="5">
        <f>IFERROR(INDEX(About!$D$34:$D$222,MATCH(Sheet1!I430,About!$C$34:$C$222,0),1),0)</f>
        <v>1</v>
      </c>
      <c r="K430" s="6">
        <f t="shared" si="13"/>
        <v>1</v>
      </c>
    </row>
    <row r="431" spans="1:11" x14ac:dyDescent="0.25">
      <c r="A431" t="s">
        <v>0</v>
      </c>
      <c r="B431" t="s">
        <v>543</v>
      </c>
      <c r="C431" t="s">
        <v>565</v>
      </c>
      <c r="D431" t="s">
        <v>567</v>
      </c>
      <c r="H431" t="str">
        <f t="shared" si="12"/>
        <v>xlsx</v>
      </c>
      <c r="I431" s="5" t="str">
        <f>IFERROR(IF(OR(C431="PERAC",C431="FoPITY"),INDEX(Customizations!$C$2:$C$41,MATCH(Sheet1!D431,Customizations!$B$2:$B$41,0),1),INDEX(About!C:C,MATCH(Sheet1!C431,About!B:B,0),1)),"")</f>
        <v>Impl Cost of Land Use Policies per Unit Area.xlsx</v>
      </c>
      <c r="J431" s="5">
        <f>IFERROR(INDEX(About!$D$34:$D$222,MATCH(Sheet1!I431,About!$C$34:$C$222,0),1),0)</f>
        <v>1</v>
      </c>
      <c r="K431" s="6">
        <f t="shared" si="13"/>
        <v>0</v>
      </c>
    </row>
    <row r="432" spans="1:11" x14ac:dyDescent="0.25">
      <c r="A432" t="s">
        <v>0</v>
      </c>
      <c r="B432" t="s">
        <v>543</v>
      </c>
      <c r="C432" t="s">
        <v>568</v>
      </c>
      <c r="D432" t="s">
        <v>569</v>
      </c>
      <c r="H432" t="str">
        <f t="shared" si="12"/>
        <v>.csv</v>
      </c>
      <c r="I432" s="5" t="str">
        <f>IFERROR(IF(OR(C432="PERAC",C432="FoPITY"),INDEX(Customizations!$C$2:$C$41,MATCH(Sheet1!D432,Customizations!$B$2:$B$41,0),1),INDEX(About!C:C,MATCH(Sheet1!C432,About!B:B,0),1)),"")</f>
        <v>Potential Land Area Newly Affected by Pol in a Single Yr.xlsx</v>
      </c>
      <c r="J432" s="5">
        <f>IFERROR(INDEX(About!$D$34:$D$222,MATCH(Sheet1!I432,About!$C$34:$C$222,0),1),0)</f>
        <v>1</v>
      </c>
      <c r="K432" s="6">
        <f t="shared" si="13"/>
        <v>1</v>
      </c>
    </row>
    <row r="433" spans="1:11" x14ac:dyDescent="0.25">
      <c r="A433" t="s">
        <v>0</v>
      </c>
      <c r="B433" t="s">
        <v>543</v>
      </c>
      <c r="C433" t="s">
        <v>568</v>
      </c>
      <c r="D433" t="s">
        <v>570</v>
      </c>
      <c r="H433" t="str">
        <f t="shared" si="12"/>
        <v>xlsx</v>
      </c>
      <c r="I433" s="5" t="str">
        <f>IFERROR(IF(OR(C433="PERAC",C433="FoPITY"),INDEX(Customizations!$C$2:$C$41,MATCH(Sheet1!D433,Customizations!$B$2:$B$41,0),1),INDEX(About!C:C,MATCH(Sheet1!C433,About!B:B,0),1)),"")</f>
        <v>Potential Land Area Newly Affected by Pol in a Single Yr.xlsx</v>
      </c>
      <c r="J433" s="5">
        <f>IFERROR(INDEX(About!$D$34:$D$222,MATCH(Sheet1!I433,About!$C$34:$C$222,0),1),0)</f>
        <v>1</v>
      </c>
      <c r="K433" s="6">
        <f t="shared" si="13"/>
        <v>0</v>
      </c>
    </row>
    <row r="434" spans="1:11" x14ac:dyDescent="0.25">
      <c r="A434" t="s">
        <v>0</v>
      </c>
      <c r="B434" t="s">
        <v>543</v>
      </c>
      <c r="C434" t="s">
        <v>571</v>
      </c>
      <c r="D434" t="s">
        <v>572</v>
      </c>
      <c r="H434" t="str">
        <f t="shared" si="12"/>
        <v>xlsx</v>
      </c>
      <c r="I434" s="5" t="str">
        <f>IFERROR(IF(OR(C434="PERAC",C434="FoPITY"),INDEX(Customizations!$C$2:$C$41,MATCH(Sheet1!D434,Customizations!$B$2:$B$41,0),1),INDEX(About!C:C,MATCH(Sheet1!C434,About!B:B,0),1)),"")</f>
        <v>Rebound Pol Emis per Unit Avoided CO2 Emis.xlsx</v>
      </c>
      <c r="J434" s="5">
        <f>IFERROR(INDEX(About!$D$34:$D$222,MATCH(Sheet1!I434,About!$C$34:$C$222,0),1),0)</f>
        <v>1</v>
      </c>
      <c r="K434" s="6">
        <f t="shared" si="13"/>
        <v>0</v>
      </c>
    </row>
    <row r="435" spans="1:11" x14ac:dyDescent="0.25">
      <c r="A435" t="s">
        <v>0</v>
      </c>
      <c r="B435" t="s">
        <v>543</v>
      </c>
      <c r="C435" t="s">
        <v>571</v>
      </c>
      <c r="D435" t="s">
        <v>573</v>
      </c>
      <c r="H435" t="str">
        <f t="shared" si="12"/>
        <v>.csv</v>
      </c>
      <c r="I435" s="5" t="str">
        <f>IFERROR(IF(OR(C435="PERAC",C435="FoPITY"),INDEX(Customizations!$C$2:$C$41,MATCH(Sheet1!D435,Customizations!$B$2:$B$41,0),1),INDEX(About!C:C,MATCH(Sheet1!C435,About!B:B,0),1)),"")</f>
        <v>Rebound Pol Emis per Unit Avoided CO2 Emis.xlsx</v>
      </c>
      <c r="J435" s="5">
        <f>IFERROR(INDEX(About!$D$34:$D$222,MATCH(Sheet1!I435,About!$C$34:$C$222,0),1),0)</f>
        <v>1</v>
      </c>
      <c r="K435" s="6">
        <f t="shared" si="13"/>
        <v>1</v>
      </c>
    </row>
    <row r="436" spans="1:11" x14ac:dyDescent="0.25">
      <c r="A436" t="s">
        <v>0</v>
      </c>
      <c r="B436" t="s">
        <v>574</v>
      </c>
      <c r="C436" t="s">
        <v>575</v>
      </c>
      <c r="D436" t="s">
        <v>576</v>
      </c>
      <c r="H436" t="str">
        <f t="shared" si="12"/>
        <v>.csv</v>
      </c>
      <c r="I436" s="5" t="str">
        <f>IFERROR(IF(OR(C436="PERAC",C436="FoPITY"),INDEX(Customizations!$C$2:$C$41,MATCH(Sheet1!D436,Customizations!$B$2:$B$41,0),1),INDEX(About!C:C,MATCH(Sheet1!C436,About!B:B,0),1)),"")</f>
        <v>Bool Are Energy Prices Affected by Chng in Production Costs.xlsx</v>
      </c>
      <c r="J436" s="5">
        <f>IFERROR(INDEX(About!$D$34:$D$222,MATCH(Sheet1!I436,About!$C$34:$C$222,0),1),0)</f>
        <v>1</v>
      </c>
      <c r="K436" s="6">
        <f t="shared" si="13"/>
        <v>1</v>
      </c>
    </row>
    <row r="437" spans="1:11" x14ac:dyDescent="0.25">
      <c r="A437" t="s">
        <v>0</v>
      </c>
      <c r="B437" t="s">
        <v>574</v>
      </c>
      <c r="C437" t="s">
        <v>575</v>
      </c>
      <c r="D437" t="s">
        <v>577</v>
      </c>
      <c r="H437" t="str">
        <f t="shared" si="12"/>
        <v>xlsx</v>
      </c>
      <c r="I437" s="5" t="str">
        <f>IFERROR(IF(OR(C437="PERAC",C437="FoPITY"),INDEX(Customizations!$C$2:$C$41,MATCH(Sheet1!D437,Customizations!$B$2:$B$41,0),1),INDEX(About!C:C,MATCH(Sheet1!C437,About!B:B,0),1)),"")</f>
        <v>Bool Are Energy Prices Affected by Chng in Production Costs.xlsx</v>
      </c>
      <c r="J437" s="5">
        <f>IFERROR(INDEX(About!$D$34:$D$222,MATCH(Sheet1!I437,About!$C$34:$C$222,0),1),0)</f>
        <v>1</v>
      </c>
      <c r="K437" s="6">
        <f t="shared" si="13"/>
        <v>0</v>
      </c>
    </row>
    <row r="438" spans="1:11" x14ac:dyDescent="0.25">
      <c r="A438" t="s">
        <v>0</v>
      </c>
      <c r="B438" t="s">
        <v>574</v>
      </c>
      <c r="C438" t="s">
        <v>578</v>
      </c>
      <c r="D438" t="s">
        <v>579</v>
      </c>
      <c r="H438" t="str">
        <f t="shared" si="12"/>
        <v>.csv</v>
      </c>
      <c r="I438" s="5" t="str">
        <f>IFERROR(IF(OR(C438="PERAC",C438="FoPITY"),INDEX(Customizations!$C$2:$C$41,MATCH(Sheet1!D438,Customizations!$B$2:$B$41,0),1),INDEX(About!C:C,MATCH(Sheet1!C438,About!B:B,0),1)),"")</f>
        <v>Boolean Exempt Non CO2 Emissions from Carbon Tax.xlsx</v>
      </c>
      <c r="J438" s="5">
        <f>IFERROR(INDEX(About!$D$34:$D$222,MATCH(Sheet1!I438,About!$C$34:$C$222,0),1),0)</f>
        <v>1</v>
      </c>
      <c r="K438" s="6">
        <f t="shared" si="13"/>
        <v>1</v>
      </c>
    </row>
    <row r="439" spans="1:11" x14ac:dyDescent="0.25">
      <c r="A439" t="s">
        <v>0</v>
      </c>
      <c r="B439" t="s">
        <v>574</v>
      </c>
      <c r="C439" t="s">
        <v>578</v>
      </c>
      <c r="D439" t="s">
        <v>580</v>
      </c>
      <c r="H439" t="str">
        <f t="shared" si="12"/>
        <v>xlsx</v>
      </c>
      <c r="I439" s="5" t="str">
        <f>IFERROR(IF(OR(C439="PERAC",C439="FoPITY"),INDEX(Customizations!$C$2:$C$41,MATCH(Sheet1!D439,Customizations!$B$2:$B$41,0),1),INDEX(About!C:C,MATCH(Sheet1!C439,About!B:B,0),1)),"")</f>
        <v>Boolean Exempt Non CO2 Emissions from Carbon Tax.xlsx</v>
      </c>
      <c r="J439" s="5">
        <f>IFERROR(INDEX(About!$D$34:$D$222,MATCH(Sheet1!I439,About!$C$34:$C$222,0),1),0)</f>
        <v>1</v>
      </c>
      <c r="K439" s="6">
        <f t="shared" si="13"/>
        <v>0</v>
      </c>
    </row>
    <row r="440" spans="1:11" x14ac:dyDescent="0.25">
      <c r="A440" t="s">
        <v>0</v>
      </c>
      <c r="B440" t="s">
        <v>574</v>
      </c>
      <c r="C440" t="s">
        <v>1787</v>
      </c>
      <c r="D440" t="s">
        <v>581</v>
      </c>
      <c r="H440" t="str">
        <f t="shared" si="12"/>
        <v>.csv</v>
      </c>
      <c r="I440" s="5" t="str">
        <f>IFERROR(IF(OR(C440="PERAC",C440="FoPITY"),INDEX(Customizations!$C$2:$C$41,MATCH(Sheet1!D440,Customizations!$B$2:$B$41,0),1),INDEX(About!C:C,MATCH(Sheet1!C440,About!B:B,0),1)),"")</f>
        <v>Boolean Exempt Process Emissions From Carbon Tax.xlsx</v>
      </c>
      <c r="J440" s="5">
        <f>IFERROR(INDEX(About!$D$34:$D$222,MATCH(Sheet1!I440,About!$C$34:$C$222,0),1),0)</f>
        <v>1</v>
      </c>
      <c r="K440" s="6">
        <f t="shared" si="13"/>
        <v>1</v>
      </c>
    </row>
    <row r="441" spans="1:11" x14ac:dyDescent="0.25">
      <c r="A441" t="s">
        <v>0</v>
      </c>
      <c r="B441" t="s">
        <v>574</v>
      </c>
      <c r="C441" t="s">
        <v>1787</v>
      </c>
      <c r="D441" t="s">
        <v>1788</v>
      </c>
      <c r="H441" t="str">
        <f t="shared" si="12"/>
        <v>xlsx</v>
      </c>
      <c r="I441" s="5" t="str">
        <f>IFERROR(IF(OR(C441="PERAC",C441="FoPITY"),INDEX(Customizations!$C$2:$C$41,MATCH(Sheet1!D441,Customizations!$B$2:$B$41,0),1),INDEX(About!C:C,MATCH(Sheet1!C441,About!B:B,0),1)),"")</f>
        <v>Boolean Exempt Process Emissions From Carbon Tax.xlsx</v>
      </c>
      <c r="J441" s="5">
        <f>IFERROR(INDEX(About!$D$34:$D$222,MATCH(Sheet1!I441,About!$C$34:$C$222,0),1),0)</f>
        <v>1</v>
      </c>
      <c r="K441" s="6">
        <f t="shared" si="13"/>
        <v>0</v>
      </c>
    </row>
    <row r="442" spans="1:11" x14ac:dyDescent="0.25">
      <c r="A442" t="s">
        <v>0</v>
      </c>
      <c r="B442" t="s">
        <v>574</v>
      </c>
      <c r="C442" t="s">
        <v>582</v>
      </c>
      <c r="D442" t="s">
        <v>583</v>
      </c>
      <c r="H442" t="str">
        <f t="shared" si="12"/>
        <v>.csv</v>
      </c>
      <c r="I442" s="5" t="str">
        <f>IFERROR(IF(OR(C442="PERAC",C442="FoPITY"),INDEX(Customizations!$C$2:$C$41,MATCH(Sheet1!D442,Customizations!$B$2:$B$41,0),1),INDEX(About!C:C,MATCH(Sheet1!C442,About!B:B,0),1)),"")</f>
        <v>Boolean Include Emissions from Imported Electricity.xlsx</v>
      </c>
      <c r="J442" s="5">
        <f>IFERROR(INDEX(About!$D$34:$D$222,MATCH(Sheet1!I442,About!$C$34:$C$222,0),1),0)</f>
        <v>1</v>
      </c>
      <c r="K442" s="6">
        <f t="shared" si="13"/>
        <v>1</v>
      </c>
    </row>
    <row r="443" spans="1:11" x14ac:dyDescent="0.25">
      <c r="A443" t="s">
        <v>0</v>
      </c>
      <c r="B443" t="s">
        <v>574</v>
      </c>
      <c r="C443" t="s">
        <v>582</v>
      </c>
      <c r="D443" t="s">
        <v>584</v>
      </c>
      <c r="H443" t="str">
        <f t="shared" si="12"/>
        <v>xlsx</v>
      </c>
      <c r="I443" s="5" t="str">
        <f>IFERROR(IF(OR(C443="PERAC",C443="FoPITY"),INDEX(Customizations!$C$2:$C$41,MATCH(Sheet1!D443,Customizations!$B$2:$B$41,0),1),INDEX(About!C:C,MATCH(Sheet1!C443,About!B:B,0),1)),"")</f>
        <v>Boolean Include Emissions from Imported Electricity.xlsx</v>
      </c>
      <c r="J443" s="5">
        <f>IFERROR(INDEX(About!$D$34:$D$222,MATCH(Sheet1!I443,About!$C$34:$C$222,0),1),0)</f>
        <v>1</v>
      </c>
      <c r="K443" s="6">
        <f t="shared" si="13"/>
        <v>0</v>
      </c>
    </row>
    <row r="444" spans="1:11" x14ac:dyDescent="0.25">
      <c r="A444" t="s">
        <v>0</v>
      </c>
      <c r="B444" t="s">
        <v>574</v>
      </c>
      <c r="C444" t="s">
        <v>585</v>
      </c>
      <c r="D444" t="s">
        <v>586</v>
      </c>
      <c r="H444" t="str">
        <f t="shared" si="12"/>
        <v>xlsx</v>
      </c>
      <c r="I444" s="5" t="str">
        <f>IFERROR(IF(OR(C444="PERAC",C444="FoPITY"),INDEX(Customizations!$C$2:$C$41,MATCH(Sheet1!D444,Customizations!$B$2:$B$41,0),1),INDEX(About!C:C,MATCH(Sheet1!C444,About!B:B,0),1)),"")</f>
        <v>Boolean Use Twenty Year GWP Values.xlsx</v>
      </c>
      <c r="J444" s="5">
        <f>IFERROR(INDEX(About!$D$34:$D$222,MATCH(Sheet1!I444,About!$C$34:$C$222,0),1),0)</f>
        <v>1</v>
      </c>
      <c r="K444" s="6">
        <f t="shared" si="13"/>
        <v>0</v>
      </c>
    </row>
    <row r="445" spans="1:11" x14ac:dyDescent="0.25">
      <c r="A445" t="s">
        <v>0</v>
      </c>
      <c r="B445" t="s">
        <v>574</v>
      </c>
      <c r="C445" t="s">
        <v>585</v>
      </c>
      <c r="D445" t="s">
        <v>587</v>
      </c>
      <c r="H445" t="str">
        <f t="shared" si="12"/>
        <v>.csv</v>
      </c>
      <c r="I445" s="5" t="str">
        <f>IFERROR(IF(OR(C445="PERAC",C445="FoPITY"),INDEX(Customizations!$C$2:$C$41,MATCH(Sheet1!D445,Customizations!$B$2:$B$41,0),1),INDEX(About!C:C,MATCH(Sheet1!C445,About!B:B,0),1)),"")</f>
        <v>Boolean Use Twenty Year GWP Values.xlsx</v>
      </c>
      <c r="J445" s="5">
        <f>IFERROR(INDEX(About!$D$34:$D$222,MATCH(Sheet1!I445,About!$C$34:$C$222,0),1),0)</f>
        <v>1</v>
      </c>
      <c r="K445" s="6">
        <f t="shared" si="13"/>
        <v>1</v>
      </c>
    </row>
    <row r="446" spans="1:11" x14ac:dyDescent="0.25">
      <c r="A446" t="s">
        <v>0</v>
      </c>
      <c r="B446" t="s">
        <v>588</v>
      </c>
      <c r="C446" t="s">
        <v>589</v>
      </c>
      <c r="D446" t="s">
        <v>590</v>
      </c>
      <c r="H446" t="str">
        <f t="shared" si="12"/>
        <v>.csv</v>
      </c>
      <c r="I446" s="5" t="str">
        <f>IFERROR(IF(OR(C446="PERAC",C446="FoPITY"),INDEX(Customizations!$C$2:$C$41,MATCH(Sheet1!D446,Customizations!$B$2:$B$41,0),1),INDEX(About!C:C,MATCH(Sheet1!C446,About!B:B,0),1)),"")</f>
        <v>Frac of Pol Impl This Yr - 1 - Default.xlsx</v>
      </c>
      <c r="J446" s="5">
        <f>IFERROR(INDEX(About!$D$34:$D$222,MATCH(Sheet1!I446,About!$C$34:$C$222,0),1),0)</f>
        <v>1</v>
      </c>
      <c r="K446" s="6">
        <f t="shared" si="13"/>
        <v>1</v>
      </c>
    </row>
    <row r="447" spans="1:11" x14ac:dyDescent="0.25">
      <c r="A447" t="s">
        <v>0</v>
      </c>
      <c r="B447" t="s">
        <v>588</v>
      </c>
      <c r="C447" t="s">
        <v>589</v>
      </c>
      <c r="D447" t="s">
        <v>591</v>
      </c>
      <c r="H447" t="str">
        <f t="shared" ref="H447" si="14">RIGHT(D447,"4")</f>
        <v>.csv</v>
      </c>
      <c r="I447" s="5" t="str">
        <f>IFERROR(IF(OR(C447="PERAC",C447="FoPITY"),INDEX(Customizations!$C$2:$C$41,MATCH(Sheet1!D447,Customizations!$B$2:$B$41,0),1),INDEX(About!C:C,MATCH(Sheet1!C447,About!B:B,0),1)),"")</f>
        <v>Frac of Pol Impl This Yr - 1 - Default.xlsx</v>
      </c>
      <c r="J447" s="5">
        <f>IFERROR(INDEX(About!$D$34:$D$222,MATCH(Sheet1!I447,About!$C$34:$C$222,0),1),0)</f>
        <v>1</v>
      </c>
      <c r="K447" s="6">
        <f t="shared" ref="K447" si="15">IF(H447=".csv",1,0)*J447</f>
        <v>1</v>
      </c>
    </row>
    <row r="448" spans="1:11" x14ac:dyDescent="0.25">
      <c r="A448" t="s">
        <v>0</v>
      </c>
      <c r="B448" t="s">
        <v>588</v>
      </c>
      <c r="C448" t="s">
        <v>589</v>
      </c>
      <c r="D448" t="s">
        <v>592</v>
      </c>
      <c r="H448" t="str">
        <f t="shared" si="12"/>
        <v>.csv</v>
      </c>
      <c r="I448" s="5" t="str">
        <f>IFERROR(IF(OR(C448="PERAC",C448="FoPITY"),INDEX(Customizations!$C$2:$C$41,MATCH(Sheet1!D448,Customizations!$B$2:$B$41,0),1),INDEX(About!C:C,MATCH(Sheet1!C448,About!B:B,0),1)),"")</f>
        <v>Frac of Pol Impl This Yr - 2 - Net Zero.xlsx</v>
      </c>
      <c r="J448" s="5">
        <f>IFERROR(INDEX(About!$D$34:$D$222,MATCH(Sheet1!I448,About!$C$34:$C$222,0),1),0)</f>
        <v>1</v>
      </c>
      <c r="K448" s="6">
        <f t="shared" si="13"/>
        <v>1</v>
      </c>
    </row>
    <row r="449" spans="1:11" x14ac:dyDescent="0.25">
      <c r="A449" t="s">
        <v>0</v>
      </c>
      <c r="B449" t="s">
        <v>588</v>
      </c>
      <c r="C449" t="s">
        <v>589</v>
      </c>
      <c r="D449" t="s">
        <v>593</v>
      </c>
      <c r="H449" t="str">
        <f t="shared" si="12"/>
        <v>.csv</v>
      </c>
      <c r="I449" s="5" t="str">
        <f>IFERROR(IF(OR(C449="PERAC",C449="FoPITY"),INDEX(Customizations!$C$2:$C$41,MATCH(Sheet1!D449,Customizations!$B$2:$B$41,0),1),INDEX(About!C:C,MATCH(Sheet1!C449,About!B:B,0),1)),"")</f>
        <v>Frac of Pol Impl This Yr - 2 - Net Zero.xlsx</v>
      </c>
      <c r="J449" s="5">
        <f>IFERROR(INDEX(About!$D$34:$D$222,MATCH(Sheet1!I449,About!$C$34:$C$222,0),1),0)</f>
        <v>1</v>
      </c>
      <c r="K449" s="6">
        <f t="shared" si="13"/>
        <v>1</v>
      </c>
    </row>
    <row r="450" spans="1:11" x14ac:dyDescent="0.25">
      <c r="A450" t="s">
        <v>0</v>
      </c>
      <c r="B450" t="s">
        <v>588</v>
      </c>
      <c r="C450" t="s">
        <v>589</v>
      </c>
      <c r="D450" t="s">
        <v>981</v>
      </c>
      <c r="H450" t="str">
        <f t="shared" si="12"/>
        <v>.csv</v>
      </c>
      <c r="I450" s="5" t="str">
        <f>IFERROR(IF(OR(C450="PERAC",C450="FoPITY"),INDEX(Customizations!$C$2:$C$41,MATCH(Sheet1!D450,Customizations!$B$2:$B$41,0),1),INDEX(About!C:C,MATCH(Sheet1!C450,About!B:B,0),1)),"")</f>
        <v>Frac of Pol Impl This Yr - 3 - NDC.xlsx</v>
      </c>
      <c r="J450" s="5">
        <f>IFERROR(INDEX(About!$D$34:$D$222,MATCH(Sheet1!I450,About!$C$34:$C$222,0),1),0)</f>
        <v>1</v>
      </c>
      <c r="K450" s="6">
        <f t="shared" si="13"/>
        <v>1</v>
      </c>
    </row>
    <row r="451" spans="1:11" x14ac:dyDescent="0.25">
      <c r="A451" t="s">
        <v>0</v>
      </c>
      <c r="B451" t="s">
        <v>588</v>
      </c>
      <c r="C451" t="s">
        <v>589</v>
      </c>
      <c r="D451" t="s">
        <v>594</v>
      </c>
      <c r="H451" t="str">
        <f t="shared" si="12"/>
        <v>.csv</v>
      </c>
      <c r="I451" s="5" t="str">
        <f>IFERROR(IF(OR(C451="PERAC",C451="FoPITY"),INDEX(Customizations!$C$2:$C$41,MATCH(Sheet1!D451,Customizations!$B$2:$B$41,0),1),INDEX(About!C:C,MATCH(Sheet1!C451,About!B:B,0),1)),"")</f>
        <v>Frac of Pol Impl This Yr - 3 - NDC.xlsx</v>
      </c>
      <c r="J451" s="5">
        <f>IFERROR(INDEX(About!$D$34:$D$222,MATCH(Sheet1!I451,About!$C$34:$C$222,0),1),0)</f>
        <v>1</v>
      </c>
      <c r="K451" s="6">
        <f t="shared" si="13"/>
        <v>1</v>
      </c>
    </row>
    <row r="452" spans="1:11" x14ac:dyDescent="0.25">
      <c r="A452" t="s">
        <v>0</v>
      </c>
      <c r="B452" t="s">
        <v>588</v>
      </c>
      <c r="C452" t="s">
        <v>589</v>
      </c>
      <c r="D452" t="s">
        <v>595</v>
      </c>
      <c r="H452" t="str">
        <f t="shared" si="12"/>
        <v>.csv</v>
      </c>
      <c r="I452" s="5" t="str">
        <f>IFERROR(IF(OR(C452="PERAC",C452="FoPITY"),INDEX(Customizations!$C$2:$C$41,MATCH(Sheet1!D452,Customizations!$B$2:$B$41,0),1),INDEX(About!C:C,MATCH(Sheet1!C452,About!B:B,0),1)),"")</f>
        <v>Frac of Pol Impl This Yr - 1 - Default.xlsx</v>
      </c>
      <c r="J452" s="5">
        <f>IFERROR(INDEX(About!$D$34:$D$222,MATCH(Sheet1!I452,About!$C$34:$C$222,0),1),0)</f>
        <v>1</v>
      </c>
      <c r="K452" s="6">
        <f t="shared" si="13"/>
        <v>1</v>
      </c>
    </row>
    <row r="453" spans="1:11" x14ac:dyDescent="0.25">
      <c r="A453" t="s">
        <v>0</v>
      </c>
      <c r="B453" t="s">
        <v>588</v>
      </c>
      <c r="C453" t="s">
        <v>589</v>
      </c>
      <c r="D453" t="s">
        <v>596</v>
      </c>
      <c r="H453" t="str">
        <f t="shared" si="12"/>
        <v>.csv</v>
      </c>
      <c r="I453" s="5" t="str">
        <f>IFERROR(IF(OR(C453="PERAC",C453="FoPITY"),INDEX(Customizations!$C$2:$C$41,MATCH(Sheet1!D453,Customizations!$B$2:$B$41,0),1),INDEX(About!C:C,MATCH(Sheet1!C453,About!B:B,0),1)),"")</f>
        <v>Frac of Pol Impl This Yr - 1 - Default.xlsx</v>
      </c>
      <c r="J453" s="5">
        <f>IFERROR(INDEX(About!$D$34:$D$222,MATCH(Sheet1!I453,About!$C$34:$C$222,0),1),0)</f>
        <v>1</v>
      </c>
      <c r="K453" s="6">
        <f t="shared" si="13"/>
        <v>1</v>
      </c>
    </row>
    <row r="454" spans="1:11" x14ac:dyDescent="0.25">
      <c r="A454" t="s">
        <v>0</v>
      </c>
      <c r="B454" t="s">
        <v>588</v>
      </c>
      <c r="C454" t="s">
        <v>589</v>
      </c>
      <c r="D454" t="s">
        <v>597</v>
      </c>
      <c r="H454" t="str">
        <f t="shared" ref="H454:H518" si="16">RIGHT(D454,"4")</f>
        <v>.csv</v>
      </c>
      <c r="I454" s="5" t="str">
        <f>IFERROR(IF(OR(C454="PERAC",C454="FoPITY"),INDEX(Customizations!$C$2:$C$41,MATCH(Sheet1!D454,Customizations!$B$2:$B$41,0),1),INDEX(About!C:C,MATCH(Sheet1!C454,About!B:B,0),1)),"")</f>
        <v>Frac of Pol Impl This Yr - 1 - Default.xlsx</v>
      </c>
      <c r="J454" s="5">
        <f>IFERROR(INDEX(About!$D$34:$D$222,MATCH(Sheet1!I454,About!$C$34:$C$222,0),1),0)</f>
        <v>1</v>
      </c>
      <c r="K454" s="6">
        <f t="shared" ref="K454:K518" si="17">IF(H454=".csv",1,0)*J454</f>
        <v>1</v>
      </c>
    </row>
    <row r="455" spans="1:11" x14ac:dyDescent="0.25">
      <c r="A455" t="s">
        <v>0</v>
      </c>
      <c r="B455" t="s">
        <v>588</v>
      </c>
      <c r="C455" t="s">
        <v>589</v>
      </c>
      <c r="D455" t="s">
        <v>598</v>
      </c>
      <c r="H455" t="str">
        <f t="shared" si="16"/>
        <v>.csv</v>
      </c>
      <c r="I455" s="5" t="str">
        <f>IFERROR(IF(OR(C455="PERAC",C455="FoPITY"),INDEX(Customizations!$C$2:$C$41,MATCH(Sheet1!D455,Customizations!$B$2:$B$41,0),1),INDEX(About!C:C,MATCH(Sheet1!C455,About!B:B,0),1)),"")</f>
        <v>Frac of Pol Impl This Yr - 1 - Default.xlsx</v>
      </c>
      <c r="J455" s="5">
        <f>IFERROR(INDEX(About!$D$34:$D$222,MATCH(Sheet1!I455,About!$C$34:$C$222,0),1),0)</f>
        <v>1</v>
      </c>
      <c r="K455" s="6">
        <f t="shared" si="17"/>
        <v>1</v>
      </c>
    </row>
    <row r="456" spans="1:11" x14ac:dyDescent="0.25">
      <c r="A456" t="s">
        <v>0</v>
      </c>
      <c r="B456" t="s">
        <v>588</v>
      </c>
      <c r="C456" t="s">
        <v>589</v>
      </c>
      <c r="D456" t="s">
        <v>599</v>
      </c>
      <c r="H456" t="str">
        <f t="shared" si="16"/>
        <v>.csv</v>
      </c>
      <c r="I456" s="5" t="str">
        <f>IFERROR(IF(OR(C456="PERAC",C456="FoPITY"),INDEX(Customizations!$C$2:$C$41,MATCH(Sheet1!D456,Customizations!$B$2:$B$41,0),1),INDEX(About!C:C,MATCH(Sheet1!C456,About!B:B,0),1)),"")</f>
        <v>Frac of Pol Impl This Yr - 1 - Default.xlsx</v>
      </c>
      <c r="J456" s="5">
        <f>IFERROR(INDEX(About!$D$34:$D$222,MATCH(Sheet1!I456,About!$C$34:$C$222,0),1),0)</f>
        <v>1</v>
      </c>
      <c r="K456" s="6">
        <f t="shared" si="17"/>
        <v>1</v>
      </c>
    </row>
    <row r="457" spans="1:11" x14ac:dyDescent="0.25">
      <c r="A457" t="s">
        <v>0</v>
      </c>
      <c r="B457" t="s">
        <v>588</v>
      </c>
      <c r="C457" t="s">
        <v>589</v>
      </c>
      <c r="D457" t="s">
        <v>600</v>
      </c>
      <c r="H457" t="str">
        <f t="shared" ref="H457" si="18">RIGHT(D457,"4")</f>
        <v>.csv</v>
      </c>
      <c r="I457" s="5" t="str">
        <f>IFERROR(IF(OR(C457="PERAC",C457="FoPITY"),INDEX(Customizations!$C$2:$C$41,MATCH(Sheet1!D457,Customizations!$B$2:$B$41,0),1),INDEX(About!C:C,MATCH(Sheet1!C457,About!B:B,0),1)),"")</f>
        <v>Frac of Pol Impl This Yr - 1 - Default.xlsx</v>
      </c>
      <c r="J457" s="5">
        <f>IFERROR(INDEX(About!$D$34:$D$222,MATCH(Sheet1!I457,About!$C$34:$C$222,0),1),0)</f>
        <v>1</v>
      </c>
      <c r="K457" s="6">
        <f t="shared" ref="K457" si="19">IF(H457=".csv",1,0)*J457</f>
        <v>1</v>
      </c>
    </row>
    <row r="458" spans="1:11" x14ac:dyDescent="0.25">
      <c r="A458" t="s">
        <v>0</v>
      </c>
      <c r="B458" t="s">
        <v>588</v>
      </c>
      <c r="C458" t="s">
        <v>589</v>
      </c>
      <c r="D458" t="s">
        <v>601</v>
      </c>
      <c r="H458" t="str">
        <f t="shared" si="16"/>
        <v>xlsx</v>
      </c>
      <c r="I458" s="5" t="str">
        <f>IFERROR(IF(OR(C458="PERAC",C458="FoPITY"),INDEX(Customizations!$C$2:$C$41,MATCH(Sheet1!D458,Customizations!$B$2:$B$41,0),1),INDEX(About!C:C,MATCH(Sheet1!C458,About!B:B,0),1)),"")</f>
        <v/>
      </c>
      <c r="J458" s="5">
        <f>IFERROR(INDEX(About!$D$34:$D$222,MATCH(Sheet1!I458,About!$C$34:$C$222,0),1),0)</f>
        <v>0</v>
      </c>
      <c r="K458" s="6">
        <f t="shared" si="17"/>
        <v>0</v>
      </c>
    </row>
    <row r="459" spans="1:11" x14ac:dyDescent="0.25">
      <c r="A459" t="s">
        <v>0</v>
      </c>
      <c r="B459" t="s">
        <v>588</v>
      </c>
      <c r="C459" t="s">
        <v>589</v>
      </c>
      <c r="D459" t="s">
        <v>602</v>
      </c>
      <c r="H459" t="str">
        <f t="shared" si="16"/>
        <v>xlsx</v>
      </c>
      <c r="I459" s="5" t="str">
        <f>IFERROR(IF(OR(C459="PERAC",C459="FoPITY"),INDEX(Customizations!$C$2:$C$41,MATCH(Sheet1!D459,Customizations!$B$2:$B$41,0),1),INDEX(About!C:C,MATCH(Sheet1!C459,About!B:B,0),1)),"")</f>
        <v/>
      </c>
      <c r="J459" s="5">
        <f>IFERROR(INDEX(About!$D$34:$D$222,MATCH(Sheet1!I459,About!$C$34:$C$222,0),1),0)</f>
        <v>0</v>
      </c>
      <c r="K459" s="6">
        <f t="shared" si="17"/>
        <v>0</v>
      </c>
    </row>
    <row r="460" spans="1:11" x14ac:dyDescent="0.25">
      <c r="A460" t="s">
        <v>0</v>
      </c>
      <c r="B460" t="s">
        <v>588</v>
      </c>
      <c r="C460" t="s">
        <v>589</v>
      </c>
      <c r="D460" t="s">
        <v>990</v>
      </c>
      <c r="H460" t="str">
        <f t="shared" si="16"/>
        <v>xlsx</v>
      </c>
      <c r="I460" s="5" t="str">
        <f>IFERROR(IF(OR(C460="PERAC",C460="FoPITY"),INDEX(Customizations!$C$2:$C$41,MATCH(Sheet1!D460,Customizations!$B$2:$B$41,0),1),INDEX(About!C:C,MATCH(Sheet1!C460,About!B:B,0),1)),"")</f>
        <v/>
      </c>
      <c r="J460" s="5">
        <f>IFERROR(INDEX(About!$D$34:$D$222,MATCH(Sheet1!I460,About!$C$34:$C$222,0),1),0)</f>
        <v>0</v>
      </c>
      <c r="K460" s="6">
        <f t="shared" si="17"/>
        <v>0</v>
      </c>
    </row>
    <row r="461" spans="1:11" x14ac:dyDescent="0.25">
      <c r="A461" t="s">
        <v>0</v>
      </c>
      <c r="B461" t="s">
        <v>588</v>
      </c>
      <c r="C461" t="s">
        <v>603</v>
      </c>
      <c r="D461" t="s">
        <v>604</v>
      </c>
      <c r="H461" t="str">
        <f t="shared" si="16"/>
        <v>xlsx</v>
      </c>
      <c r="I461" s="5" t="str">
        <f>IFERROR(IF(OR(C461="PERAC",C461="FoPITY"),INDEX(Customizations!$C$2:$C$41,MATCH(Sheet1!D461,Customizations!$B$2:$B$41,0),1),INDEX(About!C:C,MATCH(Sheet1!C461,About!B:B,0),1)),"")</f>
        <v>Final Time.xlsx</v>
      </c>
      <c r="J461" s="5">
        <f>IFERROR(INDEX(About!$D$34:$D$222,MATCH(Sheet1!I461,About!$C$34:$C$222,0),1),0)</f>
        <v>1</v>
      </c>
      <c r="K461" s="6">
        <f t="shared" si="17"/>
        <v>0</v>
      </c>
    </row>
    <row r="462" spans="1:11" x14ac:dyDescent="0.25">
      <c r="A462" t="s">
        <v>0</v>
      </c>
      <c r="B462" t="s">
        <v>588</v>
      </c>
      <c r="C462" t="s">
        <v>603</v>
      </c>
      <c r="D462" t="s">
        <v>605</v>
      </c>
      <c r="H462" t="str">
        <f t="shared" si="16"/>
        <v>.csv</v>
      </c>
      <c r="I462" s="5" t="str">
        <f>IFERROR(IF(OR(C462="PERAC",C462="FoPITY"),INDEX(Customizations!$C$2:$C$41,MATCH(Sheet1!D462,Customizations!$B$2:$B$41,0),1),INDEX(About!C:C,MATCH(Sheet1!C462,About!B:B,0),1)),"")</f>
        <v>Final Time.xlsx</v>
      </c>
      <c r="J462" s="5">
        <f>IFERROR(INDEX(About!$D$34:$D$222,MATCH(Sheet1!I462,About!$C$34:$C$222,0),1),0)</f>
        <v>1</v>
      </c>
      <c r="K462" s="6">
        <f t="shared" si="17"/>
        <v>1</v>
      </c>
    </row>
    <row r="463" spans="1:11" x14ac:dyDescent="0.25">
      <c r="A463" t="s">
        <v>0</v>
      </c>
      <c r="B463" t="s">
        <v>588</v>
      </c>
      <c r="C463" t="s">
        <v>606</v>
      </c>
      <c r="D463" t="s">
        <v>607</v>
      </c>
      <c r="H463" t="str">
        <f t="shared" si="16"/>
        <v>xlsx</v>
      </c>
      <c r="I463" s="5" t="str">
        <f>IFERROR(IF(OR(C463="PERAC",C463="FoPITY"),INDEX(Customizations!$C$2:$C$41,MATCH(Sheet1!D463,Customizations!$B$2:$B$41,0),1),INDEX(About!C:C,MATCH(Sheet1!C463,About!B:B,0),1)),"")</f>
        <v>Initial Time.xlsx</v>
      </c>
      <c r="J463" s="5">
        <f>IFERROR(INDEX(About!$D$34:$D$222,MATCH(Sheet1!I463,About!$C$34:$C$222,0),1),0)</f>
        <v>1</v>
      </c>
      <c r="K463" s="6">
        <f t="shared" si="17"/>
        <v>0</v>
      </c>
    </row>
    <row r="464" spans="1:11" x14ac:dyDescent="0.25">
      <c r="A464" t="s">
        <v>0</v>
      </c>
      <c r="B464" t="s">
        <v>588</v>
      </c>
      <c r="C464" t="s">
        <v>606</v>
      </c>
      <c r="D464" t="s">
        <v>608</v>
      </c>
      <c r="H464" t="str">
        <f t="shared" si="16"/>
        <v>.csv</v>
      </c>
      <c r="I464" s="5" t="str">
        <f>IFERROR(IF(OR(C464="PERAC",C464="FoPITY"),INDEX(Customizations!$C$2:$C$41,MATCH(Sheet1!D464,Customizations!$B$2:$B$41,0),1),INDEX(About!C:C,MATCH(Sheet1!C464,About!B:B,0),1)),"")</f>
        <v>Initial Time.xlsx</v>
      </c>
      <c r="J464" s="5">
        <f>IFERROR(INDEX(About!$D$34:$D$222,MATCH(Sheet1!I464,About!$C$34:$C$222,0),1),0)</f>
        <v>1</v>
      </c>
      <c r="K464" s="6">
        <f t="shared" si="17"/>
        <v>1</v>
      </c>
    </row>
    <row r="465" spans="1:11" x14ac:dyDescent="0.25">
      <c r="A465" t="s">
        <v>0</v>
      </c>
      <c r="B465" t="s">
        <v>609</v>
      </c>
      <c r="C465" t="s">
        <v>610</v>
      </c>
      <c r="D465" t="s">
        <v>611</v>
      </c>
      <c r="H465" t="str">
        <f t="shared" si="16"/>
        <v>xlsx</v>
      </c>
      <c r="I465" s="5" t="str">
        <f>IFERROR(IF(OR(C465="PERAC",C465="FoPITY"),INDEX(Customizations!$C$2:$C$41,MATCH(Sheet1!D465,Customizations!$B$2:$B$41,0),1),INDEX(About!C:C,MATCH(Sheet1!C465,About!B:B,0),1)),"")</f>
        <v>Avg Vehicle Lifetime.xlsx</v>
      </c>
      <c r="J465" s="5">
        <f>IFERROR(INDEX(About!$D$34:$D$222,MATCH(Sheet1!I465,About!$C$34:$C$222,0),1),0)</f>
        <v>1</v>
      </c>
      <c r="K465" s="6">
        <f t="shared" si="17"/>
        <v>0</v>
      </c>
    </row>
    <row r="466" spans="1:11" x14ac:dyDescent="0.25">
      <c r="A466" t="s">
        <v>0</v>
      </c>
      <c r="B466" t="s">
        <v>609</v>
      </c>
      <c r="C466" t="s">
        <v>610</v>
      </c>
      <c r="D466" t="s">
        <v>612</v>
      </c>
      <c r="H466" t="str">
        <f t="shared" si="16"/>
        <v>.csv</v>
      </c>
      <c r="I466" s="5" t="str">
        <f>IFERROR(IF(OR(C466="PERAC",C466="FoPITY"),INDEX(Customizations!$C$2:$C$41,MATCH(Sheet1!D466,Customizations!$B$2:$B$41,0),1),INDEX(About!C:C,MATCH(Sheet1!C466,About!B:B,0),1)),"")</f>
        <v>Avg Vehicle Lifetime.xlsx</v>
      </c>
      <c r="J466" s="5">
        <f>IFERROR(INDEX(About!$D$34:$D$222,MATCH(Sheet1!I466,About!$C$34:$C$222,0),1),0)</f>
        <v>1</v>
      </c>
      <c r="K466" s="6">
        <f t="shared" si="17"/>
        <v>1</v>
      </c>
    </row>
    <row r="467" spans="1:11" x14ac:dyDescent="0.25">
      <c r="A467" t="s">
        <v>0</v>
      </c>
      <c r="B467" t="s">
        <v>609</v>
      </c>
      <c r="C467" t="s">
        <v>613</v>
      </c>
      <c r="D467" t="s">
        <v>614</v>
      </c>
      <c r="H467" t="str">
        <f t="shared" si="16"/>
        <v>xlsx</v>
      </c>
      <c r="I467" s="5" t="str">
        <f>IFERROR(IF(OR(C467="PERAC",C467="FoPITY"),INDEX(Customizations!$C$2:$C$41,MATCH(Sheet1!D467,Customizations!$B$2:$B$41,0),1),INDEX(About!C:C,MATCH(Sheet1!C467,About!B:B,0),1)),"")</f>
        <v>Avg Vehicle Loading.xlsx</v>
      </c>
      <c r="J467" s="5">
        <f>IFERROR(INDEX(About!$D$34:$D$222,MATCH(Sheet1!I467,About!$C$34:$C$222,0),1),0)</f>
        <v>1</v>
      </c>
      <c r="K467" s="6">
        <f t="shared" si="17"/>
        <v>0</v>
      </c>
    </row>
    <row r="468" spans="1:11" x14ac:dyDescent="0.25">
      <c r="A468" t="s">
        <v>0</v>
      </c>
      <c r="B468" t="s">
        <v>609</v>
      </c>
      <c r="C468" t="s">
        <v>613</v>
      </c>
      <c r="D468" t="s">
        <v>615</v>
      </c>
      <c r="H468" t="str">
        <f t="shared" si="16"/>
        <v>.csv</v>
      </c>
      <c r="I468" s="5" t="str">
        <f>IFERROR(IF(OR(C468="PERAC",C468="FoPITY"),INDEX(Customizations!$C$2:$C$41,MATCH(Sheet1!D468,Customizations!$B$2:$B$41,0),1),INDEX(About!C:C,MATCH(Sheet1!C468,About!B:B,0),1)),"")</f>
        <v>Avg Vehicle Loading.xlsx</v>
      </c>
      <c r="J468" s="5">
        <f>IFERROR(INDEX(About!$D$34:$D$222,MATCH(Sheet1!I468,About!$C$34:$C$222,0),1),0)</f>
        <v>1</v>
      </c>
      <c r="K468" s="6">
        <f t="shared" si="17"/>
        <v>1</v>
      </c>
    </row>
    <row r="469" spans="1:11" x14ac:dyDescent="0.25">
      <c r="A469" t="s">
        <v>0</v>
      </c>
      <c r="B469" t="s">
        <v>609</v>
      </c>
      <c r="C469" t="s">
        <v>613</v>
      </c>
      <c r="D469" t="s">
        <v>616</v>
      </c>
      <c r="H469" t="str">
        <f t="shared" si="16"/>
        <v>.csv</v>
      </c>
      <c r="I469" s="5" t="str">
        <f>IFERROR(IF(OR(C469="PERAC",C469="FoPITY"),INDEX(Customizations!$C$2:$C$41,MATCH(Sheet1!D469,Customizations!$B$2:$B$41,0),1),INDEX(About!C:C,MATCH(Sheet1!C469,About!B:B,0),1)),"")</f>
        <v>Avg Vehicle Loading.xlsx</v>
      </c>
      <c r="J469" s="5">
        <f>IFERROR(INDEX(About!$D$34:$D$222,MATCH(Sheet1!I469,About!$C$34:$C$222,0),1),0)</f>
        <v>1</v>
      </c>
      <c r="K469" s="6">
        <f t="shared" si="17"/>
        <v>1</v>
      </c>
    </row>
    <row r="470" spans="1:11" x14ac:dyDescent="0.25">
      <c r="A470" t="s">
        <v>0</v>
      </c>
      <c r="B470" t="s">
        <v>609</v>
      </c>
      <c r="C470" t="s">
        <v>617</v>
      </c>
      <c r="D470" t="s">
        <v>618</v>
      </c>
      <c r="H470" t="str">
        <f t="shared" si="16"/>
        <v>.csv</v>
      </c>
      <c r="I470" s="5" t="str">
        <f>IFERROR(IF(OR(C470="PERAC",C470="FoPITY"),INDEX(Customizations!$C$2:$C$41,MATCH(Sheet1!D470,Customizations!$B$2:$B$41,0),1),INDEX(About!C:C,MATCH(Sheet1!C470,About!B:B,0),1)),"")</f>
        <v>BAU Avg Annual Dist Traveled by Veh Type.xlsx</v>
      </c>
      <c r="J470" s="5">
        <f>IFERROR(INDEX(About!$D$34:$D$222,MATCH(Sheet1!I470,About!$C$34:$C$222,0),1),0)</f>
        <v>1</v>
      </c>
      <c r="K470" s="6">
        <f t="shared" si="17"/>
        <v>1</v>
      </c>
    </row>
    <row r="471" spans="1:11" x14ac:dyDescent="0.25">
      <c r="A471" t="s">
        <v>0</v>
      </c>
      <c r="B471" t="s">
        <v>609</v>
      </c>
      <c r="C471" t="s">
        <v>617</v>
      </c>
      <c r="D471" t="s">
        <v>619</v>
      </c>
      <c r="H471" t="str">
        <f t="shared" si="16"/>
        <v>.csv</v>
      </c>
      <c r="I471" s="5" t="str">
        <f>IFERROR(IF(OR(C471="PERAC",C471="FoPITY"),INDEX(Customizations!$C$2:$C$41,MATCH(Sheet1!D471,Customizations!$B$2:$B$41,0),1),INDEX(About!C:C,MATCH(Sheet1!C471,About!B:B,0),1)),"")</f>
        <v>BAU Avg Annual Dist Traveled by Veh Type.xlsx</v>
      </c>
      <c r="J471" s="5">
        <f>IFERROR(INDEX(About!$D$34:$D$222,MATCH(Sheet1!I471,About!$C$34:$C$222,0),1),0)</f>
        <v>1</v>
      </c>
      <c r="K471" s="6">
        <f t="shared" si="17"/>
        <v>1</v>
      </c>
    </row>
    <row r="472" spans="1:11" x14ac:dyDescent="0.25">
      <c r="A472" t="s">
        <v>0</v>
      </c>
      <c r="B472" t="s">
        <v>609</v>
      </c>
      <c r="C472" t="s">
        <v>617</v>
      </c>
      <c r="D472" t="s">
        <v>620</v>
      </c>
      <c r="H472" t="str">
        <f t="shared" si="16"/>
        <v>xlsx</v>
      </c>
      <c r="I472" s="5" t="str">
        <f>IFERROR(IF(OR(C472="PERAC",C472="FoPITY"),INDEX(Customizations!$C$2:$C$41,MATCH(Sheet1!D472,Customizations!$B$2:$B$41,0),1),INDEX(About!C:C,MATCH(Sheet1!C472,About!B:B,0),1)),"")</f>
        <v>BAU Avg Annual Dist Traveled by Veh Type.xlsx</v>
      </c>
      <c r="J472" s="5">
        <f>IFERROR(INDEX(About!$D$34:$D$222,MATCH(Sheet1!I472,About!$C$34:$C$222,0),1),0)</f>
        <v>1</v>
      </c>
      <c r="K472" s="6">
        <f t="shared" si="17"/>
        <v>0</v>
      </c>
    </row>
    <row r="473" spans="1:11" x14ac:dyDescent="0.25">
      <c r="A473" t="s">
        <v>0</v>
      </c>
      <c r="B473" t="s">
        <v>609</v>
      </c>
      <c r="C473" t="s">
        <v>621</v>
      </c>
      <c r="D473" t="s">
        <v>622</v>
      </c>
      <c r="H473" t="str">
        <f t="shared" si="16"/>
        <v>xlsx</v>
      </c>
      <c r="I473" s="5" t="str">
        <f>IFERROR(IF(OR(C473="PERAC",C473="FoPITY"),INDEX(Customizations!$C$2:$C$41,MATCH(Sheet1!D473,Customizations!$B$2:$B$41,0),1),INDEX(About!C:C,MATCH(Sheet1!C473,About!B:B,0),1)),"")</f>
        <v>BAU Cargo Dist Transported Relative to Start Yr.xlsx</v>
      </c>
      <c r="J473" s="5">
        <f>IFERROR(INDEX(About!$D$34:$D$222,MATCH(Sheet1!I473,About!$C$34:$C$222,0),1),0)</f>
        <v>1</v>
      </c>
      <c r="K473" s="6">
        <f t="shared" si="17"/>
        <v>0</v>
      </c>
    </row>
    <row r="474" spans="1:11" x14ac:dyDescent="0.25">
      <c r="A474" t="s">
        <v>0</v>
      </c>
      <c r="B474" t="s">
        <v>609</v>
      </c>
      <c r="C474" t="s">
        <v>621</v>
      </c>
      <c r="D474" t="s">
        <v>623</v>
      </c>
      <c r="H474" t="str">
        <f t="shared" si="16"/>
        <v>.csv</v>
      </c>
      <c r="I474" s="5" t="str">
        <f>IFERROR(IF(OR(C474="PERAC",C474="FoPITY"),INDEX(Customizations!$C$2:$C$41,MATCH(Sheet1!D474,Customizations!$B$2:$B$41,0),1),INDEX(About!C:C,MATCH(Sheet1!C474,About!B:B,0),1)),"")</f>
        <v>BAU Cargo Dist Transported Relative to Start Yr.xlsx</v>
      </c>
      <c r="J474" s="5">
        <f>IFERROR(INDEX(About!$D$34:$D$222,MATCH(Sheet1!I474,About!$C$34:$C$222,0),1),0)</f>
        <v>1</v>
      </c>
      <c r="K474" s="6">
        <f t="shared" si="17"/>
        <v>1</v>
      </c>
    </row>
    <row r="475" spans="1:11" x14ac:dyDescent="0.25">
      <c r="A475" t="s">
        <v>0</v>
      </c>
      <c r="B475" t="s">
        <v>609</v>
      </c>
      <c r="C475" t="s">
        <v>621</v>
      </c>
      <c r="D475" t="s">
        <v>624</v>
      </c>
      <c r="H475" t="str">
        <f t="shared" si="16"/>
        <v>.csv</v>
      </c>
      <c r="I475" s="5" t="str">
        <f>IFERROR(IF(OR(C475="PERAC",C475="FoPITY"),INDEX(Customizations!$C$2:$C$41,MATCH(Sheet1!D475,Customizations!$B$2:$B$41,0),1),INDEX(About!C:C,MATCH(Sheet1!C475,About!B:B,0),1)),"")</f>
        <v>BAU Cargo Dist Transported Relative to Start Yr.xlsx</v>
      </c>
      <c r="J475" s="5">
        <f>IFERROR(INDEX(About!$D$34:$D$222,MATCH(Sheet1!I475,About!$C$34:$C$222,0),1),0)</f>
        <v>1</v>
      </c>
      <c r="K475" s="6">
        <f t="shared" si="17"/>
        <v>1</v>
      </c>
    </row>
    <row r="476" spans="1:11" x14ac:dyDescent="0.25">
      <c r="A476" t="s">
        <v>0</v>
      </c>
      <c r="B476" t="s">
        <v>609</v>
      </c>
      <c r="C476" t="s">
        <v>625</v>
      </c>
      <c r="D476" t="s">
        <v>626</v>
      </c>
      <c r="H476" t="str">
        <f t="shared" si="16"/>
        <v>xlsx</v>
      </c>
      <c r="I476" s="5" t="str">
        <f>IFERROR(IF(OR(C476="PERAC",C476="FoPITY"),INDEX(Customizations!$C$2:$C$41,MATCH(Sheet1!D476,Customizations!$B$2:$B$41,0),1),INDEX(About!C:C,MATCH(Sheet1!C476,About!B:B,0),1)),"")</f>
        <v>BAU EV Subsidy Perc.xlsx</v>
      </c>
      <c r="J476" s="5">
        <f>IFERROR(INDEX(About!$D$34:$D$222,MATCH(Sheet1!I476,About!$C$34:$C$222,0),1),0)</f>
        <v>1</v>
      </c>
      <c r="K476" s="6">
        <f t="shared" si="17"/>
        <v>0</v>
      </c>
    </row>
    <row r="477" spans="1:11" x14ac:dyDescent="0.25">
      <c r="A477" t="s">
        <v>0</v>
      </c>
      <c r="B477" t="s">
        <v>609</v>
      </c>
      <c r="C477" t="s">
        <v>625</v>
      </c>
      <c r="D477" t="s">
        <v>627</v>
      </c>
      <c r="H477" t="str">
        <f t="shared" si="16"/>
        <v>.csv</v>
      </c>
      <c r="I477" s="5" t="str">
        <f>IFERROR(IF(OR(C477="PERAC",C477="FoPITY"),INDEX(Customizations!$C$2:$C$41,MATCH(Sheet1!D477,Customizations!$B$2:$B$41,0),1),INDEX(About!C:C,MATCH(Sheet1!C477,About!B:B,0),1)),"")</f>
        <v>BAU EV Subsidy Perc.xlsx</v>
      </c>
      <c r="J477" s="5">
        <f>IFERROR(INDEX(About!$D$34:$D$222,MATCH(Sheet1!I477,About!$C$34:$C$222,0),1),0)</f>
        <v>1</v>
      </c>
      <c r="K477" s="6">
        <f t="shared" si="17"/>
        <v>1</v>
      </c>
    </row>
    <row r="478" spans="1:11" x14ac:dyDescent="0.25">
      <c r="A478" t="s">
        <v>0</v>
      </c>
      <c r="B478" t="s">
        <v>609</v>
      </c>
      <c r="C478" t="s">
        <v>625</v>
      </c>
      <c r="D478" t="s">
        <v>628</v>
      </c>
      <c r="H478" t="str">
        <f t="shared" si="16"/>
        <v>.csv</v>
      </c>
      <c r="I478" s="5" t="str">
        <f>IFERROR(IF(OR(C478="PERAC",C478="FoPITY"),INDEX(Customizations!$C$2:$C$41,MATCH(Sheet1!D478,Customizations!$B$2:$B$41,0),1),INDEX(About!C:C,MATCH(Sheet1!C478,About!B:B,0),1)),"")</f>
        <v>BAU EV Subsidy Perc.xlsx</v>
      </c>
      <c r="J478" s="5">
        <f>IFERROR(INDEX(About!$D$34:$D$222,MATCH(Sheet1!I478,About!$C$34:$C$222,0),1),0)</f>
        <v>1</v>
      </c>
      <c r="K478" s="6">
        <f t="shared" si="17"/>
        <v>1</v>
      </c>
    </row>
    <row r="479" spans="1:11" x14ac:dyDescent="0.25">
      <c r="A479" t="s">
        <v>0</v>
      </c>
      <c r="B479" t="s">
        <v>609</v>
      </c>
      <c r="C479" t="s">
        <v>629</v>
      </c>
      <c r="D479" t="s">
        <v>630</v>
      </c>
      <c r="H479" t="str">
        <f t="shared" si="16"/>
        <v>xlsx</v>
      </c>
      <c r="I479" s="5" t="str">
        <f>IFERROR(IF(OR(C479="PERAC",C479="FoPITY"),INDEX(Customizations!$C$2:$C$41,MATCH(Sheet1!D479,Customizations!$B$2:$B$41,0),1),INDEX(About!C:C,MATCH(Sheet1!C479,About!B:B,0),1)),"")</f>
        <v>BAU Historical New Veh Fuel Economy After Lifetime.xlsx</v>
      </c>
      <c r="J479" s="5">
        <f>IFERROR(INDEX(About!$D$34:$D$222,MATCH(Sheet1!I479,About!$C$34:$C$222,0),1),0)</f>
        <v>1</v>
      </c>
      <c r="K479" s="6">
        <f t="shared" si="17"/>
        <v>0</v>
      </c>
    </row>
    <row r="480" spans="1:11" x14ac:dyDescent="0.25">
      <c r="A480" t="s">
        <v>0</v>
      </c>
      <c r="B480" t="s">
        <v>609</v>
      </c>
      <c r="C480" t="s">
        <v>629</v>
      </c>
      <c r="D480" t="s">
        <v>631</v>
      </c>
      <c r="H480" t="str">
        <f t="shared" si="16"/>
        <v>.csv</v>
      </c>
      <c r="I480" s="5" t="str">
        <f>IFERROR(IF(OR(C480="PERAC",C480="FoPITY"),INDEX(Customizations!$C$2:$C$41,MATCH(Sheet1!D480,Customizations!$B$2:$B$41,0),1),INDEX(About!C:C,MATCH(Sheet1!C480,About!B:B,0),1)),"")</f>
        <v>BAU Historical New Veh Fuel Economy After Lifetime.xlsx</v>
      </c>
      <c r="J480" s="5">
        <f>IFERROR(INDEX(About!$D$34:$D$222,MATCH(Sheet1!I480,About!$C$34:$C$222,0),1),0)</f>
        <v>1</v>
      </c>
      <c r="K480" s="6">
        <f t="shared" si="17"/>
        <v>1</v>
      </c>
    </row>
    <row r="481" spans="1:11" x14ac:dyDescent="0.25">
      <c r="A481" t="s">
        <v>0</v>
      </c>
      <c r="B481" t="s">
        <v>609</v>
      </c>
      <c r="C481" t="s">
        <v>629</v>
      </c>
      <c r="D481" t="s">
        <v>632</v>
      </c>
      <c r="H481" t="str">
        <f t="shared" si="16"/>
        <v>.csv</v>
      </c>
      <c r="I481" s="5" t="str">
        <f>IFERROR(IF(OR(C481="PERAC",C481="FoPITY"),INDEX(Customizations!$C$2:$C$41,MATCH(Sheet1!D481,Customizations!$B$2:$B$41,0),1),INDEX(About!C:C,MATCH(Sheet1!C481,About!B:B,0),1)),"")</f>
        <v>BAU Historical New Veh Fuel Economy After Lifetime.xlsx</v>
      </c>
      <c r="J481" s="5">
        <f>IFERROR(INDEX(About!$D$34:$D$222,MATCH(Sheet1!I481,About!$C$34:$C$222,0),1),0)</f>
        <v>1</v>
      </c>
      <c r="K481" s="6">
        <f t="shared" si="17"/>
        <v>1</v>
      </c>
    </row>
    <row r="482" spans="1:11" x14ac:dyDescent="0.25">
      <c r="A482" t="s">
        <v>0</v>
      </c>
      <c r="B482" t="s">
        <v>609</v>
      </c>
      <c r="C482" t="s">
        <v>629</v>
      </c>
      <c r="D482" t="s">
        <v>633</v>
      </c>
      <c r="H482" t="str">
        <f t="shared" si="16"/>
        <v>.csv</v>
      </c>
      <c r="I482" s="5" t="str">
        <f>IFERROR(IF(OR(C482="PERAC",C482="FoPITY"),INDEX(Customizations!$C$2:$C$41,MATCH(Sheet1!D482,Customizations!$B$2:$B$41,0),1),INDEX(About!C:C,MATCH(Sheet1!C482,About!B:B,0),1)),"")</f>
        <v>BAU Historical New Veh Fuel Economy After Lifetime.xlsx</v>
      </c>
      <c r="J482" s="5">
        <f>IFERROR(INDEX(About!$D$34:$D$222,MATCH(Sheet1!I482,About!$C$34:$C$222,0),1),0)</f>
        <v>1</v>
      </c>
      <c r="K482" s="6">
        <f t="shared" si="17"/>
        <v>1</v>
      </c>
    </row>
    <row r="483" spans="1:11" x14ac:dyDescent="0.25">
      <c r="A483" t="s">
        <v>0</v>
      </c>
      <c r="B483" t="s">
        <v>609</v>
      </c>
      <c r="C483" t="s">
        <v>629</v>
      </c>
      <c r="D483" t="s">
        <v>634</v>
      </c>
      <c r="H483" t="str">
        <f t="shared" si="16"/>
        <v>.csv</v>
      </c>
      <c r="I483" s="5" t="str">
        <f>IFERROR(IF(OR(C483="PERAC",C483="FoPITY"),INDEX(Customizations!$C$2:$C$41,MATCH(Sheet1!D483,Customizations!$B$2:$B$41,0),1),INDEX(About!C:C,MATCH(Sheet1!C483,About!B:B,0),1)),"")</f>
        <v>BAU Historical New Veh Fuel Economy After Lifetime.xlsx</v>
      </c>
      <c r="J483" s="5">
        <f>IFERROR(INDEX(About!$D$34:$D$222,MATCH(Sheet1!I483,About!$C$34:$C$222,0),1),0)</f>
        <v>1</v>
      </c>
      <c r="K483" s="6">
        <f t="shared" si="17"/>
        <v>1</v>
      </c>
    </row>
    <row r="484" spans="1:11" x14ac:dyDescent="0.25">
      <c r="A484" t="s">
        <v>0</v>
      </c>
      <c r="B484" t="s">
        <v>609</v>
      </c>
      <c r="C484" t="s">
        <v>629</v>
      </c>
      <c r="D484" t="s">
        <v>635</v>
      </c>
      <c r="H484" t="str">
        <f t="shared" si="16"/>
        <v>.csv</v>
      </c>
      <c r="I484" s="5" t="str">
        <f>IFERROR(IF(OR(C484="PERAC",C484="FoPITY"),INDEX(Customizations!$C$2:$C$41,MATCH(Sheet1!D484,Customizations!$B$2:$B$41,0),1),INDEX(About!C:C,MATCH(Sheet1!C484,About!B:B,0),1)),"")</f>
        <v>BAU Historical New Veh Fuel Economy After Lifetime.xlsx</v>
      </c>
      <c r="J484" s="5">
        <f>IFERROR(INDEX(About!$D$34:$D$222,MATCH(Sheet1!I484,About!$C$34:$C$222,0),1),0)</f>
        <v>1</v>
      </c>
      <c r="K484" s="6">
        <f t="shared" si="17"/>
        <v>1</v>
      </c>
    </row>
    <row r="485" spans="1:11" x14ac:dyDescent="0.25">
      <c r="A485" t="s">
        <v>0</v>
      </c>
      <c r="B485" t="s">
        <v>609</v>
      </c>
      <c r="C485" t="s">
        <v>629</v>
      </c>
      <c r="D485" t="s">
        <v>636</v>
      </c>
      <c r="H485" t="str">
        <f t="shared" si="16"/>
        <v>.csv</v>
      </c>
      <c r="I485" s="5" t="str">
        <f>IFERROR(IF(OR(C485="PERAC",C485="FoPITY"),INDEX(Customizations!$C$2:$C$41,MATCH(Sheet1!D485,Customizations!$B$2:$B$41,0),1),INDEX(About!C:C,MATCH(Sheet1!C485,About!B:B,0),1)),"")</f>
        <v>BAU Historical New Veh Fuel Economy After Lifetime.xlsx</v>
      </c>
      <c r="J485" s="5">
        <f>IFERROR(INDEX(About!$D$34:$D$222,MATCH(Sheet1!I485,About!$C$34:$C$222,0),1),0)</f>
        <v>1</v>
      </c>
      <c r="K485" s="6">
        <f t="shared" si="17"/>
        <v>1</v>
      </c>
    </row>
    <row r="486" spans="1:11" x14ac:dyDescent="0.25">
      <c r="A486" t="s">
        <v>0</v>
      </c>
      <c r="B486" t="s">
        <v>609</v>
      </c>
      <c r="C486" t="s">
        <v>629</v>
      </c>
      <c r="D486" t="s">
        <v>637</v>
      </c>
      <c r="H486" t="str">
        <f t="shared" si="16"/>
        <v>.csv</v>
      </c>
      <c r="I486" s="5" t="str">
        <f>IFERROR(IF(OR(C486="PERAC",C486="FoPITY"),INDEX(Customizations!$C$2:$C$41,MATCH(Sheet1!D486,Customizations!$B$2:$B$41,0),1),INDEX(About!C:C,MATCH(Sheet1!C486,About!B:B,0),1)),"")</f>
        <v>BAU Historical New Veh Fuel Economy After Lifetime.xlsx</v>
      </c>
      <c r="J486" s="5">
        <f>IFERROR(INDEX(About!$D$34:$D$222,MATCH(Sheet1!I486,About!$C$34:$C$222,0),1),0)</f>
        <v>1</v>
      </c>
      <c r="K486" s="6">
        <f t="shared" si="17"/>
        <v>1</v>
      </c>
    </row>
    <row r="487" spans="1:11" x14ac:dyDescent="0.25">
      <c r="A487" t="s">
        <v>0</v>
      </c>
      <c r="B487" t="s">
        <v>609</v>
      </c>
      <c r="C487" t="s">
        <v>629</v>
      </c>
      <c r="D487" t="s">
        <v>638</v>
      </c>
      <c r="H487" t="str">
        <f t="shared" si="16"/>
        <v>.csv</v>
      </c>
      <c r="I487" s="5" t="str">
        <f>IFERROR(IF(OR(C487="PERAC",C487="FoPITY"),INDEX(Customizations!$C$2:$C$41,MATCH(Sheet1!D487,Customizations!$B$2:$B$41,0),1),INDEX(About!C:C,MATCH(Sheet1!C487,About!B:B,0),1)),"")</f>
        <v>BAU Historical New Veh Fuel Economy After Lifetime.xlsx</v>
      </c>
      <c r="J487" s="5">
        <f>IFERROR(INDEX(About!$D$34:$D$222,MATCH(Sheet1!I487,About!$C$34:$C$222,0),1),0)</f>
        <v>1</v>
      </c>
      <c r="K487" s="6">
        <f t="shared" si="17"/>
        <v>1</v>
      </c>
    </row>
    <row r="488" spans="1:11" x14ac:dyDescent="0.25">
      <c r="A488" t="s">
        <v>0</v>
      </c>
      <c r="B488" t="s">
        <v>609</v>
      </c>
      <c r="C488" t="s">
        <v>629</v>
      </c>
      <c r="D488" t="s">
        <v>639</v>
      </c>
      <c r="H488" t="str">
        <f t="shared" si="16"/>
        <v>.csv</v>
      </c>
      <c r="I488" s="5" t="str">
        <f>IFERROR(IF(OR(C488="PERAC",C488="FoPITY"),INDEX(Customizations!$C$2:$C$41,MATCH(Sheet1!D488,Customizations!$B$2:$B$41,0),1),INDEX(About!C:C,MATCH(Sheet1!C488,About!B:B,0),1)),"")</f>
        <v>BAU Historical New Veh Fuel Economy After Lifetime.xlsx</v>
      </c>
      <c r="J488" s="5">
        <f>IFERROR(INDEX(About!$D$34:$D$222,MATCH(Sheet1!I488,About!$C$34:$C$222,0),1),0)</f>
        <v>1</v>
      </c>
      <c r="K488" s="6">
        <f t="shared" si="17"/>
        <v>1</v>
      </c>
    </row>
    <row r="489" spans="1:11" x14ac:dyDescent="0.25">
      <c r="A489" t="s">
        <v>0</v>
      </c>
      <c r="B489" t="s">
        <v>609</v>
      </c>
      <c r="C489" t="s">
        <v>629</v>
      </c>
      <c r="D489" t="s">
        <v>640</v>
      </c>
      <c r="H489" t="str">
        <f t="shared" si="16"/>
        <v>.csv</v>
      </c>
      <c r="I489" s="5" t="str">
        <f>IFERROR(IF(OR(C489="PERAC",C489="FoPITY"),INDEX(Customizations!$C$2:$C$41,MATCH(Sheet1!D489,Customizations!$B$2:$B$41,0),1),INDEX(About!C:C,MATCH(Sheet1!C489,About!B:B,0),1)),"")</f>
        <v>BAU Historical New Veh Fuel Economy After Lifetime.xlsx</v>
      </c>
      <c r="J489" s="5">
        <f>IFERROR(INDEX(About!$D$34:$D$222,MATCH(Sheet1!I489,About!$C$34:$C$222,0),1),0)</f>
        <v>1</v>
      </c>
      <c r="K489" s="6">
        <f t="shared" si="17"/>
        <v>1</v>
      </c>
    </row>
    <row r="490" spans="1:11" x14ac:dyDescent="0.25">
      <c r="A490" t="s">
        <v>0</v>
      </c>
      <c r="B490" t="s">
        <v>609</v>
      </c>
      <c r="C490" t="s">
        <v>629</v>
      </c>
      <c r="D490" t="s">
        <v>641</v>
      </c>
      <c r="H490" t="str">
        <f t="shared" si="16"/>
        <v>.csv</v>
      </c>
      <c r="I490" s="5" t="str">
        <f>IFERROR(IF(OR(C490="PERAC",C490="FoPITY"),INDEX(Customizations!$C$2:$C$41,MATCH(Sheet1!D490,Customizations!$B$2:$B$41,0),1),INDEX(About!C:C,MATCH(Sheet1!C490,About!B:B,0),1)),"")</f>
        <v>BAU Historical New Veh Fuel Economy After Lifetime.xlsx</v>
      </c>
      <c r="J490" s="5">
        <f>IFERROR(INDEX(About!$D$34:$D$222,MATCH(Sheet1!I490,About!$C$34:$C$222,0),1),0)</f>
        <v>1</v>
      </c>
      <c r="K490" s="6">
        <f t="shared" si="17"/>
        <v>1</v>
      </c>
    </row>
    <row r="491" spans="1:11" x14ac:dyDescent="0.25">
      <c r="A491" t="s">
        <v>0</v>
      </c>
      <c r="B491" t="s">
        <v>609</v>
      </c>
      <c r="C491" t="s">
        <v>629</v>
      </c>
      <c r="D491" t="s">
        <v>642</v>
      </c>
      <c r="H491" t="str">
        <f t="shared" si="16"/>
        <v>.csv</v>
      </c>
      <c r="I491" s="5" t="str">
        <f>IFERROR(IF(OR(C491="PERAC",C491="FoPITY"),INDEX(Customizations!$C$2:$C$41,MATCH(Sheet1!D491,Customizations!$B$2:$B$41,0),1),INDEX(About!C:C,MATCH(Sheet1!C491,About!B:B,0),1)),"")</f>
        <v>BAU Historical New Veh Fuel Economy After Lifetime.xlsx</v>
      </c>
      <c r="J491" s="5">
        <f>IFERROR(INDEX(About!$D$34:$D$222,MATCH(Sheet1!I491,About!$C$34:$C$222,0),1),0)</f>
        <v>1</v>
      </c>
      <c r="K491" s="6">
        <f t="shared" si="17"/>
        <v>1</v>
      </c>
    </row>
    <row r="492" spans="1:11" x14ac:dyDescent="0.25">
      <c r="A492" t="s">
        <v>0</v>
      </c>
      <c r="B492" t="s">
        <v>609</v>
      </c>
      <c r="C492" t="s">
        <v>643</v>
      </c>
      <c r="D492" t="s">
        <v>644</v>
      </c>
      <c r="H492" t="str">
        <f t="shared" si="16"/>
        <v>xlsx</v>
      </c>
      <c r="I492" s="5" t="str">
        <f>IFERROR(IF(OR(C492="PERAC",C492="FoPITY"),INDEX(Customizations!$C$2:$C$41,MATCH(Sheet1!D492,Customizations!$B$2:$B$41,0),1),INDEX(About!C:C,MATCH(Sheet1!C492,About!B:B,0),1)),"")</f>
        <v>BAU LCFS Perc.xlsx</v>
      </c>
      <c r="J492" s="5">
        <f>IFERROR(INDEX(About!$D$34:$D$222,MATCH(Sheet1!I492,About!$C$34:$C$222,0),1),0)</f>
        <v>1</v>
      </c>
      <c r="K492" s="6">
        <f t="shared" si="17"/>
        <v>0</v>
      </c>
    </row>
    <row r="493" spans="1:11" x14ac:dyDescent="0.25">
      <c r="A493" t="s">
        <v>0</v>
      </c>
      <c r="B493" t="s">
        <v>609</v>
      </c>
      <c r="C493" t="s">
        <v>643</v>
      </c>
      <c r="D493" t="s">
        <v>645</v>
      </c>
      <c r="H493" t="str">
        <f t="shared" si="16"/>
        <v>.csv</v>
      </c>
      <c r="I493" s="5" t="str">
        <f>IFERROR(IF(OR(C493="PERAC",C493="FoPITY"),INDEX(Customizations!$C$2:$C$41,MATCH(Sheet1!D493,Customizations!$B$2:$B$41,0),1),INDEX(About!C:C,MATCH(Sheet1!C493,About!B:B,0),1)),"")</f>
        <v>BAU LCFS Perc.xlsx</v>
      </c>
      <c r="J493" s="5">
        <f>IFERROR(INDEX(About!$D$34:$D$222,MATCH(Sheet1!I493,About!$C$34:$C$222,0),1),0)</f>
        <v>1</v>
      </c>
      <c r="K493" s="6">
        <f t="shared" si="17"/>
        <v>1</v>
      </c>
    </row>
    <row r="494" spans="1:11" x14ac:dyDescent="0.25">
      <c r="A494" t="s">
        <v>0</v>
      </c>
      <c r="B494" t="s">
        <v>609</v>
      </c>
      <c r="C494" t="s">
        <v>646</v>
      </c>
      <c r="D494" t="s">
        <v>647</v>
      </c>
      <c r="H494" t="str">
        <f t="shared" si="16"/>
        <v>xlsx</v>
      </c>
      <c r="I494" s="5" t="str">
        <f>IFERROR(IF(OR(C494="PERAC",C494="FoPITY"),INDEX(Customizations!$C$2:$C$41,MATCH(Sheet1!D494,Customizations!$B$2:$B$41,0),1),INDEX(About!C:C,MATCH(Sheet1!C494,About!B:B,0),1)),"")</f>
        <v>BAU Min Req EV Sales Perc.xlsx</v>
      </c>
      <c r="J494" s="5">
        <f>IFERROR(INDEX(About!$D$34:$D$222,MATCH(Sheet1!I494,About!$C$34:$C$222,0),1),0)</f>
        <v>1</v>
      </c>
      <c r="K494" s="6">
        <f t="shared" si="17"/>
        <v>0</v>
      </c>
    </row>
    <row r="495" spans="1:11" x14ac:dyDescent="0.25">
      <c r="A495" t="s">
        <v>0</v>
      </c>
      <c r="B495" t="s">
        <v>609</v>
      </c>
      <c r="C495" t="s">
        <v>646</v>
      </c>
      <c r="D495" t="s">
        <v>648</v>
      </c>
      <c r="H495" t="str">
        <f t="shared" si="16"/>
        <v>.csv</v>
      </c>
      <c r="I495" s="5" t="str">
        <f>IFERROR(IF(OR(C495="PERAC",C495="FoPITY"),INDEX(Customizations!$C$2:$C$41,MATCH(Sheet1!D495,Customizations!$B$2:$B$41,0),1),INDEX(About!C:C,MATCH(Sheet1!C495,About!B:B,0),1)),"")</f>
        <v>BAU Min Req EV Sales Perc.xlsx</v>
      </c>
      <c r="J495" s="5">
        <f>IFERROR(INDEX(About!$D$34:$D$222,MATCH(Sheet1!I495,About!$C$34:$C$222,0),1),0)</f>
        <v>1</v>
      </c>
      <c r="K495" s="6">
        <f t="shared" si="17"/>
        <v>1</v>
      </c>
    </row>
    <row r="496" spans="1:11" x14ac:dyDescent="0.25">
      <c r="A496" t="s">
        <v>0</v>
      </c>
      <c r="B496" t="s">
        <v>609</v>
      </c>
      <c r="C496" t="s">
        <v>646</v>
      </c>
      <c r="D496" t="s">
        <v>649</v>
      </c>
      <c r="H496" t="str">
        <f t="shared" si="16"/>
        <v>.csv</v>
      </c>
      <c r="I496" s="5" t="str">
        <f>IFERROR(IF(OR(C496="PERAC",C496="FoPITY"),INDEX(Customizations!$C$2:$C$41,MATCH(Sheet1!D496,Customizations!$B$2:$B$41,0),1),INDEX(About!C:C,MATCH(Sheet1!C496,About!B:B,0),1)),"")</f>
        <v>BAU Min Req EV Sales Perc.xlsx</v>
      </c>
      <c r="J496" s="5">
        <f>IFERROR(INDEX(About!$D$34:$D$222,MATCH(Sheet1!I496,About!$C$34:$C$222,0),1),0)</f>
        <v>1</v>
      </c>
      <c r="K496" s="6">
        <f t="shared" si="17"/>
        <v>1</v>
      </c>
    </row>
    <row r="497" spans="1:11" x14ac:dyDescent="0.25">
      <c r="A497" t="s">
        <v>0</v>
      </c>
      <c r="B497" t="s">
        <v>609</v>
      </c>
      <c r="C497" t="s">
        <v>650</v>
      </c>
      <c r="D497" t="s">
        <v>651</v>
      </c>
      <c r="H497" t="str">
        <f t="shared" si="16"/>
        <v>xlsx</v>
      </c>
      <c r="I497" s="5" t="str">
        <f>IFERROR(IF(OR(C497="PERAC",C497="FoPITY"),INDEX(Customizations!$C$2:$C$41,MATCH(Sheet1!D497,Customizations!$B$2:$B$41,0),1),INDEX(About!C:C,MATCH(Sheet1!C497,About!B:B,0),1)),"")</f>
        <v>BAU New Veh Fuel Economy.xlsx</v>
      </c>
      <c r="J497" s="5">
        <f>IFERROR(INDEX(About!$D$34:$D$222,MATCH(Sheet1!I497,About!$C$34:$C$222,0),1),0)</f>
        <v>1</v>
      </c>
      <c r="K497" s="6">
        <f t="shared" si="17"/>
        <v>0</v>
      </c>
    </row>
    <row r="498" spans="1:11" x14ac:dyDescent="0.25">
      <c r="A498" t="s">
        <v>0</v>
      </c>
      <c r="B498" t="s">
        <v>609</v>
      </c>
      <c r="C498" t="s">
        <v>650</v>
      </c>
      <c r="D498" t="s">
        <v>652</v>
      </c>
      <c r="H498" t="str">
        <f t="shared" si="16"/>
        <v>.csv</v>
      </c>
      <c r="I498" s="5" t="str">
        <f>IFERROR(IF(OR(C498="PERAC",C498="FoPITY"),INDEX(Customizations!$C$2:$C$41,MATCH(Sheet1!D498,Customizations!$B$2:$B$41,0),1),INDEX(About!C:C,MATCH(Sheet1!C498,About!B:B,0),1)),"")</f>
        <v>BAU New Veh Fuel Economy.xlsx</v>
      </c>
      <c r="J498" s="5">
        <f>IFERROR(INDEX(About!$D$34:$D$222,MATCH(Sheet1!I498,About!$C$34:$C$222,0),1),0)</f>
        <v>1</v>
      </c>
      <c r="K498" s="6">
        <f t="shared" si="17"/>
        <v>1</v>
      </c>
    </row>
    <row r="499" spans="1:11" x14ac:dyDescent="0.25">
      <c r="A499" t="s">
        <v>0</v>
      </c>
      <c r="B499" t="s">
        <v>609</v>
      </c>
      <c r="C499" t="s">
        <v>650</v>
      </c>
      <c r="D499" t="s">
        <v>653</v>
      </c>
      <c r="H499" t="str">
        <f t="shared" si="16"/>
        <v>.csv</v>
      </c>
      <c r="I499" s="5" t="str">
        <f>IFERROR(IF(OR(C499="PERAC",C499="FoPITY"),INDEX(Customizations!$C$2:$C$41,MATCH(Sheet1!D499,Customizations!$B$2:$B$41,0),1),INDEX(About!C:C,MATCH(Sheet1!C499,About!B:B,0),1)),"")</f>
        <v>BAU New Veh Fuel Economy.xlsx</v>
      </c>
      <c r="J499" s="5">
        <f>IFERROR(INDEX(About!$D$34:$D$222,MATCH(Sheet1!I499,About!$C$34:$C$222,0),1),0)</f>
        <v>1</v>
      </c>
      <c r="K499" s="6">
        <f t="shared" si="17"/>
        <v>1</v>
      </c>
    </row>
    <row r="500" spans="1:11" x14ac:dyDescent="0.25">
      <c r="A500" t="s">
        <v>0</v>
      </c>
      <c r="B500" t="s">
        <v>609</v>
      </c>
      <c r="C500" t="s">
        <v>650</v>
      </c>
      <c r="D500" t="s">
        <v>654</v>
      </c>
      <c r="H500" t="str">
        <f t="shared" si="16"/>
        <v>.csv</v>
      </c>
      <c r="I500" s="5" t="str">
        <f>IFERROR(IF(OR(C500="PERAC",C500="FoPITY"),INDEX(Customizations!$C$2:$C$41,MATCH(Sheet1!D500,Customizations!$B$2:$B$41,0),1),INDEX(About!C:C,MATCH(Sheet1!C500,About!B:B,0),1)),"")</f>
        <v>BAU New Veh Fuel Economy.xlsx</v>
      </c>
      <c r="J500" s="5">
        <f>IFERROR(INDEX(About!$D$34:$D$222,MATCH(Sheet1!I500,About!$C$34:$C$222,0),1),0)</f>
        <v>1</v>
      </c>
      <c r="K500" s="6">
        <f t="shared" si="17"/>
        <v>1</v>
      </c>
    </row>
    <row r="501" spans="1:11" x14ac:dyDescent="0.25">
      <c r="A501" t="s">
        <v>0</v>
      </c>
      <c r="B501" t="s">
        <v>609</v>
      </c>
      <c r="C501" t="s">
        <v>650</v>
      </c>
      <c r="D501" t="s">
        <v>655</v>
      </c>
      <c r="H501" t="str">
        <f t="shared" si="16"/>
        <v>.csv</v>
      </c>
      <c r="I501" s="5" t="str">
        <f>IFERROR(IF(OR(C501="PERAC",C501="FoPITY"),INDEX(Customizations!$C$2:$C$41,MATCH(Sheet1!D501,Customizations!$B$2:$B$41,0),1),INDEX(About!C:C,MATCH(Sheet1!C501,About!B:B,0),1)),"")</f>
        <v>BAU New Veh Fuel Economy.xlsx</v>
      </c>
      <c r="J501" s="5">
        <f>IFERROR(INDEX(About!$D$34:$D$222,MATCH(Sheet1!I501,About!$C$34:$C$222,0),1),0)</f>
        <v>1</v>
      </c>
      <c r="K501" s="6">
        <f t="shared" si="17"/>
        <v>1</v>
      </c>
    </row>
    <row r="502" spans="1:11" x14ac:dyDescent="0.25">
      <c r="A502" t="s">
        <v>0</v>
      </c>
      <c r="B502" t="s">
        <v>609</v>
      </c>
      <c r="C502" t="s">
        <v>650</v>
      </c>
      <c r="D502" t="s">
        <v>656</v>
      </c>
      <c r="H502" t="str">
        <f t="shared" si="16"/>
        <v>.csv</v>
      </c>
      <c r="I502" s="5" t="str">
        <f>IFERROR(IF(OR(C502="PERAC",C502="FoPITY"),INDEX(Customizations!$C$2:$C$41,MATCH(Sheet1!D502,Customizations!$B$2:$B$41,0),1),INDEX(About!C:C,MATCH(Sheet1!C502,About!B:B,0),1)),"")</f>
        <v>BAU New Veh Fuel Economy.xlsx</v>
      </c>
      <c r="J502" s="5">
        <f>IFERROR(INDEX(About!$D$34:$D$222,MATCH(Sheet1!I502,About!$C$34:$C$222,0),1),0)</f>
        <v>1</v>
      </c>
      <c r="K502" s="6">
        <f t="shared" si="17"/>
        <v>1</v>
      </c>
    </row>
    <row r="503" spans="1:11" x14ac:dyDescent="0.25">
      <c r="A503" t="s">
        <v>0</v>
      </c>
      <c r="B503" t="s">
        <v>609</v>
      </c>
      <c r="C503" t="s">
        <v>650</v>
      </c>
      <c r="D503" t="s">
        <v>657</v>
      </c>
      <c r="H503" t="str">
        <f t="shared" si="16"/>
        <v>.csv</v>
      </c>
      <c r="I503" s="5" t="str">
        <f>IFERROR(IF(OR(C503="PERAC",C503="FoPITY"),INDEX(Customizations!$C$2:$C$41,MATCH(Sheet1!D503,Customizations!$B$2:$B$41,0),1),INDEX(About!C:C,MATCH(Sheet1!C503,About!B:B,0),1)),"")</f>
        <v>BAU New Veh Fuel Economy.xlsx</v>
      </c>
      <c r="J503" s="5">
        <f>IFERROR(INDEX(About!$D$34:$D$222,MATCH(Sheet1!I503,About!$C$34:$C$222,0),1),0)</f>
        <v>1</v>
      </c>
      <c r="K503" s="6">
        <f t="shared" si="17"/>
        <v>1</v>
      </c>
    </row>
    <row r="504" spans="1:11" x14ac:dyDescent="0.25">
      <c r="A504" t="s">
        <v>0</v>
      </c>
      <c r="B504" t="s">
        <v>609</v>
      </c>
      <c r="C504" t="s">
        <v>650</v>
      </c>
      <c r="D504" t="s">
        <v>658</v>
      </c>
      <c r="H504" t="str">
        <f t="shared" si="16"/>
        <v>.csv</v>
      </c>
      <c r="I504" s="5" t="str">
        <f>IFERROR(IF(OR(C504="PERAC",C504="FoPITY"),INDEX(Customizations!$C$2:$C$41,MATCH(Sheet1!D504,Customizations!$B$2:$B$41,0),1),INDEX(About!C:C,MATCH(Sheet1!C504,About!B:B,0),1)),"")</f>
        <v>BAU New Veh Fuel Economy.xlsx</v>
      </c>
      <c r="J504" s="5">
        <f>IFERROR(INDEX(About!$D$34:$D$222,MATCH(Sheet1!I504,About!$C$34:$C$222,0),1),0)</f>
        <v>1</v>
      </c>
      <c r="K504" s="6">
        <f t="shared" si="17"/>
        <v>1</v>
      </c>
    </row>
    <row r="505" spans="1:11" x14ac:dyDescent="0.25">
      <c r="A505" t="s">
        <v>0</v>
      </c>
      <c r="B505" t="s">
        <v>609</v>
      </c>
      <c r="C505" t="s">
        <v>650</v>
      </c>
      <c r="D505" t="s">
        <v>659</v>
      </c>
      <c r="H505" t="str">
        <f t="shared" si="16"/>
        <v>.csv</v>
      </c>
      <c r="I505" s="5" t="str">
        <f>IFERROR(IF(OR(C505="PERAC",C505="FoPITY"),INDEX(Customizations!$C$2:$C$41,MATCH(Sheet1!D505,Customizations!$B$2:$B$41,0),1),INDEX(About!C:C,MATCH(Sheet1!C505,About!B:B,0),1)),"")</f>
        <v>BAU New Veh Fuel Economy.xlsx</v>
      </c>
      <c r="J505" s="5">
        <f>IFERROR(INDEX(About!$D$34:$D$222,MATCH(Sheet1!I505,About!$C$34:$C$222,0),1),0)</f>
        <v>1</v>
      </c>
      <c r="K505" s="6">
        <f t="shared" si="17"/>
        <v>1</v>
      </c>
    </row>
    <row r="506" spans="1:11" x14ac:dyDescent="0.25">
      <c r="A506" t="s">
        <v>0</v>
      </c>
      <c r="B506" t="s">
        <v>609</v>
      </c>
      <c r="C506" t="s">
        <v>650</v>
      </c>
      <c r="D506" t="s">
        <v>660</v>
      </c>
      <c r="H506" t="str">
        <f t="shared" si="16"/>
        <v>.csv</v>
      </c>
      <c r="I506" s="5" t="str">
        <f>IFERROR(IF(OR(C506="PERAC",C506="FoPITY"),INDEX(Customizations!$C$2:$C$41,MATCH(Sheet1!D506,Customizations!$B$2:$B$41,0),1),INDEX(About!C:C,MATCH(Sheet1!C506,About!B:B,0),1)),"")</f>
        <v>BAU New Veh Fuel Economy.xlsx</v>
      </c>
      <c r="J506" s="5">
        <f>IFERROR(INDEX(About!$D$34:$D$222,MATCH(Sheet1!I506,About!$C$34:$C$222,0),1),0)</f>
        <v>1</v>
      </c>
      <c r="K506" s="6">
        <f t="shared" si="17"/>
        <v>1</v>
      </c>
    </row>
    <row r="507" spans="1:11" x14ac:dyDescent="0.25">
      <c r="A507" t="s">
        <v>0</v>
      </c>
      <c r="B507" t="s">
        <v>609</v>
      </c>
      <c r="C507" t="s">
        <v>650</v>
      </c>
      <c r="D507" t="s">
        <v>661</v>
      </c>
      <c r="H507" t="str">
        <f t="shared" si="16"/>
        <v>.csv</v>
      </c>
      <c r="I507" s="5" t="str">
        <f>IFERROR(IF(OR(C507="PERAC",C507="FoPITY"),INDEX(Customizations!$C$2:$C$41,MATCH(Sheet1!D507,Customizations!$B$2:$B$41,0),1),INDEX(About!C:C,MATCH(Sheet1!C507,About!B:B,0),1)),"")</f>
        <v>BAU New Veh Fuel Economy.xlsx</v>
      </c>
      <c r="J507" s="5">
        <f>IFERROR(INDEX(About!$D$34:$D$222,MATCH(Sheet1!I507,About!$C$34:$C$222,0),1),0)</f>
        <v>1</v>
      </c>
      <c r="K507" s="6">
        <f t="shared" si="17"/>
        <v>1</v>
      </c>
    </row>
    <row r="508" spans="1:11" x14ac:dyDescent="0.25">
      <c r="A508" t="s">
        <v>0</v>
      </c>
      <c r="B508" t="s">
        <v>609</v>
      </c>
      <c r="C508" t="s">
        <v>650</v>
      </c>
      <c r="D508" t="s">
        <v>662</v>
      </c>
      <c r="H508" t="str">
        <f t="shared" si="16"/>
        <v>.csv</v>
      </c>
      <c r="I508" s="5" t="str">
        <f>IFERROR(IF(OR(C508="PERAC",C508="FoPITY"),INDEX(Customizations!$C$2:$C$41,MATCH(Sheet1!D508,Customizations!$B$2:$B$41,0),1),INDEX(About!C:C,MATCH(Sheet1!C508,About!B:B,0),1)),"")</f>
        <v>BAU New Veh Fuel Economy.xlsx</v>
      </c>
      <c r="J508" s="5">
        <f>IFERROR(INDEX(About!$D$34:$D$222,MATCH(Sheet1!I508,About!$C$34:$C$222,0),1),0)</f>
        <v>1</v>
      </c>
      <c r="K508" s="6">
        <f t="shared" si="17"/>
        <v>1</v>
      </c>
    </row>
    <row r="509" spans="1:11" x14ac:dyDescent="0.25">
      <c r="A509" t="s">
        <v>0</v>
      </c>
      <c r="B509" t="s">
        <v>609</v>
      </c>
      <c r="C509" t="s">
        <v>650</v>
      </c>
      <c r="D509" t="s">
        <v>663</v>
      </c>
      <c r="H509" t="str">
        <f t="shared" si="16"/>
        <v>.csv</v>
      </c>
      <c r="I509" s="5" t="str">
        <f>IFERROR(IF(OR(C509="PERAC",C509="FoPITY"),INDEX(Customizations!$C$2:$C$41,MATCH(Sheet1!D509,Customizations!$B$2:$B$41,0),1),INDEX(About!C:C,MATCH(Sheet1!C509,About!B:B,0),1)),"")</f>
        <v>BAU New Veh Fuel Economy.xlsx</v>
      </c>
      <c r="J509" s="5">
        <f>IFERROR(INDEX(About!$D$34:$D$222,MATCH(Sheet1!I509,About!$C$34:$C$222,0),1),0)</f>
        <v>1</v>
      </c>
      <c r="K509" s="6">
        <f t="shared" si="17"/>
        <v>1</v>
      </c>
    </row>
    <row r="510" spans="1:11" x14ac:dyDescent="0.25">
      <c r="A510" t="s">
        <v>0</v>
      </c>
      <c r="B510" t="s">
        <v>609</v>
      </c>
      <c r="C510" t="s">
        <v>664</v>
      </c>
      <c r="D510" t="s">
        <v>665</v>
      </c>
      <c r="H510" t="str">
        <f t="shared" si="16"/>
        <v>xlsx</v>
      </c>
      <c r="I510" s="5" t="str">
        <f>IFERROR(IF(OR(C510="PERAC",C510="FoPITY"),INDEX(Customizations!$C$2:$C$41,MATCH(Sheet1!D510,Customizations!$B$2:$B$41,0),1),INDEX(About!C:C,MATCH(Sheet1!C510,About!B:B,0),1)),"")</f>
        <v>BAU New Vehicle Price.xlsx</v>
      </c>
      <c r="J510" s="5">
        <f>IFERROR(INDEX(About!$D$34:$D$222,MATCH(Sheet1!I510,About!$C$34:$C$222,0),1),0)</f>
        <v>1</v>
      </c>
      <c r="K510" s="6">
        <f t="shared" si="17"/>
        <v>0</v>
      </c>
    </row>
    <row r="511" spans="1:11" x14ac:dyDescent="0.25">
      <c r="A511" t="s">
        <v>0</v>
      </c>
      <c r="B511" t="s">
        <v>609</v>
      </c>
      <c r="C511" t="s">
        <v>664</v>
      </c>
      <c r="D511" t="s">
        <v>666</v>
      </c>
      <c r="H511" t="str">
        <f t="shared" si="16"/>
        <v>.csv</v>
      </c>
      <c r="I511" s="5" t="str">
        <f>IFERROR(IF(OR(C511="PERAC",C511="FoPITY"),INDEX(Customizations!$C$2:$C$41,MATCH(Sheet1!D511,Customizations!$B$2:$B$41,0),1),INDEX(About!C:C,MATCH(Sheet1!C511,About!B:B,0),1)),"")</f>
        <v>BAU New Vehicle Price.xlsx</v>
      </c>
      <c r="J511" s="5">
        <f>IFERROR(INDEX(About!$D$34:$D$222,MATCH(Sheet1!I511,About!$C$34:$C$222,0),1),0)</f>
        <v>1</v>
      </c>
      <c r="K511" s="6">
        <f t="shared" si="17"/>
        <v>1</v>
      </c>
    </row>
    <row r="512" spans="1:11" x14ac:dyDescent="0.25">
      <c r="A512" t="s">
        <v>0</v>
      </c>
      <c r="B512" t="s">
        <v>609</v>
      </c>
      <c r="C512" t="s">
        <v>664</v>
      </c>
      <c r="D512" t="s">
        <v>667</v>
      </c>
      <c r="H512" t="str">
        <f t="shared" si="16"/>
        <v>.csv</v>
      </c>
      <c r="I512" s="5" t="str">
        <f>IFERROR(IF(OR(C512="PERAC",C512="FoPITY"),INDEX(Customizations!$C$2:$C$41,MATCH(Sheet1!D512,Customizations!$B$2:$B$41,0),1),INDEX(About!C:C,MATCH(Sheet1!C512,About!B:B,0),1)),"")</f>
        <v>BAU New Vehicle Price.xlsx</v>
      </c>
      <c r="J512" s="5">
        <f>IFERROR(INDEX(About!$D$34:$D$222,MATCH(Sheet1!I512,About!$C$34:$C$222,0),1),0)</f>
        <v>1</v>
      </c>
      <c r="K512" s="6">
        <f t="shared" si="17"/>
        <v>1</v>
      </c>
    </row>
    <row r="513" spans="1:11" x14ac:dyDescent="0.25">
      <c r="A513" t="s">
        <v>0</v>
      </c>
      <c r="B513" t="s">
        <v>609</v>
      </c>
      <c r="C513" t="s">
        <v>664</v>
      </c>
      <c r="D513" t="s">
        <v>668</v>
      </c>
      <c r="H513" t="str">
        <f t="shared" si="16"/>
        <v>.csv</v>
      </c>
      <c r="I513" s="5" t="str">
        <f>IFERROR(IF(OR(C513="PERAC",C513="FoPITY"),INDEX(Customizations!$C$2:$C$41,MATCH(Sheet1!D513,Customizations!$B$2:$B$41,0),1),INDEX(About!C:C,MATCH(Sheet1!C513,About!B:B,0),1)),"")</f>
        <v>BAU New Vehicle Price.xlsx</v>
      </c>
      <c r="J513" s="5">
        <f>IFERROR(INDEX(About!$D$34:$D$222,MATCH(Sheet1!I513,About!$C$34:$C$222,0),1),0)</f>
        <v>1</v>
      </c>
      <c r="K513" s="6">
        <f t="shared" si="17"/>
        <v>1</v>
      </c>
    </row>
    <row r="514" spans="1:11" x14ac:dyDescent="0.25">
      <c r="A514" t="s">
        <v>0</v>
      </c>
      <c r="B514" t="s">
        <v>609</v>
      </c>
      <c r="C514" t="s">
        <v>664</v>
      </c>
      <c r="D514" t="s">
        <v>669</v>
      </c>
      <c r="H514" t="str">
        <f t="shared" si="16"/>
        <v>.csv</v>
      </c>
      <c r="I514" s="5" t="str">
        <f>IFERROR(IF(OR(C514="PERAC",C514="FoPITY"),INDEX(Customizations!$C$2:$C$41,MATCH(Sheet1!D514,Customizations!$B$2:$B$41,0),1),INDEX(About!C:C,MATCH(Sheet1!C514,About!B:B,0),1)),"")</f>
        <v>BAU New Vehicle Price.xlsx</v>
      </c>
      <c r="J514" s="5">
        <f>IFERROR(INDEX(About!$D$34:$D$222,MATCH(Sheet1!I514,About!$C$34:$C$222,0),1),0)</f>
        <v>1</v>
      </c>
      <c r="K514" s="6">
        <f t="shared" si="17"/>
        <v>1</v>
      </c>
    </row>
    <row r="515" spans="1:11" x14ac:dyDescent="0.25">
      <c r="A515" t="s">
        <v>0</v>
      </c>
      <c r="B515" t="s">
        <v>609</v>
      </c>
      <c r="C515" t="s">
        <v>664</v>
      </c>
      <c r="D515" t="s">
        <v>670</v>
      </c>
      <c r="H515" t="str">
        <f t="shared" si="16"/>
        <v>.csv</v>
      </c>
      <c r="I515" s="5" t="str">
        <f>IFERROR(IF(OR(C515="PERAC",C515="FoPITY"),INDEX(Customizations!$C$2:$C$41,MATCH(Sheet1!D515,Customizations!$B$2:$B$41,0),1),INDEX(About!C:C,MATCH(Sheet1!C515,About!B:B,0),1)),"")</f>
        <v>BAU New Vehicle Price.xlsx</v>
      </c>
      <c r="J515" s="5">
        <f>IFERROR(INDEX(About!$D$34:$D$222,MATCH(Sheet1!I515,About!$C$34:$C$222,0),1),0)</f>
        <v>1</v>
      </c>
      <c r="K515" s="6">
        <f t="shared" si="17"/>
        <v>1</v>
      </c>
    </row>
    <row r="516" spans="1:11" x14ac:dyDescent="0.25">
      <c r="A516" t="s">
        <v>0</v>
      </c>
      <c r="B516" t="s">
        <v>609</v>
      </c>
      <c r="C516" t="s">
        <v>664</v>
      </c>
      <c r="D516" t="s">
        <v>671</v>
      </c>
      <c r="H516" t="str">
        <f t="shared" si="16"/>
        <v>.csv</v>
      </c>
      <c r="I516" s="5" t="str">
        <f>IFERROR(IF(OR(C516="PERAC",C516="FoPITY"),INDEX(Customizations!$C$2:$C$41,MATCH(Sheet1!D516,Customizations!$B$2:$B$41,0),1),INDEX(About!C:C,MATCH(Sheet1!C516,About!B:B,0),1)),"")</f>
        <v>BAU New Vehicle Price.xlsx</v>
      </c>
      <c r="J516" s="5">
        <f>IFERROR(INDEX(About!$D$34:$D$222,MATCH(Sheet1!I516,About!$C$34:$C$222,0),1),0)</f>
        <v>1</v>
      </c>
      <c r="K516" s="6">
        <f t="shared" si="17"/>
        <v>1</v>
      </c>
    </row>
    <row r="517" spans="1:11" x14ac:dyDescent="0.25">
      <c r="A517" t="s">
        <v>0</v>
      </c>
      <c r="B517" t="s">
        <v>609</v>
      </c>
      <c r="C517" t="s">
        <v>664</v>
      </c>
      <c r="D517" t="s">
        <v>672</v>
      </c>
      <c r="H517" t="str">
        <f t="shared" si="16"/>
        <v>.csv</v>
      </c>
      <c r="I517" s="5" t="str">
        <f>IFERROR(IF(OR(C517="PERAC",C517="FoPITY"),INDEX(Customizations!$C$2:$C$41,MATCH(Sheet1!D517,Customizations!$B$2:$B$41,0),1),INDEX(About!C:C,MATCH(Sheet1!C517,About!B:B,0),1)),"")</f>
        <v>BAU New Vehicle Price.xlsx</v>
      </c>
      <c r="J517" s="5">
        <f>IFERROR(INDEX(About!$D$34:$D$222,MATCH(Sheet1!I517,About!$C$34:$C$222,0),1),0)</f>
        <v>1</v>
      </c>
      <c r="K517" s="6">
        <f t="shared" si="17"/>
        <v>1</v>
      </c>
    </row>
    <row r="518" spans="1:11" x14ac:dyDescent="0.25">
      <c r="A518" t="s">
        <v>0</v>
      </c>
      <c r="B518" t="s">
        <v>609</v>
      </c>
      <c r="C518" t="s">
        <v>664</v>
      </c>
      <c r="D518" t="s">
        <v>673</v>
      </c>
      <c r="H518" t="str">
        <f t="shared" si="16"/>
        <v>.csv</v>
      </c>
      <c r="I518" s="5" t="str">
        <f>IFERROR(IF(OR(C518="PERAC",C518="FoPITY"),INDEX(Customizations!$C$2:$C$41,MATCH(Sheet1!D518,Customizations!$B$2:$B$41,0),1),INDEX(About!C:C,MATCH(Sheet1!C518,About!B:B,0),1)),"")</f>
        <v>BAU New Vehicle Price.xlsx</v>
      </c>
      <c r="J518" s="5">
        <f>IFERROR(INDEX(About!$D$34:$D$222,MATCH(Sheet1!I518,About!$C$34:$C$222,0),1),0)</f>
        <v>1</v>
      </c>
      <c r="K518" s="6">
        <f t="shared" si="17"/>
        <v>1</v>
      </c>
    </row>
    <row r="519" spans="1:11" x14ac:dyDescent="0.25">
      <c r="A519" t="s">
        <v>0</v>
      </c>
      <c r="B519" t="s">
        <v>609</v>
      </c>
      <c r="C519" t="s">
        <v>664</v>
      </c>
      <c r="D519" t="s">
        <v>674</v>
      </c>
      <c r="H519" t="str">
        <f t="shared" ref="H519:H582" si="20">RIGHT(D519,"4")</f>
        <v>.csv</v>
      </c>
      <c r="I519" s="5" t="str">
        <f>IFERROR(IF(OR(C519="PERAC",C519="FoPITY"),INDEX(Customizations!$C$2:$C$41,MATCH(Sheet1!D519,Customizations!$B$2:$B$41,0),1),INDEX(About!C:C,MATCH(Sheet1!C519,About!B:B,0),1)),"")</f>
        <v>BAU New Vehicle Price.xlsx</v>
      </c>
      <c r="J519" s="5">
        <f>IFERROR(INDEX(About!$D$34:$D$222,MATCH(Sheet1!I519,About!$C$34:$C$222,0),1),0)</f>
        <v>1</v>
      </c>
      <c r="K519" s="6">
        <f t="shared" ref="K519:K582" si="21">IF(H519=".csv",1,0)*J519</f>
        <v>1</v>
      </c>
    </row>
    <row r="520" spans="1:11" x14ac:dyDescent="0.25">
      <c r="A520" t="s">
        <v>0</v>
      </c>
      <c r="B520" t="s">
        <v>609</v>
      </c>
      <c r="C520" t="s">
        <v>664</v>
      </c>
      <c r="D520" t="s">
        <v>675</v>
      </c>
      <c r="H520" t="str">
        <f t="shared" si="20"/>
        <v>.csv</v>
      </c>
      <c r="I520" s="5" t="str">
        <f>IFERROR(IF(OR(C520="PERAC",C520="FoPITY"),INDEX(Customizations!$C$2:$C$41,MATCH(Sheet1!D520,Customizations!$B$2:$B$41,0),1),INDEX(About!C:C,MATCH(Sheet1!C520,About!B:B,0),1)),"")</f>
        <v>BAU New Vehicle Price.xlsx</v>
      </c>
      <c r="J520" s="5">
        <f>IFERROR(INDEX(About!$D$34:$D$222,MATCH(Sheet1!I520,About!$C$34:$C$222,0),1),0)</f>
        <v>1</v>
      </c>
      <c r="K520" s="6">
        <f t="shared" si="21"/>
        <v>1</v>
      </c>
    </row>
    <row r="521" spans="1:11" x14ac:dyDescent="0.25">
      <c r="A521" t="s">
        <v>0</v>
      </c>
      <c r="B521" t="s">
        <v>609</v>
      </c>
      <c r="C521" t="s">
        <v>664</v>
      </c>
      <c r="D521" t="s">
        <v>676</v>
      </c>
      <c r="H521" t="str">
        <f t="shared" si="20"/>
        <v>.csv</v>
      </c>
      <c r="I521" s="5" t="str">
        <f>IFERROR(IF(OR(C521="PERAC",C521="FoPITY"),INDEX(Customizations!$C$2:$C$41,MATCH(Sheet1!D521,Customizations!$B$2:$B$41,0),1),INDEX(About!C:C,MATCH(Sheet1!C521,About!B:B,0),1)),"")</f>
        <v>BAU New Vehicle Price.xlsx</v>
      </c>
      <c r="J521" s="5">
        <f>IFERROR(INDEX(About!$D$34:$D$222,MATCH(Sheet1!I521,About!$C$34:$C$222,0),1),0)</f>
        <v>1</v>
      </c>
      <c r="K521" s="6">
        <f t="shared" si="21"/>
        <v>1</v>
      </c>
    </row>
    <row r="522" spans="1:11" x14ac:dyDescent="0.25">
      <c r="A522" t="s">
        <v>0</v>
      </c>
      <c r="B522" t="s">
        <v>609</v>
      </c>
      <c r="C522" t="s">
        <v>664</v>
      </c>
      <c r="D522" t="s">
        <v>677</v>
      </c>
      <c r="H522" t="str">
        <f t="shared" si="20"/>
        <v>.csv</v>
      </c>
      <c r="I522" s="5" t="str">
        <f>IFERROR(IF(OR(C522="PERAC",C522="FoPITY"),INDEX(Customizations!$C$2:$C$41,MATCH(Sheet1!D522,Customizations!$B$2:$B$41,0),1),INDEX(About!C:C,MATCH(Sheet1!C522,About!B:B,0),1)),"")</f>
        <v>BAU New Vehicle Price.xlsx</v>
      </c>
      <c r="J522" s="5">
        <f>IFERROR(INDEX(About!$D$34:$D$222,MATCH(Sheet1!I522,About!$C$34:$C$222,0),1),0)</f>
        <v>1</v>
      </c>
      <c r="K522" s="6">
        <f t="shared" si="21"/>
        <v>1</v>
      </c>
    </row>
    <row r="523" spans="1:11" x14ac:dyDescent="0.25">
      <c r="A523" t="s">
        <v>0</v>
      </c>
      <c r="B523" t="s">
        <v>609</v>
      </c>
      <c r="C523" t="s">
        <v>678</v>
      </c>
      <c r="D523" t="s">
        <v>679</v>
      </c>
      <c r="H523" t="str">
        <f t="shared" si="20"/>
        <v>xlsx</v>
      </c>
      <c r="I523" s="5" t="str">
        <f>IFERROR(IF(OR(C523="PERAC",C523="FoPITY"),INDEX(Customizations!$C$2:$C$41,MATCH(Sheet1!D523,Customizations!$B$2:$B$41,0),1),INDEX(About!C:C,MATCH(Sheet1!C523,About!B:B,0),1)),"")</f>
        <v>BAU Perc of Each Fuel Used by Veh Tech.xlsx</v>
      </c>
      <c r="J523" s="5">
        <f>IFERROR(INDEX(About!$D$34:$D$222,MATCH(Sheet1!I523,About!$C$34:$C$222,0),1),0)</f>
        <v>1</v>
      </c>
      <c r="K523" s="6">
        <f t="shared" si="21"/>
        <v>0</v>
      </c>
    </row>
    <row r="524" spans="1:11" x14ac:dyDescent="0.25">
      <c r="A524" t="s">
        <v>0</v>
      </c>
      <c r="B524" t="s">
        <v>609</v>
      </c>
      <c r="C524" t="s">
        <v>678</v>
      </c>
      <c r="D524" t="s">
        <v>680</v>
      </c>
      <c r="H524" t="str">
        <f t="shared" si="20"/>
        <v>.csv</v>
      </c>
      <c r="I524" s="5" t="str">
        <f>IFERROR(IF(OR(C524="PERAC",C524="FoPITY"),INDEX(Customizations!$C$2:$C$41,MATCH(Sheet1!D524,Customizations!$B$2:$B$41,0),1),INDEX(About!C:C,MATCH(Sheet1!C524,About!B:B,0),1)),"")</f>
        <v>BAU Perc of Each Fuel Used by Veh Tech.xlsx</v>
      </c>
      <c r="J524" s="5">
        <f>IFERROR(INDEX(About!$D$34:$D$222,MATCH(Sheet1!I524,About!$C$34:$C$222,0),1),0)</f>
        <v>1</v>
      </c>
      <c r="K524" s="6">
        <f t="shared" si="21"/>
        <v>1</v>
      </c>
    </row>
    <row r="525" spans="1:11" x14ac:dyDescent="0.25">
      <c r="A525" t="s">
        <v>0</v>
      </c>
      <c r="B525" t="s">
        <v>609</v>
      </c>
      <c r="C525" t="s">
        <v>678</v>
      </c>
      <c r="D525" t="s">
        <v>681</v>
      </c>
      <c r="H525" t="str">
        <f t="shared" si="20"/>
        <v>.csv</v>
      </c>
      <c r="I525" s="5" t="str">
        <f>IFERROR(IF(OR(C525="PERAC",C525="FoPITY"),INDEX(Customizations!$C$2:$C$41,MATCH(Sheet1!D525,Customizations!$B$2:$B$41,0),1),INDEX(About!C:C,MATCH(Sheet1!C525,About!B:B,0),1)),"")</f>
        <v>BAU Perc of Each Fuel Used by Veh Tech.xlsx</v>
      </c>
      <c r="J525" s="5">
        <f>IFERROR(INDEX(About!$D$34:$D$222,MATCH(Sheet1!I525,About!$C$34:$C$222,0),1),0)</f>
        <v>1</v>
      </c>
      <c r="K525" s="6">
        <f t="shared" si="21"/>
        <v>1</v>
      </c>
    </row>
    <row r="526" spans="1:11" x14ac:dyDescent="0.25">
      <c r="A526" t="s">
        <v>0</v>
      </c>
      <c r="B526" t="s">
        <v>609</v>
      </c>
      <c r="C526" t="s">
        <v>678</v>
      </c>
      <c r="D526" t="s">
        <v>682</v>
      </c>
      <c r="H526" t="str">
        <f t="shared" si="20"/>
        <v>.csv</v>
      </c>
      <c r="I526" s="5" t="str">
        <f>IFERROR(IF(OR(C526="PERAC",C526="FoPITY"),INDEX(Customizations!$C$2:$C$41,MATCH(Sheet1!D526,Customizations!$B$2:$B$41,0),1),INDEX(About!C:C,MATCH(Sheet1!C526,About!B:B,0),1)),"")</f>
        <v>BAU Perc of Each Fuel Used by Veh Tech.xlsx</v>
      </c>
      <c r="J526" s="5">
        <f>IFERROR(INDEX(About!$D$34:$D$222,MATCH(Sheet1!I526,About!$C$34:$C$222,0),1),0)</f>
        <v>1</v>
      </c>
      <c r="K526" s="6">
        <f t="shared" si="21"/>
        <v>1</v>
      </c>
    </row>
    <row r="527" spans="1:11" x14ac:dyDescent="0.25">
      <c r="A527" t="s">
        <v>0</v>
      </c>
      <c r="B527" t="s">
        <v>609</v>
      </c>
      <c r="C527" t="s">
        <v>678</v>
      </c>
      <c r="D527" t="s">
        <v>683</v>
      </c>
      <c r="H527" t="str">
        <f t="shared" si="20"/>
        <v>.csv</v>
      </c>
      <c r="I527" s="5" t="str">
        <f>IFERROR(IF(OR(C527="PERAC",C527="FoPITY"),INDEX(Customizations!$C$2:$C$41,MATCH(Sheet1!D527,Customizations!$B$2:$B$41,0),1),INDEX(About!C:C,MATCH(Sheet1!C527,About!B:B,0),1)),"")</f>
        <v>BAU Perc of Each Fuel Used by Veh Tech.xlsx</v>
      </c>
      <c r="J527" s="5">
        <f>IFERROR(INDEX(About!$D$34:$D$222,MATCH(Sheet1!I527,About!$C$34:$C$222,0),1),0)</f>
        <v>1</v>
      </c>
      <c r="K527" s="6">
        <f t="shared" si="21"/>
        <v>1</v>
      </c>
    </row>
    <row r="528" spans="1:11" x14ac:dyDescent="0.25">
      <c r="A528" t="s">
        <v>0</v>
      </c>
      <c r="B528" t="s">
        <v>609</v>
      </c>
      <c r="C528" t="s">
        <v>678</v>
      </c>
      <c r="D528" t="s">
        <v>684</v>
      </c>
      <c r="H528" t="str">
        <f t="shared" si="20"/>
        <v>.csv</v>
      </c>
      <c r="I528" s="5" t="str">
        <f>IFERROR(IF(OR(C528="PERAC",C528="FoPITY"),INDEX(Customizations!$C$2:$C$41,MATCH(Sheet1!D528,Customizations!$B$2:$B$41,0),1),INDEX(About!C:C,MATCH(Sheet1!C528,About!B:B,0),1)),"")</f>
        <v>BAU Perc of Each Fuel Used by Veh Tech.xlsx</v>
      </c>
      <c r="J528" s="5">
        <f>IFERROR(INDEX(About!$D$34:$D$222,MATCH(Sheet1!I528,About!$C$34:$C$222,0),1),0)</f>
        <v>1</v>
      </c>
      <c r="K528" s="6">
        <f t="shared" si="21"/>
        <v>1</v>
      </c>
    </row>
    <row r="529" spans="1:11" x14ac:dyDescent="0.25">
      <c r="A529" t="s">
        <v>0</v>
      </c>
      <c r="B529" t="s">
        <v>609</v>
      </c>
      <c r="C529" t="s">
        <v>678</v>
      </c>
      <c r="D529" t="s">
        <v>685</v>
      </c>
      <c r="H529" t="str">
        <f t="shared" si="20"/>
        <v>.csv</v>
      </c>
      <c r="I529" s="5" t="str">
        <f>IFERROR(IF(OR(C529="PERAC",C529="FoPITY"),INDEX(Customizations!$C$2:$C$41,MATCH(Sheet1!D529,Customizations!$B$2:$B$41,0),1),INDEX(About!C:C,MATCH(Sheet1!C529,About!B:B,0),1)),"")</f>
        <v>BAU Perc of Each Fuel Used by Veh Tech.xlsx</v>
      </c>
      <c r="J529" s="5">
        <f>IFERROR(INDEX(About!$D$34:$D$222,MATCH(Sheet1!I529,About!$C$34:$C$222,0),1),0)</f>
        <v>1</v>
      </c>
      <c r="K529" s="6">
        <f t="shared" si="21"/>
        <v>1</v>
      </c>
    </row>
    <row r="530" spans="1:11" x14ac:dyDescent="0.25">
      <c r="A530" t="s">
        <v>0</v>
      </c>
      <c r="B530" t="s">
        <v>609</v>
      </c>
      <c r="C530" t="s">
        <v>678</v>
      </c>
      <c r="D530" t="s">
        <v>686</v>
      </c>
      <c r="H530" t="str">
        <f t="shared" si="20"/>
        <v>.csv</v>
      </c>
      <c r="I530" s="5" t="str">
        <f>IFERROR(IF(OR(C530="PERAC",C530="FoPITY"),INDEX(Customizations!$C$2:$C$41,MATCH(Sheet1!D530,Customizations!$B$2:$B$41,0),1),INDEX(About!C:C,MATCH(Sheet1!C530,About!B:B,0),1)),"")</f>
        <v>BAU Perc of Each Fuel Used by Veh Tech.xlsx</v>
      </c>
      <c r="J530" s="5">
        <f>IFERROR(INDEX(About!$D$34:$D$222,MATCH(Sheet1!I530,About!$C$34:$C$222,0),1),0)</f>
        <v>1</v>
      </c>
      <c r="K530" s="6">
        <f t="shared" si="21"/>
        <v>1</v>
      </c>
    </row>
    <row r="531" spans="1:11" x14ac:dyDescent="0.25">
      <c r="A531" t="s">
        <v>0</v>
      </c>
      <c r="B531" t="s">
        <v>609</v>
      </c>
      <c r="C531" t="s">
        <v>678</v>
      </c>
      <c r="D531" t="s">
        <v>687</v>
      </c>
      <c r="H531" t="str">
        <f t="shared" si="20"/>
        <v>.csv</v>
      </c>
      <c r="I531" s="5" t="str">
        <f>IFERROR(IF(OR(C531="PERAC",C531="FoPITY"),INDEX(Customizations!$C$2:$C$41,MATCH(Sheet1!D531,Customizations!$B$2:$B$41,0),1),INDEX(About!C:C,MATCH(Sheet1!C531,About!B:B,0),1)),"")</f>
        <v>BAU Perc of Each Fuel Used by Veh Tech.xlsx</v>
      </c>
      <c r="J531" s="5">
        <f>IFERROR(INDEX(About!$D$34:$D$222,MATCH(Sheet1!I531,About!$C$34:$C$222,0),1),0)</f>
        <v>1</v>
      </c>
      <c r="K531" s="6">
        <f t="shared" si="21"/>
        <v>1</v>
      </c>
    </row>
    <row r="532" spans="1:11" x14ac:dyDescent="0.25">
      <c r="A532" t="s">
        <v>0</v>
      </c>
      <c r="B532" t="s">
        <v>609</v>
      </c>
      <c r="C532" t="s">
        <v>678</v>
      </c>
      <c r="D532" t="s">
        <v>688</v>
      </c>
      <c r="H532" t="str">
        <f t="shared" si="20"/>
        <v>.csv</v>
      </c>
      <c r="I532" s="5" t="str">
        <f>IFERROR(IF(OR(C532="PERAC",C532="FoPITY"),INDEX(Customizations!$C$2:$C$41,MATCH(Sheet1!D532,Customizations!$B$2:$B$41,0),1),INDEX(About!C:C,MATCH(Sheet1!C532,About!B:B,0),1)),"")</f>
        <v>BAU Perc of Each Fuel Used by Veh Tech.xlsx</v>
      </c>
      <c r="J532" s="5">
        <f>IFERROR(INDEX(About!$D$34:$D$222,MATCH(Sheet1!I532,About!$C$34:$C$222,0),1),0)</f>
        <v>1</v>
      </c>
      <c r="K532" s="6">
        <f t="shared" si="21"/>
        <v>1</v>
      </c>
    </row>
    <row r="533" spans="1:11" x14ac:dyDescent="0.25">
      <c r="A533" t="s">
        <v>0</v>
      </c>
      <c r="B533" t="s">
        <v>609</v>
      </c>
      <c r="C533" t="s">
        <v>678</v>
      </c>
      <c r="D533" t="s">
        <v>689</v>
      </c>
      <c r="H533" t="str">
        <f t="shared" si="20"/>
        <v>.csv</v>
      </c>
      <c r="I533" s="5" t="str">
        <f>IFERROR(IF(OR(C533="PERAC",C533="FoPITY"),INDEX(Customizations!$C$2:$C$41,MATCH(Sheet1!D533,Customizations!$B$2:$B$41,0),1),INDEX(About!C:C,MATCH(Sheet1!C533,About!B:B,0),1)),"")</f>
        <v>BAU Perc of Each Fuel Used by Veh Tech.xlsx</v>
      </c>
      <c r="J533" s="5">
        <f>IFERROR(INDEX(About!$D$34:$D$222,MATCH(Sheet1!I533,About!$C$34:$C$222,0),1),0)</f>
        <v>1</v>
      </c>
      <c r="K533" s="6">
        <f t="shared" si="21"/>
        <v>1</v>
      </c>
    </row>
    <row r="534" spans="1:11" x14ac:dyDescent="0.25">
      <c r="A534" t="s">
        <v>0</v>
      </c>
      <c r="B534" t="s">
        <v>609</v>
      </c>
      <c r="C534" t="s">
        <v>678</v>
      </c>
      <c r="D534" t="s">
        <v>690</v>
      </c>
      <c r="H534" t="str">
        <f t="shared" si="20"/>
        <v>.csv</v>
      </c>
      <c r="I534" s="5" t="str">
        <f>IFERROR(IF(OR(C534="PERAC",C534="FoPITY"),INDEX(Customizations!$C$2:$C$41,MATCH(Sheet1!D534,Customizations!$B$2:$B$41,0),1),INDEX(About!C:C,MATCH(Sheet1!C534,About!B:B,0),1)),"")</f>
        <v>BAU Perc of Each Fuel Used by Veh Tech.xlsx</v>
      </c>
      <c r="J534" s="5">
        <f>IFERROR(INDEX(About!$D$34:$D$222,MATCH(Sheet1!I534,About!$C$34:$C$222,0),1),0)</f>
        <v>1</v>
      </c>
      <c r="K534" s="6">
        <f t="shared" si="21"/>
        <v>1</v>
      </c>
    </row>
    <row r="535" spans="1:11" x14ac:dyDescent="0.25">
      <c r="A535" t="s">
        <v>0</v>
      </c>
      <c r="B535" t="s">
        <v>609</v>
      </c>
      <c r="C535" t="s">
        <v>678</v>
      </c>
      <c r="D535" t="s">
        <v>691</v>
      </c>
      <c r="H535" t="str">
        <f t="shared" si="20"/>
        <v>.csv</v>
      </c>
      <c r="I535" s="5" t="str">
        <f>IFERROR(IF(OR(C535="PERAC",C535="FoPITY"),INDEX(Customizations!$C$2:$C$41,MATCH(Sheet1!D535,Customizations!$B$2:$B$41,0),1),INDEX(About!C:C,MATCH(Sheet1!C535,About!B:B,0),1)),"")</f>
        <v>BAU Perc of Each Fuel Used by Veh Tech.xlsx</v>
      </c>
      <c r="J535" s="5">
        <f>IFERROR(INDEX(About!$D$34:$D$222,MATCH(Sheet1!I535,About!$C$34:$C$222,0),1),0)</f>
        <v>1</v>
      </c>
      <c r="K535" s="6">
        <f t="shared" si="21"/>
        <v>1</v>
      </c>
    </row>
    <row r="536" spans="1:11" x14ac:dyDescent="0.25">
      <c r="A536" t="s">
        <v>0</v>
      </c>
      <c r="B536" t="s">
        <v>609</v>
      </c>
      <c r="C536" t="s">
        <v>678</v>
      </c>
      <c r="D536" t="s">
        <v>692</v>
      </c>
      <c r="H536" t="str">
        <f t="shared" si="20"/>
        <v>.csv</v>
      </c>
      <c r="I536" s="5" t="str">
        <f>IFERROR(IF(OR(C536="PERAC",C536="FoPITY"),INDEX(Customizations!$C$2:$C$41,MATCH(Sheet1!D536,Customizations!$B$2:$B$41,0),1),INDEX(About!C:C,MATCH(Sheet1!C536,About!B:B,0),1)),"")</f>
        <v>BAU Perc of Each Fuel Used by Veh Tech.xlsx</v>
      </c>
      <c r="J536" s="5">
        <f>IFERROR(INDEX(About!$D$34:$D$222,MATCH(Sheet1!I536,About!$C$34:$C$222,0),1),0)</f>
        <v>1</v>
      </c>
      <c r="K536" s="6">
        <f t="shared" si="21"/>
        <v>1</v>
      </c>
    </row>
    <row r="537" spans="1:11" x14ac:dyDescent="0.25">
      <c r="A537" t="s">
        <v>0</v>
      </c>
      <c r="B537" t="s">
        <v>609</v>
      </c>
      <c r="C537" t="s">
        <v>678</v>
      </c>
      <c r="D537" t="s">
        <v>693</v>
      </c>
      <c r="H537" t="str">
        <f t="shared" si="20"/>
        <v>.csv</v>
      </c>
      <c r="I537" s="5" t="str">
        <f>IFERROR(IF(OR(C537="PERAC",C537="FoPITY"),INDEX(Customizations!$C$2:$C$41,MATCH(Sheet1!D537,Customizations!$B$2:$B$41,0),1),INDEX(About!C:C,MATCH(Sheet1!C537,About!B:B,0),1)),"")</f>
        <v>BAU Perc of Each Fuel Used by Veh Tech.xlsx</v>
      </c>
      <c r="J537" s="5">
        <f>IFERROR(INDEX(About!$D$34:$D$222,MATCH(Sheet1!I537,About!$C$34:$C$222,0),1),0)</f>
        <v>1</v>
      </c>
      <c r="K537" s="6">
        <f t="shared" si="21"/>
        <v>1</v>
      </c>
    </row>
    <row r="538" spans="1:11" x14ac:dyDescent="0.25">
      <c r="A538" t="s">
        <v>0</v>
      </c>
      <c r="B538" t="s">
        <v>609</v>
      </c>
      <c r="C538" t="s">
        <v>678</v>
      </c>
      <c r="D538" t="s">
        <v>694</v>
      </c>
      <c r="H538" t="str">
        <f t="shared" si="20"/>
        <v>.csv</v>
      </c>
      <c r="I538" s="5" t="str">
        <f>IFERROR(IF(OR(C538="PERAC",C538="FoPITY"),INDEX(Customizations!$C$2:$C$41,MATCH(Sheet1!D538,Customizations!$B$2:$B$41,0),1),INDEX(About!C:C,MATCH(Sheet1!C538,About!B:B,0),1)),"")</f>
        <v>BAU Perc of Each Fuel Used by Veh Tech.xlsx</v>
      </c>
      <c r="J538" s="5">
        <f>IFERROR(INDEX(About!$D$34:$D$222,MATCH(Sheet1!I538,About!$C$34:$C$222,0),1),0)</f>
        <v>1</v>
      </c>
      <c r="K538" s="6">
        <f t="shared" si="21"/>
        <v>1</v>
      </c>
    </row>
    <row r="539" spans="1:11" x14ac:dyDescent="0.25">
      <c r="A539" t="s">
        <v>0</v>
      </c>
      <c r="B539" t="s">
        <v>609</v>
      </c>
      <c r="C539" t="s">
        <v>678</v>
      </c>
      <c r="D539" t="s">
        <v>695</v>
      </c>
      <c r="H539" t="str">
        <f t="shared" si="20"/>
        <v>.csv</v>
      </c>
      <c r="I539" s="5" t="str">
        <f>IFERROR(IF(OR(C539="PERAC",C539="FoPITY"),INDEX(Customizations!$C$2:$C$41,MATCH(Sheet1!D539,Customizations!$B$2:$B$41,0),1),INDEX(About!C:C,MATCH(Sheet1!C539,About!B:B,0),1)),"")</f>
        <v>BAU Perc of Each Fuel Used by Veh Tech.xlsx</v>
      </c>
      <c r="J539" s="5">
        <f>IFERROR(INDEX(About!$D$34:$D$222,MATCH(Sheet1!I539,About!$C$34:$C$222,0),1),0)</f>
        <v>1</v>
      </c>
      <c r="K539" s="6">
        <f t="shared" si="21"/>
        <v>1</v>
      </c>
    </row>
    <row r="540" spans="1:11" x14ac:dyDescent="0.25">
      <c r="A540" t="s">
        <v>0</v>
      </c>
      <c r="B540" t="s">
        <v>609</v>
      </c>
      <c r="C540" t="s">
        <v>678</v>
      </c>
      <c r="D540" t="s">
        <v>696</v>
      </c>
      <c r="H540" t="str">
        <f t="shared" si="20"/>
        <v>.csv</v>
      </c>
      <c r="I540" s="5" t="str">
        <f>IFERROR(IF(OR(C540="PERAC",C540="FoPITY"),INDEX(Customizations!$C$2:$C$41,MATCH(Sheet1!D540,Customizations!$B$2:$B$41,0),1),INDEX(About!C:C,MATCH(Sheet1!C540,About!B:B,0),1)),"")</f>
        <v>BAU Perc of Each Fuel Used by Veh Tech.xlsx</v>
      </c>
      <c r="J540" s="5">
        <f>IFERROR(INDEX(About!$D$34:$D$222,MATCH(Sheet1!I540,About!$C$34:$C$222,0),1),0)</f>
        <v>1</v>
      </c>
      <c r="K540" s="6">
        <f t="shared" si="21"/>
        <v>1</v>
      </c>
    </row>
    <row r="541" spans="1:11" x14ac:dyDescent="0.25">
      <c r="A541" t="s">
        <v>0</v>
      </c>
      <c r="B541" t="s">
        <v>609</v>
      </c>
      <c r="C541" t="s">
        <v>678</v>
      </c>
      <c r="D541" t="s">
        <v>697</v>
      </c>
      <c r="H541" t="str">
        <f t="shared" si="20"/>
        <v>.csv</v>
      </c>
      <c r="I541" s="5" t="str">
        <f>IFERROR(IF(OR(C541="PERAC",C541="FoPITY"),INDEX(Customizations!$C$2:$C$41,MATCH(Sheet1!D541,Customizations!$B$2:$B$41,0),1),INDEX(About!C:C,MATCH(Sheet1!C541,About!B:B,0),1)),"")</f>
        <v>BAU Perc of Each Fuel Used by Veh Tech.xlsx</v>
      </c>
      <c r="J541" s="5">
        <f>IFERROR(INDEX(About!$D$34:$D$222,MATCH(Sheet1!I541,About!$C$34:$C$222,0),1),0)</f>
        <v>1</v>
      </c>
      <c r="K541" s="6">
        <f t="shared" si="21"/>
        <v>1</v>
      </c>
    </row>
    <row r="542" spans="1:11" x14ac:dyDescent="0.25">
      <c r="A542" t="s">
        <v>0</v>
      </c>
      <c r="B542" t="s">
        <v>609</v>
      </c>
      <c r="C542" t="s">
        <v>678</v>
      </c>
      <c r="D542" t="s">
        <v>698</v>
      </c>
      <c r="H542" t="str">
        <f t="shared" si="20"/>
        <v>.csv</v>
      </c>
      <c r="I542" s="5" t="str">
        <f>IFERROR(IF(OR(C542="PERAC",C542="FoPITY"),INDEX(Customizations!$C$2:$C$41,MATCH(Sheet1!D542,Customizations!$B$2:$B$41,0),1),INDEX(About!C:C,MATCH(Sheet1!C542,About!B:B,0),1)),"")</f>
        <v>BAU Perc of Each Fuel Used by Veh Tech.xlsx</v>
      </c>
      <c r="J542" s="5">
        <f>IFERROR(INDEX(About!$D$34:$D$222,MATCH(Sheet1!I542,About!$C$34:$C$222,0),1),0)</f>
        <v>1</v>
      </c>
      <c r="K542" s="6">
        <f t="shared" si="21"/>
        <v>1</v>
      </c>
    </row>
    <row r="543" spans="1:11" x14ac:dyDescent="0.25">
      <c r="A543" t="s">
        <v>0</v>
      </c>
      <c r="B543" t="s">
        <v>609</v>
      </c>
      <c r="C543" t="s">
        <v>678</v>
      </c>
      <c r="D543" t="s">
        <v>699</v>
      </c>
      <c r="H543" t="str">
        <f t="shared" si="20"/>
        <v>.csv</v>
      </c>
      <c r="I543" s="5" t="str">
        <f>IFERROR(IF(OR(C543="PERAC",C543="FoPITY"),INDEX(Customizations!$C$2:$C$41,MATCH(Sheet1!D543,Customizations!$B$2:$B$41,0),1),INDEX(About!C:C,MATCH(Sheet1!C543,About!B:B,0),1)),"")</f>
        <v>BAU Perc of Each Fuel Used by Veh Tech.xlsx</v>
      </c>
      <c r="J543" s="5">
        <f>IFERROR(INDEX(About!$D$34:$D$222,MATCH(Sheet1!I543,About!$C$34:$C$222,0),1),0)</f>
        <v>1</v>
      </c>
      <c r="K543" s="6">
        <f t="shared" si="21"/>
        <v>1</v>
      </c>
    </row>
    <row r="544" spans="1:11" x14ac:dyDescent="0.25">
      <c r="A544" t="s">
        <v>0</v>
      </c>
      <c r="B544" t="s">
        <v>609</v>
      </c>
      <c r="C544" t="s">
        <v>678</v>
      </c>
      <c r="D544" t="s">
        <v>700</v>
      </c>
      <c r="H544" t="str">
        <f t="shared" si="20"/>
        <v>.csv</v>
      </c>
      <c r="I544" s="5" t="str">
        <f>IFERROR(IF(OR(C544="PERAC",C544="FoPITY"),INDEX(Customizations!$C$2:$C$41,MATCH(Sheet1!D544,Customizations!$B$2:$B$41,0),1),INDEX(About!C:C,MATCH(Sheet1!C544,About!B:B,0),1)),"")</f>
        <v>BAU Perc of Each Fuel Used by Veh Tech.xlsx</v>
      </c>
      <c r="J544" s="5">
        <f>IFERROR(INDEX(About!$D$34:$D$222,MATCH(Sheet1!I544,About!$C$34:$C$222,0),1),0)</f>
        <v>1</v>
      </c>
      <c r="K544" s="6">
        <f t="shared" si="21"/>
        <v>1</v>
      </c>
    </row>
    <row r="545" spans="1:11" x14ac:dyDescent="0.25">
      <c r="A545" t="s">
        <v>0</v>
      </c>
      <c r="B545" t="s">
        <v>609</v>
      </c>
      <c r="C545" t="s">
        <v>678</v>
      </c>
      <c r="D545" t="s">
        <v>701</v>
      </c>
      <c r="H545" t="str">
        <f t="shared" si="20"/>
        <v>.csv</v>
      </c>
      <c r="I545" s="5" t="str">
        <f>IFERROR(IF(OR(C545="PERAC",C545="FoPITY"),INDEX(Customizations!$C$2:$C$41,MATCH(Sheet1!D545,Customizations!$B$2:$B$41,0),1),INDEX(About!C:C,MATCH(Sheet1!C545,About!B:B,0),1)),"")</f>
        <v>BAU Perc of Each Fuel Used by Veh Tech.xlsx</v>
      </c>
      <c r="J545" s="5">
        <f>IFERROR(INDEX(About!$D$34:$D$222,MATCH(Sheet1!I545,About!$C$34:$C$222,0),1),0)</f>
        <v>1</v>
      </c>
      <c r="K545" s="6">
        <f t="shared" si="21"/>
        <v>1</v>
      </c>
    </row>
    <row r="546" spans="1:11" x14ac:dyDescent="0.25">
      <c r="A546" t="s">
        <v>0</v>
      </c>
      <c r="B546" t="s">
        <v>609</v>
      </c>
      <c r="C546" t="s">
        <v>678</v>
      </c>
      <c r="D546" t="s">
        <v>702</v>
      </c>
      <c r="H546" t="str">
        <f t="shared" si="20"/>
        <v>.csv</v>
      </c>
      <c r="I546" s="5" t="str">
        <f>IFERROR(IF(OR(C546="PERAC",C546="FoPITY"),INDEX(Customizations!$C$2:$C$41,MATCH(Sheet1!D546,Customizations!$B$2:$B$41,0),1),INDEX(About!C:C,MATCH(Sheet1!C546,About!B:B,0),1)),"")</f>
        <v>BAU Perc of Each Fuel Used by Veh Tech.xlsx</v>
      </c>
      <c r="J546" s="5">
        <f>IFERROR(INDEX(About!$D$34:$D$222,MATCH(Sheet1!I546,About!$C$34:$C$222,0),1),0)</f>
        <v>1</v>
      </c>
      <c r="K546" s="6">
        <f t="shared" si="21"/>
        <v>1</v>
      </c>
    </row>
    <row r="547" spans="1:11" x14ac:dyDescent="0.25">
      <c r="A547" t="s">
        <v>0</v>
      </c>
      <c r="B547" t="s">
        <v>609</v>
      </c>
      <c r="C547" t="s">
        <v>678</v>
      </c>
      <c r="D547" t="s">
        <v>703</v>
      </c>
      <c r="H547" t="str">
        <f t="shared" si="20"/>
        <v>.csv</v>
      </c>
      <c r="I547" s="5" t="str">
        <f>IFERROR(IF(OR(C547="PERAC",C547="FoPITY"),INDEX(Customizations!$C$2:$C$41,MATCH(Sheet1!D547,Customizations!$B$2:$B$41,0),1),INDEX(About!C:C,MATCH(Sheet1!C547,About!B:B,0),1)),"")</f>
        <v>BAU Perc of Each Fuel Used by Veh Tech.xlsx</v>
      </c>
      <c r="J547" s="5">
        <f>IFERROR(INDEX(About!$D$34:$D$222,MATCH(Sheet1!I547,About!$C$34:$C$222,0),1),0)</f>
        <v>1</v>
      </c>
      <c r="K547" s="6">
        <f t="shared" si="21"/>
        <v>1</v>
      </c>
    </row>
    <row r="548" spans="1:11" x14ac:dyDescent="0.25">
      <c r="A548" t="s">
        <v>0</v>
      </c>
      <c r="B548" t="s">
        <v>609</v>
      </c>
      <c r="C548" t="s">
        <v>678</v>
      </c>
      <c r="D548" t="s">
        <v>704</v>
      </c>
      <c r="H548" t="str">
        <f t="shared" si="20"/>
        <v>.csv</v>
      </c>
      <c r="I548" s="5" t="str">
        <f>IFERROR(IF(OR(C548="PERAC",C548="FoPITY"),INDEX(Customizations!$C$2:$C$41,MATCH(Sheet1!D548,Customizations!$B$2:$B$41,0),1),INDEX(About!C:C,MATCH(Sheet1!C548,About!B:B,0),1)),"")</f>
        <v>BAU Perc of Each Fuel Used by Veh Tech.xlsx</v>
      </c>
      <c r="J548" s="5">
        <f>IFERROR(INDEX(About!$D$34:$D$222,MATCH(Sheet1!I548,About!$C$34:$C$222,0),1),0)</f>
        <v>1</v>
      </c>
      <c r="K548" s="6">
        <f t="shared" si="21"/>
        <v>1</v>
      </c>
    </row>
    <row r="549" spans="1:11" x14ac:dyDescent="0.25">
      <c r="A549" t="s">
        <v>0</v>
      </c>
      <c r="B549" t="s">
        <v>609</v>
      </c>
      <c r="C549" t="s">
        <v>678</v>
      </c>
      <c r="D549" t="s">
        <v>705</v>
      </c>
      <c r="H549" t="str">
        <f t="shared" si="20"/>
        <v>.csv</v>
      </c>
      <c r="I549" s="5" t="str">
        <f>IFERROR(IF(OR(C549="PERAC",C549="FoPITY"),INDEX(Customizations!$C$2:$C$41,MATCH(Sheet1!D549,Customizations!$B$2:$B$41,0),1),INDEX(About!C:C,MATCH(Sheet1!C549,About!B:B,0),1)),"")</f>
        <v>BAU Perc of Each Fuel Used by Veh Tech.xlsx</v>
      </c>
      <c r="J549" s="5">
        <f>IFERROR(INDEX(About!$D$34:$D$222,MATCH(Sheet1!I549,About!$C$34:$C$222,0),1),0)</f>
        <v>1</v>
      </c>
      <c r="K549" s="6">
        <f t="shared" si="21"/>
        <v>1</v>
      </c>
    </row>
    <row r="550" spans="1:11" x14ac:dyDescent="0.25">
      <c r="A550" t="s">
        <v>0</v>
      </c>
      <c r="B550" t="s">
        <v>609</v>
      </c>
      <c r="C550" t="s">
        <v>678</v>
      </c>
      <c r="D550" t="s">
        <v>706</v>
      </c>
      <c r="H550" t="str">
        <f t="shared" si="20"/>
        <v>.csv</v>
      </c>
      <c r="I550" s="5" t="str">
        <f>IFERROR(IF(OR(C550="PERAC",C550="FoPITY"),INDEX(Customizations!$C$2:$C$41,MATCH(Sheet1!D550,Customizations!$B$2:$B$41,0),1),INDEX(About!C:C,MATCH(Sheet1!C550,About!B:B,0),1)),"")</f>
        <v>BAU Perc of Each Fuel Used by Veh Tech.xlsx</v>
      </c>
      <c r="J550" s="5">
        <f>IFERROR(INDEX(About!$D$34:$D$222,MATCH(Sheet1!I550,About!$C$34:$C$222,0),1),0)</f>
        <v>1</v>
      </c>
      <c r="K550" s="6">
        <f t="shared" si="21"/>
        <v>1</v>
      </c>
    </row>
    <row r="551" spans="1:11" x14ac:dyDescent="0.25">
      <c r="A551" t="s">
        <v>0</v>
      </c>
      <c r="B551" t="s">
        <v>609</v>
      </c>
      <c r="C551" t="s">
        <v>678</v>
      </c>
      <c r="D551" t="s">
        <v>707</v>
      </c>
      <c r="H551" t="str">
        <f t="shared" si="20"/>
        <v>.csv</v>
      </c>
      <c r="I551" s="5" t="str">
        <f>IFERROR(IF(OR(C551="PERAC",C551="FoPITY"),INDEX(Customizations!$C$2:$C$41,MATCH(Sheet1!D551,Customizations!$B$2:$B$41,0),1),INDEX(About!C:C,MATCH(Sheet1!C551,About!B:B,0),1)),"")</f>
        <v>BAU Perc of Each Fuel Used by Veh Tech.xlsx</v>
      </c>
      <c r="J551" s="5">
        <f>IFERROR(INDEX(About!$D$34:$D$222,MATCH(Sheet1!I551,About!$C$34:$C$222,0),1),0)</f>
        <v>1</v>
      </c>
      <c r="K551" s="6">
        <f t="shared" si="21"/>
        <v>1</v>
      </c>
    </row>
    <row r="552" spans="1:11" x14ac:dyDescent="0.25">
      <c r="A552" t="s">
        <v>0</v>
      </c>
      <c r="B552" t="s">
        <v>609</v>
      </c>
      <c r="C552" t="s">
        <v>678</v>
      </c>
      <c r="D552" t="s">
        <v>708</v>
      </c>
      <c r="H552" t="str">
        <f t="shared" si="20"/>
        <v>.csv</v>
      </c>
      <c r="I552" s="5" t="str">
        <f>IFERROR(IF(OR(C552="PERAC",C552="FoPITY"),INDEX(Customizations!$C$2:$C$41,MATCH(Sheet1!D552,Customizations!$B$2:$B$41,0),1),INDEX(About!C:C,MATCH(Sheet1!C552,About!B:B,0),1)),"")</f>
        <v>BAU Perc of Each Fuel Used by Veh Tech.xlsx</v>
      </c>
      <c r="J552" s="5">
        <f>IFERROR(INDEX(About!$D$34:$D$222,MATCH(Sheet1!I552,About!$C$34:$C$222,0),1),0)</f>
        <v>1</v>
      </c>
      <c r="K552" s="6">
        <f t="shared" si="21"/>
        <v>1</v>
      </c>
    </row>
    <row r="553" spans="1:11" x14ac:dyDescent="0.25">
      <c r="A553" t="s">
        <v>0</v>
      </c>
      <c r="B553" t="s">
        <v>609</v>
      </c>
      <c r="C553" t="s">
        <v>678</v>
      </c>
      <c r="D553" t="s">
        <v>709</v>
      </c>
      <c r="H553" t="str">
        <f t="shared" si="20"/>
        <v>.csv</v>
      </c>
      <c r="I553" s="5" t="str">
        <f>IFERROR(IF(OR(C553="PERAC",C553="FoPITY"),INDEX(Customizations!$C$2:$C$41,MATCH(Sheet1!D553,Customizations!$B$2:$B$41,0),1),INDEX(About!C:C,MATCH(Sheet1!C553,About!B:B,0),1)),"")</f>
        <v>BAU Perc of Each Fuel Used by Veh Tech.xlsx</v>
      </c>
      <c r="J553" s="5">
        <f>IFERROR(INDEX(About!$D$34:$D$222,MATCH(Sheet1!I553,About!$C$34:$C$222,0),1),0)</f>
        <v>1</v>
      </c>
      <c r="K553" s="6">
        <f t="shared" si="21"/>
        <v>1</v>
      </c>
    </row>
    <row r="554" spans="1:11" x14ac:dyDescent="0.25">
      <c r="A554" t="s">
        <v>0</v>
      </c>
      <c r="B554" t="s">
        <v>609</v>
      </c>
      <c r="C554" t="s">
        <v>678</v>
      </c>
      <c r="D554" t="s">
        <v>710</v>
      </c>
      <c r="H554" t="str">
        <f t="shared" si="20"/>
        <v>.csv</v>
      </c>
      <c r="I554" s="5" t="str">
        <f>IFERROR(IF(OR(C554="PERAC",C554="FoPITY"),INDEX(Customizations!$C$2:$C$41,MATCH(Sheet1!D554,Customizations!$B$2:$B$41,0),1),INDEX(About!C:C,MATCH(Sheet1!C554,About!B:B,0),1)),"")</f>
        <v>BAU Perc of Each Fuel Used by Veh Tech.xlsx</v>
      </c>
      <c r="J554" s="5">
        <f>IFERROR(INDEX(About!$D$34:$D$222,MATCH(Sheet1!I554,About!$C$34:$C$222,0),1),0)</f>
        <v>1</v>
      </c>
      <c r="K554" s="6">
        <f t="shared" si="21"/>
        <v>1</v>
      </c>
    </row>
    <row r="555" spans="1:11" x14ac:dyDescent="0.25">
      <c r="A555" t="s">
        <v>0</v>
      </c>
      <c r="B555" t="s">
        <v>609</v>
      </c>
      <c r="C555" t="s">
        <v>678</v>
      </c>
      <c r="D555" t="s">
        <v>711</v>
      </c>
      <c r="H555" t="str">
        <f t="shared" si="20"/>
        <v>.csv</v>
      </c>
      <c r="I555" s="5" t="str">
        <f>IFERROR(IF(OR(C555="PERAC",C555="FoPITY"),INDEX(Customizations!$C$2:$C$41,MATCH(Sheet1!D555,Customizations!$B$2:$B$41,0),1),INDEX(About!C:C,MATCH(Sheet1!C555,About!B:B,0),1)),"")</f>
        <v>BAU Perc of Each Fuel Used by Veh Tech.xlsx</v>
      </c>
      <c r="J555" s="5">
        <f>IFERROR(INDEX(About!$D$34:$D$222,MATCH(Sheet1!I555,About!$C$34:$C$222,0),1),0)</f>
        <v>1</v>
      </c>
      <c r="K555" s="6">
        <f t="shared" si="21"/>
        <v>1</v>
      </c>
    </row>
    <row r="556" spans="1:11" x14ac:dyDescent="0.25">
      <c r="A556" t="s">
        <v>0</v>
      </c>
      <c r="B556" t="s">
        <v>609</v>
      </c>
      <c r="C556" t="s">
        <v>678</v>
      </c>
      <c r="D556" t="s">
        <v>712</v>
      </c>
      <c r="H556" t="str">
        <f t="shared" si="20"/>
        <v>.csv</v>
      </c>
      <c r="I556" s="5" t="str">
        <f>IFERROR(IF(OR(C556="PERAC",C556="FoPITY"),INDEX(Customizations!$C$2:$C$41,MATCH(Sheet1!D556,Customizations!$B$2:$B$41,0),1),INDEX(About!C:C,MATCH(Sheet1!C556,About!B:B,0),1)),"")</f>
        <v>BAU Perc of Each Fuel Used by Veh Tech.xlsx</v>
      </c>
      <c r="J556" s="5">
        <f>IFERROR(INDEX(About!$D$34:$D$222,MATCH(Sheet1!I556,About!$C$34:$C$222,0),1),0)</f>
        <v>1</v>
      </c>
      <c r="K556" s="6">
        <f t="shared" si="21"/>
        <v>1</v>
      </c>
    </row>
    <row r="557" spans="1:11" x14ac:dyDescent="0.25">
      <c r="A557" t="s">
        <v>0</v>
      </c>
      <c r="B557" t="s">
        <v>609</v>
      </c>
      <c r="C557" t="s">
        <v>678</v>
      </c>
      <c r="D557" t="s">
        <v>713</v>
      </c>
      <c r="H557" t="str">
        <f t="shared" si="20"/>
        <v>.csv</v>
      </c>
      <c r="I557" s="5" t="str">
        <f>IFERROR(IF(OR(C557="PERAC",C557="FoPITY"),INDEX(Customizations!$C$2:$C$41,MATCH(Sheet1!D557,Customizations!$B$2:$B$41,0),1),INDEX(About!C:C,MATCH(Sheet1!C557,About!B:B,0),1)),"")</f>
        <v>BAU Perc of Each Fuel Used by Veh Tech.xlsx</v>
      </c>
      <c r="J557" s="5">
        <f>IFERROR(INDEX(About!$D$34:$D$222,MATCH(Sheet1!I557,About!$C$34:$C$222,0),1),0)</f>
        <v>1</v>
      </c>
      <c r="K557" s="6">
        <f t="shared" si="21"/>
        <v>1</v>
      </c>
    </row>
    <row r="558" spans="1:11" x14ac:dyDescent="0.25">
      <c r="A558" t="s">
        <v>0</v>
      </c>
      <c r="B558" t="s">
        <v>609</v>
      </c>
      <c r="C558" t="s">
        <v>678</v>
      </c>
      <c r="D558" t="s">
        <v>714</v>
      </c>
      <c r="H558" t="str">
        <f t="shared" si="20"/>
        <v>.csv</v>
      </c>
      <c r="I558" s="5" t="str">
        <f>IFERROR(IF(OR(C558="PERAC",C558="FoPITY"),INDEX(Customizations!$C$2:$C$41,MATCH(Sheet1!D558,Customizations!$B$2:$B$41,0),1),INDEX(About!C:C,MATCH(Sheet1!C558,About!B:B,0),1)),"")</f>
        <v>BAU Perc of Each Fuel Used by Veh Tech.xlsx</v>
      </c>
      <c r="J558" s="5">
        <f>IFERROR(INDEX(About!$D$34:$D$222,MATCH(Sheet1!I558,About!$C$34:$C$222,0),1),0)</f>
        <v>1</v>
      </c>
      <c r="K558" s="6">
        <f t="shared" si="21"/>
        <v>1</v>
      </c>
    </row>
    <row r="559" spans="1:11" x14ac:dyDescent="0.25">
      <c r="A559" t="s">
        <v>0</v>
      </c>
      <c r="B559" t="s">
        <v>609</v>
      </c>
      <c r="C559" t="s">
        <v>678</v>
      </c>
      <c r="D559" t="s">
        <v>715</v>
      </c>
      <c r="H559" t="str">
        <f t="shared" si="20"/>
        <v>.csv</v>
      </c>
      <c r="I559" s="5" t="str">
        <f>IFERROR(IF(OR(C559="PERAC",C559="FoPITY"),INDEX(Customizations!$C$2:$C$41,MATCH(Sheet1!D559,Customizations!$B$2:$B$41,0),1),INDEX(About!C:C,MATCH(Sheet1!C559,About!B:B,0),1)),"")</f>
        <v>BAU Perc of Each Fuel Used by Veh Tech.xlsx</v>
      </c>
      <c r="J559" s="5">
        <f>IFERROR(INDEX(About!$D$34:$D$222,MATCH(Sheet1!I559,About!$C$34:$C$222,0),1),0)</f>
        <v>1</v>
      </c>
      <c r="K559" s="6">
        <f t="shared" si="21"/>
        <v>1</v>
      </c>
    </row>
    <row r="560" spans="1:11" x14ac:dyDescent="0.25">
      <c r="A560" t="s">
        <v>0</v>
      </c>
      <c r="B560" t="s">
        <v>609</v>
      </c>
      <c r="C560" t="s">
        <v>678</v>
      </c>
      <c r="D560" t="s">
        <v>716</v>
      </c>
      <c r="H560" t="str">
        <f t="shared" si="20"/>
        <v>.csv</v>
      </c>
      <c r="I560" s="5" t="str">
        <f>IFERROR(IF(OR(C560="PERAC",C560="FoPITY"),INDEX(Customizations!$C$2:$C$41,MATCH(Sheet1!D560,Customizations!$B$2:$B$41,0),1),INDEX(About!C:C,MATCH(Sheet1!C560,About!B:B,0),1)),"")</f>
        <v>BAU Perc of Each Fuel Used by Veh Tech.xlsx</v>
      </c>
      <c r="J560" s="5">
        <f>IFERROR(INDEX(About!$D$34:$D$222,MATCH(Sheet1!I560,About!$C$34:$C$222,0),1),0)</f>
        <v>1</v>
      </c>
      <c r="K560" s="6">
        <f t="shared" si="21"/>
        <v>1</v>
      </c>
    </row>
    <row r="561" spans="1:11" x14ac:dyDescent="0.25">
      <c r="A561" t="s">
        <v>0</v>
      </c>
      <c r="B561" t="s">
        <v>609</v>
      </c>
      <c r="C561" t="s">
        <v>678</v>
      </c>
      <c r="D561" t="s">
        <v>717</v>
      </c>
      <c r="H561" t="str">
        <f t="shared" si="20"/>
        <v>.csv</v>
      </c>
      <c r="I561" s="5" t="str">
        <f>IFERROR(IF(OR(C561="PERAC",C561="FoPITY"),INDEX(Customizations!$C$2:$C$41,MATCH(Sheet1!D561,Customizations!$B$2:$B$41,0),1),INDEX(About!C:C,MATCH(Sheet1!C561,About!B:B,0),1)),"")</f>
        <v>BAU Perc of Each Fuel Used by Veh Tech.xlsx</v>
      </c>
      <c r="J561" s="5">
        <f>IFERROR(INDEX(About!$D$34:$D$222,MATCH(Sheet1!I561,About!$C$34:$C$222,0),1),0)</f>
        <v>1</v>
      </c>
      <c r="K561" s="6">
        <f t="shared" si="21"/>
        <v>1</v>
      </c>
    </row>
    <row r="562" spans="1:11" x14ac:dyDescent="0.25">
      <c r="A562" t="s">
        <v>0</v>
      </c>
      <c r="B562" t="s">
        <v>609</v>
      </c>
      <c r="C562" t="s">
        <v>678</v>
      </c>
      <c r="D562" t="s">
        <v>718</v>
      </c>
      <c r="H562" t="str">
        <f t="shared" si="20"/>
        <v>.csv</v>
      </c>
      <c r="I562" s="5" t="str">
        <f>IFERROR(IF(OR(C562="PERAC",C562="FoPITY"),INDEX(Customizations!$C$2:$C$41,MATCH(Sheet1!D562,Customizations!$B$2:$B$41,0),1),INDEX(About!C:C,MATCH(Sheet1!C562,About!B:B,0),1)),"")</f>
        <v>BAU Perc of Each Fuel Used by Veh Tech.xlsx</v>
      </c>
      <c r="J562" s="5">
        <f>IFERROR(INDEX(About!$D$34:$D$222,MATCH(Sheet1!I562,About!$C$34:$C$222,0),1),0)</f>
        <v>1</v>
      </c>
      <c r="K562" s="6">
        <f t="shared" si="21"/>
        <v>1</v>
      </c>
    </row>
    <row r="563" spans="1:11" x14ac:dyDescent="0.25">
      <c r="A563" t="s">
        <v>0</v>
      </c>
      <c r="B563" t="s">
        <v>609</v>
      </c>
      <c r="C563" t="s">
        <v>678</v>
      </c>
      <c r="D563" t="s">
        <v>719</v>
      </c>
      <c r="H563" t="str">
        <f t="shared" si="20"/>
        <v>.csv</v>
      </c>
      <c r="I563" s="5" t="str">
        <f>IFERROR(IF(OR(C563="PERAC",C563="FoPITY"),INDEX(Customizations!$C$2:$C$41,MATCH(Sheet1!D563,Customizations!$B$2:$B$41,0),1),INDEX(About!C:C,MATCH(Sheet1!C563,About!B:B,0),1)),"")</f>
        <v>BAU Perc of Each Fuel Used by Veh Tech.xlsx</v>
      </c>
      <c r="J563" s="5">
        <f>IFERROR(INDEX(About!$D$34:$D$222,MATCH(Sheet1!I563,About!$C$34:$C$222,0),1),0)</f>
        <v>1</v>
      </c>
      <c r="K563" s="6">
        <f t="shared" si="21"/>
        <v>1</v>
      </c>
    </row>
    <row r="564" spans="1:11" x14ac:dyDescent="0.25">
      <c r="A564" t="s">
        <v>0</v>
      </c>
      <c r="B564" t="s">
        <v>609</v>
      </c>
      <c r="C564" t="s">
        <v>678</v>
      </c>
      <c r="D564" t="s">
        <v>720</v>
      </c>
      <c r="H564" t="str">
        <f t="shared" si="20"/>
        <v>.csv</v>
      </c>
      <c r="I564" s="5" t="str">
        <f>IFERROR(IF(OR(C564="PERAC",C564="FoPITY"),INDEX(Customizations!$C$2:$C$41,MATCH(Sheet1!D564,Customizations!$B$2:$B$41,0),1),INDEX(About!C:C,MATCH(Sheet1!C564,About!B:B,0),1)),"")</f>
        <v>BAU Perc of Each Fuel Used by Veh Tech.xlsx</v>
      </c>
      <c r="J564" s="5">
        <f>IFERROR(INDEX(About!$D$34:$D$222,MATCH(Sheet1!I564,About!$C$34:$C$222,0),1),0)</f>
        <v>1</v>
      </c>
      <c r="K564" s="6">
        <f t="shared" si="21"/>
        <v>1</v>
      </c>
    </row>
    <row r="565" spans="1:11" x14ac:dyDescent="0.25">
      <c r="A565" t="s">
        <v>0</v>
      </c>
      <c r="B565" t="s">
        <v>609</v>
      </c>
      <c r="C565" t="s">
        <v>678</v>
      </c>
      <c r="D565" t="s">
        <v>721</v>
      </c>
      <c r="H565" t="str">
        <f t="shared" si="20"/>
        <v>.csv</v>
      </c>
      <c r="I565" s="5" t="str">
        <f>IFERROR(IF(OR(C565="PERAC",C565="FoPITY"),INDEX(Customizations!$C$2:$C$41,MATCH(Sheet1!D565,Customizations!$B$2:$B$41,0),1),INDEX(About!C:C,MATCH(Sheet1!C565,About!B:B,0),1)),"")</f>
        <v>BAU Perc of Each Fuel Used by Veh Tech.xlsx</v>
      </c>
      <c r="J565" s="5">
        <f>IFERROR(INDEX(About!$D$34:$D$222,MATCH(Sheet1!I565,About!$C$34:$C$222,0),1),0)</f>
        <v>1</v>
      </c>
      <c r="K565" s="6">
        <f t="shared" si="21"/>
        <v>1</v>
      </c>
    </row>
    <row r="566" spans="1:11" x14ac:dyDescent="0.25">
      <c r="A566" t="s">
        <v>0</v>
      </c>
      <c r="B566" t="s">
        <v>609</v>
      </c>
      <c r="C566" t="s">
        <v>678</v>
      </c>
      <c r="D566" t="s">
        <v>722</v>
      </c>
      <c r="H566" t="str">
        <f t="shared" si="20"/>
        <v>.csv</v>
      </c>
      <c r="I566" s="5" t="str">
        <f>IFERROR(IF(OR(C566="PERAC",C566="FoPITY"),INDEX(Customizations!$C$2:$C$41,MATCH(Sheet1!D566,Customizations!$B$2:$B$41,0),1),INDEX(About!C:C,MATCH(Sheet1!C566,About!B:B,0),1)),"")</f>
        <v>BAU Perc of Each Fuel Used by Veh Tech.xlsx</v>
      </c>
      <c r="J566" s="5">
        <f>IFERROR(INDEX(About!$D$34:$D$222,MATCH(Sheet1!I566,About!$C$34:$C$222,0),1),0)</f>
        <v>1</v>
      </c>
      <c r="K566" s="6">
        <f t="shared" si="21"/>
        <v>1</v>
      </c>
    </row>
    <row r="567" spans="1:11" x14ac:dyDescent="0.25">
      <c r="A567" t="s">
        <v>0</v>
      </c>
      <c r="B567" t="s">
        <v>609</v>
      </c>
      <c r="C567" t="s">
        <v>678</v>
      </c>
      <c r="D567" t="s">
        <v>723</v>
      </c>
      <c r="H567" t="str">
        <f t="shared" si="20"/>
        <v>.csv</v>
      </c>
      <c r="I567" s="5" t="str">
        <f>IFERROR(IF(OR(C567="PERAC",C567="FoPITY"),INDEX(Customizations!$C$2:$C$41,MATCH(Sheet1!D567,Customizations!$B$2:$B$41,0),1),INDEX(About!C:C,MATCH(Sheet1!C567,About!B:B,0),1)),"")</f>
        <v>BAU Perc of Each Fuel Used by Veh Tech.xlsx</v>
      </c>
      <c r="J567" s="5">
        <f>IFERROR(INDEX(About!$D$34:$D$222,MATCH(Sheet1!I567,About!$C$34:$C$222,0),1),0)</f>
        <v>1</v>
      </c>
      <c r="K567" s="6">
        <f t="shared" si="21"/>
        <v>1</v>
      </c>
    </row>
    <row r="568" spans="1:11" x14ac:dyDescent="0.25">
      <c r="A568" t="s">
        <v>0</v>
      </c>
      <c r="B568" t="s">
        <v>609</v>
      </c>
      <c r="C568" t="s">
        <v>678</v>
      </c>
      <c r="D568" t="s">
        <v>724</v>
      </c>
      <c r="H568" t="str">
        <f t="shared" si="20"/>
        <v>.csv</v>
      </c>
      <c r="I568" s="5" t="str">
        <f>IFERROR(IF(OR(C568="PERAC",C568="FoPITY"),INDEX(Customizations!$C$2:$C$41,MATCH(Sheet1!D568,Customizations!$B$2:$B$41,0),1),INDEX(About!C:C,MATCH(Sheet1!C568,About!B:B,0),1)),"")</f>
        <v>BAU Perc of Each Fuel Used by Veh Tech.xlsx</v>
      </c>
      <c r="J568" s="5">
        <f>IFERROR(INDEX(About!$D$34:$D$222,MATCH(Sheet1!I568,About!$C$34:$C$222,0),1),0)</f>
        <v>1</v>
      </c>
      <c r="K568" s="6">
        <f t="shared" si="21"/>
        <v>1</v>
      </c>
    </row>
    <row r="569" spans="1:11" x14ac:dyDescent="0.25">
      <c r="A569" t="s">
        <v>0</v>
      </c>
      <c r="B569" t="s">
        <v>609</v>
      </c>
      <c r="C569" t="s">
        <v>678</v>
      </c>
      <c r="D569" t="s">
        <v>725</v>
      </c>
      <c r="H569" t="str">
        <f t="shared" si="20"/>
        <v>.csv</v>
      </c>
      <c r="I569" s="5" t="str">
        <f>IFERROR(IF(OR(C569="PERAC",C569="FoPITY"),INDEX(Customizations!$C$2:$C$41,MATCH(Sheet1!D569,Customizations!$B$2:$B$41,0),1),INDEX(About!C:C,MATCH(Sheet1!C569,About!B:B,0),1)),"")</f>
        <v>BAU Perc of Each Fuel Used by Veh Tech.xlsx</v>
      </c>
      <c r="J569" s="5">
        <f>IFERROR(INDEX(About!$D$34:$D$222,MATCH(Sheet1!I569,About!$C$34:$C$222,0),1),0)</f>
        <v>1</v>
      </c>
      <c r="K569" s="6">
        <f t="shared" si="21"/>
        <v>1</v>
      </c>
    </row>
    <row r="570" spans="1:11" x14ac:dyDescent="0.25">
      <c r="A570" t="s">
        <v>0</v>
      </c>
      <c r="B570" t="s">
        <v>609</v>
      </c>
      <c r="C570" t="s">
        <v>678</v>
      </c>
      <c r="D570" t="s">
        <v>726</v>
      </c>
      <c r="H570" t="str">
        <f t="shared" si="20"/>
        <v>.csv</v>
      </c>
      <c r="I570" s="5" t="str">
        <f>IFERROR(IF(OR(C570="PERAC",C570="FoPITY"),INDEX(Customizations!$C$2:$C$41,MATCH(Sheet1!D570,Customizations!$B$2:$B$41,0),1),INDEX(About!C:C,MATCH(Sheet1!C570,About!B:B,0),1)),"")</f>
        <v>BAU Perc of Each Fuel Used by Veh Tech.xlsx</v>
      </c>
      <c r="J570" s="5">
        <f>IFERROR(INDEX(About!$D$34:$D$222,MATCH(Sheet1!I570,About!$C$34:$C$222,0),1),0)</f>
        <v>1</v>
      </c>
      <c r="K570" s="6">
        <f t="shared" si="21"/>
        <v>1</v>
      </c>
    </row>
    <row r="571" spans="1:11" x14ac:dyDescent="0.25">
      <c r="A571" t="s">
        <v>0</v>
      </c>
      <c r="B571" t="s">
        <v>609</v>
      </c>
      <c r="C571" t="s">
        <v>678</v>
      </c>
      <c r="D571" t="s">
        <v>727</v>
      </c>
      <c r="H571" t="str">
        <f t="shared" si="20"/>
        <v>.csv</v>
      </c>
      <c r="I571" s="5" t="str">
        <f>IFERROR(IF(OR(C571="PERAC",C571="FoPITY"),INDEX(Customizations!$C$2:$C$41,MATCH(Sheet1!D571,Customizations!$B$2:$B$41,0),1),INDEX(About!C:C,MATCH(Sheet1!C571,About!B:B,0),1)),"")</f>
        <v>BAU Perc of Each Fuel Used by Veh Tech.xlsx</v>
      </c>
      <c r="J571" s="5">
        <f>IFERROR(INDEX(About!$D$34:$D$222,MATCH(Sheet1!I571,About!$C$34:$C$222,0),1),0)</f>
        <v>1</v>
      </c>
      <c r="K571" s="6">
        <f t="shared" si="21"/>
        <v>1</v>
      </c>
    </row>
    <row r="572" spans="1:11" x14ac:dyDescent="0.25">
      <c r="A572" t="s">
        <v>0</v>
      </c>
      <c r="B572" t="s">
        <v>609</v>
      </c>
      <c r="C572" t="s">
        <v>678</v>
      </c>
      <c r="D572" t="s">
        <v>728</v>
      </c>
      <c r="H572" t="str">
        <f t="shared" si="20"/>
        <v>.csv</v>
      </c>
      <c r="I572" s="5" t="str">
        <f>IFERROR(IF(OR(C572="PERAC",C572="FoPITY"),INDEX(Customizations!$C$2:$C$41,MATCH(Sheet1!D572,Customizations!$B$2:$B$41,0),1),INDEX(About!C:C,MATCH(Sheet1!C572,About!B:B,0),1)),"")</f>
        <v>BAU Perc of Each Fuel Used by Veh Tech.xlsx</v>
      </c>
      <c r="J572" s="5">
        <f>IFERROR(INDEX(About!$D$34:$D$222,MATCH(Sheet1!I572,About!$C$34:$C$222,0),1),0)</f>
        <v>1</v>
      </c>
      <c r="K572" s="6">
        <f t="shared" si="21"/>
        <v>1</v>
      </c>
    </row>
    <row r="573" spans="1:11" x14ac:dyDescent="0.25">
      <c r="A573" t="s">
        <v>0</v>
      </c>
      <c r="B573" t="s">
        <v>609</v>
      </c>
      <c r="C573" t="s">
        <v>678</v>
      </c>
      <c r="D573" t="s">
        <v>729</v>
      </c>
      <c r="H573" t="str">
        <f t="shared" si="20"/>
        <v>.csv</v>
      </c>
      <c r="I573" s="5" t="str">
        <f>IFERROR(IF(OR(C573="PERAC",C573="FoPITY"),INDEX(Customizations!$C$2:$C$41,MATCH(Sheet1!D573,Customizations!$B$2:$B$41,0),1),INDEX(About!C:C,MATCH(Sheet1!C573,About!B:B,0),1)),"")</f>
        <v>BAU Perc of Each Fuel Used by Veh Tech.xlsx</v>
      </c>
      <c r="J573" s="5">
        <f>IFERROR(INDEX(About!$D$34:$D$222,MATCH(Sheet1!I573,About!$C$34:$C$222,0),1),0)</f>
        <v>1</v>
      </c>
      <c r="K573" s="6">
        <f t="shared" si="21"/>
        <v>1</v>
      </c>
    </row>
    <row r="574" spans="1:11" x14ac:dyDescent="0.25">
      <c r="A574" t="s">
        <v>0</v>
      </c>
      <c r="B574" t="s">
        <v>609</v>
      </c>
      <c r="C574" t="s">
        <v>678</v>
      </c>
      <c r="D574" t="s">
        <v>730</v>
      </c>
      <c r="H574" t="str">
        <f t="shared" si="20"/>
        <v>.csv</v>
      </c>
      <c r="I574" s="5" t="str">
        <f>IFERROR(IF(OR(C574="PERAC",C574="FoPITY"),INDEX(Customizations!$C$2:$C$41,MATCH(Sheet1!D574,Customizations!$B$2:$B$41,0),1),INDEX(About!C:C,MATCH(Sheet1!C574,About!B:B,0),1)),"")</f>
        <v>BAU Perc of Each Fuel Used by Veh Tech.xlsx</v>
      </c>
      <c r="J574" s="5">
        <f>IFERROR(INDEX(About!$D$34:$D$222,MATCH(Sheet1!I574,About!$C$34:$C$222,0),1),0)</f>
        <v>1</v>
      </c>
      <c r="K574" s="6">
        <f t="shared" si="21"/>
        <v>1</v>
      </c>
    </row>
    <row r="575" spans="1:11" x14ac:dyDescent="0.25">
      <c r="A575" t="s">
        <v>0</v>
      </c>
      <c r="B575" t="s">
        <v>609</v>
      </c>
      <c r="C575" t="s">
        <v>678</v>
      </c>
      <c r="D575" t="s">
        <v>731</v>
      </c>
      <c r="H575" t="str">
        <f t="shared" si="20"/>
        <v>.csv</v>
      </c>
      <c r="I575" s="5" t="str">
        <f>IFERROR(IF(OR(C575="PERAC",C575="FoPITY"),INDEX(Customizations!$C$2:$C$41,MATCH(Sheet1!D575,Customizations!$B$2:$B$41,0),1),INDEX(About!C:C,MATCH(Sheet1!C575,About!B:B,0),1)),"")</f>
        <v>BAU Perc of Each Fuel Used by Veh Tech.xlsx</v>
      </c>
      <c r="J575" s="5">
        <f>IFERROR(INDEX(About!$D$34:$D$222,MATCH(Sheet1!I575,About!$C$34:$C$222,0),1),0)</f>
        <v>1</v>
      </c>
      <c r="K575" s="6">
        <f t="shared" si="21"/>
        <v>1</v>
      </c>
    </row>
    <row r="576" spans="1:11" x14ac:dyDescent="0.25">
      <c r="A576" t="s">
        <v>0</v>
      </c>
      <c r="B576" t="s">
        <v>609</v>
      </c>
      <c r="C576" t="s">
        <v>678</v>
      </c>
      <c r="D576" t="s">
        <v>732</v>
      </c>
      <c r="H576" t="str">
        <f t="shared" si="20"/>
        <v>.csv</v>
      </c>
      <c r="I576" s="5" t="str">
        <f>IFERROR(IF(OR(C576="PERAC",C576="FoPITY"),INDEX(Customizations!$C$2:$C$41,MATCH(Sheet1!D576,Customizations!$B$2:$B$41,0),1),INDEX(About!C:C,MATCH(Sheet1!C576,About!B:B,0),1)),"")</f>
        <v>BAU Perc of Each Fuel Used by Veh Tech.xlsx</v>
      </c>
      <c r="J576" s="5">
        <f>IFERROR(INDEX(About!$D$34:$D$222,MATCH(Sheet1!I576,About!$C$34:$C$222,0),1),0)</f>
        <v>1</v>
      </c>
      <c r="K576" s="6">
        <f t="shared" si="21"/>
        <v>1</v>
      </c>
    </row>
    <row r="577" spans="1:11" x14ac:dyDescent="0.25">
      <c r="A577" t="s">
        <v>0</v>
      </c>
      <c r="B577" t="s">
        <v>609</v>
      </c>
      <c r="C577" t="s">
        <v>678</v>
      </c>
      <c r="D577" t="s">
        <v>733</v>
      </c>
      <c r="H577" t="str">
        <f t="shared" si="20"/>
        <v>.csv</v>
      </c>
      <c r="I577" s="5" t="str">
        <f>IFERROR(IF(OR(C577="PERAC",C577="FoPITY"),INDEX(Customizations!$C$2:$C$41,MATCH(Sheet1!D577,Customizations!$B$2:$B$41,0),1),INDEX(About!C:C,MATCH(Sheet1!C577,About!B:B,0),1)),"")</f>
        <v>BAU Perc of Each Fuel Used by Veh Tech.xlsx</v>
      </c>
      <c r="J577" s="5">
        <f>IFERROR(INDEX(About!$D$34:$D$222,MATCH(Sheet1!I577,About!$C$34:$C$222,0),1),0)</f>
        <v>1</v>
      </c>
      <c r="K577" s="6">
        <f t="shared" si="21"/>
        <v>1</v>
      </c>
    </row>
    <row r="578" spans="1:11" x14ac:dyDescent="0.25">
      <c r="A578" t="s">
        <v>0</v>
      </c>
      <c r="B578" t="s">
        <v>609</v>
      </c>
      <c r="C578" t="s">
        <v>678</v>
      </c>
      <c r="D578" t="s">
        <v>734</v>
      </c>
      <c r="H578" t="str">
        <f t="shared" si="20"/>
        <v>.csv</v>
      </c>
      <c r="I578" s="5" t="str">
        <f>IFERROR(IF(OR(C578="PERAC",C578="FoPITY"),INDEX(Customizations!$C$2:$C$41,MATCH(Sheet1!D578,Customizations!$B$2:$B$41,0),1),INDEX(About!C:C,MATCH(Sheet1!C578,About!B:B,0),1)),"")</f>
        <v>BAU Perc of Each Fuel Used by Veh Tech.xlsx</v>
      </c>
      <c r="J578" s="5">
        <f>IFERROR(INDEX(About!$D$34:$D$222,MATCH(Sheet1!I578,About!$C$34:$C$222,0),1),0)</f>
        <v>1</v>
      </c>
      <c r="K578" s="6">
        <f t="shared" si="21"/>
        <v>1</v>
      </c>
    </row>
    <row r="579" spans="1:11" x14ac:dyDescent="0.25">
      <c r="A579" t="s">
        <v>0</v>
      </c>
      <c r="B579" t="s">
        <v>609</v>
      </c>
      <c r="C579" t="s">
        <v>678</v>
      </c>
      <c r="D579" t="s">
        <v>735</v>
      </c>
      <c r="H579" t="str">
        <f t="shared" si="20"/>
        <v>.csv</v>
      </c>
      <c r="I579" s="5" t="str">
        <f>IFERROR(IF(OR(C579="PERAC",C579="FoPITY"),INDEX(Customizations!$C$2:$C$41,MATCH(Sheet1!D579,Customizations!$B$2:$B$41,0),1),INDEX(About!C:C,MATCH(Sheet1!C579,About!B:B,0),1)),"")</f>
        <v>BAU Perc of Each Fuel Used by Veh Tech.xlsx</v>
      </c>
      <c r="J579" s="5">
        <f>IFERROR(INDEX(About!$D$34:$D$222,MATCH(Sheet1!I579,About!$C$34:$C$222,0),1),0)</f>
        <v>1</v>
      </c>
      <c r="K579" s="6">
        <f t="shared" si="21"/>
        <v>1</v>
      </c>
    </row>
    <row r="580" spans="1:11" x14ac:dyDescent="0.25">
      <c r="A580" t="s">
        <v>0</v>
      </c>
      <c r="B580" t="s">
        <v>609</v>
      </c>
      <c r="C580" t="s">
        <v>678</v>
      </c>
      <c r="D580" t="s">
        <v>736</v>
      </c>
      <c r="H580" t="str">
        <f t="shared" si="20"/>
        <v>.csv</v>
      </c>
      <c r="I580" s="5" t="str">
        <f>IFERROR(IF(OR(C580="PERAC",C580="FoPITY"),INDEX(Customizations!$C$2:$C$41,MATCH(Sheet1!D580,Customizations!$B$2:$B$41,0),1),INDEX(About!C:C,MATCH(Sheet1!C580,About!B:B,0),1)),"")</f>
        <v>BAU Perc of Each Fuel Used by Veh Tech.xlsx</v>
      </c>
      <c r="J580" s="5">
        <f>IFERROR(INDEX(About!$D$34:$D$222,MATCH(Sheet1!I580,About!$C$34:$C$222,0),1),0)</f>
        <v>1</v>
      </c>
      <c r="K580" s="6">
        <f t="shared" si="21"/>
        <v>1</v>
      </c>
    </row>
    <row r="581" spans="1:11" x14ac:dyDescent="0.25">
      <c r="A581" t="s">
        <v>0</v>
      </c>
      <c r="B581" t="s">
        <v>609</v>
      </c>
      <c r="C581" t="s">
        <v>678</v>
      </c>
      <c r="D581" t="s">
        <v>737</v>
      </c>
      <c r="H581" t="str">
        <f t="shared" si="20"/>
        <v>.csv</v>
      </c>
      <c r="I581" s="5" t="str">
        <f>IFERROR(IF(OR(C581="PERAC",C581="FoPITY"),INDEX(Customizations!$C$2:$C$41,MATCH(Sheet1!D581,Customizations!$B$2:$B$41,0),1),INDEX(About!C:C,MATCH(Sheet1!C581,About!B:B,0),1)),"")</f>
        <v>BAU Perc of Each Fuel Used by Veh Tech.xlsx</v>
      </c>
      <c r="J581" s="5">
        <f>IFERROR(INDEX(About!$D$34:$D$222,MATCH(Sheet1!I581,About!$C$34:$C$222,0),1),0)</f>
        <v>1</v>
      </c>
      <c r="K581" s="6">
        <f t="shared" si="21"/>
        <v>1</v>
      </c>
    </row>
    <row r="582" spans="1:11" x14ac:dyDescent="0.25">
      <c r="A582" t="s">
        <v>0</v>
      </c>
      <c r="B582" t="s">
        <v>609</v>
      </c>
      <c r="C582" t="s">
        <v>678</v>
      </c>
      <c r="D582" t="s">
        <v>738</v>
      </c>
      <c r="H582" t="str">
        <f t="shared" si="20"/>
        <v>.csv</v>
      </c>
      <c r="I582" s="5" t="str">
        <f>IFERROR(IF(OR(C582="PERAC",C582="FoPITY"),INDEX(Customizations!$C$2:$C$41,MATCH(Sheet1!D582,Customizations!$B$2:$B$41,0),1),INDEX(About!C:C,MATCH(Sheet1!C582,About!B:B,0),1)),"")</f>
        <v>BAU Perc of Each Fuel Used by Veh Tech.xlsx</v>
      </c>
      <c r="J582" s="5">
        <f>IFERROR(INDEX(About!$D$34:$D$222,MATCH(Sheet1!I582,About!$C$34:$C$222,0),1),0)</f>
        <v>1</v>
      </c>
      <c r="K582" s="6">
        <f t="shared" si="21"/>
        <v>1</v>
      </c>
    </row>
    <row r="583" spans="1:11" x14ac:dyDescent="0.25">
      <c r="A583" t="s">
        <v>0</v>
      </c>
      <c r="B583" t="s">
        <v>609</v>
      </c>
      <c r="C583" t="s">
        <v>678</v>
      </c>
      <c r="D583" t="s">
        <v>739</v>
      </c>
      <c r="H583" t="str">
        <f t="shared" ref="H583:H646" si="22">RIGHT(D583,"4")</f>
        <v>.csv</v>
      </c>
      <c r="I583" s="5" t="str">
        <f>IFERROR(IF(OR(C583="PERAC",C583="FoPITY"),INDEX(Customizations!$C$2:$C$41,MATCH(Sheet1!D583,Customizations!$B$2:$B$41,0),1),INDEX(About!C:C,MATCH(Sheet1!C583,About!B:B,0),1)),"")</f>
        <v>BAU Perc of Each Fuel Used by Veh Tech.xlsx</v>
      </c>
      <c r="J583" s="5">
        <f>IFERROR(INDEX(About!$D$34:$D$222,MATCH(Sheet1!I583,About!$C$34:$C$222,0),1),0)</f>
        <v>1</v>
      </c>
      <c r="K583" s="6">
        <f t="shared" ref="K583:K646" si="23">IF(H583=".csv",1,0)*J583</f>
        <v>1</v>
      </c>
    </row>
    <row r="584" spans="1:11" x14ac:dyDescent="0.25">
      <c r="A584" t="s">
        <v>0</v>
      </c>
      <c r="B584" t="s">
        <v>609</v>
      </c>
      <c r="C584" t="s">
        <v>678</v>
      </c>
      <c r="D584" t="s">
        <v>740</v>
      </c>
      <c r="H584" t="str">
        <f t="shared" si="22"/>
        <v>.csv</v>
      </c>
      <c r="I584" s="5" t="str">
        <f>IFERROR(IF(OR(C584="PERAC",C584="FoPITY"),INDEX(Customizations!$C$2:$C$41,MATCH(Sheet1!D584,Customizations!$B$2:$B$41,0),1),INDEX(About!C:C,MATCH(Sheet1!C584,About!B:B,0),1)),"")</f>
        <v>BAU Perc of Each Fuel Used by Veh Tech.xlsx</v>
      </c>
      <c r="J584" s="5">
        <f>IFERROR(INDEX(About!$D$34:$D$222,MATCH(Sheet1!I584,About!$C$34:$C$222,0),1),0)</f>
        <v>1</v>
      </c>
      <c r="K584" s="6">
        <f t="shared" si="23"/>
        <v>1</v>
      </c>
    </row>
    <row r="585" spans="1:11" x14ac:dyDescent="0.25">
      <c r="A585" t="s">
        <v>0</v>
      </c>
      <c r="B585" t="s">
        <v>609</v>
      </c>
      <c r="C585" t="s">
        <v>678</v>
      </c>
      <c r="D585" t="s">
        <v>741</v>
      </c>
      <c r="H585" t="str">
        <f t="shared" si="22"/>
        <v>.csv</v>
      </c>
      <c r="I585" s="5" t="str">
        <f>IFERROR(IF(OR(C585="PERAC",C585="FoPITY"),INDEX(Customizations!$C$2:$C$41,MATCH(Sheet1!D585,Customizations!$B$2:$B$41,0),1),INDEX(About!C:C,MATCH(Sheet1!C585,About!B:B,0),1)),"")</f>
        <v>BAU Perc of Each Fuel Used by Veh Tech.xlsx</v>
      </c>
      <c r="J585" s="5">
        <f>IFERROR(INDEX(About!$D$34:$D$222,MATCH(Sheet1!I585,About!$C$34:$C$222,0),1),0)</f>
        <v>1</v>
      </c>
      <c r="K585" s="6">
        <f t="shared" si="23"/>
        <v>1</v>
      </c>
    </row>
    <row r="586" spans="1:11" x14ac:dyDescent="0.25">
      <c r="A586" t="s">
        <v>0</v>
      </c>
      <c r="B586" t="s">
        <v>609</v>
      </c>
      <c r="C586" t="s">
        <v>678</v>
      </c>
      <c r="D586" t="s">
        <v>742</v>
      </c>
      <c r="H586" t="str">
        <f t="shared" si="22"/>
        <v>.csv</v>
      </c>
      <c r="I586" s="5" t="str">
        <f>IFERROR(IF(OR(C586="PERAC",C586="FoPITY"),INDEX(Customizations!$C$2:$C$41,MATCH(Sheet1!D586,Customizations!$B$2:$B$41,0),1),INDEX(About!C:C,MATCH(Sheet1!C586,About!B:B,0),1)),"")</f>
        <v>BAU Perc of Each Fuel Used by Veh Tech.xlsx</v>
      </c>
      <c r="J586" s="5">
        <f>IFERROR(INDEX(About!$D$34:$D$222,MATCH(Sheet1!I586,About!$C$34:$C$222,0),1),0)</f>
        <v>1</v>
      </c>
      <c r="K586" s="6">
        <f t="shared" si="23"/>
        <v>1</v>
      </c>
    </row>
    <row r="587" spans="1:11" x14ac:dyDescent="0.25">
      <c r="A587" t="s">
        <v>0</v>
      </c>
      <c r="B587" t="s">
        <v>609</v>
      </c>
      <c r="C587" t="s">
        <v>678</v>
      </c>
      <c r="D587" t="s">
        <v>743</v>
      </c>
      <c r="H587" t="str">
        <f t="shared" si="22"/>
        <v>.csv</v>
      </c>
      <c r="I587" s="5" t="str">
        <f>IFERROR(IF(OR(C587="PERAC",C587="FoPITY"),INDEX(Customizations!$C$2:$C$41,MATCH(Sheet1!D587,Customizations!$B$2:$B$41,0),1),INDEX(About!C:C,MATCH(Sheet1!C587,About!B:B,0),1)),"")</f>
        <v>BAU Perc of Each Fuel Used by Veh Tech.xlsx</v>
      </c>
      <c r="J587" s="5">
        <f>IFERROR(INDEX(About!$D$34:$D$222,MATCH(Sheet1!I587,About!$C$34:$C$222,0),1),0)</f>
        <v>1</v>
      </c>
      <c r="K587" s="6">
        <f t="shared" si="23"/>
        <v>1</v>
      </c>
    </row>
    <row r="588" spans="1:11" x14ac:dyDescent="0.25">
      <c r="A588" t="s">
        <v>0</v>
      </c>
      <c r="B588" t="s">
        <v>609</v>
      </c>
      <c r="C588" t="s">
        <v>678</v>
      </c>
      <c r="D588" t="s">
        <v>744</v>
      </c>
      <c r="H588" t="str">
        <f t="shared" si="22"/>
        <v>.csv</v>
      </c>
      <c r="I588" s="5" t="str">
        <f>IFERROR(IF(OR(C588="PERAC",C588="FoPITY"),INDEX(Customizations!$C$2:$C$41,MATCH(Sheet1!D588,Customizations!$B$2:$B$41,0),1),INDEX(About!C:C,MATCH(Sheet1!C588,About!B:B,0),1)),"")</f>
        <v>BAU Perc of Each Fuel Used by Veh Tech.xlsx</v>
      </c>
      <c r="J588" s="5">
        <f>IFERROR(INDEX(About!$D$34:$D$222,MATCH(Sheet1!I588,About!$C$34:$C$222,0),1),0)</f>
        <v>1</v>
      </c>
      <c r="K588" s="6">
        <f t="shared" si="23"/>
        <v>1</v>
      </c>
    </row>
    <row r="589" spans="1:11" x14ac:dyDescent="0.25">
      <c r="A589" t="s">
        <v>0</v>
      </c>
      <c r="B589" t="s">
        <v>609</v>
      </c>
      <c r="C589" t="s">
        <v>678</v>
      </c>
      <c r="D589" t="s">
        <v>745</v>
      </c>
      <c r="H589" t="str">
        <f t="shared" si="22"/>
        <v>.csv</v>
      </c>
      <c r="I589" s="5" t="str">
        <f>IFERROR(IF(OR(C589="PERAC",C589="FoPITY"),INDEX(Customizations!$C$2:$C$41,MATCH(Sheet1!D589,Customizations!$B$2:$B$41,0),1),INDEX(About!C:C,MATCH(Sheet1!C589,About!B:B,0),1)),"")</f>
        <v>BAU Perc of Each Fuel Used by Veh Tech.xlsx</v>
      </c>
      <c r="J589" s="5">
        <f>IFERROR(INDEX(About!$D$34:$D$222,MATCH(Sheet1!I589,About!$C$34:$C$222,0),1),0)</f>
        <v>1</v>
      </c>
      <c r="K589" s="6">
        <f t="shared" si="23"/>
        <v>1</v>
      </c>
    </row>
    <row r="590" spans="1:11" x14ac:dyDescent="0.25">
      <c r="A590" t="s">
        <v>0</v>
      </c>
      <c r="B590" t="s">
        <v>609</v>
      </c>
      <c r="C590" t="s">
        <v>678</v>
      </c>
      <c r="D590" t="s">
        <v>746</v>
      </c>
      <c r="H590" t="str">
        <f t="shared" si="22"/>
        <v>.csv</v>
      </c>
      <c r="I590" s="5" t="str">
        <f>IFERROR(IF(OR(C590="PERAC",C590="FoPITY"),INDEX(Customizations!$C$2:$C$41,MATCH(Sheet1!D590,Customizations!$B$2:$B$41,0),1),INDEX(About!C:C,MATCH(Sheet1!C590,About!B:B,0),1)),"")</f>
        <v>BAU Perc of Each Fuel Used by Veh Tech.xlsx</v>
      </c>
      <c r="J590" s="5">
        <f>IFERROR(INDEX(About!$D$34:$D$222,MATCH(Sheet1!I590,About!$C$34:$C$222,0),1),0)</f>
        <v>1</v>
      </c>
      <c r="K590" s="6">
        <f t="shared" si="23"/>
        <v>1</v>
      </c>
    </row>
    <row r="591" spans="1:11" x14ac:dyDescent="0.25">
      <c r="A591" t="s">
        <v>0</v>
      </c>
      <c r="B591" t="s">
        <v>609</v>
      </c>
      <c r="C591" t="s">
        <v>678</v>
      </c>
      <c r="D591" t="s">
        <v>747</v>
      </c>
      <c r="H591" t="str">
        <f t="shared" si="22"/>
        <v>.csv</v>
      </c>
      <c r="I591" s="5" t="str">
        <f>IFERROR(IF(OR(C591="PERAC",C591="FoPITY"),INDEX(Customizations!$C$2:$C$41,MATCH(Sheet1!D591,Customizations!$B$2:$B$41,0),1),INDEX(About!C:C,MATCH(Sheet1!C591,About!B:B,0),1)),"")</f>
        <v>BAU Perc of Each Fuel Used by Veh Tech.xlsx</v>
      </c>
      <c r="J591" s="5">
        <f>IFERROR(INDEX(About!$D$34:$D$222,MATCH(Sheet1!I591,About!$C$34:$C$222,0),1),0)</f>
        <v>1</v>
      </c>
      <c r="K591" s="6">
        <f t="shared" si="23"/>
        <v>1</v>
      </c>
    </row>
    <row r="592" spans="1:11" x14ac:dyDescent="0.25">
      <c r="A592" t="s">
        <v>0</v>
      </c>
      <c r="B592" t="s">
        <v>609</v>
      </c>
      <c r="C592" t="s">
        <v>678</v>
      </c>
      <c r="D592" t="s">
        <v>748</v>
      </c>
      <c r="H592" t="str">
        <f t="shared" si="22"/>
        <v>.csv</v>
      </c>
      <c r="I592" s="5" t="str">
        <f>IFERROR(IF(OR(C592="PERAC",C592="FoPITY"),INDEX(Customizations!$C$2:$C$41,MATCH(Sheet1!D592,Customizations!$B$2:$B$41,0),1),INDEX(About!C:C,MATCH(Sheet1!C592,About!B:B,0),1)),"")</f>
        <v>BAU Perc of Each Fuel Used by Veh Tech.xlsx</v>
      </c>
      <c r="J592" s="5">
        <f>IFERROR(INDEX(About!$D$34:$D$222,MATCH(Sheet1!I592,About!$C$34:$C$222,0),1),0)</f>
        <v>1</v>
      </c>
      <c r="K592" s="6">
        <f t="shared" si="23"/>
        <v>1</v>
      </c>
    </row>
    <row r="593" spans="1:11" x14ac:dyDescent="0.25">
      <c r="A593" t="s">
        <v>0</v>
      </c>
      <c r="B593" t="s">
        <v>609</v>
      </c>
      <c r="C593" t="s">
        <v>678</v>
      </c>
      <c r="D593" t="s">
        <v>749</v>
      </c>
      <c r="H593" t="str">
        <f t="shared" si="22"/>
        <v>.csv</v>
      </c>
      <c r="I593" s="5" t="str">
        <f>IFERROR(IF(OR(C593="PERAC",C593="FoPITY"),INDEX(Customizations!$C$2:$C$41,MATCH(Sheet1!D593,Customizations!$B$2:$B$41,0),1),INDEX(About!C:C,MATCH(Sheet1!C593,About!B:B,0),1)),"")</f>
        <v>BAU Perc of Each Fuel Used by Veh Tech.xlsx</v>
      </c>
      <c r="J593" s="5">
        <f>IFERROR(INDEX(About!$D$34:$D$222,MATCH(Sheet1!I593,About!$C$34:$C$222,0),1),0)</f>
        <v>1</v>
      </c>
      <c r="K593" s="6">
        <f t="shared" si="23"/>
        <v>1</v>
      </c>
    </row>
    <row r="594" spans="1:11" x14ac:dyDescent="0.25">
      <c r="A594" t="s">
        <v>0</v>
      </c>
      <c r="B594" t="s">
        <v>609</v>
      </c>
      <c r="C594" t="s">
        <v>678</v>
      </c>
      <c r="D594" t="s">
        <v>750</v>
      </c>
      <c r="H594" t="str">
        <f t="shared" si="22"/>
        <v>.csv</v>
      </c>
      <c r="I594" s="5" t="str">
        <f>IFERROR(IF(OR(C594="PERAC",C594="FoPITY"),INDEX(Customizations!$C$2:$C$41,MATCH(Sheet1!D594,Customizations!$B$2:$B$41,0),1),INDEX(About!C:C,MATCH(Sheet1!C594,About!B:B,0),1)),"")</f>
        <v>BAU Perc of Each Fuel Used by Veh Tech.xlsx</v>
      </c>
      <c r="J594" s="5">
        <f>IFERROR(INDEX(About!$D$34:$D$222,MATCH(Sheet1!I594,About!$C$34:$C$222,0),1),0)</f>
        <v>1</v>
      </c>
      <c r="K594" s="6">
        <f t="shared" si="23"/>
        <v>1</v>
      </c>
    </row>
    <row r="595" spans="1:11" x14ac:dyDescent="0.25">
      <c r="A595" t="s">
        <v>0</v>
      </c>
      <c r="B595" t="s">
        <v>609</v>
      </c>
      <c r="C595" t="s">
        <v>678</v>
      </c>
      <c r="D595" t="s">
        <v>751</v>
      </c>
      <c r="H595" t="str">
        <f t="shared" si="22"/>
        <v>.csv</v>
      </c>
      <c r="I595" s="5" t="str">
        <f>IFERROR(IF(OR(C595="PERAC",C595="FoPITY"),INDEX(Customizations!$C$2:$C$41,MATCH(Sheet1!D595,Customizations!$B$2:$B$41,0),1),INDEX(About!C:C,MATCH(Sheet1!C595,About!B:B,0),1)),"")</f>
        <v>BAU Perc of Each Fuel Used by Veh Tech.xlsx</v>
      </c>
      <c r="J595" s="5">
        <f>IFERROR(INDEX(About!$D$34:$D$222,MATCH(Sheet1!I595,About!$C$34:$C$222,0),1),0)</f>
        <v>1</v>
      </c>
      <c r="K595" s="6">
        <f t="shared" si="23"/>
        <v>1</v>
      </c>
    </row>
    <row r="596" spans="1:11" x14ac:dyDescent="0.25">
      <c r="A596" t="s">
        <v>0</v>
      </c>
      <c r="B596" t="s">
        <v>609</v>
      </c>
      <c r="C596" t="s">
        <v>752</v>
      </c>
      <c r="D596" t="s">
        <v>753</v>
      </c>
      <c r="H596" t="str">
        <f t="shared" si="22"/>
        <v>xlsx</v>
      </c>
      <c r="I596" s="5" t="str">
        <f>IFERROR(IF(OR(C596="PERAC",C596="FoPITY"),INDEX(Customizations!$C$2:$C$41,MATCH(Sheet1!D596,Customizations!$B$2:$B$41,0),1),INDEX(About!C:C,MATCH(Sheet1!C596,About!B:B,0),1)),"")</f>
        <v>BAU Rng Anxiety and Charge Time Shadow Costs.xlsx</v>
      </c>
      <c r="J596" s="5">
        <f>IFERROR(INDEX(About!$D$34:$D$222,MATCH(Sheet1!I596,About!$C$34:$C$222,0),1),0)</f>
        <v>1</v>
      </c>
      <c r="K596" s="6">
        <f t="shared" si="23"/>
        <v>0</v>
      </c>
    </row>
    <row r="597" spans="1:11" x14ac:dyDescent="0.25">
      <c r="A597" t="s">
        <v>0</v>
      </c>
      <c r="B597" t="s">
        <v>609</v>
      </c>
      <c r="C597" t="s">
        <v>752</v>
      </c>
      <c r="D597" t="s">
        <v>754</v>
      </c>
      <c r="H597" t="str">
        <f t="shared" si="22"/>
        <v>.csv</v>
      </c>
      <c r="I597" s="5" t="str">
        <f>IFERROR(IF(OR(C597="PERAC",C597="FoPITY"),INDEX(Customizations!$C$2:$C$41,MATCH(Sheet1!D597,Customizations!$B$2:$B$41,0),1),INDEX(About!C:C,MATCH(Sheet1!C597,About!B:B,0),1)),"")</f>
        <v>BAU Rng Anxiety and Charge Time Shadow Costs.xlsx</v>
      </c>
      <c r="J597" s="5">
        <f>IFERROR(INDEX(About!$D$34:$D$222,MATCH(Sheet1!I597,About!$C$34:$C$222,0),1),0)</f>
        <v>1</v>
      </c>
      <c r="K597" s="6">
        <f t="shared" si="23"/>
        <v>1</v>
      </c>
    </row>
    <row r="598" spans="1:11" x14ac:dyDescent="0.25">
      <c r="A598" t="s">
        <v>0</v>
      </c>
      <c r="B598" t="s">
        <v>609</v>
      </c>
      <c r="C598" t="s">
        <v>755</v>
      </c>
      <c r="D598" t="s">
        <v>756</v>
      </c>
      <c r="H598" t="str">
        <f t="shared" si="22"/>
        <v>xlsx</v>
      </c>
      <c r="I598" s="5" t="str">
        <f>IFERROR(IF(OR(C598="PERAC",C598="FoPITY"),INDEX(Customizations!$C$2:$C$41,MATCH(Sheet1!D598,Customizations!$B$2:$B$41,0),1),INDEX(About!C:C,MATCH(Sheet1!C598,About!B:B,0),1)),"")</f>
        <v>Boolean Veh Types Subject to LCFS.xlsx</v>
      </c>
      <c r="J598" s="5">
        <f>IFERROR(INDEX(About!$D$34:$D$222,MATCH(Sheet1!I598,About!$C$34:$C$222,0),1),0)</f>
        <v>1</v>
      </c>
      <c r="K598" s="6">
        <f t="shared" si="23"/>
        <v>0</v>
      </c>
    </row>
    <row r="599" spans="1:11" x14ac:dyDescent="0.25">
      <c r="A599" t="s">
        <v>0</v>
      </c>
      <c r="B599" t="s">
        <v>609</v>
      </c>
      <c r="C599" t="s">
        <v>755</v>
      </c>
      <c r="D599" t="s">
        <v>757</v>
      </c>
      <c r="H599" t="str">
        <f t="shared" si="22"/>
        <v>.csv</v>
      </c>
      <c r="I599" s="5" t="str">
        <f>IFERROR(IF(OR(C599="PERAC",C599="FoPITY"),INDEX(Customizations!$C$2:$C$41,MATCH(Sheet1!D599,Customizations!$B$2:$B$41,0),1),INDEX(About!C:C,MATCH(Sheet1!C599,About!B:B,0),1)),"")</f>
        <v>Boolean Veh Types Subject to LCFS.xlsx</v>
      </c>
      <c r="J599" s="5">
        <f>IFERROR(INDEX(About!$D$34:$D$222,MATCH(Sheet1!I599,About!$C$34:$C$222,0),1),0)</f>
        <v>1</v>
      </c>
      <c r="K599" s="6">
        <f t="shared" si="23"/>
        <v>1</v>
      </c>
    </row>
    <row r="600" spans="1:11" x14ac:dyDescent="0.25">
      <c r="A600" t="s">
        <v>0</v>
      </c>
      <c r="B600" t="s">
        <v>609</v>
      </c>
      <c r="C600" t="s">
        <v>758</v>
      </c>
      <c r="D600" t="s">
        <v>759</v>
      </c>
      <c r="H600" t="str">
        <f t="shared" si="22"/>
        <v>xlsx</v>
      </c>
      <c r="I600" s="5" t="str">
        <f>IFERROR(IF(OR(C600="PERAC",C600="FoPITY"),INDEX(Customizations!$C$2:$C$41,MATCH(Sheet1!D600,Customizations!$B$2:$B$41,0),1),INDEX(About!C:C,MATCH(Sheet1!C600,About!B:B,0),1)),"")</f>
        <v>Carbon Intensity Ratios by Transport Fuel.xlsx</v>
      </c>
      <c r="J600" s="5">
        <f>IFERROR(INDEX(About!$D$34:$D$222,MATCH(Sheet1!I600,About!$C$34:$C$222,0),1),0)</f>
        <v>1</v>
      </c>
      <c r="K600" s="6">
        <f t="shared" si="23"/>
        <v>0</v>
      </c>
    </row>
    <row r="601" spans="1:11" x14ac:dyDescent="0.25">
      <c r="A601" t="s">
        <v>0</v>
      </c>
      <c r="B601" t="s">
        <v>609</v>
      </c>
      <c r="C601" t="s">
        <v>758</v>
      </c>
      <c r="D601" t="s">
        <v>760</v>
      </c>
      <c r="H601" t="str">
        <f t="shared" si="22"/>
        <v>.csv</v>
      </c>
      <c r="I601" s="5" t="str">
        <f>IFERROR(IF(OR(C601="PERAC",C601="FoPITY"),INDEX(Customizations!$C$2:$C$41,MATCH(Sheet1!D601,Customizations!$B$2:$B$41,0),1),INDEX(About!C:C,MATCH(Sheet1!C601,About!B:B,0),1)),"")</f>
        <v>Carbon Intensity Ratios by Transport Fuel.xlsx</v>
      </c>
      <c r="J601" s="5">
        <f>IFERROR(INDEX(About!$D$34:$D$222,MATCH(Sheet1!I601,About!$C$34:$C$222,0),1),0)</f>
        <v>1</v>
      </c>
      <c r="K601" s="6">
        <f t="shared" si="23"/>
        <v>1</v>
      </c>
    </row>
    <row r="602" spans="1:11" x14ac:dyDescent="0.25">
      <c r="A602" t="s">
        <v>0</v>
      </c>
      <c r="B602" t="s">
        <v>609</v>
      </c>
      <c r="C602" t="s">
        <v>761</v>
      </c>
      <c r="D602" t="s">
        <v>762</v>
      </c>
      <c r="H602" t="str">
        <f t="shared" si="22"/>
        <v>.csv</v>
      </c>
      <c r="I602" s="5" t="str">
        <f>IFERROR(IF(OR(C602="PERAC",C602="FoPITY"),INDEX(Customizations!$C$2:$C$41,MATCH(Sheet1!D602,Customizations!$B$2:$B$41,0),1),INDEX(About!C:C,MATCH(Sheet1!C602,About!B:B,0),1)),"")</f>
        <v>Embedded Carbon per Vehicle.xlsx</v>
      </c>
      <c r="J602" s="5">
        <f>IFERROR(INDEX(About!$D$34:$D$222,MATCH(Sheet1!I602,About!$C$34:$C$222,0),1),0)</f>
        <v>1</v>
      </c>
      <c r="K602" s="6">
        <f t="shared" si="23"/>
        <v>1</v>
      </c>
    </row>
    <row r="603" spans="1:11" x14ac:dyDescent="0.25">
      <c r="A603" t="s">
        <v>0</v>
      </c>
      <c r="B603" t="s">
        <v>609</v>
      </c>
      <c r="C603" t="s">
        <v>761</v>
      </c>
      <c r="D603" t="s">
        <v>763</v>
      </c>
      <c r="H603" t="str">
        <f t="shared" si="22"/>
        <v>.csv</v>
      </c>
      <c r="I603" s="5" t="str">
        <f>IFERROR(IF(OR(C603="PERAC",C603="FoPITY"),INDEX(Customizations!$C$2:$C$41,MATCH(Sheet1!D603,Customizations!$B$2:$B$41,0),1),INDEX(About!C:C,MATCH(Sheet1!C603,About!B:B,0),1)),"")</f>
        <v>Embedded Carbon per Vehicle.xlsx</v>
      </c>
      <c r="J603" s="5">
        <f>IFERROR(INDEX(About!$D$34:$D$222,MATCH(Sheet1!I603,About!$C$34:$C$222,0),1),0)</f>
        <v>1</v>
      </c>
      <c r="K603" s="6">
        <f t="shared" si="23"/>
        <v>1</v>
      </c>
    </row>
    <row r="604" spans="1:11" x14ac:dyDescent="0.25">
      <c r="A604" t="s">
        <v>0</v>
      </c>
      <c r="B604" t="s">
        <v>609</v>
      </c>
      <c r="C604" t="s">
        <v>761</v>
      </c>
      <c r="D604" t="s">
        <v>764</v>
      </c>
      <c r="H604" t="str">
        <f t="shared" si="22"/>
        <v>xlsx</v>
      </c>
      <c r="I604" s="5" t="str">
        <f>IFERROR(IF(OR(C604="PERAC",C604="FoPITY"),INDEX(Customizations!$C$2:$C$41,MATCH(Sheet1!D604,Customizations!$B$2:$B$41,0),1),INDEX(About!C:C,MATCH(Sheet1!C604,About!B:B,0),1)),"")</f>
        <v>Embedded Carbon per Vehicle.xlsx</v>
      </c>
      <c r="J604" s="5">
        <f>IFERROR(INDEX(About!$D$34:$D$222,MATCH(Sheet1!I604,About!$C$34:$C$222,0),1),0)</f>
        <v>1</v>
      </c>
      <c r="K604" s="6">
        <f t="shared" si="23"/>
        <v>0</v>
      </c>
    </row>
    <row r="605" spans="1:11" x14ac:dyDescent="0.25">
      <c r="A605" t="s">
        <v>0</v>
      </c>
      <c r="B605" t="s">
        <v>609</v>
      </c>
      <c r="C605" t="s">
        <v>765</v>
      </c>
      <c r="D605" t="s">
        <v>766</v>
      </c>
      <c r="H605" t="str">
        <f t="shared" si="22"/>
        <v>xlsx</v>
      </c>
      <c r="I605" s="5" t="str">
        <f>IFERROR(IF(OR(C605="PERAC",C605="FoPITY"),INDEX(Customizations!$C$2:$C$41,MATCH(Sheet1!D605,Customizations!$B$2:$B$41,0),1),INDEX(About!C:C,MATCH(Sheet1!C605,About!B:B,0),1)),"")</f>
        <v>Effect of Charging Stations on EV Market Share.xlsx</v>
      </c>
      <c r="J605" s="5">
        <f>IFERROR(INDEX(About!$D$34:$D$222,MATCH(Sheet1!I605,About!$C$34:$C$222,0),1),0)</f>
        <v>1</v>
      </c>
      <c r="K605" s="6">
        <f t="shared" si="23"/>
        <v>0</v>
      </c>
    </row>
    <row r="606" spans="1:11" x14ac:dyDescent="0.25">
      <c r="A606" t="s">
        <v>0</v>
      </c>
      <c r="B606" t="s">
        <v>609</v>
      </c>
      <c r="C606" t="s">
        <v>765</v>
      </c>
      <c r="D606" t="s">
        <v>767</v>
      </c>
      <c r="H606" t="str">
        <f t="shared" si="22"/>
        <v>.csv</v>
      </c>
      <c r="I606" s="5" t="str">
        <f>IFERROR(IF(OR(C606="PERAC",C606="FoPITY"),INDEX(Customizations!$C$2:$C$41,MATCH(Sheet1!D606,Customizations!$B$2:$B$41,0),1),INDEX(About!C:C,MATCH(Sheet1!C606,About!B:B,0),1)),"")</f>
        <v>Effect of Charging Stations on EV Market Share.xlsx</v>
      </c>
      <c r="J606" s="5">
        <f>IFERROR(INDEX(About!$D$34:$D$222,MATCH(Sheet1!I606,About!$C$34:$C$222,0),1),0)</f>
        <v>1</v>
      </c>
      <c r="K606" s="6">
        <f t="shared" si="23"/>
        <v>1</v>
      </c>
    </row>
    <row r="607" spans="1:11" x14ac:dyDescent="0.25">
      <c r="A607" t="s">
        <v>0</v>
      </c>
      <c r="B607" t="s">
        <v>609</v>
      </c>
      <c r="C607" t="s">
        <v>768</v>
      </c>
      <c r="D607" t="s">
        <v>769</v>
      </c>
      <c r="H607" t="str">
        <f t="shared" si="22"/>
        <v>xlsx</v>
      </c>
      <c r="I607" s="5" t="str">
        <f>IFERROR(IF(OR(C607="PERAC",C607="FoPITY"),INDEX(Customizations!$C$2:$C$41,MATCH(Sheet1!D607,Customizations!$B$2:$B$41,0),1),INDEX(About!C:C,MATCH(Sheet1!C607,About!B:B,0),1)),"")</f>
        <v>Elast of Demand for Veh Use wrt Fuel Cost.xlsx</v>
      </c>
      <c r="J607" s="5">
        <f>IFERROR(INDEX(About!$D$34:$D$222,MATCH(Sheet1!I607,About!$C$34:$C$222,0),1),0)</f>
        <v>1</v>
      </c>
      <c r="K607" s="6">
        <f t="shared" si="23"/>
        <v>0</v>
      </c>
    </row>
    <row r="608" spans="1:11" x14ac:dyDescent="0.25">
      <c r="A608" t="s">
        <v>0</v>
      </c>
      <c r="B608" t="s">
        <v>609</v>
      </c>
      <c r="C608" t="s">
        <v>768</v>
      </c>
      <c r="D608" t="s">
        <v>770</v>
      </c>
      <c r="H608" t="str">
        <f t="shared" si="22"/>
        <v>.csv</v>
      </c>
      <c r="I608" s="5" t="str">
        <f>IFERROR(IF(OR(C608="PERAC",C608="FoPITY"),INDEX(Customizations!$C$2:$C$41,MATCH(Sheet1!D608,Customizations!$B$2:$B$41,0),1),INDEX(About!C:C,MATCH(Sheet1!C608,About!B:B,0),1)),"")</f>
        <v>Elast of Demand for Veh Use wrt Fuel Cost.xlsx</v>
      </c>
      <c r="J608" s="5">
        <f>IFERROR(INDEX(About!$D$34:$D$222,MATCH(Sheet1!I608,About!$C$34:$C$222,0),1),0)</f>
        <v>1</v>
      </c>
      <c r="K608" s="6">
        <f t="shared" si="23"/>
        <v>1</v>
      </c>
    </row>
    <row r="609" spans="1:11" x14ac:dyDescent="0.25">
      <c r="A609" t="s">
        <v>0</v>
      </c>
      <c r="B609" t="s">
        <v>609</v>
      </c>
      <c r="C609" t="s">
        <v>771</v>
      </c>
      <c r="D609" t="s">
        <v>772</v>
      </c>
      <c r="H609" t="str">
        <f t="shared" si="22"/>
        <v>xlsx</v>
      </c>
      <c r="I609" s="5" t="str">
        <f>IFERROR(IF(OR(C609="PERAC",C609="FoPITY"),INDEX(Customizations!$C$2:$C$41,MATCH(Sheet1!D609,Customizations!$B$2:$B$41,0),1),INDEX(About!C:C,MATCH(Sheet1!C609,About!B:B,0),1)),"")</f>
        <v>Effect of Feebate on New Veh Fuel Econ.xlsx</v>
      </c>
      <c r="J609" s="5">
        <f>IFERROR(INDEX(About!$D$34:$D$222,MATCH(Sheet1!I609,About!$C$34:$C$222,0),1),0)</f>
        <v>1</v>
      </c>
      <c r="K609" s="6">
        <f t="shared" si="23"/>
        <v>0</v>
      </c>
    </row>
    <row r="610" spans="1:11" x14ac:dyDescent="0.25">
      <c r="A610" t="s">
        <v>0</v>
      </c>
      <c r="B610" t="s">
        <v>609</v>
      </c>
      <c r="C610" t="s">
        <v>771</v>
      </c>
      <c r="D610" t="s">
        <v>773</v>
      </c>
      <c r="H610" t="str">
        <f t="shared" si="22"/>
        <v>.csv</v>
      </c>
      <c r="I610" s="5" t="str">
        <f>IFERROR(IF(OR(C610="PERAC",C610="FoPITY"),INDEX(Customizations!$C$2:$C$41,MATCH(Sheet1!D610,Customizations!$B$2:$B$41,0),1),INDEX(About!C:C,MATCH(Sheet1!C610,About!B:B,0),1)),"")</f>
        <v>Effect of Feebate on New Veh Fuel Econ.xlsx</v>
      </c>
      <c r="J610" s="5">
        <f>IFERROR(INDEX(About!$D$34:$D$222,MATCH(Sheet1!I610,About!$C$34:$C$222,0),1),0)</f>
        <v>1</v>
      </c>
      <c r="K610" s="6">
        <f t="shared" si="23"/>
        <v>1</v>
      </c>
    </row>
    <row r="611" spans="1:11" x14ac:dyDescent="0.25">
      <c r="A611" t="s">
        <v>0</v>
      </c>
      <c r="B611" t="s">
        <v>609</v>
      </c>
      <c r="C611" t="s">
        <v>774</v>
      </c>
      <c r="D611" t="s">
        <v>775</v>
      </c>
      <c r="H611" t="str">
        <f t="shared" si="22"/>
        <v>xlsx</v>
      </c>
      <c r="I611" s="5" t="str">
        <f>IFERROR(IF(OR(C611="PERAC",C611="FoPITY"),INDEX(Customizations!$C$2:$C$41,MATCH(Sheet1!D611,Customizations!$B$2:$B$41,0),1),INDEX(About!C:C,MATCH(Sheet1!C611,About!B:B,0),1)),"")</f>
        <v>Elast of New Veh Fuel Econ wrt Fuel Cost.xlsx</v>
      </c>
      <c r="J611" s="5">
        <f>IFERROR(INDEX(About!$D$34:$D$222,MATCH(Sheet1!I611,About!$C$34:$C$222,0),1),0)</f>
        <v>1</v>
      </c>
      <c r="K611" s="6">
        <f t="shared" si="23"/>
        <v>0</v>
      </c>
    </row>
    <row r="612" spans="1:11" x14ac:dyDescent="0.25">
      <c r="A612" t="s">
        <v>0</v>
      </c>
      <c r="B612" t="s">
        <v>609</v>
      </c>
      <c r="C612" t="s">
        <v>774</v>
      </c>
      <c r="D612" t="s">
        <v>776</v>
      </c>
      <c r="H612" t="str">
        <f t="shared" si="22"/>
        <v>.csv</v>
      </c>
      <c r="I612" s="5" t="str">
        <f>IFERROR(IF(OR(C612="PERAC",C612="FoPITY"),INDEX(Customizations!$C$2:$C$41,MATCH(Sheet1!D612,Customizations!$B$2:$B$41,0),1),INDEX(About!C:C,MATCH(Sheet1!C612,About!B:B,0),1)),"")</f>
        <v>Elast of New Veh Fuel Econ wrt Fuel Cost.xlsx</v>
      </c>
      <c r="J612" s="5">
        <f>IFERROR(INDEX(About!$D$34:$D$222,MATCH(Sheet1!I612,About!$C$34:$C$222,0),1),0)</f>
        <v>1</v>
      </c>
      <c r="K612" s="6">
        <f t="shared" si="23"/>
        <v>1</v>
      </c>
    </row>
    <row r="613" spans="1:11" x14ac:dyDescent="0.25">
      <c r="A613" t="s">
        <v>0</v>
      </c>
      <c r="B613" t="s">
        <v>609</v>
      </c>
      <c r="C613" t="s">
        <v>774</v>
      </c>
      <c r="D613" t="s">
        <v>777</v>
      </c>
      <c r="H613" t="str">
        <f t="shared" si="22"/>
        <v>.csv</v>
      </c>
      <c r="I613" s="5" t="str">
        <f>IFERROR(IF(OR(C613="PERAC",C613="FoPITY"),INDEX(Customizations!$C$2:$C$41,MATCH(Sheet1!D613,Customizations!$B$2:$B$41,0),1),INDEX(About!C:C,MATCH(Sheet1!C613,About!B:B,0),1)),"")</f>
        <v>Elast of New Veh Fuel Econ wrt Fuel Cost.xlsx</v>
      </c>
      <c r="J613" s="5">
        <f>IFERROR(INDEX(About!$D$34:$D$222,MATCH(Sheet1!I613,About!$C$34:$C$222,0),1),0)</f>
        <v>1</v>
      </c>
      <c r="K613" s="6">
        <f t="shared" si="23"/>
        <v>1</v>
      </c>
    </row>
    <row r="614" spans="1:11" x14ac:dyDescent="0.25">
      <c r="A614" t="s">
        <v>0</v>
      </c>
      <c r="B614" t="s">
        <v>609</v>
      </c>
      <c r="C614" t="s">
        <v>774</v>
      </c>
      <c r="D614" t="s">
        <v>778</v>
      </c>
      <c r="H614" t="str">
        <f t="shared" si="22"/>
        <v>.csv</v>
      </c>
      <c r="I614" s="5" t="str">
        <f>IFERROR(IF(OR(C614="PERAC",C614="FoPITY"),INDEX(Customizations!$C$2:$C$41,MATCH(Sheet1!D614,Customizations!$B$2:$B$41,0),1),INDEX(About!C:C,MATCH(Sheet1!C614,About!B:B,0),1)),"")</f>
        <v>Elast of New Veh Fuel Econ wrt Fuel Cost.xlsx</v>
      </c>
      <c r="J614" s="5">
        <f>IFERROR(INDEX(About!$D$34:$D$222,MATCH(Sheet1!I614,About!$C$34:$C$222,0),1),0)</f>
        <v>1</v>
      </c>
      <c r="K614" s="6">
        <f t="shared" si="23"/>
        <v>1</v>
      </c>
    </row>
    <row r="615" spans="1:11" x14ac:dyDescent="0.25">
      <c r="A615" t="s">
        <v>0</v>
      </c>
      <c r="B615" t="s">
        <v>609</v>
      </c>
      <c r="C615" t="s">
        <v>774</v>
      </c>
      <c r="D615" t="s">
        <v>779</v>
      </c>
      <c r="H615" t="str">
        <f t="shared" si="22"/>
        <v>.csv</v>
      </c>
      <c r="I615" s="5" t="str">
        <f>IFERROR(IF(OR(C615="PERAC",C615="FoPITY"),INDEX(Customizations!$C$2:$C$41,MATCH(Sheet1!D615,Customizations!$B$2:$B$41,0),1),INDEX(About!C:C,MATCH(Sheet1!C615,About!B:B,0),1)),"")</f>
        <v>Elast of New Veh Fuel Econ wrt Fuel Cost.xlsx</v>
      </c>
      <c r="J615" s="5">
        <f>IFERROR(INDEX(About!$D$34:$D$222,MATCH(Sheet1!I615,About!$C$34:$C$222,0),1),0)</f>
        <v>1</v>
      </c>
      <c r="K615" s="6">
        <f t="shared" si="23"/>
        <v>1</v>
      </c>
    </row>
    <row r="616" spans="1:11" x14ac:dyDescent="0.25">
      <c r="A616" t="s">
        <v>0</v>
      </c>
      <c r="B616" t="s">
        <v>609</v>
      </c>
      <c r="C616" t="s">
        <v>774</v>
      </c>
      <c r="D616" t="s">
        <v>780</v>
      </c>
      <c r="H616" t="str">
        <f t="shared" si="22"/>
        <v>.csv</v>
      </c>
      <c r="I616" s="5" t="str">
        <f>IFERROR(IF(OR(C616="PERAC",C616="FoPITY"),INDEX(Customizations!$C$2:$C$41,MATCH(Sheet1!D616,Customizations!$B$2:$B$41,0),1),INDEX(About!C:C,MATCH(Sheet1!C616,About!B:B,0),1)),"")</f>
        <v>Elast of New Veh Fuel Econ wrt Fuel Cost.xlsx</v>
      </c>
      <c r="J616" s="5">
        <f>IFERROR(INDEX(About!$D$34:$D$222,MATCH(Sheet1!I616,About!$C$34:$C$222,0),1),0)</f>
        <v>1</v>
      </c>
      <c r="K616" s="6">
        <f t="shared" si="23"/>
        <v>1</v>
      </c>
    </row>
    <row r="617" spans="1:11" x14ac:dyDescent="0.25">
      <c r="A617" t="s">
        <v>0</v>
      </c>
      <c r="B617" t="s">
        <v>609</v>
      </c>
      <c r="C617" t="s">
        <v>774</v>
      </c>
      <c r="D617" t="s">
        <v>781</v>
      </c>
      <c r="H617" t="str">
        <f t="shared" si="22"/>
        <v>.csv</v>
      </c>
      <c r="I617" s="5" t="str">
        <f>IFERROR(IF(OR(C617="PERAC",C617="FoPITY"),INDEX(Customizations!$C$2:$C$41,MATCH(Sheet1!D617,Customizations!$B$2:$B$41,0),1),INDEX(About!C:C,MATCH(Sheet1!C617,About!B:B,0),1)),"")</f>
        <v>Elast of New Veh Fuel Econ wrt Fuel Cost.xlsx</v>
      </c>
      <c r="J617" s="5">
        <f>IFERROR(INDEX(About!$D$34:$D$222,MATCH(Sheet1!I617,About!$C$34:$C$222,0),1),0)</f>
        <v>1</v>
      </c>
      <c r="K617" s="6">
        <f t="shared" si="23"/>
        <v>1</v>
      </c>
    </row>
    <row r="618" spans="1:11" x14ac:dyDescent="0.25">
      <c r="A618" t="s">
        <v>0</v>
      </c>
      <c r="B618" t="s">
        <v>609</v>
      </c>
      <c r="C618" t="s">
        <v>782</v>
      </c>
      <c r="D618" t="s">
        <v>783</v>
      </c>
      <c r="H618" t="str">
        <f t="shared" si="22"/>
        <v>xlsx</v>
      </c>
      <c r="I618" s="5" t="str">
        <f>IFERROR(IF(OR(C618="PERAC",C618="FoPITY"),INDEX(Customizations!$C$2:$C$41,MATCH(Sheet1!D618,Customizations!$B$2:$B$41,0),1),INDEX(About!C:C,MATCH(Sheet1!C618,About!B:B,0),1)),"")</f>
        <v>Elasticity of Veh Price wrt Fuel Econ.xlsx</v>
      </c>
      <c r="J618" s="5">
        <f>IFERROR(INDEX(About!$D$34:$D$222,MATCH(Sheet1!I618,About!$C$34:$C$222,0),1),0)</f>
        <v>1</v>
      </c>
      <c r="K618" s="6">
        <f t="shared" si="23"/>
        <v>0</v>
      </c>
    </row>
    <row r="619" spans="1:11" x14ac:dyDescent="0.25">
      <c r="A619" t="s">
        <v>0</v>
      </c>
      <c r="B619" t="s">
        <v>609</v>
      </c>
      <c r="C619" t="s">
        <v>782</v>
      </c>
      <c r="D619" t="s">
        <v>784</v>
      </c>
      <c r="H619" t="str">
        <f t="shared" si="22"/>
        <v>.csv</v>
      </c>
      <c r="I619" s="5" t="str">
        <f>IFERROR(IF(OR(C619="PERAC",C619="FoPITY"),INDEX(Customizations!$C$2:$C$41,MATCH(Sheet1!D619,Customizations!$B$2:$B$41,0),1),INDEX(About!C:C,MATCH(Sheet1!C619,About!B:B,0),1)),"")</f>
        <v>Elasticity of Veh Price wrt Fuel Econ.xlsx</v>
      </c>
      <c r="J619" s="5">
        <f>IFERROR(INDEX(About!$D$34:$D$222,MATCH(Sheet1!I619,About!$C$34:$C$222,0),1),0)</f>
        <v>1</v>
      </c>
      <c r="K619" s="6">
        <f t="shared" si="23"/>
        <v>1</v>
      </c>
    </row>
    <row r="620" spans="1:11" x14ac:dyDescent="0.25">
      <c r="A620" t="s">
        <v>0</v>
      </c>
      <c r="B620" t="s">
        <v>609</v>
      </c>
      <c r="C620" t="s">
        <v>785</v>
      </c>
      <c r="D620" t="s">
        <v>786</v>
      </c>
      <c r="H620" t="str">
        <f t="shared" si="22"/>
        <v>xlsx</v>
      </c>
      <c r="I620" s="5" t="str">
        <f>IFERROR(IF(OR(C620="PERAC",C620="FoPITY"),INDEX(Customizations!$C$2:$C$41,MATCH(Sheet1!D620,Customizations!$B$2:$B$41,0),1),INDEX(About!C:C,MATCH(Sheet1!C620,About!B:B,0),1)),"")</f>
        <v>EV Charger Cap Cost.xlsx</v>
      </c>
      <c r="J620" s="5">
        <f>IFERROR(INDEX(About!$D$34:$D$222,MATCH(Sheet1!I620,About!$C$34:$C$222,0),1),0)</f>
        <v>1</v>
      </c>
      <c r="K620" s="6">
        <f t="shared" si="23"/>
        <v>0</v>
      </c>
    </row>
    <row r="621" spans="1:11" x14ac:dyDescent="0.25">
      <c r="A621" t="s">
        <v>0</v>
      </c>
      <c r="B621" t="s">
        <v>609</v>
      </c>
      <c r="C621" t="s">
        <v>785</v>
      </c>
      <c r="D621" t="s">
        <v>787</v>
      </c>
      <c r="H621" t="str">
        <f t="shared" si="22"/>
        <v>.csv</v>
      </c>
      <c r="I621" s="5" t="str">
        <f>IFERROR(IF(OR(C621="PERAC",C621="FoPITY"),INDEX(Customizations!$C$2:$C$41,MATCH(Sheet1!D621,Customizations!$B$2:$B$41,0),1),INDEX(About!C:C,MATCH(Sheet1!C621,About!B:B,0),1)),"")</f>
        <v>EV Charger Cap Cost.xlsx</v>
      </c>
      <c r="J621" s="5">
        <f>IFERROR(INDEX(About!$D$34:$D$222,MATCH(Sheet1!I621,About!$C$34:$C$222,0),1),0)</f>
        <v>1</v>
      </c>
      <c r="K621" s="6">
        <f t="shared" si="23"/>
        <v>1</v>
      </c>
    </row>
    <row r="622" spans="1:11" x14ac:dyDescent="0.25">
      <c r="A622" t="s">
        <v>0</v>
      </c>
      <c r="B622" t="s">
        <v>609</v>
      </c>
      <c r="C622" t="s">
        <v>788</v>
      </c>
      <c r="D622" t="s">
        <v>789</v>
      </c>
      <c r="H622" t="str">
        <f t="shared" si="22"/>
        <v>xlsx</v>
      </c>
      <c r="I622" s="5" t="str">
        <f>IFERROR(IF(OR(C622="PERAC",C622="FoPITY"),INDEX(Customizations!$C$2:$C$41,MATCH(Sheet1!D622,Customizations!$B$2:$B$41,0),1),INDEX(About!C:C,MATCH(Sheet1!C622,About!B:B,0),1)),"")</f>
        <v>EV Charger Labor Cost.xlsx</v>
      </c>
      <c r="J622" s="5">
        <f>IFERROR(INDEX(About!$D$34:$D$222,MATCH(Sheet1!I622,About!$C$34:$C$222,0),1),0)</f>
        <v>1</v>
      </c>
      <c r="K622" s="6">
        <f t="shared" si="23"/>
        <v>0</v>
      </c>
    </row>
    <row r="623" spans="1:11" x14ac:dyDescent="0.25">
      <c r="A623" t="s">
        <v>0</v>
      </c>
      <c r="B623" t="s">
        <v>609</v>
      </c>
      <c r="C623" t="s">
        <v>788</v>
      </c>
      <c r="D623" t="s">
        <v>790</v>
      </c>
      <c r="H623" t="str">
        <f t="shared" si="22"/>
        <v>.csv</v>
      </c>
      <c r="I623" s="5" t="str">
        <f>IFERROR(IF(OR(C623="PERAC",C623="FoPITY"),INDEX(Customizations!$C$2:$C$41,MATCH(Sheet1!D623,Customizations!$B$2:$B$41,0),1),INDEX(About!C:C,MATCH(Sheet1!C623,About!B:B,0),1)),"")</f>
        <v>EV Charger Labor Cost.xlsx</v>
      </c>
      <c r="J623" s="5">
        <f>IFERROR(INDEX(About!$D$34:$D$222,MATCH(Sheet1!I623,About!$C$34:$C$222,0),1),0)</f>
        <v>1</v>
      </c>
      <c r="K623" s="6">
        <f t="shared" si="23"/>
        <v>1</v>
      </c>
    </row>
    <row r="624" spans="1:11" x14ac:dyDescent="0.25">
      <c r="A624" t="s">
        <v>0</v>
      </c>
      <c r="B624" t="s">
        <v>609</v>
      </c>
      <c r="C624" t="s">
        <v>791</v>
      </c>
      <c r="D624" t="s">
        <v>792</v>
      </c>
      <c r="H624" t="str">
        <f t="shared" si="22"/>
        <v>.csv</v>
      </c>
      <c r="I624" s="5" t="str">
        <f>IFERROR(IF(OR(C624="PERAC",C624="FoPITY"),INDEX(Customizations!$C$2:$C$41,MATCH(Sheet1!D624,Customizations!$B$2:$B$41,0),1),INDEX(About!C:C,MATCH(Sheet1!C624,About!B:B,0),1)),"")</f>
        <v>Fraction of Veh Owned by Entity.xlsx</v>
      </c>
      <c r="J624" s="5">
        <f>IFERROR(INDEX(About!$D$34:$D$222,MATCH(Sheet1!I624,About!$C$34:$C$222,0),1),0)</f>
        <v>1</v>
      </c>
      <c r="K624" s="6">
        <f t="shared" si="23"/>
        <v>1</v>
      </c>
    </row>
    <row r="625" spans="1:11" x14ac:dyDescent="0.25">
      <c r="A625" t="s">
        <v>0</v>
      </c>
      <c r="B625" t="s">
        <v>609</v>
      </c>
      <c r="C625" t="s">
        <v>791</v>
      </c>
      <c r="D625" t="s">
        <v>793</v>
      </c>
      <c r="H625" t="str">
        <f t="shared" si="22"/>
        <v>.csv</v>
      </c>
      <c r="I625" s="5" t="str">
        <f>IFERROR(IF(OR(C625="PERAC",C625="FoPITY"),INDEX(Customizations!$C$2:$C$41,MATCH(Sheet1!D625,Customizations!$B$2:$B$41,0),1),INDEX(About!C:C,MATCH(Sheet1!C625,About!B:B,0),1)),"")</f>
        <v>Fraction of Veh Owned by Entity.xlsx</v>
      </c>
      <c r="J625" s="5">
        <f>IFERROR(INDEX(About!$D$34:$D$222,MATCH(Sheet1!I625,About!$C$34:$C$222,0),1),0)</f>
        <v>1</v>
      </c>
      <c r="K625" s="6">
        <f t="shared" si="23"/>
        <v>1</v>
      </c>
    </row>
    <row r="626" spans="1:11" x14ac:dyDescent="0.25">
      <c r="A626" t="s">
        <v>0</v>
      </c>
      <c r="B626" t="s">
        <v>609</v>
      </c>
      <c r="C626" t="s">
        <v>791</v>
      </c>
      <c r="D626" t="s">
        <v>794</v>
      </c>
      <c r="H626" t="str">
        <f t="shared" si="22"/>
        <v>xlsx</v>
      </c>
      <c r="I626" s="5" t="str">
        <f>IFERROR(IF(OR(C626="PERAC",C626="FoPITY"),INDEX(Customizations!$C$2:$C$41,MATCH(Sheet1!D626,Customizations!$B$2:$B$41,0),1),INDEX(About!C:C,MATCH(Sheet1!C626,About!B:B,0),1)),"")</f>
        <v>Fraction of Veh Owned by Entity.xlsx</v>
      </c>
      <c r="J626" s="5">
        <f>IFERROR(INDEX(About!$D$34:$D$222,MATCH(Sheet1!I626,About!$C$34:$C$222,0),1),0)</f>
        <v>1</v>
      </c>
      <c r="K626" s="6">
        <f t="shared" si="23"/>
        <v>0</v>
      </c>
    </row>
    <row r="627" spans="1:11" x14ac:dyDescent="0.25">
      <c r="A627" t="s">
        <v>0</v>
      </c>
      <c r="B627" t="s">
        <v>609</v>
      </c>
      <c r="C627" t="s">
        <v>795</v>
      </c>
      <c r="D627" t="s">
        <v>796</v>
      </c>
      <c r="H627" t="str">
        <f t="shared" si="22"/>
        <v>.csv</v>
      </c>
      <c r="I627" s="5" t="str">
        <f>IFERROR(IF(OR(C627="PERAC",C627="FoPITY"),INDEX(Customizations!$C$2:$C$41,MATCH(Sheet1!D627,Customizations!$B$2:$B$41,0),1),INDEX(About!C:C,MATCH(Sheet1!C627,About!B:B,0),1)),"")</f>
        <v>Grams CO2e Avoided per LCFS Credit.xlsx</v>
      </c>
      <c r="J627" s="5">
        <f>IFERROR(INDEX(About!$D$34:$D$222,MATCH(Sheet1!I627,About!$C$34:$C$222,0),1),0)</f>
        <v>1</v>
      </c>
      <c r="K627" s="6">
        <f t="shared" si="23"/>
        <v>1</v>
      </c>
    </row>
    <row r="628" spans="1:11" x14ac:dyDescent="0.25">
      <c r="A628" t="s">
        <v>0</v>
      </c>
      <c r="B628" t="s">
        <v>609</v>
      </c>
      <c r="C628" t="s">
        <v>795</v>
      </c>
      <c r="D628" t="s">
        <v>797</v>
      </c>
      <c r="H628" t="str">
        <f t="shared" si="22"/>
        <v>xlsx</v>
      </c>
      <c r="I628" s="5" t="str">
        <f>IFERROR(IF(OR(C628="PERAC",C628="FoPITY"),INDEX(Customizations!$C$2:$C$41,MATCH(Sheet1!D628,Customizations!$B$2:$B$41,0),1),INDEX(About!C:C,MATCH(Sheet1!C628,About!B:B,0),1)),"")</f>
        <v>Grams CO2e Avoided per LCFS Credit.xlsx</v>
      </c>
      <c r="J628" s="5">
        <f>IFERROR(INDEX(About!$D$34:$D$222,MATCH(Sheet1!I628,About!$C$34:$C$222,0),1),0)</f>
        <v>1</v>
      </c>
      <c r="K628" s="6">
        <f t="shared" si="23"/>
        <v>0</v>
      </c>
    </row>
    <row r="629" spans="1:11" x14ac:dyDescent="0.25">
      <c r="A629" t="s">
        <v>0</v>
      </c>
      <c r="B629" t="s">
        <v>609</v>
      </c>
      <c r="C629" t="s">
        <v>798</v>
      </c>
      <c r="D629" t="s">
        <v>799</v>
      </c>
      <c r="H629" t="str">
        <f t="shared" si="22"/>
        <v>.csv</v>
      </c>
      <c r="I629" s="5" t="str">
        <f>IFERROR(IF(OR(C629="PERAC",C629="FoPITY"),INDEX(Customizations!$C$2:$C$41,MATCH(Sheet1!D629,Customizations!$B$2:$B$41,0),1),INDEX(About!C:C,MATCH(Sheet1!C629,About!B:B,0),1)),"")</f>
        <v>Incremental Cost to Produce Substitute Fuel for LCFS.xlsx</v>
      </c>
      <c r="J629" s="5">
        <f>IFERROR(INDEX(About!$D$34:$D$222,MATCH(Sheet1!I629,About!$C$34:$C$222,0),1),0)</f>
        <v>1</v>
      </c>
      <c r="K629" s="6">
        <f t="shared" si="23"/>
        <v>1</v>
      </c>
    </row>
    <row r="630" spans="1:11" x14ac:dyDescent="0.25">
      <c r="A630" t="s">
        <v>0</v>
      </c>
      <c r="B630" t="s">
        <v>609</v>
      </c>
      <c r="C630" t="s">
        <v>798</v>
      </c>
      <c r="D630" t="s">
        <v>800</v>
      </c>
      <c r="H630" t="str">
        <f t="shared" si="22"/>
        <v>xlsx</v>
      </c>
      <c r="I630" s="5" t="str">
        <f>IFERROR(IF(OR(C630="PERAC",C630="FoPITY"),INDEX(Customizations!$C$2:$C$41,MATCH(Sheet1!D630,Customizations!$B$2:$B$41,0),1),INDEX(About!C:C,MATCH(Sheet1!C630,About!B:B,0),1)),"")</f>
        <v>Incremental Cost to Produce Substitute Fuel for LCFS.xlsx</v>
      </c>
      <c r="J630" s="5">
        <f>IFERROR(INDEX(About!$D$34:$D$222,MATCH(Sheet1!I630,About!$C$34:$C$222,0),1),0)</f>
        <v>1</v>
      </c>
      <c r="K630" s="6">
        <f t="shared" si="23"/>
        <v>0</v>
      </c>
    </row>
    <row r="631" spans="1:11" x14ac:dyDescent="0.25">
      <c r="A631" t="s">
        <v>0</v>
      </c>
      <c r="B631" t="s">
        <v>609</v>
      </c>
      <c r="C631" t="s">
        <v>801</v>
      </c>
      <c r="D631" t="s">
        <v>802</v>
      </c>
      <c r="H631" t="str">
        <f t="shared" si="22"/>
        <v>xlsx</v>
      </c>
      <c r="I631" s="5" t="str">
        <f>IFERROR(IF(OR(C631="PERAC",C631="FoPITY"),INDEX(Customizations!$C$2:$C$41,MATCH(Sheet1!D631,Customizations!$B$2:$B$41,0),1),INDEX(About!C:C,MATCH(Sheet1!C631,About!B:B,0),1)),"")</f>
        <v>LCFS Credit Price Cap.xlsx</v>
      </c>
      <c r="J631" s="5">
        <f>IFERROR(INDEX(About!$D$34:$D$222,MATCH(Sheet1!I631,About!$C$34:$C$222,0),1),0)</f>
        <v>1</v>
      </c>
      <c r="K631" s="6">
        <f t="shared" si="23"/>
        <v>0</v>
      </c>
    </row>
    <row r="632" spans="1:11" x14ac:dyDescent="0.25">
      <c r="A632" t="s">
        <v>0</v>
      </c>
      <c r="B632" t="s">
        <v>609</v>
      </c>
      <c r="C632" t="s">
        <v>801</v>
      </c>
      <c r="D632" t="s">
        <v>803</v>
      </c>
      <c r="H632" t="str">
        <f t="shared" si="22"/>
        <v>.csv</v>
      </c>
      <c r="I632" s="5" t="str">
        <f>IFERROR(IF(OR(C632="PERAC",C632="FoPITY"),INDEX(Customizations!$C$2:$C$41,MATCH(Sheet1!D632,Customizations!$B$2:$B$41,0),1),INDEX(About!C:C,MATCH(Sheet1!C632,About!B:B,0),1)),"")</f>
        <v>LCFS Credit Price Cap.xlsx</v>
      </c>
      <c r="J632" s="5">
        <f>IFERROR(INDEX(About!$D$34:$D$222,MATCH(Sheet1!I632,About!$C$34:$C$222,0),1),0)</f>
        <v>1</v>
      </c>
      <c r="K632" s="6">
        <f t="shared" si="23"/>
        <v>1</v>
      </c>
    </row>
    <row r="633" spans="1:11" x14ac:dyDescent="0.25">
      <c r="A633" t="s">
        <v>0</v>
      </c>
      <c r="B633" t="s">
        <v>609</v>
      </c>
      <c r="C633" t="s">
        <v>804</v>
      </c>
      <c r="D633" t="s">
        <v>805</v>
      </c>
      <c r="H633" t="str">
        <f t="shared" si="22"/>
        <v>xlsx</v>
      </c>
      <c r="I633" s="5" t="str">
        <f>IFERROR(IF(OR(C633="PERAC",C633="FoPITY"),INDEX(Customizations!$C$2:$C$41,MATCH(Sheet1!D633,Customizations!$B$2:$B$41,0),1),INDEX(About!C:C,MATCH(Sheet1!C633,About!B:B,0),1)),"")</f>
        <v>Max Perc New Veh by Technology.xlsx</v>
      </c>
      <c r="J633" s="5">
        <f>IFERROR(INDEX(About!$D$34:$D$222,MATCH(Sheet1!I633,About!$C$34:$C$222,0),1),0)</f>
        <v>1</v>
      </c>
      <c r="K633" s="6">
        <f t="shared" si="23"/>
        <v>0</v>
      </c>
    </row>
    <row r="634" spans="1:11" x14ac:dyDescent="0.25">
      <c r="A634" t="s">
        <v>0</v>
      </c>
      <c r="B634" t="s">
        <v>609</v>
      </c>
      <c r="C634" t="s">
        <v>804</v>
      </c>
      <c r="D634" t="s">
        <v>806</v>
      </c>
      <c r="H634" t="str">
        <f t="shared" si="22"/>
        <v>.csv</v>
      </c>
      <c r="I634" s="5" t="str">
        <f>IFERROR(IF(OR(C634="PERAC",C634="FoPITY"),INDEX(Customizations!$C$2:$C$41,MATCH(Sheet1!D634,Customizations!$B$2:$B$41,0),1),INDEX(About!C:C,MATCH(Sheet1!C634,About!B:B,0),1)),"")</f>
        <v>Max Perc New Veh by Technology.xlsx</v>
      </c>
      <c r="J634" s="5">
        <f>IFERROR(INDEX(About!$D$34:$D$222,MATCH(Sheet1!I634,About!$C$34:$C$222,0),1),0)</f>
        <v>1</v>
      </c>
      <c r="K634" s="6">
        <f t="shared" si="23"/>
        <v>1</v>
      </c>
    </row>
    <row r="635" spans="1:11" x14ac:dyDescent="0.25">
      <c r="A635" t="s">
        <v>0</v>
      </c>
      <c r="B635" t="s">
        <v>609</v>
      </c>
      <c r="C635" t="s">
        <v>804</v>
      </c>
      <c r="D635" t="s">
        <v>807</v>
      </c>
      <c r="H635" t="str">
        <f t="shared" si="22"/>
        <v>.csv</v>
      </c>
      <c r="I635" s="5" t="str">
        <f>IFERROR(IF(OR(C635="PERAC",C635="FoPITY"),INDEX(Customizations!$C$2:$C$41,MATCH(Sheet1!D635,Customizations!$B$2:$B$41,0),1),INDEX(About!C:C,MATCH(Sheet1!C635,About!B:B,0),1)),"")</f>
        <v>Max Perc New Veh by Technology.xlsx</v>
      </c>
      <c r="J635" s="5">
        <f>IFERROR(INDEX(About!$D$34:$D$222,MATCH(Sheet1!I635,About!$C$34:$C$222,0),1),0)</f>
        <v>1</v>
      </c>
      <c r="K635" s="6">
        <f t="shared" si="23"/>
        <v>1</v>
      </c>
    </row>
    <row r="636" spans="1:11" x14ac:dyDescent="0.25">
      <c r="A636" t="s">
        <v>0</v>
      </c>
      <c r="B636" t="s">
        <v>609</v>
      </c>
      <c r="C636" t="s">
        <v>804</v>
      </c>
      <c r="D636" t="s">
        <v>808</v>
      </c>
      <c r="H636" t="str">
        <f t="shared" si="22"/>
        <v>.csv</v>
      </c>
      <c r="I636" s="5" t="str">
        <f>IFERROR(IF(OR(C636="PERAC",C636="FoPITY"),INDEX(Customizations!$C$2:$C$41,MATCH(Sheet1!D636,Customizations!$B$2:$B$41,0),1),INDEX(About!C:C,MATCH(Sheet1!C636,About!B:B,0),1)),"")</f>
        <v>Max Perc New Veh by Technology.xlsx</v>
      </c>
      <c r="J636" s="5">
        <f>IFERROR(INDEX(About!$D$34:$D$222,MATCH(Sheet1!I636,About!$C$34:$C$222,0),1),0)</f>
        <v>1</v>
      </c>
      <c r="K636" s="6">
        <f t="shared" si="23"/>
        <v>1</v>
      </c>
    </row>
    <row r="637" spans="1:11" x14ac:dyDescent="0.25">
      <c r="A637" t="s">
        <v>0</v>
      </c>
      <c r="B637" t="s">
        <v>609</v>
      </c>
      <c r="C637" t="s">
        <v>804</v>
      </c>
      <c r="D637" t="s">
        <v>809</v>
      </c>
      <c r="H637" t="str">
        <f t="shared" si="22"/>
        <v>.csv</v>
      </c>
      <c r="I637" s="5" t="str">
        <f>IFERROR(IF(OR(C637="PERAC",C637="FoPITY"),INDEX(Customizations!$C$2:$C$41,MATCH(Sheet1!D637,Customizations!$B$2:$B$41,0),1),INDEX(About!C:C,MATCH(Sheet1!C637,About!B:B,0),1)),"")</f>
        <v>Max Perc New Veh by Technology.xlsx</v>
      </c>
      <c r="J637" s="5">
        <f>IFERROR(INDEX(About!$D$34:$D$222,MATCH(Sheet1!I637,About!$C$34:$C$222,0),1),0)</f>
        <v>1</v>
      </c>
      <c r="K637" s="6">
        <f t="shared" si="23"/>
        <v>1</v>
      </c>
    </row>
    <row r="638" spans="1:11" x14ac:dyDescent="0.25">
      <c r="A638" t="s">
        <v>0</v>
      </c>
      <c r="B638" t="s">
        <v>609</v>
      </c>
      <c r="C638" t="s">
        <v>804</v>
      </c>
      <c r="D638" t="s">
        <v>810</v>
      </c>
      <c r="H638" t="str">
        <f t="shared" si="22"/>
        <v>.csv</v>
      </c>
      <c r="I638" s="5" t="str">
        <f>IFERROR(IF(OR(C638="PERAC",C638="FoPITY"),INDEX(Customizations!$C$2:$C$41,MATCH(Sheet1!D638,Customizations!$B$2:$B$41,0),1),INDEX(About!C:C,MATCH(Sheet1!C638,About!B:B,0),1)),"")</f>
        <v>Max Perc New Veh by Technology.xlsx</v>
      </c>
      <c r="J638" s="5">
        <f>IFERROR(INDEX(About!$D$34:$D$222,MATCH(Sheet1!I638,About!$C$34:$C$222,0),1),0)</f>
        <v>1</v>
      </c>
      <c r="K638" s="6">
        <f t="shared" si="23"/>
        <v>1</v>
      </c>
    </row>
    <row r="639" spans="1:11" x14ac:dyDescent="0.25">
      <c r="A639" t="s">
        <v>0</v>
      </c>
      <c r="B639" t="s">
        <v>609</v>
      </c>
      <c r="C639" t="s">
        <v>804</v>
      </c>
      <c r="D639" t="s">
        <v>811</v>
      </c>
      <c r="H639" t="str">
        <f t="shared" si="22"/>
        <v>.csv</v>
      </c>
      <c r="I639" s="5" t="str">
        <f>IFERROR(IF(OR(C639="PERAC",C639="FoPITY"),INDEX(Customizations!$C$2:$C$41,MATCH(Sheet1!D639,Customizations!$B$2:$B$41,0),1),INDEX(About!C:C,MATCH(Sheet1!C639,About!B:B,0),1)),"")</f>
        <v>Max Perc New Veh by Technology.xlsx</v>
      </c>
      <c r="J639" s="5">
        <f>IFERROR(INDEX(About!$D$34:$D$222,MATCH(Sheet1!I639,About!$C$34:$C$222,0),1),0)</f>
        <v>1</v>
      </c>
      <c r="K639" s="6">
        <f t="shared" si="23"/>
        <v>1</v>
      </c>
    </row>
    <row r="640" spans="1:11" x14ac:dyDescent="0.25">
      <c r="A640" t="s">
        <v>0</v>
      </c>
      <c r="B640" t="s">
        <v>609</v>
      </c>
      <c r="C640" t="s">
        <v>804</v>
      </c>
      <c r="D640" t="s">
        <v>812</v>
      </c>
      <c r="H640" t="str">
        <f t="shared" si="22"/>
        <v>.csv</v>
      </c>
      <c r="I640" s="5" t="str">
        <f>IFERROR(IF(OR(C640="PERAC",C640="FoPITY"),INDEX(Customizations!$C$2:$C$41,MATCH(Sheet1!D640,Customizations!$B$2:$B$41,0),1),INDEX(About!C:C,MATCH(Sheet1!C640,About!B:B,0),1)),"")</f>
        <v>Max Perc New Veh by Technology.xlsx</v>
      </c>
      <c r="J640" s="5">
        <f>IFERROR(INDEX(About!$D$34:$D$222,MATCH(Sheet1!I640,About!$C$34:$C$222,0),1),0)</f>
        <v>1</v>
      </c>
      <c r="K640" s="6">
        <f t="shared" si="23"/>
        <v>1</v>
      </c>
    </row>
    <row r="641" spans="1:11" x14ac:dyDescent="0.25">
      <c r="A641" t="s">
        <v>0</v>
      </c>
      <c r="B641" t="s">
        <v>609</v>
      </c>
      <c r="C641" t="s">
        <v>804</v>
      </c>
      <c r="D641" t="s">
        <v>813</v>
      </c>
      <c r="H641" t="str">
        <f t="shared" si="22"/>
        <v>.csv</v>
      </c>
      <c r="I641" s="5" t="str">
        <f>IFERROR(IF(OR(C641="PERAC",C641="FoPITY"),INDEX(Customizations!$C$2:$C$41,MATCH(Sheet1!D641,Customizations!$B$2:$B$41,0),1),INDEX(About!C:C,MATCH(Sheet1!C641,About!B:B,0),1)),"")</f>
        <v>Max Perc New Veh by Technology.xlsx</v>
      </c>
      <c r="J641" s="5">
        <f>IFERROR(INDEX(About!$D$34:$D$222,MATCH(Sheet1!I641,About!$C$34:$C$222,0),1),0)</f>
        <v>1</v>
      </c>
      <c r="K641" s="6">
        <f t="shared" si="23"/>
        <v>1</v>
      </c>
    </row>
    <row r="642" spans="1:11" x14ac:dyDescent="0.25">
      <c r="A642" t="s">
        <v>0</v>
      </c>
      <c r="B642" t="s">
        <v>609</v>
      </c>
      <c r="C642" t="s">
        <v>804</v>
      </c>
      <c r="D642" t="s">
        <v>814</v>
      </c>
      <c r="H642" t="str">
        <f t="shared" si="22"/>
        <v>.csv</v>
      </c>
      <c r="I642" s="5" t="str">
        <f>IFERROR(IF(OR(C642="PERAC",C642="FoPITY"),INDEX(Customizations!$C$2:$C$41,MATCH(Sheet1!D642,Customizations!$B$2:$B$41,0),1),INDEX(About!C:C,MATCH(Sheet1!C642,About!B:B,0),1)),"")</f>
        <v>Max Perc New Veh by Technology.xlsx</v>
      </c>
      <c r="J642" s="5">
        <f>IFERROR(INDEX(About!$D$34:$D$222,MATCH(Sheet1!I642,About!$C$34:$C$222,0),1),0)</f>
        <v>1</v>
      </c>
      <c r="K642" s="6">
        <f t="shared" si="23"/>
        <v>1</v>
      </c>
    </row>
    <row r="643" spans="1:11" x14ac:dyDescent="0.25">
      <c r="A643" t="s">
        <v>0</v>
      </c>
      <c r="B643" t="s">
        <v>609</v>
      </c>
      <c r="C643" t="s">
        <v>804</v>
      </c>
      <c r="D643" t="s">
        <v>815</v>
      </c>
      <c r="H643" t="str">
        <f t="shared" si="22"/>
        <v>.csv</v>
      </c>
      <c r="I643" s="5" t="str">
        <f>IFERROR(IF(OR(C643="PERAC",C643="FoPITY"),INDEX(Customizations!$C$2:$C$41,MATCH(Sheet1!D643,Customizations!$B$2:$B$41,0),1),INDEX(About!C:C,MATCH(Sheet1!C643,About!B:B,0),1)),"")</f>
        <v>Max Perc New Veh by Technology.xlsx</v>
      </c>
      <c r="J643" s="5">
        <f>IFERROR(INDEX(About!$D$34:$D$222,MATCH(Sheet1!I643,About!$C$34:$C$222,0),1),0)</f>
        <v>1</v>
      </c>
      <c r="K643" s="6">
        <f t="shared" si="23"/>
        <v>1</v>
      </c>
    </row>
    <row r="644" spans="1:11" x14ac:dyDescent="0.25">
      <c r="A644" t="s">
        <v>0</v>
      </c>
      <c r="B644" t="s">
        <v>609</v>
      </c>
      <c r="C644" t="s">
        <v>804</v>
      </c>
      <c r="D644" t="s">
        <v>816</v>
      </c>
      <c r="H644" t="str">
        <f t="shared" si="22"/>
        <v>.csv</v>
      </c>
      <c r="I644" s="5" t="str">
        <f>IFERROR(IF(OR(C644="PERAC",C644="FoPITY"),INDEX(Customizations!$C$2:$C$41,MATCH(Sheet1!D644,Customizations!$B$2:$B$41,0),1),INDEX(About!C:C,MATCH(Sheet1!C644,About!B:B,0),1)),"")</f>
        <v>Max Perc New Veh by Technology.xlsx</v>
      </c>
      <c r="J644" s="5">
        <f>IFERROR(INDEX(About!$D$34:$D$222,MATCH(Sheet1!I644,About!$C$34:$C$222,0),1),0)</f>
        <v>1</v>
      </c>
      <c r="K644" s="6">
        <f t="shared" si="23"/>
        <v>1</v>
      </c>
    </row>
    <row r="645" spans="1:11" x14ac:dyDescent="0.25">
      <c r="A645" t="s">
        <v>0</v>
      </c>
      <c r="B645" t="s">
        <v>609</v>
      </c>
      <c r="C645" t="s">
        <v>804</v>
      </c>
      <c r="D645" t="s">
        <v>817</v>
      </c>
      <c r="H645" t="str">
        <f t="shared" si="22"/>
        <v>.csv</v>
      </c>
      <c r="I645" s="5" t="str">
        <f>IFERROR(IF(OR(C645="PERAC",C645="FoPITY"),INDEX(Customizations!$C$2:$C$41,MATCH(Sheet1!D645,Customizations!$B$2:$B$41,0),1),INDEX(About!C:C,MATCH(Sheet1!C645,About!B:B,0),1)),"")</f>
        <v>Max Perc New Veh by Technology.xlsx</v>
      </c>
      <c r="J645" s="5">
        <f>IFERROR(INDEX(About!$D$34:$D$222,MATCH(Sheet1!I645,About!$C$34:$C$222,0),1),0)</f>
        <v>1</v>
      </c>
      <c r="K645" s="6">
        <f t="shared" si="23"/>
        <v>1</v>
      </c>
    </row>
    <row r="646" spans="1:11" x14ac:dyDescent="0.25">
      <c r="A646" t="s">
        <v>0</v>
      </c>
      <c r="B646" t="s">
        <v>609</v>
      </c>
      <c r="C646" t="s">
        <v>818</v>
      </c>
      <c r="D646" t="s">
        <v>819</v>
      </c>
      <c r="H646" t="str">
        <f t="shared" si="22"/>
        <v>xlsx</v>
      </c>
      <c r="I646" s="5" t="str">
        <f>IFERROR(IF(OR(C646="PERAC",C646="FoPITY"),INDEX(Customizations!$C$2:$C$41,MATCH(Sheet1!D646,Customizations!$B$2:$B$41,0),1),INDEX(About!C:C,MATCH(Sheet1!C646,About!B:B,0),1)),"")</f>
        <v>Max Perc of Each Fuel Usable by Veh Tech.xlsx</v>
      </c>
      <c r="J646" s="5">
        <f>IFERROR(INDEX(About!$D$34:$D$222,MATCH(Sheet1!I646,About!$C$34:$C$222,0),1),0)</f>
        <v>1</v>
      </c>
      <c r="K646" s="6">
        <f t="shared" si="23"/>
        <v>0</v>
      </c>
    </row>
    <row r="647" spans="1:11" x14ac:dyDescent="0.25">
      <c r="A647" t="s">
        <v>0</v>
      </c>
      <c r="B647" t="s">
        <v>609</v>
      </c>
      <c r="C647" t="s">
        <v>818</v>
      </c>
      <c r="D647" t="s">
        <v>820</v>
      </c>
      <c r="H647" t="str">
        <f t="shared" ref="H647:H710" si="24">RIGHT(D647,"4")</f>
        <v>.csv</v>
      </c>
      <c r="I647" s="5" t="str">
        <f>IFERROR(IF(OR(C647="PERAC",C647="FoPITY"),INDEX(Customizations!$C$2:$C$41,MATCH(Sheet1!D647,Customizations!$B$2:$B$41,0),1),INDEX(About!C:C,MATCH(Sheet1!C647,About!B:B,0),1)),"")</f>
        <v>Max Perc of Each Fuel Usable by Veh Tech.xlsx</v>
      </c>
      <c r="J647" s="5">
        <f>IFERROR(INDEX(About!$D$34:$D$222,MATCH(Sheet1!I647,About!$C$34:$C$222,0),1),0)</f>
        <v>1</v>
      </c>
      <c r="K647" s="6">
        <f t="shared" ref="K647:K710" si="25">IF(H647=".csv",1,0)*J647</f>
        <v>1</v>
      </c>
    </row>
    <row r="648" spans="1:11" x14ac:dyDescent="0.25">
      <c r="A648" t="s">
        <v>0</v>
      </c>
      <c r="B648" t="s">
        <v>609</v>
      </c>
      <c r="C648" t="s">
        <v>818</v>
      </c>
      <c r="D648" t="s">
        <v>821</v>
      </c>
      <c r="H648" t="str">
        <f t="shared" si="24"/>
        <v>.csv</v>
      </c>
      <c r="I648" s="5" t="str">
        <f>IFERROR(IF(OR(C648="PERAC",C648="FoPITY"),INDEX(Customizations!$C$2:$C$41,MATCH(Sheet1!D648,Customizations!$B$2:$B$41,0),1),INDEX(About!C:C,MATCH(Sheet1!C648,About!B:B,0),1)),"")</f>
        <v>Max Perc of Each Fuel Usable by Veh Tech.xlsx</v>
      </c>
      <c r="J648" s="5">
        <f>IFERROR(INDEX(About!$D$34:$D$222,MATCH(Sheet1!I648,About!$C$34:$C$222,0),1),0)</f>
        <v>1</v>
      </c>
      <c r="K648" s="6">
        <f t="shared" si="25"/>
        <v>1</v>
      </c>
    </row>
    <row r="649" spans="1:11" x14ac:dyDescent="0.25">
      <c r="A649" t="s">
        <v>0</v>
      </c>
      <c r="B649" t="s">
        <v>609</v>
      </c>
      <c r="C649" t="s">
        <v>818</v>
      </c>
      <c r="D649" t="s">
        <v>822</v>
      </c>
      <c r="H649" t="str">
        <f t="shared" si="24"/>
        <v>.csv</v>
      </c>
      <c r="I649" s="5" t="str">
        <f>IFERROR(IF(OR(C649="PERAC",C649="FoPITY"),INDEX(Customizations!$C$2:$C$41,MATCH(Sheet1!D649,Customizations!$B$2:$B$41,0),1),INDEX(About!C:C,MATCH(Sheet1!C649,About!B:B,0),1)),"")</f>
        <v>Max Perc of Each Fuel Usable by Veh Tech.xlsx</v>
      </c>
      <c r="J649" s="5">
        <f>IFERROR(INDEX(About!$D$34:$D$222,MATCH(Sheet1!I649,About!$C$34:$C$222,0),1),0)</f>
        <v>1</v>
      </c>
      <c r="K649" s="6">
        <f t="shared" si="25"/>
        <v>1</v>
      </c>
    </row>
    <row r="650" spans="1:11" x14ac:dyDescent="0.25">
      <c r="A650" t="s">
        <v>0</v>
      </c>
      <c r="B650" t="s">
        <v>609</v>
      </c>
      <c r="C650" t="s">
        <v>818</v>
      </c>
      <c r="D650" t="s">
        <v>823</v>
      </c>
      <c r="H650" t="str">
        <f t="shared" si="24"/>
        <v>.csv</v>
      </c>
      <c r="I650" s="5" t="str">
        <f>IFERROR(IF(OR(C650="PERAC",C650="FoPITY"),INDEX(Customizations!$C$2:$C$41,MATCH(Sheet1!D650,Customizations!$B$2:$B$41,0),1),INDEX(About!C:C,MATCH(Sheet1!C650,About!B:B,0),1)),"")</f>
        <v>Max Perc of Each Fuel Usable by Veh Tech.xlsx</v>
      </c>
      <c r="J650" s="5">
        <f>IFERROR(INDEX(About!$D$34:$D$222,MATCH(Sheet1!I650,About!$C$34:$C$222,0),1),0)</f>
        <v>1</v>
      </c>
      <c r="K650" s="6">
        <f t="shared" si="25"/>
        <v>1</v>
      </c>
    </row>
    <row r="651" spans="1:11" x14ac:dyDescent="0.25">
      <c r="A651" t="s">
        <v>0</v>
      </c>
      <c r="B651" t="s">
        <v>609</v>
      </c>
      <c r="C651" t="s">
        <v>818</v>
      </c>
      <c r="D651" t="s">
        <v>824</v>
      </c>
      <c r="H651" t="str">
        <f t="shared" si="24"/>
        <v>.csv</v>
      </c>
      <c r="I651" s="5" t="str">
        <f>IFERROR(IF(OR(C651="PERAC",C651="FoPITY"),INDEX(Customizations!$C$2:$C$41,MATCH(Sheet1!D651,Customizations!$B$2:$B$41,0),1),INDEX(About!C:C,MATCH(Sheet1!C651,About!B:B,0),1)),"")</f>
        <v>Max Perc of Each Fuel Usable by Veh Tech.xlsx</v>
      </c>
      <c r="J651" s="5">
        <f>IFERROR(INDEX(About!$D$34:$D$222,MATCH(Sheet1!I651,About!$C$34:$C$222,0),1),0)</f>
        <v>1</v>
      </c>
      <c r="K651" s="6">
        <f t="shared" si="25"/>
        <v>1</v>
      </c>
    </row>
    <row r="652" spans="1:11" x14ac:dyDescent="0.25">
      <c r="A652" t="s">
        <v>0</v>
      </c>
      <c r="B652" t="s">
        <v>609</v>
      </c>
      <c r="C652" t="s">
        <v>818</v>
      </c>
      <c r="D652" t="s">
        <v>825</v>
      </c>
      <c r="H652" t="str">
        <f t="shared" si="24"/>
        <v>.csv</v>
      </c>
      <c r="I652" s="5" t="str">
        <f>IFERROR(IF(OR(C652="PERAC",C652="FoPITY"),INDEX(Customizations!$C$2:$C$41,MATCH(Sheet1!D652,Customizations!$B$2:$B$41,0),1),INDEX(About!C:C,MATCH(Sheet1!C652,About!B:B,0),1)),"")</f>
        <v>Max Perc of Each Fuel Usable by Veh Tech.xlsx</v>
      </c>
      <c r="J652" s="5">
        <f>IFERROR(INDEX(About!$D$34:$D$222,MATCH(Sheet1!I652,About!$C$34:$C$222,0),1),0)</f>
        <v>1</v>
      </c>
      <c r="K652" s="6">
        <f t="shared" si="25"/>
        <v>1</v>
      </c>
    </row>
    <row r="653" spans="1:11" x14ac:dyDescent="0.25">
      <c r="A653" t="s">
        <v>0</v>
      </c>
      <c r="B653" t="s">
        <v>609</v>
      </c>
      <c r="C653" t="s">
        <v>818</v>
      </c>
      <c r="D653" t="s">
        <v>826</v>
      </c>
      <c r="H653" t="str">
        <f t="shared" si="24"/>
        <v>.csv</v>
      </c>
      <c r="I653" s="5" t="str">
        <f>IFERROR(IF(OR(C653="PERAC",C653="FoPITY"),INDEX(Customizations!$C$2:$C$41,MATCH(Sheet1!D653,Customizations!$B$2:$B$41,0),1),INDEX(About!C:C,MATCH(Sheet1!C653,About!B:B,0),1)),"")</f>
        <v>Max Perc of Each Fuel Usable by Veh Tech.xlsx</v>
      </c>
      <c r="J653" s="5">
        <f>IFERROR(INDEX(About!$D$34:$D$222,MATCH(Sheet1!I653,About!$C$34:$C$222,0),1),0)</f>
        <v>1</v>
      </c>
      <c r="K653" s="6">
        <f t="shared" si="25"/>
        <v>1</v>
      </c>
    </row>
    <row r="654" spans="1:11" x14ac:dyDescent="0.25">
      <c r="A654" t="s">
        <v>0</v>
      </c>
      <c r="B654" t="s">
        <v>609</v>
      </c>
      <c r="C654" t="s">
        <v>818</v>
      </c>
      <c r="D654" t="s">
        <v>827</v>
      </c>
      <c r="H654" t="str">
        <f t="shared" si="24"/>
        <v>.csv</v>
      </c>
      <c r="I654" s="5" t="str">
        <f>IFERROR(IF(OR(C654="PERAC",C654="FoPITY"),INDEX(Customizations!$C$2:$C$41,MATCH(Sheet1!D654,Customizations!$B$2:$B$41,0),1),INDEX(About!C:C,MATCH(Sheet1!C654,About!B:B,0),1)),"")</f>
        <v>Max Perc of Each Fuel Usable by Veh Tech.xlsx</v>
      </c>
      <c r="J654" s="5">
        <f>IFERROR(INDEX(About!$D$34:$D$222,MATCH(Sheet1!I654,About!$C$34:$C$222,0),1),0)</f>
        <v>1</v>
      </c>
      <c r="K654" s="6">
        <f t="shared" si="25"/>
        <v>1</v>
      </c>
    </row>
    <row r="655" spans="1:11" x14ac:dyDescent="0.25">
      <c r="A655" t="s">
        <v>0</v>
      </c>
      <c r="B655" t="s">
        <v>609</v>
      </c>
      <c r="C655" t="s">
        <v>818</v>
      </c>
      <c r="D655" t="s">
        <v>828</v>
      </c>
      <c r="H655" t="str">
        <f t="shared" si="24"/>
        <v>.csv</v>
      </c>
      <c r="I655" s="5" t="str">
        <f>IFERROR(IF(OR(C655="PERAC",C655="FoPITY"),INDEX(Customizations!$C$2:$C$41,MATCH(Sheet1!D655,Customizations!$B$2:$B$41,0),1),INDEX(About!C:C,MATCH(Sheet1!C655,About!B:B,0),1)),"")</f>
        <v>Max Perc of Each Fuel Usable by Veh Tech.xlsx</v>
      </c>
      <c r="J655" s="5">
        <f>IFERROR(INDEX(About!$D$34:$D$222,MATCH(Sheet1!I655,About!$C$34:$C$222,0),1),0)</f>
        <v>1</v>
      </c>
      <c r="K655" s="6">
        <f t="shared" si="25"/>
        <v>1</v>
      </c>
    </row>
    <row r="656" spans="1:11" x14ac:dyDescent="0.25">
      <c r="A656" t="s">
        <v>0</v>
      </c>
      <c r="B656" t="s">
        <v>609</v>
      </c>
      <c r="C656" t="s">
        <v>818</v>
      </c>
      <c r="D656" t="s">
        <v>829</v>
      </c>
      <c r="H656" t="str">
        <f t="shared" si="24"/>
        <v>.csv</v>
      </c>
      <c r="I656" s="5" t="str">
        <f>IFERROR(IF(OR(C656="PERAC",C656="FoPITY"),INDEX(Customizations!$C$2:$C$41,MATCH(Sheet1!D656,Customizations!$B$2:$B$41,0),1),INDEX(About!C:C,MATCH(Sheet1!C656,About!B:B,0),1)),"")</f>
        <v>Max Perc of Each Fuel Usable by Veh Tech.xlsx</v>
      </c>
      <c r="J656" s="5">
        <f>IFERROR(INDEX(About!$D$34:$D$222,MATCH(Sheet1!I656,About!$C$34:$C$222,0),1),0)</f>
        <v>1</v>
      </c>
      <c r="K656" s="6">
        <f t="shared" si="25"/>
        <v>1</v>
      </c>
    </row>
    <row r="657" spans="1:11" x14ac:dyDescent="0.25">
      <c r="A657" t="s">
        <v>0</v>
      </c>
      <c r="B657" t="s">
        <v>609</v>
      </c>
      <c r="C657" t="s">
        <v>818</v>
      </c>
      <c r="D657" t="s">
        <v>830</v>
      </c>
      <c r="H657" t="str">
        <f t="shared" si="24"/>
        <v>.csv</v>
      </c>
      <c r="I657" s="5" t="str">
        <f>IFERROR(IF(OR(C657="PERAC",C657="FoPITY"),INDEX(Customizations!$C$2:$C$41,MATCH(Sheet1!D657,Customizations!$B$2:$B$41,0),1),INDEX(About!C:C,MATCH(Sheet1!C657,About!B:B,0),1)),"")</f>
        <v>Max Perc of Each Fuel Usable by Veh Tech.xlsx</v>
      </c>
      <c r="J657" s="5">
        <f>IFERROR(INDEX(About!$D$34:$D$222,MATCH(Sheet1!I657,About!$C$34:$C$222,0),1),0)</f>
        <v>1</v>
      </c>
      <c r="K657" s="6">
        <f t="shared" si="25"/>
        <v>1</v>
      </c>
    </row>
    <row r="658" spans="1:11" x14ac:dyDescent="0.25">
      <c r="A658" t="s">
        <v>0</v>
      </c>
      <c r="B658" t="s">
        <v>609</v>
      </c>
      <c r="C658" t="s">
        <v>818</v>
      </c>
      <c r="D658" t="s">
        <v>831</v>
      </c>
      <c r="H658" t="str">
        <f t="shared" si="24"/>
        <v>.csv</v>
      </c>
      <c r="I658" s="5" t="str">
        <f>IFERROR(IF(OR(C658="PERAC",C658="FoPITY"),INDEX(Customizations!$C$2:$C$41,MATCH(Sheet1!D658,Customizations!$B$2:$B$41,0),1),INDEX(About!C:C,MATCH(Sheet1!C658,About!B:B,0),1)),"")</f>
        <v>Max Perc of Each Fuel Usable by Veh Tech.xlsx</v>
      </c>
      <c r="J658" s="5">
        <f>IFERROR(INDEX(About!$D$34:$D$222,MATCH(Sheet1!I658,About!$C$34:$C$222,0),1),0)</f>
        <v>1</v>
      </c>
      <c r="K658" s="6">
        <f t="shared" si="25"/>
        <v>1</v>
      </c>
    </row>
    <row r="659" spans="1:11" x14ac:dyDescent="0.25">
      <c r="A659" t="s">
        <v>0</v>
      </c>
      <c r="B659" t="s">
        <v>609</v>
      </c>
      <c r="C659" t="s">
        <v>818</v>
      </c>
      <c r="D659" t="s">
        <v>832</v>
      </c>
      <c r="H659" t="str">
        <f t="shared" si="24"/>
        <v>.csv</v>
      </c>
      <c r="I659" s="5" t="str">
        <f>IFERROR(IF(OR(C659="PERAC",C659="FoPITY"),INDEX(Customizations!$C$2:$C$41,MATCH(Sheet1!D659,Customizations!$B$2:$B$41,0),1),INDEX(About!C:C,MATCH(Sheet1!C659,About!B:B,0),1)),"")</f>
        <v>Max Perc of Each Fuel Usable by Veh Tech.xlsx</v>
      </c>
      <c r="J659" s="5">
        <f>IFERROR(INDEX(About!$D$34:$D$222,MATCH(Sheet1!I659,About!$C$34:$C$222,0),1),0)</f>
        <v>1</v>
      </c>
      <c r="K659" s="6">
        <f t="shared" si="25"/>
        <v>1</v>
      </c>
    </row>
    <row r="660" spans="1:11" x14ac:dyDescent="0.25">
      <c r="A660" t="s">
        <v>0</v>
      </c>
      <c r="B660" t="s">
        <v>609</v>
      </c>
      <c r="C660" t="s">
        <v>818</v>
      </c>
      <c r="D660" t="s">
        <v>833</v>
      </c>
      <c r="H660" t="str">
        <f t="shared" si="24"/>
        <v>.csv</v>
      </c>
      <c r="I660" s="5" t="str">
        <f>IFERROR(IF(OR(C660="PERAC",C660="FoPITY"),INDEX(Customizations!$C$2:$C$41,MATCH(Sheet1!D660,Customizations!$B$2:$B$41,0),1),INDEX(About!C:C,MATCH(Sheet1!C660,About!B:B,0),1)),"")</f>
        <v>Max Perc of Each Fuel Usable by Veh Tech.xlsx</v>
      </c>
      <c r="J660" s="5">
        <f>IFERROR(INDEX(About!$D$34:$D$222,MATCH(Sheet1!I660,About!$C$34:$C$222,0),1),0)</f>
        <v>1</v>
      </c>
      <c r="K660" s="6">
        <f t="shared" si="25"/>
        <v>1</v>
      </c>
    </row>
    <row r="661" spans="1:11" x14ac:dyDescent="0.25">
      <c r="A661" t="s">
        <v>0</v>
      </c>
      <c r="B661" t="s">
        <v>609</v>
      </c>
      <c r="C661" t="s">
        <v>818</v>
      </c>
      <c r="D661" t="s">
        <v>834</v>
      </c>
      <c r="H661" t="str">
        <f t="shared" si="24"/>
        <v>.csv</v>
      </c>
      <c r="I661" s="5" t="str">
        <f>IFERROR(IF(OR(C661="PERAC",C661="FoPITY"),INDEX(Customizations!$C$2:$C$41,MATCH(Sheet1!D661,Customizations!$B$2:$B$41,0),1),INDEX(About!C:C,MATCH(Sheet1!C661,About!B:B,0),1)),"")</f>
        <v>Max Perc of Each Fuel Usable by Veh Tech.xlsx</v>
      </c>
      <c r="J661" s="5">
        <f>IFERROR(INDEX(About!$D$34:$D$222,MATCH(Sheet1!I661,About!$C$34:$C$222,0),1),0)</f>
        <v>1</v>
      </c>
      <c r="K661" s="6">
        <f t="shared" si="25"/>
        <v>1</v>
      </c>
    </row>
    <row r="662" spans="1:11" x14ac:dyDescent="0.25">
      <c r="A662" t="s">
        <v>0</v>
      </c>
      <c r="B662" t="s">
        <v>609</v>
      </c>
      <c r="C662" t="s">
        <v>818</v>
      </c>
      <c r="D662" t="s">
        <v>835</v>
      </c>
      <c r="H662" t="str">
        <f t="shared" si="24"/>
        <v>.csv</v>
      </c>
      <c r="I662" s="5" t="str">
        <f>IFERROR(IF(OR(C662="PERAC",C662="FoPITY"),INDEX(Customizations!$C$2:$C$41,MATCH(Sheet1!D662,Customizations!$B$2:$B$41,0),1),INDEX(About!C:C,MATCH(Sheet1!C662,About!B:B,0),1)),"")</f>
        <v>Max Perc of Each Fuel Usable by Veh Tech.xlsx</v>
      </c>
      <c r="J662" s="5">
        <f>IFERROR(INDEX(About!$D$34:$D$222,MATCH(Sheet1!I662,About!$C$34:$C$222,0),1),0)</f>
        <v>1</v>
      </c>
      <c r="K662" s="6">
        <f t="shared" si="25"/>
        <v>1</v>
      </c>
    </row>
    <row r="663" spans="1:11" x14ac:dyDescent="0.25">
      <c r="A663" t="s">
        <v>0</v>
      </c>
      <c r="B663" t="s">
        <v>609</v>
      </c>
      <c r="C663" t="s">
        <v>818</v>
      </c>
      <c r="D663" t="s">
        <v>836</v>
      </c>
      <c r="H663" t="str">
        <f t="shared" si="24"/>
        <v>.csv</v>
      </c>
      <c r="I663" s="5" t="str">
        <f>IFERROR(IF(OR(C663="PERAC",C663="FoPITY"),INDEX(Customizations!$C$2:$C$41,MATCH(Sheet1!D663,Customizations!$B$2:$B$41,0),1),INDEX(About!C:C,MATCH(Sheet1!C663,About!B:B,0),1)),"")</f>
        <v>Max Perc of Each Fuel Usable by Veh Tech.xlsx</v>
      </c>
      <c r="J663" s="5">
        <f>IFERROR(INDEX(About!$D$34:$D$222,MATCH(Sheet1!I663,About!$C$34:$C$222,0),1),0)</f>
        <v>1</v>
      </c>
      <c r="K663" s="6">
        <f t="shared" si="25"/>
        <v>1</v>
      </c>
    </row>
    <row r="664" spans="1:11" x14ac:dyDescent="0.25">
      <c r="A664" t="s">
        <v>0</v>
      </c>
      <c r="B664" t="s">
        <v>609</v>
      </c>
      <c r="C664" t="s">
        <v>818</v>
      </c>
      <c r="D664" t="s">
        <v>837</v>
      </c>
      <c r="H664" t="str">
        <f t="shared" si="24"/>
        <v>.csv</v>
      </c>
      <c r="I664" s="5" t="str">
        <f>IFERROR(IF(OR(C664="PERAC",C664="FoPITY"),INDEX(Customizations!$C$2:$C$41,MATCH(Sheet1!D664,Customizations!$B$2:$B$41,0),1),INDEX(About!C:C,MATCH(Sheet1!C664,About!B:B,0),1)),"")</f>
        <v>Max Perc of Each Fuel Usable by Veh Tech.xlsx</v>
      </c>
      <c r="J664" s="5">
        <f>IFERROR(INDEX(About!$D$34:$D$222,MATCH(Sheet1!I664,About!$C$34:$C$222,0),1),0)</f>
        <v>1</v>
      </c>
      <c r="K664" s="6">
        <f t="shared" si="25"/>
        <v>1</v>
      </c>
    </row>
    <row r="665" spans="1:11" x14ac:dyDescent="0.25">
      <c r="A665" t="s">
        <v>0</v>
      </c>
      <c r="B665" t="s">
        <v>609</v>
      </c>
      <c r="C665" t="s">
        <v>818</v>
      </c>
      <c r="D665" t="s">
        <v>838</v>
      </c>
      <c r="H665" t="str">
        <f t="shared" si="24"/>
        <v>.csv</v>
      </c>
      <c r="I665" s="5" t="str">
        <f>IFERROR(IF(OR(C665="PERAC",C665="FoPITY"),INDEX(Customizations!$C$2:$C$41,MATCH(Sheet1!D665,Customizations!$B$2:$B$41,0),1),INDEX(About!C:C,MATCH(Sheet1!C665,About!B:B,0),1)),"")</f>
        <v>Max Perc of Each Fuel Usable by Veh Tech.xlsx</v>
      </c>
      <c r="J665" s="5">
        <f>IFERROR(INDEX(About!$D$34:$D$222,MATCH(Sheet1!I665,About!$C$34:$C$222,0),1),0)</f>
        <v>1</v>
      </c>
      <c r="K665" s="6">
        <f t="shared" si="25"/>
        <v>1</v>
      </c>
    </row>
    <row r="666" spans="1:11" x14ac:dyDescent="0.25">
      <c r="A666" t="s">
        <v>0</v>
      </c>
      <c r="B666" t="s">
        <v>609</v>
      </c>
      <c r="C666" t="s">
        <v>818</v>
      </c>
      <c r="D666" t="s">
        <v>839</v>
      </c>
      <c r="H666" t="str">
        <f t="shared" si="24"/>
        <v>.csv</v>
      </c>
      <c r="I666" s="5" t="str">
        <f>IFERROR(IF(OR(C666="PERAC",C666="FoPITY"),INDEX(Customizations!$C$2:$C$41,MATCH(Sheet1!D666,Customizations!$B$2:$B$41,0),1),INDEX(About!C:C,MATCH(Sheet1!C666,About!B:B,0),1)),"")</f>
        <v>Max Perc of Each Fuel Usable by Veh Tech.xlsx</v>
      </c>
      <c r="J666" s="5">
        <f>IFERROR(INDEX(About!$D$34:$D$222,MATCH(Sheet1!I666,About!$C$34:$C$222,0),1),0)</f>
        <v>1</v>
      </c>
      <c r="K666" s="6">
        <f t="shared" si="25"/>
        <v>1</v>
      </c>
    </row>
    <row r="667" spans="1:11" x14ac:dyDescent="0.25">
      <c r="A667" t="s">
        <v>0</v>
      </c>
      <c r="B667" t="s">
        <v>609</v>
      </c>
      <c r="C667" t="s">
        <v>818</v>
      </c>
      <c r="D667" t="s">
        <v>840</v>
      </c>
      <c r="H667" t="str">
        <f t="shared" si="24"/>
        <v>.csv</v>
      </c>
      <c r="I667" s="5" t="str">
        <f>IFERROR(IF(OR(C667="PERAC",C667="FoPITY"),INDEX(Customizations!$C$2:$C$41,MATCH(Sheet1!D667,Customizations!$B$2:$B$41,0),1),INDEX(About!C:C,MATCH(Sheet1!C667,About!B:B,0),1)),"")</f>
        <v>Max Perc of Each Fuel Usable by Veh Tech.xlsx</v>
      </c>
      <c r="J667" s="5">
        <f>IFERROR(INDEX(About!$D$34:$D$222,MATCH(Sheet1!I667,About!$C$34:$C$222,0),1),0)</f>
        <v>1</v>
      </c>
      <c r="K667" s="6">
        <f t="shared" si="25"/>
        <v>1</v>
      </c>
    </row>
    <row r="668" spans="1:11" x14ac:dyDescent="0.25">
      <c r="A668" t="s">
        <v>0</v>
      </c>
      <c r="B668" t="s">
        <v>609</v>
      </c>
      <c r="C668" t="s">
        <v>818</v>
      </c>
      <c r="D668" t="s">
        <v>841</v>
      </c>
      <c r="H668" t="str">
        <f t="shared" si="24"/>
        <v>.csv</v>
      </c>
      <c r="I668" s="5" t="str">
        <f>IFERROR(IF(OR(C668="PERAC",C668="FoPITY"),INDEX(Customizations!$C$2:$C$41,MATCH(Sheet1!D668,Customizations!$B$2:$B$41,0),1),INDEX(About!C:C,MATCH(Sheet1!C668,About!B:B,0),1)),"")</f>
        <v>Max Perc of Each Fuel Usable by Veh Tech.xlsx</v>
      </c>
      <c r="J668" s="5">
        <f>IFERROR(INDEX(About!$D$34:$D$222,MATCH(Sheet1!I668,About!$C$34:$C$222,0),1),0)</f>
        <v>1</v>
      </c>
      <c r="K668" s="6">
        <f t="shared" si="25"/>
        <v>1</v>
      </c>
    </row>
    <row r="669" spans="1:11" x14ac:dyDescent="0.25">
      <c r="A669" t="s">
        <v>0</v>
      </c>
      <c r="B669" t="s">
        <v>609</v>
      </c>
      <c r="C669" t="s">
        <v>818</v>
      </c>
      <c r="D669" t="s">
        <v>842</v>
      </c>
      <c r="H669" t="str">
        <f t="shared" si="24"/>
        <v>.csv</v>
      </c>
      <c r="I669" s="5" t="str">
        <f>IFERROR(IF(OR(C669="PERAC",C669="FoPITY"),INDEX(Customizations!$C$2:$C$41,MATCH(Sheet1!D669,Customizations!$B$2:$B$41,0),1),INDEX(About!C:C,MATCH(Sheet1!C669,About!B:B,0),1)),"")</f>
        <v>Max Perc of Each Fuel Usable by Veh Tech.xlsx</v>
      </c>
      <c r="J669" s="5">
        <f>IFERROR(INDEX(About!$D$34:$D$222,MATCH(Sheet1!I669,About!$C$34:$C$222,0),1),0)</f>
        <v>1</v>
      </c>
      <c r="K669" s="6">
        <f t="shared" si="25"/>
        <v>1</v>
      </c>
    </row>
    <row r="670" spans="1:11" x14ac:dyDescent="0.25">
      <c r="A670" t="s">
        <v>0</v>
      </c>
      <c r="B670" t="s">
        <v>609</v>
      </c>
      <c r="C670" t="s">
        <v>818</v>
      </c>
      <c r="D670" t="s">
        <v>843</v>
      </c>
      <c r="H670" t="str">
        <f t="shared" si="24"/>
        <v>.csv</v>
      </c>
      <c r="I670" s="5" t="str">
        <f>IFERROR(IF(OR(C670="PERAC",C670="FoPITY"),INDEX(Customizations!$C$2:$C$41,MATCH(Sheet1!D670,Customizations!$B$2:$B$41,0),1),INDEX(About!C:C,MATCH(Sheet1!C670,About!B:B,0),1)),"")</f>
        <v>Max Perc of Each Fuel Usable by Veh Tech.xlsx</v>
      </c>
      <c r="J670" s="5">
        <f>IFERROR(INDEX(About!$D$34:$D$222,MATCH(Sheet1!I670,About!$C$34:$C$222,0),1),0)</f>
        <v>1</v>
      </c>
      <c r="K670" s="6">
        <f t="shared" si="25"/>
        <v>1</v>
      </c>
    </row>
    <row r="671" spans="1:11" x14ac:dyDescent="0.25">
      <c r="A671" t="s">
        <v>0</v>
      </c>
      <c r="B671" t="s">
        <v>609</v>
      </c>
      <c r="C671" t="s">
        <v>818</v>
      </c>
      <c r="D671" t="s">
        <v>844</v>
      </c>
      <c r="H671" t="str">
        <f t="shared" si="24"/>
        <v>.csv</v>
      </c>
      <c r="I671" s="5" t="str">
        <f>IFERROR(IF(OR(C671="PERAC",C671="FoPITY"),INDEX(Customizations!$C$2:$C$41,MATCH(Sheet1!D671,Customizations!$B$2:$B$41,0),1),INDEX(About!C:C,MATCH(Sheet1!C671,About!B:B,0),1)),"")</f>
        <v>Max Perc of Each Fuel Usable by Veh Tech.xlsx</v>
      </c>
      <c r="J671" s="5">
        <f>IFERROR(INDEX(About!$D$34:$D$222,MATCH(Sheet1!I671,About!$C$34:$C$222,0),1),0)</f>
        <v>1</v>
      </c>
      <c r="K671" s="6">
        <f t="shared" si="25"/>
        <v>1</v>
      </c>
    </row>
    <row r="672" spans="1:11" x14ac:dyDescent="0.25">
      <c r="A672" t="s">
        <v>0</v>
      </c>
      <c r="B672" t="s">
        <v>609</v>
      </c>
      <c r="C672" t="s">
        <v>818</v>
      </c>
      <c r="D672" t="s">
        <v>845</v>
      </c>
      <c r="H672" t="str">
        <f t="shared" si="24"/>
        <v>.csv</v>
      </c>
      <c r="I672" s="5" t="str">
        <f>IFERROR(IF(OR(C672="PERAC",C672="FoPITY"),INDEX(Customizations!$C$2:$C$41,MATCH(Sheet1!D672,Customizations!$B$2:$B$41,0),1),INDEX(About!C:C,MATCH(Sheet1!C672,About!B:B,0),1)),"")</f>
        <v>Max Perc of Each Fuel Usable by Veh Tech.xlsx</v>
      </c>
      <c r="J672" s="5">
        <f>IFERROR(INDEX(About!$D$34:$D$222,MATCH(Sheet1!I672,About!$C$34:$C$222,0),1),0)</f>
        <v>1</v>
      </c>
      <c r="K672" s="6">
        <f t="shared" si="25"/>
        <v>1</v>
      </c>
    </row>
    <row r="673" spans="1:11" x14ac:dyDescent="0.25">
      <c r="A673" t="s">
        <v>0</v>
      </c>
      <c r="B673" t="s">
        <v>609</v>
      </c>
      <c r="C673" t="s">
        <v>818</v>
      </c>
      <c r="D673" t="s">
        <v>846</v>
      </c>
      <c r="H673" t="str">
        <f t="shared" si="24"/>
        <v>.csv</v>
      </c>
      <c r="I673" s="5" t="str">
        <f>IFERROR(IF(OR(C673="PERAC",C673="FoPITY"),INDEX(Customizations!$C$2:$C$41,MATCH(Sheet1!D673,Customizations!$B$2:$B$41,0),1),INDEX(About!C:C,MATCH(Sheet1!C673,About!B:B,0),1)),"")</f>
        <v>Max Perc of Each Fuel Usable by Veh Tech.xlsx</v>
      </c>
      <c r="J673" s="5">
        <f>IFERROR(INDEX(About!$D$34:$D$222,MATCH(Sheet1!I673,About!$C$34:$C$222,0),1),0)</f>
        <v>1</v>
      </c>
      <c r="K673" s="6">
        <f t="shared" si="25"/>
        <v>1</v>
      </c>
    </row>
    <row r="674" spans="1:11" x14ac:dyDescent="0.25">
      <c r="A674" t="s">
        <v>0</v>
      </c>
      <c r="B674" t="s">
        <v>609</v>
      </c>
      <c r="C674" t="s">
        <v>818</v>
      </c>
      <c r="D674" t="s">
        <v>847</v>
      </c>
      <c r="H674" t="str">
        <f t="shared" si="24"/>
        <v>.csv</v>
      </c>
      <c r="I674" s="5" t="str">
        <f>IFERROR(IF(OR(C674="PERAC",C674="FoPITY"),INDEX(Customizations!$C$2:$C$41,MATCH(Sheet1!D674,Customizations!$B$2:$B$41,0),1),INDEX(About!C:C,MATCH(Sheet1!C674,About!B:B,0),1)),"")</f>
        <v>Max Perc of Each Fuel Usable by Veh Tech.xlsx</v>
      </c>
      <c r="J674" s="5">
        <f>IFERROR(INDEX(About!$D$34:$D$222,MATCH(Sheet1!I674,About!$C$34:$C$222,0),1),0)</f>
        <v>1</v>
      </c>
      <c r="K674" s="6">
        <f t="shared" si="25"/>
        <v>1</v>
      </c>
    </row>
    <row r="675" spans="1:11" x14ac:dyDescent="0.25">
      <c r="A675" t="s">
        <v>0</v>
      </c>
      <c r="B675" t="s">
        <v>609</v>
      </c>
      <c r="C675" t="s">
        <v>818</v>
      </c>
      <c r="D675" t="s">
        <v>848</v>
      </c>
      <c r="H675" t="str">
        <f t="shared" si="24"/>
        <v>.csv</v>
      </c>
      <c r="I675" s="5" t="str">
        <f>IFERROR(IF(OR(C675="PERAC",C675="FoPITY"),INDEX(Customizations!$C$2:$C$41,MATCH(Sheet1!D675,Customizations!$B$2:$B$41,0),1),INDEX(About!C:C,MATCH(Sheet1!C675,About!B:B,0),1)),"")</f>
        <v>Max Perc of Each Fuel Usable by Veh Tech.xlsx</v>
      </c>
      <c r="J675" s="5">
        <f>IFERROR(INDEX(About!$D$34:$D$222,MATCH(Sheet1!I675,About!$C$34:$C$222,0),1),0)</f>
        <v>1</v>
      </c>
      <c r="K675" s="6">
        <f t="shared" si="25"/>
        <v>1</v>
      </c>
    </row>
    <row r="676" spans="1:11" x14ac:dyDescent="0.25">
      <c r="A676" t="s">
        <v>0</v>
      </c>
      <c r="B676" t="s">
        <v>609</v>
      </c>
      <c r="C676" t="s">
        <v>818</v>
      </c>
      <c r="D676" t="s">
        <v>849</v>
      </c>
      <c r="H676" t="str">
        <f t="shared" si="24"/>
        <v>.csv</v>
      </c>
      <c r="I676" s="5" t="str">
        <f>IFERROR(IF(OR(C676="PERAC",C676="FoPITY"),INDEX(Customizations!$C$2:$C$41,MATCH(Sheet1!D676,Customizations!$B$2:$B$41,0),1),INDEX(About!C:C,MATCH(Sheet1!C676,About!B:B,0),1)),"")</f>
        <v>Max Perc of Each Fuel Usable by Veh Tech.xlsx</v>
      </c>
      <c r="J676" s="5">
        <f>IFERROR(INDEX(About!$D$34:$D$222,MATCH(Sheet1!I676,About!$C$34:$C$222,0),1),0)</f>
        <v>1</v>
      </c>
      <c r="K676" s="6">
        <f t="shared" si="25"/>
        <v>1</v>
      </c>
    </row>
    <row r="677" spans="1:11" x14ac:dyDescent="0.25">
      <c r="A677" t="s">
        <v>0</v>
      </c>
      <c r="B677" t="s">
        <v>609</v>
      </c>
      <c r="C677" t="s">
        <v>818</v>
      </c>
      <c r="D677" t="s">
        <v>850</v>
      </c>
      <c r="H677" t="str">
        <f t="shared" si="24"/>
        <v>.csv</v>
      </c>
      <c r="I677" s="5" t="str">
        <f>IFERROR(IF(OR(C677="PERAC",C677="FoPITY"),INDEX(Customizations!$C$2:$C$41,MATCH(Sheet1!D677,Customizations!$B$2:$B$41,0),1),INDEX(About!C:C,MATCH(Sheet1!C677,About!B:B,0),1)),"")</f>
        <v>Max Perc of Each Fuel Usable by Veh Tech.xlsx</v>
      </c>
      <c r="J677" s="5">
        <f>IFERROR(INDEX(About!$D$34:$D$222,MATCH(Sheet1!I677,About!$C$34:$C$222,0),1),0)</f>
        <v>1</v>
      </c>
      <c r="K677" s="6">
        <f t="shared" si="25"/>
        <v>1</v>
      </c>
    </row>
    <row r="678" spans="1:11" x14ac:dyDescent="0.25">
      <c r="A678" t="s">
        <v>0</v>
      </c>
      <c r="B678" t="s">
        <v>609</v>
      </c>
      <c r="C678" t="s">
        <v>818</v>
      </c>
      <c r="D678" t="s">
        <v>851</v>
      </c>
      <c r="H678" t="str">
        <f t="shared" si="24"/>
        <v>.csv</v>
      </c>
      <c r="I678" s="5" t="str">
        <f>IFERROR(IF(OR(C678="PERAC",C678="FoPITY"),INDEX(Customizations!$C$2:$C$41,MATCH(Sheet1!D678,Customizations!$B$2:$B$41,0),1),INDEX(About!C:C,MATCH(Sheet1!C678,About!B:B,0),1)),"")</f>
        <v>Max Perc of Each Fuel Usable by Veh Tech.xlsx</v>
      </c>
      <c r="J678" s="5">
        <f>IFERROR(INDEX(About!$D$34:$D$222,MATCH(Sheet1!I678,About!$C$34:$C$222,0),1),0)</f>
        <v>1</v>
      </c>
      <c r="K678" s="6">
        <f t="shared" si="25"/>
        <v>1</v>
      </c>
    </row>
    <row r="679" spans="1:11" x14ac:dyDescent="0.25">
      <c r="A679" t="s">
        <v>0</v>
      </c>
      <c r="B679" t="s">
        <v>609</v>
      </c>
      <c r="C679" t="s">
        <v>818</v>
      </c>
      <c r="D679" t="s">
        <v>852</v>
      </c>
      <c r="H679" t="str">
        <f t="shared" si="24"/>
        <v>.csv</v>
      </c>
      <c r="I679" s="5" t="str">
        <f>IFERROR(IF(OR(C679="PERAC",C679="FoPITY"),INDEX(Customizations!$C$2:$C$41,MATCH(Sheet1!D679,Customizations!$B$2:$B$41,0),1),INDEX(About!C:C,MATCH(Sheet1!C679,About!B:B,0),1)),"")</f>
        <v>Max Perc of Each Fuel Usable by Veh Tech.xlsx</v>
      </c>
      <c r="J679" s="5">
        <f>IFERROR(INDEX(About!$D$34:$D$222,MATCH(Sheet1!I679,About!$C$34:$C$222,0),1),0)</f>
        <v>1</v>
      </c>
      <c r="K679" s="6">
        <f t="shared" si="25"/>
        <v>1</v>
      </c>
    </row>
    <row r="680" spans="1:11" x14ac:dyDescent="0.25">
      <c r="A680" t="s">
        <v>0</v>
      </c>
      <c r="B680" t="s">
        <v>609</v>
      </c>
      <c r="C680" t="s">
        <v>818</v>
      </c>
      <c r="D680" t="s">
        <v>853</v>
      </c>
      <c r="H680" t="str">
        <f t="shared" si="24"/>
        <v>.csv</v>
      </c>
      <c r="I680" s="5" t="str">
        <f>IFERROR(IF(OR(C680="PERAC",C680="FoPITY"),INDEX(Customizations!$C$2:$C$41,MATCH(Sheet1!D680,Customizations!$B$2:$B$41,0),1),INDEX(About!C:C,MATCH(Sheet1!C680,About!B:B,0),1)),"")</f>
        <v>Max Perc of Each Fuel Usable by Veh Tech.xlsx</v>
      </c>
      <c r="J680" s="5">
        <f>IFERROR(INDEX(About!$D$34:$D$222,MATCH(Sheet1!I680,About!$C$34:$C$222,0),1),0)</f>
        <v>1</v>
      </c>
      <c r="K680" s="6">
        <f t="shared" si="25"/>
        <v>1</v>
      </c>
    </row>
    <row r="681" spans="1:11" x14ac:dyDescent="0.25">
      <c r="A681" t="s">
        <v>0</v>
      </c>
      <c r="B681" t="s">
        <v>609</v>
      </c>
      <c r="C681" t="s">
        <v>818</v>
      </c>
      <c r="D681" t="s">
        <v>854</v>
      </c>
      <c r="H681" t="str">
        <f t="shared" si="24"/>
        <v>.csv</v>
      </c>
      <c r="I681" s="5" t="str">
        <f>IFERROR(IF(OR(C681="PERAC",C681="FoPITY"),INDEX(Customizations!$C$2:$C$41,MATCH(Sheet1!D681,Customizations!$B$2:$B$41,0),1),INDEX(About!C:C,MATCH(Sheet1!C681,About!B:B,0),1)),"")</f>
        <v>Max Perc of Each Fuel Usable by Veh Tech.xlsx</v>
      </c>
      <c r="J681" s="5">
        <f>IFERROR(INDEX(About!$D$34:$D$222,MATCH(Sheet1!I681,About!$C$34:$C$222,0),1),0)</f>
        <v>1</v>
      </c>
      <c r="K681" s="6">
        <f t="shared" si="25"/>
        <v>1</v>
      </c>
    </row>
    <row r="682" spans="1:11" x14ac:dyDescent="0.25">
      <c r="A682" t="s">
        <v>0</v>
      </c>
      <c r="B682" t="s">
        <v>609</v>
      </c>
      <c r="C682" t="s">
        <v>818</v>
      </c>
      <c r="D682" t="s">
        <v>855</v>
      </c>
      <c r="H682" t="str">
        <f t="shared" si="24"/>
        <v>.csv</v>
      </c>
      <c r="I682" s="5" t="str">
        <f>IFERROR(IF(OR(C682="PERAC",C682="FoPITY"),INDEX(Customizations!$C$2:$C$41,MATCH(Sheet1!D682,Customizations!$B$2:$B$41,0),1),INDEX(About!C:C,MATCH(Sheet1!C682,About!B:B,0),1)),"")</f>
        <v>Max Perc of Each Fuel Usable by Veh Tech.xlsx</v>
      </c>
      <c r="J682" s="5">
        <f>IFERROR(INDEX(About!$D$34:$D$222,MATCH(Sheet1!I682,About!$C$34:$C$222,0),1),0)</f>
        <v>1</v>
      </c>
      <c r="K682" s="6">
        <f t="shared" si="25"/>
        <v>1</v>
      </c>
    </row>
    <row r="683" spans="1:11" x14ac:dyDescent="0.25">
      <c r="A683" t="s">
        <v>0</v>
      </c>
      <c r="B683" t="s">
        <v>609</v>
      </c>
      <c r="C683" t="s">
        <v>818</v>
      </c>
      <c r="D683" t="s">
        <v>856</v>
      </c>
      <c r="H683" t="str">
        <f t="shared" si="24"/>
        <v>.csv</v>
      </c>
      <c r="I683" s="5" t="str">
        <f>IFERROR(IF(OR(C683="PERAC",C683="FoPITY"),INDEX(Customizations!$C$2:$C$41,MATCH(Sheet1!D683,Customizations!$B$2:$B$41,0),1),INDEX(About!C:C,MATCH(Sheet1!C683,About!B:B,0),1)),"")</f>
        <v>Max Perc of Each Fuel Usable by Veh Tech.xlsx</v>
      </c>
      <c r="J683" s="5">
        <f>IFERROR(INDEX(About!$D$34:$D$222,MATCH(Sheet1!I683,About!$C$34:$C$222,0),1),0)</f>
        <v>1</v>
      </c>
      <c r="K683" s="6">
        <f t="shared" si="25"/>
        <v>1</v>
      </c>
    </row>
    <row r="684" spans="1:11" x14ac:dyDescent="0.25">
      <c r="A684" t="s">
        <v>0</v>
      </c>
      <c r="B684" t="s">
        <v>609</v>
      </c>
      <c r="C684" t="s">
        <v>818</v>
      </c>
      <c r="D684" t="s">
        <v>857</v>
      </c>
      <c r="H684" t="str">
        <f t="shared" si="24"/>
        <v>.csv</v>
      </c>
      <c r="I684" s="5" t="str">
        <f>IFERROR(IF(OR(C684="PERAC",C684="FoPITY"),INDEX(Customizations!$C$2:$C$41,MATCH(Sheet1!D684,Customizations!$B$2:$B$41,0),1),INDEX(About!C:C,MATCH(Sheet1!C684,About!B:B,0),1)),"")</f>
        <v>Max Perc of Each Fuel Usable by Veh Tech.xlsx</v>
      </c>
      <c r="J684" s="5">
        <f>IFERROR(INDEX(About!$D$34:$D$222,MATCH(Sheet1!I684,About!$C$34:$C$222,0),1),0)</f>
        <v>1</v>
      </c>
      <c r="K684" s="6">
        <f t="shared" si="25"/>
        <v>1</v>
      </c>
    </row>
    <row r="685" spans="1:11" x14ac:dyDescent="0.25">
      <c r="A685" t="s">
        <v>0</v>
      </c>
      <c r="B685" t="s">
        <v>609</v>
      </c>
      <c r="C685" t="s">
        <v>818</v>
      </c>
      <c r="D685" t="s">
        <v>858</v>
      </c>
      <c r="H685" t="str">
        <f t="shared" si="24"/>
        <v>.csv</v>
      </c>
      <c r="I685" s="5" t="str">
        <f>IFERROR(IF(OR(C685="PERAC",C685="FoPITY"),INDEX(Customizations!$C$2:$C$41,MATCH(Sheet1!D685,Customizations!$B$2:$B$41,0),1),INDEX(About!C:C,MATCH(Sheet1!C685,About!B:B,0),1)),"")</f>
        <v>Max Perc of Each Fuel Usable by Veh Tech.xlsx</v>
      </c>
      <c r="J685" s="5">
        <f>IFERROR(INDEX(About!$D$34:$D$222,MATCH(Sheet1!I685,About!$C$34:$C$222,0),1),0)</f>
        <v>1</v>
      </c>
      <c r="K685" s="6">
        <f t="shared" si="25"/>
        <v>1</v>
      </c>
    </row>
    <row r="686" spans="1:11" x14ac:dyDescent="0.25">
      <c r="A686" t="s">
        <v>0</v>
      </c>
      <c r="B686" t="s">
        <v>609</v>
      </c>
      <c r="C686" t="s">
        <v>818</v>
      </c>
      <c r="D686" t="s">
        <v>859</v>
      </c>
      <c r="H686" t="str">
        <f t="shared" si="24"/>
        <v>.csv</v>
      </c>
      <c r="I686" s="5" t="str">
        <f>IFERROR(IF(OR(C686="PERAC",C686="FoPITY"),INDEX(Customizations!$C$2:$C$41,MATCH(Sheet1!D686,Customizations!$B$2:$B$41,0),1),INDEX(About!C:C,MATCH(Sheet1!C686,About!B:B,0),1)),"")</f>
        <v>Max Perc of Each Fuel Usable by Veh Tech.xlsx</v>
      </c>
      <c r="J686" s="5">
        <f>IFERROR(INDEX(About!$D$34:$D$222,MATCH(Sheet1!I686,About!$C$34:$C$222,0),1),0)</f>
        <v>1</v>
      </c>
      <c r="K686" s="6">
        <f t="shared" si="25"/>
        <v>1</v>
      </c>
    </row>
    <row r="687" spans="1:11" x14ac:dyDescent="0.25">
      <c r="A687" t="s">
        <v>0</v>
      </c>
      <c r="B687" t="s">
        <v>609</v>
      </c>
      <c r="C687" t="s">
        <v>818</v>
      </c>
      <c r="D687" t="s">
        <v>860</v>
      </c>
      <c r="H687" t="str">
        <f t="shared" si="24"/>
        <v>.csv</v>
      </c>
      <c r="I687" s="5" t="str">
        <f>IFERROR(IF(OR(C687="PERAC",C687="FoPITY"),INDEX(Customizations!$C$2:$C$41,MATCH(Sheet1!D687,Customizations!$B$2:$B$41,0),1),INDEX(About!C:C,MATCH(Sheet1!C687,About!B:B,0),1)),"")</f>
        <v>Max Perc of Each Fuel Usable by Veh Tech.xlsx</v>
      </c>
      <c r="J687" s="5">
        <f>IFERROR(INDEX(About!$D$34:$D$222,MATCH(Sheet1!I687,About!$C$34:$C$222,0),1),0)</f>
        <v>1</v>
      </c>
      <c r="K687" s="6">
        <f t="shared" si="25"/>
        <v>1</v>
      </c>
    </row>
    <row r="688" spans="1:11" x14ac:dyDescent="0.25">
      <c r="A688" t="s">
        <v>0</v>
      </c>
      <c r="B688" t="s">
        <v>609</v>
      </c>
      <c r="C688" t="s">
        <v>818</v>
      </c>
      <c r="D688" t="s">
        <v>861</v>
      </c>
      <c r="H688" t="str">
        <f t="shared" si="24"/>
        <v>.csv</v>
      </c>
      <c r="I688" s="5" t="str">
        <f>IFERROR(IF(OR(C688="PERAC",C688="FoPITY"),INDEX(Customizations!$C$2:$C$41,MATCH(Sheet1!D688,Customizations!$B$2:$B$41,0),1),INDEX(About!C:C,MATCH(Sheet1!C688,About!B:B,0),1)),"")</f>
        <v>Max Perc of Each Fuel Usable by Veh Tech.xlsx</v>
      </c>
      <c r="J688" s="5">
        <f>IFERROR(INDEX(About!$D$34:$D$222,MATCH(Sheet1!I688,About!$C$34:$C$222,0),1),0)</f>
        <v>1</v>
      </c>
      <c r="K688" s="6">
        <f t="shared" si="25"/>
        <v>1</v>
      </c>
    </row>
    <row r="689" spans="1:11" x14ac:dyDescent="0.25">
      <c r="A689" t="s">
        <v>0</v>
      </c>
      <c r="B689" t="s">
        <v>609</v>
      </c>
      <c r="C689" t="s">
        <v>818</v>
      </c>
      <c r="D689" t="s">
        <v>862</v>
      </c>
      <c r="H689" t="str">
        <f t="shared" si="24"/>
        <v>.csv</v>
      </c>
      <c r="I689" s="5" t="str">
        <f>IFERROR(IF(OR(C689="PERAC",C689="FoPITY"),INDEX(Customizations!$C$2:$C$41,MATCH(Sheet1!D689,Customizations!$B$2:$B$41,0),1),INDEX(About!C:C,MATCH(Sheet1!C689,About!B:B,0),1)),"")</f>
        <v>Max Perc of Each Fuel Usable by Veh Tech.xlsx</v>
      </c>
      <c r="J689" s="5">
        <f>IFERROR(INDEX(About!$D$34:$D$222,MATCH(Sheet1!I689,About!$C$34:$C$222,0),1),0)</f>
        <v>1</v>
      </c>
      <c r="K689" s="6">
        <f t="shared" si="25"/>
        <v>1</v>
      </c>
    </row>
    <row r="690" spans="1:11" x14ac:dyDescent="0.25">
      <c r="A690" t="s">
        <v>0</v>
      </c>
      <c r="B690" t="s">
        <v>609</v>
      </c>
      <c r="C690" t="s">
        <v>818</v>
      </c>
      <c r="D690" t="s">
        <v>863</v>
      </c>
      <c r="H690" t="str">
        <f t="shared" si="24"/>
        <v>.csv</v>
      </c>
      <c r="I690" s="5" t="str">
        <f>IFERROR(IF(OR(C690="PERAC",C690="FoPITY"),INDEX(Customizations!$C$2:$C$41,MATCH(Sheet1!D690,Customizations!$B$2:$B$41,0),1),INDEX(About!C:C,MATCH(Sheet1!C690,About!B:B,0),1)),"")</f>
        <v>Max Perc of Each Fuel Usable by Veh Tech.xlsx</v>
      </c>
      <c r="J690" s="5">
        <f>IFERROR(INDEX(About!$D$34:$D$222,MATCH(Sheet1!I690,About!$C$34:$C$222,0),1),0)</f>
        <v>1</v>
      </c>
      <c r="K690" s="6">
        <f t="shared" si="25"/>
        <v>1</v>
      </c>
    </row>
    <row r="691" spans="1:11" x14ac:dyDescent="0.25">
      <c r="A691" t="s">
        <v>0</v>
      </c>
      <c r="B691" t="s">
        <v>609</v>
      </c>
      <c r="C691" t="s">
        <v>818</v>
      </c>
      <c r="D691" t="s">
        <v>864</v>
      </c>
      <c r="H691" t="str">
        <f t="shared" si="24"/>
        <v>.csv</v>
      </c>
      <c r="I691" s="5" t="str">
        <f>IFERROR(IF(OR(C691="PERAC",C691="FoPITY"),INDEX(Customizations!$C$2:$C$41,MATCH(Sheet1!D691,Customizations!$B$2:$B$41,0),1),INDEX(About!C:C,MATCH(Sheet1!C691,About!B:B,0),1)),"")</f>
        <v>Max Perc of Each Fuel Usable by Veh Tech.xlsx</v>
      </c>
      <c r="J691" s="5">
        <f>IFERROR(INDEX(About!$D$34:$D$222,MATCH(Sheet1!I691,About!$C$34:$C$222,0),1),0)</f>
        <v>1</v>
      </c>
      <c r="K691" s="6">
        <f t="shared" si="25"/>
        <v>1</v>
      </c>
    </row>
    <row r="692" spans="1:11" x14ac:dyDescent="0.25">
      <c r="A692" t="s">
        <v>0</v>
      </c>
      <c r="B692" t="s">
        <v>609</v>
      </c>
      <c r="C692" t="s">
        <v>818</v>
      </c>
      <c r="D692" t="s">
        <v>865</v>
      </c>
      <c r="H692" t="str">
        <f t="shared" si="24"/>
        <v>.csv</v>
      </c>
      <c r="I692" s="5" t="str">
        <f>IFERROR(IF(OR(C692="PERAC",C692="FoPITY"),INDEX(Customizations!$C$2:$C$41,MATCH(Sheet1!D692,Customizations!$B$2:$B$41,0),1),INDEX(About!C:C,MATCH(Sheet1!C692,About!B:B,0),1)),"")</f>
        <v>Max Perc of Each Fuel Usable by Veh Tech.xlsx</v>
      </c>
      <c r="J692" s="5">
        <f>IFERROR(INDEX(About!$D$34:$D$222,MATCH(Sheet1!I692,About!$C$34:$C$222,0),1),0)</f>
        <v>1</v>
      </c>
      <c r="K692" s="6">
        <f t="shared" si="25"/>
        <v>1</v>
      </c>
    </row>
    <row r="693" spans="1:11" x14ac:dyDescent="0.25">
      <c r="A693" t="s">
        <v>0</v>
      </c>
      <c r="B693" t="s">
        <v>609</v>
      </c>
      <c r="C693" t="s">
        <v>818</v>
      </c>
      <c r="D693" t="s">
        <v>866</v>
      </c>
      <c r="H693" t="str">
        <f t="shared" si="24"/>
        <v>.csv</v>
      </c>
      <c r="I693" s="5" t="str">
        <f>IFERROR(IF(OR(C693="PERAC",C693="FoPITY"),INDEX(Customizations!$C$2:$C$41,MATCH(Sheet1!D693,Customizations!$B$2:$B$41,0),1),INDEX(About!C:C,MATCH(Sheet1!C693,About!B:B,0),1)),"")</f>
        <v>Max Perc of Each Fuel Usable by Veh Tech.xlsx</v>
      </c>
      <c r="J693" s="5">
        <f>IFERROR(INDEX(About!$D$34:$D$222,MATCH(Sheet1!I693,About!$C$34:$C$222,0),1),0)</f>
        <v>1</v>
      </c>
      <c r="K693" s="6">
        <f t="shared" si="25"/>
        <v>1</v>
      </c>
    </row>
    <row r="694" spans="1:11" x14ac:dyDescent="0.25">
      <c r="A694" t="s">
        <v>0</v>
      </c>
      <c r="B694" t="s">
        <v>609</v>
      </c>
      <c r="C694" t="s">
        <v>818</v>
      </c>
      <c r="D694" t="s">
        <v>867</v>
      </c>
      <c r="H694" t="str">
        <f t="shared" si="24"/>
        <v>.csv</v>
      </c>
      <c r="I694" s="5" t="str">
        <f>IFERROR(IF(OR(C694="PERAC",C694="FoPITY"),INDEX(Customizations!$C$2:$C$41,MATCH(Sheet1!D694,Customizations!$B$2:$B$41,0),1),INDEX(About!C:C,MATCH(Sheet1!C694,About!B:B,0),1)),"")</f>
        <v>Max Perc of Each Fuel Usable by Veh Tech.xlsx</v>
      </c>
      <c r="J694" s="5">
        <f>IFERROR(INDEX(About!$D$34:$D$222,MATCH(Sheet1!I694,About!$C$34:$C$222,0),1),0)</f>
        <v>1</v>
      </c>
      <c r="K694" s="6">
        <f t="shared" si="25"/>
        <v>1</v>
      </c>
    </row>
    <row r="695" spans="1:11" x14ac:dyDescent="0.25">
      <c r="A695" t="s">
        <v>0</v>
      </c>
      <c r="B695" t="s">
        <v>609</v>
      </c>
      <c r="C695" t="s">
        <v>818</v>
      </c>
      <c r="D695" t="s">
        <v>868</v>
      </c>
      <c r="H695" t="str">
        <f t="shared" si="24"/>
        <v>.csv</v>
      </c>
      <c r="I695" s="5" t="str">
        <f>IFERROR(IF(OR(C695="PERAC",C695="FoPITY"),INDEX(Customizations!$C$2:$C$41,MATCH(Sheet1!D695,Customizations!$B$2:$B$41,0),1),INDEX(About!C:C,MATCH(Sheet1!C695,About!B:B,0),1)),"")</f>
        <v>Max Perc of Each Fuel Usable by Veh Tech.xlsx</v>
      </c>
      <c r="J695" s="5">
        <f>IFERROR(INDEX(About!$D$34:$D$222,MATCH(Sheet1!I695,About!$C$34:$C$222,0),1),0)</f>
        <v>1</v>
      </c>
      <c r="K695" s="6">
        <f t="shared" si="25"/>
        <v>1</v>
      </c>
    </row>
    <row r="696" spans="1:11" x14ac:dyDescent="0.25">
      <c r="A696" t="s">
        <v>0</v>
      </c>
      <c r="B696" t="s">
        <v>609</v>
      </c>
      <c r="C696" t="s">
        <v>818</v>
      </c>
      <c r="D696" t="s">
        <v>869</v>
      </c>
      <c r="H696" t="str">
        <f t="shared" si="24"/>
        <v>.csv</v>
      </c>
      <c r="I696" s="5" t="str">
        <f>IFERROR(IF(OR(C696="PERAC",C696="FoPITY"),INDEX(Customizations!$C$2:$C$41,MATCH(Sheet1!D696,Customizations!$B$2:$B$41,0),1),INDEX(About!C:C,MATCH(Sheet1!C696,About!B:B,0),1)),"")</f>
        <v>Max Perc of Each Fuel Usable by Veh Tech.xlsx</v>
      </c>
      <c r="J696" s="5">
        <f>IFERROR(INDEX(About!$D$34:$D$222,MATCH(Sheet1!I696,About!$C$34:$C$222,0),1),0)</f>
        <v>1</v>
      </c>
      <c r="K696" s="6">
        <f t="shared" si="25"/>
        <v>1</v>
      </c>
    </row>
    <row r="697" spans="1:11" x14ac:dyDescent="0.25">
      <c r="A697" t="s">
        <v>0</v>
      </c>
      <c r="B697" t="s">
        <v>609</v>
      </c>
      <c r="C697" t="s">
        <v>818</v>
      </c>
      <c r="D697" t="s">
        <v>870</v>
      </c>
      <c r="H697" t="str">
        <f t="shared" si="24"/>
        <v>.csv</v>
      </c>
      <c r="I697" s="5" t="str">
        <f>IFERROR(IF(OR(C697="PERAC",C697="FoPITY"),INDEX(Customizations!$C$2:$C$41,MATCH(Sheet1!D697,Customizations!$B$2:$B$41,0),1),INDEX(About!C:C,MATCH(Sheet1!C697,About!B:B,0),1)),"")</f>
        <v>Max Perc of Each Fuel Usable by Veh Tech.xlsx</v>
      </c>
      <c r="J697" s="5">
        <f>IFERROR(INDEX(About!$D$34:$D$222,MATCH(Sheet1!I697,About!$C$34:$C$222,0),1),0)</f>
        <v>1</v>
      </c>
      <c r="K697" s="6">
        <f t="shared" si="25"/>
        <v>1</v>
      </c>
    </row>
    <row r="698" spans="1:11" x14ac:dyDescent="0.25">
      <c r="A698" t="s">
        <v>0</v>
      </c>
      <c r="B698" t="s">
        <v>609</v>
      </c>
      <c r="C698" t="s">
        <v>818</v>
      </c>
      <c r="D698" t="s">
        <v>871</v>
      </c>
      <c r="H698" t="str">
        <f t="shared" si="24"/>
        <v>.csv</v>
      </c>
      <c r="I698" s="5" t="str">
        <f>IFERROR(IF(OR(C698="PERAC",C698="FoPITY"),INDEX(Customizations!$C$2:$C$41,MATCH(Sheet1!D698,Customizations!$B$2:$B$41,0),1),INDEX(About!C:C,MATCH(Sheet1!C698,About!B:B,0),1)),"")</f>
        <v>Max Perc of Each Fuel Usable by Veh Tech.xlsx</v>
      </c>
      <c r="J698" s="5">
        <f>IFERROR(INDEX(About!$D$34:$D$222,MATCH(Sheet1!I698,About!$C$34:$C$222,0),1),0)</f>
        <v>1</v>
      </c>
      <c r="K698" s="6">
        <f t="shared" si="25"/>
        <v>1</v>
      </c>
    </row>
    <row r="699" spans="1:11" x14ac:dyDescent="0.25">
      <c r="A699" t="s">
        <v>0</v>
      </c>
      <c r="B699" t="s">
        <v>609</v>
      </c>
      <c r="C699" t="s">
        <v>818</v>
      </c>
      <c r="D699" t="s">
        <v>872</v>
      </c>
      <c r="H699" t="str">
        <f t="shared" si="24"/>
        <v>.csv</v>
      </c>
      <c r="I699" s="5" t="str">
        <f>IFERROR(IF(OR(C699="PERAC",C699="FoPITY"),INDEX(Customizations!$C$2:$C$41,MATCH(Sheet1!D699,Customizations!$B$2:$B$41,0),1),INDEX(About!C:C,MATCH(Sheet1!C699,About!B:B,0),1)),"")</f>
        <v>Max Perc of Each Fuel Usable by Veh Tech.xlsx</v>
      </c>
      <c r="J699" s="5">
        <f>IFERROR(INDEX(About!$D$34:$D$222,MATCH(Sheet1!I699,About!$C$34:$C$222,0),1),0)</f>
        <v>1</v>
      </c>
      <c r="K699" s="6">
        <f t="shared" si="25"/>
        <v>1</v>
      </c>
    </row>
    <row r="700" spans="1:11" x14ac:dyDescent="0.25">
      <c r="A700" t="s">
        <v>0</v>
      </c>
      <c r="B700" t="s">
        <v>609</v>
      </c>
      <c r="C700" t="s">
        <v>818</v>
      </c>
      <c r="D700" t="s">
        <v>873</v>
      </c>
      <c r="H700" t="str">
        <f t="shared" si="24"/>
        <v>.csv</v>
      </c>
      <c r="I700" s="5" t="str">
        <f>IFERROR(IF(OR(C700="PERAC",C700="FoPITY"),INDEX(Customizations!$C$2:$C$41,MATCH(Sheet1!D700,Customizations!$B$2:$B$41,0),1),INDEX(About!C:C,MATCH(Sheet1!C700,About!B:B,0),1)),"")</f>
        <v>Max Perc of Each Fuel Usable by Veh Tech.xlsx</v>
      </c>
      <c r="J700" s="5">
        <f>IFERROR(INDEX(About!$D$34:$D$222,MATCH(Sheet1!I700,About!$C$34:$C$222,0),1),0)</f>
        <v>1</v>
      </c>
      <c r="K700" s="6">
        <f t="shared" si="25"/>
        <v>1</v>
      </c>
    </row>
    <row r="701" spans="1:11" x14ac:dyDescent="0.25">
      <c r="A701" t="s">
        <v>0</v>
      </c>
      <c r="B701" t="s">
        <v>609</v>
      </c>
      <c r="C701" t="s">
        <v>818</v>
      </c>
      <c r="D701" t="s">
        <v>874</v>
      </c>
      <c r="H701" t="str">
        <f t="shared" si="24"/>
        <v>.csv</v>
      </c>
      <c r="I701" s="5" t="str">
        <f>IFERROR(IF(OR(C701="PERAC",C701="FoPITY"),INDEX(Customizations!$C$2:$C$41,MATCH(Sheet1!D701,Customizations!$B$2:$B$41,0),1),INDEX(About!C:C,MATCH(Sheet1!C701,About!B:B,0),1)),"")</f>
        <v>Max Perc of Each Fuel Usable by Veh Tech.xlsx</v>
      </c>
      <c r="J701" s="5">
        <f>IFERROR(INDEX(About!$D$34:$D$222,MATCH(Sheet1!I701,About!$C$34:$C$222,0),1),0)</f>
        <v>1</v>
      </c>
      <c r="K701" s="6">
        <f t="shared" si="25"/>
        <v>1</v>
      </c>
    </row>
    <row r="702" spans="1:11" x14ac:dyDescent="0.25">
      <c r="A702" t="s">
        <v>0</v>
      </c>
      <c r="B702" t="s">
        <v>609</v>
      </c>
      <c r="C702" t="s">
        <v>818</v>
      </c>
      <c r="D702" t="s">
        <v>875</v>
      </c>
      <c r="H702" t="str">
        <f t="shared" si="24"/>
        <v>.csv</v>
      </c>
      <c r="I702" s="5" t="str">
        <f>IFERROR(IF(OR(C702="PERAC",C702="FoPITY"),INDEX(Customizations!$C$2:$C$41,MATCH(Sheet1!D702,Customizations!$B$2:$B$41,0),1),INDEX(About!C:C,MATCH(Sheet1!C702,About!B:B,0),1)),"")</f>
        <v>Max Perc of Each Fuel Usable by Veh Tech.xlsx</v>
      </c>
      <c r="J702" s="5">
        <f>IFERROR(INDEX(About!$D$34:$D$222,MATCH(Sheet1!I702,About!$C$34:$C$222,0),1),0)</f>
        <v>1</v>
      </c>
      <c r="K702" s="6">
        <f t="shared" si="25"/>
        <v>1</v>
      </c>
    </row>
    <row r="703" spans="1:11" x14ac:dyDescent="0.25">
      <c r="A703" t="s">
        <v>0</v>
      </c>
      <c r="B703" t="s">
        <v>609</v>
      </c>
      <c r="C703" t="s">
        <v>818</v>
      </c>
      <c r="D703" t="s">
        <v>876</v>
      </c>
      <c r="H703" t="str">
        <f t="shared" si="24"/>
        <v>.csv</v>
      </c>
      <c r="I703" s="5" t="str">
        <f>IFERROR(IF(OR(C703="PERAC",C703="FoPITY"),INDEX(Customizations!$C$2:$C$41,MATCH(Sheet1!D703,Customizations!$B$2:$B$41,0),1),INDEX(About!C:C,MATCH(Sheet1!C703,About!B:B,0),1)),"")</f>
        <v>Max Perc of Each Fuel Usable by Veh Tech.xlsx</v>
      </c>
      <c r="J703" s="5">
        <f>IFERROR(INDEX(About!$D$34:$D$222,MATCH(Sheet1!I703,About!$C$34:$C$222,0),1),0)</f>
        <v>1</v>
      </c>
      <c r="K703" s="6">
        <f t="shared" si="25"/>
        <v>1</v>
      </c>
    </row>
    <row r="704" spans="1:11" x14ac:dyDescent="0.25">
      <c r="A704" t="s">
        <v>0</v>
      </c>
      <c r="B704" t="s">
        <v>609</v>
      </c>
      <c r="C704" t="s">
        <v>818</v>
      </c>
      <c r="D704" t="s">
        <v>877</v>
      </c>
      <c r="H704" t="str">
        <f t="shared" si="24"/>
        <v>.csv</v>
      </c>
      <c r="I704" s="5" t="str">
        <f>IFERROR(IF(OR(C704="PERAC",C704="FoPITY"),INDEX(Customizations!$C$2:$C$41,MATCH(Sheet1!D704,Customizations!$B$2:$B$41,0),1),INDEX(About!C:C,MATCH(Sheet1!C704,About!B:B,0),1)),"")</f>
        <v>Max Perc of Each Fuel Usable by Veh Tech.xlsx</v>
      </c>
      <c r="J704" s="5">
        <f>IFERROR(INDEX(About!$D$34:$D$222,MATCH(Sheet1!I704,About!$C$34:$C$222,0),1),0)</f>
        <v>1</v>
      </c>
      <c r="K704" s="6">
        <f t="shared" si="25"/>
        <v>1</v>
      </c>
    </row>
    <row r="705" spans="1:11" x14ac:dyDescent="0.25">
      <c r="A705" t="s">
        <v>0</v>
      </c>
      <c r="B705" t="s">
        <v>609</v>
      </c>
      <c r="C705" t="s">
        <v>818</v>
      </c>
      <c r="D705" t="s">
        <v>878</v>
      </c>
      <c r="H705" t="str">
        <f t="shared" si="24"/>
        <v>.csv</v>
      </c>
      <c r="I705" s="5" t="str">
        <f>IFERROR(IF(OR(C705="PERAC",C705="FoPITY"),INDEX(Customizations!$C$2:$C$41,MATCH(Sheet1!D705,Customizations!$B$2:$B$41,0),1),INDEX(About!C:C,MATCH(Sheet1!C705,About!B:B,0),1)),"")</f>
        <v>Max Perc of Each Fuel Usable by Veh Tech.xlsx</v>
      </c>
      <c r="J705" s="5">
        <f>IFERROR(INDEX(About!$D$34:$D$222,MATCH(Sheet1!I705,About!$C$34:$C$222,0),1),0)</f>
        <v>1</v>
      </c>
      <c r="K705" s="6">
        <f t="shared" si="25"/>
        <v>1</v>
      </c>
    </row>
    <row r="706" spans="1:11" x14ac:dyDescent="0.25">
      <c r="A706" t="s">
        <v>0</v>
      </c>
      <c r="B706" t="s">
        <v>609</v>
      </c>
      <c r="C706" t="s">
        <v>818</v>
      </c>
      <c r="D706" t="s">
        <v>879</v>
      </c>
      <c r="H706" t="str">
        <f t="shared" si="24"/>
        <v>.csv</v>
      </c>
      <c r="I706" s="5" t="str">
        <f>IFERROR(IF(OR(C706="PERAC",C706="FoPITY"),INDEX(Customizations!$C$2:$C$41,MATCH(Sheet1!D706,Customizations!$B$2:$B$41,0),1),INDEX(About!C:C,MATCH(Sheet1!C706,About!B:B,0),1)),"")</f>
        <v>Max Perc of Each Fuel Usable by Veh Tech.xlsx</v>
      </c>
      <c r="J706" s="5">
        <f>IFERROR(INDEX(About!$D$34:$D$222,MATCH(Sheet1!I706,About!$C$34:$C$222,0),1),0)</f>
        <v>1</v>
      </c>
      <c r="K706" s="6">
        <f t="shared" si="25"/>
        <v>1</v>
      </c>
    </row>
    <row r="707" spans="1:11" x14ac:dyDescent="0.25">
      <c r="A707" t="s">
        <v>0</v>
      </c>
      <c r="B707" t="s">
        <v>609</v>
      </c>
      <c r="C707" t="s">
        <v>818</v>
      </c>
      <c r="D707" t="s">
        <v>880</v>
      </c>
      <c r="H707" t="str">
        <f t="shared" si="24"/>
        <v>.csv</v>
      </c>
      <c r="I707" s="5" t="str">
        <f>IFERROR(IF(OR(C707="PERAC",C707="FoPITY"),INDEX(Customizations!$C$2:$C$41,MATCH(Sheet1!D707,Customizations!$B$2:$B$41,0),1),INDEX(About!C:C,MATCH(Sheet1!C707,About!B:B,0),1)),"")</f>
        <v>Max Perc of Each Fuel Usable by Veh Tech.xlsx</v>
      </c>
      <c r="J707" s="5">
        <f>IFERROR(INDEX(About!$D$34:$D$222,MATCH(Sheet1!I707,About!$C$34:$C$222,0),1),0)</f>
        <v>1</v>
      </c>
      <c r="K707" s="6">
        <f t="shared" si="25"/>
        <v>1</v>
      </c>
    </row>
    <row r="708" spans="1:11" x14ac:dyDescent="0.25">
      <c r="A708" t="s">
        <v>0</v>
      </c>
      <c r="B708" t="s">
        <v>609</v>
      </c>
      <c r="C708" t="s">
        <v>818</v>
      </c>
      <c r="D708" t="s">
        <v>881</v>
      </c>
      <c r="H708" t="str">
        <f t="shared" si="24"/>
        <v>.csv</v>
      </c>
      <c r="I708" s="5" t="str">
        <f>IFERROR(IF(OR(C708="PERAC",C708="FoPITY"),INDEX(Customizations!$C$2:$C$41,MATCH(Sheet1!D708,Customizations!$B$2:$B$41,0),1),INDEX(About!C:C,MATCH(Sheet1!C708,About!B:B,0),1)),"")</f>
        <v>Max Perc of Each Fuel Usable by Veh Tech.xlsx</v>
      </c>
      <c r="J708" s="5">
        <f>IFERROR(INDEX(About!$D$34:$D$222,MATCH(Sheet1!I708,About!$C$34:$C$222,0),1),0)</f>
        <v>1</v>
      </c>
      <c r="K708" s="6">
        <f t="shared" si="25"/>
        <v>1</v>
      </c>
    </row>
    <row r="709" spans="1:11" x14ac:dyDescent="0.25">
      <c r="A709" t="s">
        <v>0</v>
      </c>
      <c r="B709" t="s">
        <v>609</v>
      </c>
      <c r="C709" t="s">
        <v>818</v>
      </c>
      <c r="D709" t="s">
        <v>882</v>
      </c>
      <c r="H709" t="str">
        <f t="shared" si="24"/>
        <v>.csv</v>
      </c>
      <c r="I709" s="5" t="str">
        <f>IFERROR(IF(OR(C709="PERAC",C709="FoPITY"),INDEX(Customizations!$C$2:$C$41,MATCH(Sheet1!D709,Customizations!$B$2:$B$41,0),1),INDEX(About!C:C,MATCH(Sheet1!C709,About!B:B,0),1)),"")</f>
        <v>Max Perc of Each Fuel Usable by Veh Tech.xlsx</v>
      </c>
      <c r="J709" s="5">
        <f>IFERROR(INDEX(About!$D$34:$D$222,MATCH(Sheet1!I709,About!$C$34:$C$222,0),1),0)</f>
        <v>1</v>
      </c>
      <c r="K709" s="6">
        <f t="shared" si="25"/>
        <v>1</v>
      </c>
    </row>
    <row r="710" spans="1:11" x14ac:dyDescent="0.25">
      <c r="A710" t="s">
        <v>0</v>
      </c>
      <c r="B710" t="s">
        <v>609</v>
      </c>
      <c r="C710" t="s">
        <v>818</v>
      </c>
      <c r="D710" t="s">
        <v>883</v>
      </c>
      <c r="H710" t="str">
        <f t="shared" si="24"/>
        <v>.csv</v>
      </c>
      <c r="I710" s="5" t="str">
        <f>IFERROR(IF(OR(C710="PERAC",C710="FoPITY"),INDEX(Customizations!$C$2:$C$41,MATCH(Sheet1!D710,Customizations!$B$2:$B$41,0),1),INDEX(About!C:C,MATCH(Sheet1!C710,About!B:B,0),1)),"")</f>
        <v>Max Perc of Each Fuel Usable by Veh Tech.xlsx</v>
      </c>
      <c r="J710" s="5">
        <f>IFERROR(INDEX(About!$D$34:$D$222,MATCH(Sheet1!I710,About!$C$34:$C$222,0),1),0)</f>
        <v>1</v>
      </c>
      <c r="K710" s="6">
        <f t="shared" si="25"/>
        <v>1</v>
      </c>
    </row>
    <row r="711" spans="1:11" x14ac:dyDescent="0.25">
      <c r="A711" t="s">
        <v>0</v>
      </c>
      <c r="B711" t="s">
        <v>609</v>
      </c>
      <c r="C711" t="s">
        <v>818</v>
      </c>
      <c r="D711" t="s">
        <v>884</v>
      </c>
      <c r="H711" t="str">
        <f t="shared" ref="H711:H774" si="26">RIGHT(D711,"4")</f>
        <v>.csv</v>
      </c>
      <c r="I711" s="5" t="str">
        <f>IFERROR(IF(OR(C711="PERAC",C711="FoPITY"),INDEX(Customizations!$C$2:$C$41,MATCH(Sheet1!D711,Customizations!$B$2:$B$41,0),1),INDEX(About!C:C,MATCH(Sheet1!C711,About!B:B,0),1)),"")</f>
        <v>Max Perc of Each Fuel Usable by Veh Tech.xlsx</v>
      </c>
      <c r="J711" s="5">
        <f>IFERROR(INDEX(About!$D$34:$D$222,MATCH(Sheet1!I711,About!$C$34:$C$222,0),1),0)</f>
        <v>1</v>
      </c>
      <c r="K711" s="6">
        <f t="shared" ref="K711:K754" si="27">IF(H711=".csv",1,0)*J711</f>
        <v>1</v>
      </c>
    </row>
    <row r="712" spans="1:11" x14ac:dyDescent="0.25">
      <c r="A712" t="s">
        <v>0</v>
      </c>
      <c r="B712" t="s">
        <v>609</v>
      </c>
      <c r="C712" t="s">
        <v>818</v>
      </c>
      <c r="D712" t="s">
        <v>885</v>
      </c>
      <c r="H712" t="str">
        <f t="shared" si="26"/>
        <v>.csv</v>
      </c>
      <c r="I712" s="5" t="str">
        <f>IFERROR(IF(OR(C712="PERAC",C712="FoPITY"),INDEX(Customizations!$C$2:$C$41,MATCH(Sheet1!D712,Customizations!$B$2:$B$41,0),1),INDEX(About!C:C,MATCH(Sheet1!C712,About!B:B,0),1)),"")</f>
        <v>Max Perc of Each Fuel Usable by Veh Tech.xlsx</v>
      </c>
      <c r="J712" s="5">
        <f>IFERROR(INDEX(About!$D$34:$D$222,MATCH(Sheet1!I712,About!$C$34:$C$222,0),1),0)</f>
        <v>1</v>
      </c>
      <c r="K712" s="6">
        <f t="shared" si="27"/>
        <v>1</v>
      </c>
    </row>
    <row r="713" spans="1:11" x14ac:dyDescent="0.25">
      <c r="A713" t="s">
        <v>0</v>
      </c>
      <c r="B713" t="s">
        <v>609</v>
      </c>
      <c r="C713" t="s">
        <v>818</v>
      </c>
      <c r="D713" t="s">
        <v>886</v>
      </c>
      <c r="H713" t="str">
        <f t="shared" si="26"/>
        <v>.csv</v>
      </c>
      <c r="I713" s="5" t="str">
        <f>IFERROR(IF(OR(C713="PERAC",C713="FoPITY"),INDEX(Customizations!$C$2:$C$41,MATCH(Sheet1!D713,Customizations!$B$2:$B$41,0),1),INDEX(About!C:C,MATCH(Sheet1!C713,About!B:B,0),1)),"")</f>
        <v>Max Perc of Each Fuel Usable by Veh Tech.xlsx</v>
      </c>
      <c r="J713" s="5">
        <f>IFERROR(INDEX(About!$D$34:$D$222,MATCH(Sheet1!I713,About!$C$34:$C$222,0),1),0)</f>
        <v>1</v>
      </c>
      <c r="K713" s="6">
        <f t="shared" si="27"/>
        <v>1</v>
      </c>
    </row>
    <row r="714" spans="1:11" x14ac:dyDescent="0.25">
      <c r="A714" t="s">
        <v>0</v>
      </c>
      <c r="B714" t="s">
        <v>609</v>
      </c>
      <c r="C714" t="s">
        <v>818</v>
      </c>
      <c r="D714" t="s">
        <v>887</v>
      </c>
      <c r="H714" t="str">
        <f t="shared" si="26"/>
        <v>.csv</v>
      </c>
      <c r="I714" s="5" t="str">
        <f>IFERROR(IF(OR(C714="PERAC",C714="FoPITY"),INDEX(Customizations!$C$2:$C$41,MATCH(Sheet1!D714,Customizations!$B$2:$B$41,0),1),INDEX(About!C:C,MATCH(Sheet1!C714,About!B:B,0),1)),"")</f>
        <v>Max Perc of Each Fuel Usable by Veh Tech.xlsx</v>
      </c>
      <c r="J714" s="5">
        <f>IFERROR(INDEX(About!$D$34:$D$222,MATCH(Sheet1!I714,About!$C$34:$C$222,0),1),0)</f>
        <v>1</v>
      </c>
      <c r="K714" s="6">
        <f t="shared" si="27"/>
        <v>1</v>
      </c>
    </row>
    <row r="715" spans="1:11" x14ac:dyDescent="0.25">
      <c r="A715" t="s">
        <v>0</v>
      </c>
      <c r="B715" t="s">
        <v>609</v>
      </c>
      <c r="C715" t="s">
        <v>818</v>
      </c>
      <c r="D715" t="s">
        <v>888</v>
      </c>
      <c r="H715" t="str">
        <f t="shared" si="26"/>
        <v>.csv</v>
      </c>
      <c r="I715" s="5" t="str">
        <f>IFERROR(IF(OR(C715="PERAC",C715="FoPITY"),INDEX(Customizations!$C$2:$C$41,MATCH(Sheet1!D715,Customizations!$B$2:$B$41,0),1),INDEX(About!C:C,MATCH(Sheet1!C715,About!B:B,0),1)),"")</f>
        <v>Max Perc of Each Fuel Usable by Veh Tech.xlsx</v>
      </c>
      <c r="J715" s="5">
        <f>IFERROR(INDEX(About!$D$34:$D$222,MATCH(Sheet1!I715,About!$C$34:$C$222,0),1),0)</f>
        <v>1</v>
      </c>
      <c r="K715" s="6">
        <f t="shared" si="27"/>
        <v>1</v>
      </c>
    </row>
    <row r="716" spans="1:11" x14ac:dyDescent="0.25">
      <c r="A716" t="s">
        <v>0</v>
      </c>
      <c r="B716" t="s">
        <v>609</v>
      </c>
      <c r="C716" t="s">
        <v>818</v>
      </c>
      <c r="D716" t="s">
        <v>889</v>
      </c>
      <c r="H716" t="str">
        <f t="shared" si="26"/>
        <v>.csv</v>
      </c>
      <c r="I716" s="5" t="str">
        <f>IFERROR(IF(OR(C716="PERAC",C716="FoPITY"),INDEX(Customizations!$C$2:$C$41,MATCH(Sheet1!D716,Customizations!$B$2:$B$41,0),1),INDEX(About!C:C,MATCH(Sheet1!C716,About!B:B,0),1)),"")</f>
        <v>Max Perc of Each Fuel Usable by Veh Tech.xlsx</v>
      </c>
      <c r="J716" s="5">
        <f>IFERROR(INDEX(About!$D$34:$D$222,MATCH(Sheet1!I716,About!$C$34:$C$222,0),1),0)</f>
        <v>1</v>
      </c>
      <c r="K716" s="6">
        <f t="shared" si="27"/>
        <v>1</v>
      </c>
    </row>
    <row r="717" spans="1:11" x14ac:dyDescent="0.25">
      <c r="A717" t="s">
        <v>0</v>
      </c>
      <c r="B717" t="s">
        <v>609</v>
      </c>
      <c r="C717" t="s">
        <v>818</v>
      </c>
      <c r="D717" t="s">
        <v>890</v>
      </c>
      <c r="H717" t="str">
        <f t="shared" si="26"/>
        <v>.csv</v>
      </c>
      <c r="I717" s="5" t="str">
        <f>IFERROR(IF(OR(C717="PERAC",C717="FoPITY"),INDEX(Customizations!$C$2:$C$41,MATCH(Sheet1!D717,Customizations!$B$2:$B$41,0),1),INDEX(About!C:C,MATCH(Sheet1!C717,About!B:B,0),1)),"")</f>
        <v>Max Perc of Each Fuel Usable by Veh Tech.xlsx</v>
      </c>
      <c r="J717" s="5">
        <f>IFERROR(INDEX(About!$D$34:$D$222,MATCH(Sheet1!I717,About!$C$34:$C$222,0),1),0)</f>
        <v>1</v>
      </c>
      <c r="K717" s="6">
        <f t="shared" si="27"/>
        <v>1</v>
      </c>
    </row>
    <row r="718" spans="1:11" x14ac:dyDescent="0.25">
      <c r="A718" t="s">
        <v>0</v>
      </c>
      <c r="B718" t="s">
        <v>609</v>
      </c>
      <c r="C718" t="s">
        <v>818</v>
      </c>
      <c r="D718" t="s">
        <v>891</v>
      </c>
      <c r="H718" t="str">
        <f t="shared" si="26"/>
        <v>.csv</v>
      </c>
      <c r="I718" s="5" t="str">
        <f>IFERROR(IF(OR(C718="PERAC",C718="FoPITY"),INDEX(Customizations!$C$2:$C$41,MATCH(Sheet1!D718,Customizations!$B$2:$B$41,0),1),INDEX(About!C:C,MATCH(Sheet1!C718,About!B:B,0),1)),"")</f>
        <v>Max Perc of Each Fuel Usable by Veh Tech.xlsx</v>
      </c>
      <c r="J718" s="5">
        <f>IFERROR(INDEX(About!$D$34:$D$222,MATCH(Sheet1!I718,About!$C$34:$C$222,0),1),0)</f>
        <v>1</v>
      </c>
      <c r="K718" s="6">
        <f t="shared" si="27"/>
        <v>1</v>
      </c>
    </row>
    <row r="719" spans="1:11" x14ac:dyDescent="0.25">
      <c r="A719" t="s">
        <v>0</v>
      </c>
      <c r="B719" t="s">
        <v>609</v>
      </c>
      <c r="C719" t="s">
        <v>892</v>
      </c>
      <c r="D719" t="s">
        <v>893</v>
      </c>
      <c r="H719" t="str">
        <f t="shared" si="26"/>
        <v>.csv</v>
      </c>
      <c r="I719" s="5" t="str">
        <f>IFERROR(IF(OR(C719="PERAC",C719="FoPITY"),INDEX(Customizations!$C$2:$C$41,MATCH(Sheet1!D719,Customizations!$B$2:$B$41,0),1),INDEX(About!C:C,MATCH(Sheet1!C719,About!B:B,0),1)),"")</f>
        <v>Population.xlsx</v>
      </c>
      <c r="J719" s="5">
        <f>IFERROR(INDEX(About!$D$34:$D$222,MATCH(Sheet1!I719,About!$C$34:$C$222,0),1),0)</f>
        <v>1</v>
      </c>
      <c r="K719" s="6">
        <f t="shared" si="27"/>
        <v>1</v>
      </c>
    </row>
    <row r="720" spans="1:11" x14ac:dyDescent="0.25">
      <c r="A720" t="s">
        <v>0</v>
      </c>
      <c r="B720" t="s">
        <v>609</v>
      </c>
      <c r="C720" t="s">
        <v>892</v>
      </c>
      <c r="D720" t="s">
        <v>894</v>
      </c>
      <c r="H720" t="str">
        <f t="shared" si="26"/>
        <v>xlsx</v>
      </c>
      <c r="I720" s="5" t="str">
        <f>IFERROR(IF(OR(C720="PERAC",C720="FoPITY"),INDEX(Customizations!$C$2:$C$41,MATCH(Sheet1!D720,Customizations!$B$2:$B$41,0),1),INDEX(About!C:C,MATCH(Sheet1!C720,About!B:B,0),1)),"")</f>
        <v>Population.xlsx</v>
      </c>
      <c r="J720" s="5">
        <f>IFERROR(INDEX(About!$D$34:$D$222,MATCH(Sheet1!I720,About!$C$34:$C$222,0),1),0)</f>
        <v>1</v>
      </c>
      <c r="K720" s="6">
        <f t="shared" si="27"/>
        <v>0</v>
      </c>
    </row>
    <row r="721" spans="1:11" x14ac:dyDescent="0.25">
      <c r="A721" t="s">
        <v>0</v>
      </c>
      <c r="B721" t="s">
        <v>609</v>
      </c>
      <c r="C721" t="s">
        <v>895</v>
      </c>
      <c r="D721" t="s">
        <v>896</v>
      </c>
      <c r="H721" t="str">
        <f t="shared" si="26"/>
        <v>.csv</v>
      </c>
      <c r="I721" s="5" t="str">
        <f>IFERROR(IF(OR(C721="PERAC",C721="FoPITY"),INDEX(Customizations!$C$2:$C$41,MATCH(Sheet1!D721,Customizations!$B$2:$B$41,0),1),INDEX(About!C:C,MATCH(Sheet1!C721,About!B:B,0),1)),"")</f>
        <v>Perc Chng in Cargo Dist Transported due to TDM.xlsx</v>
      </c>
      <c r="J721" s="5">
        <f>IFERROR(INDEX(About!$D$34:$D$222,MATCH(Sheet1!I721,About!$C$34:$C$222,0),1),0)</f>
        <v>1</v>
      </c>
      <c r="K721" s="6">
        <f t="shared" si="27"/>
        <v>1</v>
      </c>
    </row>
    <row r="722" spans="1:11" x14ac:dyDescent="0.25">
      <c r="A722" t="s">
        <v>0</v>
      </c>
      <c r="B722" t="s">
        <v>609</v>
      </c>
      <c r="C722" t="s">
        <v>895</v>
      </c>
      <c r="D722" t="s">
        <v>897</v>
      </c>
      <c r="H722" t="str">
        <f t="shared" si="26"/>
        <v>xlsx</v>
      </c>
      <c r="I722" s="5" t="str">
        <f>IFERROR(IF(OR(C722="PERAC",C722="FoPITY"),INDEX(Customizations!$C$2:$C$41,MATCH(Sheet1!D722,Customizations!$B$2:$B$41,0),1),INDEX(About!C:C,MATCH(Sheet1!C722,About!B:B,0),1)),"")</f>
        <v>Perc Chng in Cargo Dist Transported due to TDM.xlsx</v>
      </c>
      <c r="J722" s="5">
        <f>IFERROR(INDEX(About!$D$34:$D$222,MATCH(Sheet1!I722,About!$C$34:$C$222,0),1),0)</f>
        <v>1</v>
      </c>
      <c r="K722" s="6">
        <f t="shared" si="27"/>
        <v>0</v>
      </c>
    </row>
    <row r="723" spans="1:11" x14ac:dyDescent="0.25">
      <c r="A723" t="s">
        <v>0</v>
      </c>
      <c r="B723" t="s">
        <v>609</v>
      </c>
      <c r="C723" t="s">
        <v>898</v>
      </c>
      <c r="D723" t="s">
        <v>899</v>
      </c>
      <c r="H723" t="str">
        <f t="shared" si="26"/>
        <v>xlsx</v>
      </c>
      <c r="I723" s="5" t="str">
        <f>IFERROR(IF(OR(C723="PERAC",C723="FoPITY"),INDEX(Customizations!$C$2:$C$41,MATCH(Sheet1!D723,Customizations!$B$2:$B$41,0),1),INDEX(About!C:C,MATCH(Sheet1!C723,About!B:B,0),1)),"")</f>
        <v>Perc Trans Fuel Use Reduction for Elec.xlsx</v>
      </c>
      <c r="J723" s="5">
        <f>IFERROR(INDEX(About!$D$34:$D$222,MATCH(Sheet1!I723,About!$C$34:$C$222,0),1),0)</f>
        <v>1</v>
      </c>
      <c r="K723" s="6">
        <f t="shared" si="27"/>
        <v>0</v>
      </c>
    </row>
    <row r="724" spans="1:11" x14ac:dyDescent="0.25">
      <c r="A724" t="s">
        <v>0</v>
      </c>
      <c r="B724" t="s">
        <v>609</v>
      </c>
      <c r="C724" t="s">
        <v>898</v>
      </c>
      <c r="D724" t="s">
        <v>900</v>
      </c>
      <c r="H724" t="str">
        <f t="shared" si="26"/>
        <v>.csv</v>
      </c>
      <c r="I724" s="5" t="str">
        <f>IFERROR(IF(OR(C724="PERAC",C724="FoPITY"),INDEX(Customizations!$C$2:$C$41,MATCH(Sheet1!D724,Customizations!$B$2:$B$41,0),1),INDEX(About!C:C,MATCH(Sheet1!C724,About!B:B,0),1)),"")</f>
        <v>Perc Trans Fuel Use Reduction for Elec.xlsx</v>
      </c>
      <c r="J724" s="5">
        <f>IFERROR(INDEX(About!$D$34:$D$222,MATCH(Sheet1!I724,About!$C$34:$C$222,0),1),0)</f>
        <v>1</v>
      </c>
      <c r="K724" s="6">
        <f t="shared" si="27"/>
        <v>1</v>
      </c>
    </row>
    <row r="725" spans="1:11" x14ac:dyDescent="0.25">
      <c r="A725" t="s">
        <v>0</v>
      </c>
      <c r="B725" t="s">
        <v>609</v>
      </c>
      <c r="C725" t="s">
        <v>901</v>
      </c>
      <c r="D725" t="s">
        <v>902</v>
      </c>
      <c r="H725" t="str">
        <f t="shared" si="26"/>
        <v>.csv</v>
      </c>
      <c r="I725" s="5" t="str">
        <f>IFERROR(IF(OR(C725="PERAC",C725="FoPITY"),INDEX(Customizations!$C$2:$C$41,MATCH(Sheet1!D725,Customizations!$B$2:$B$41,0),1),INDEX(About!C:C,MATCH(Sheet1!C725,About!B:B,0),1)),"")</f>
        <v>Std Dev of Veh Prices by Technology.xlsx</v>
      </c>
      <c r="J725" s="5">
        <f>IFERROR(INDEX(About!$D$34:$D$222,MATCH(Sheet1!I725,About!$C$34:$C$222,0),1),0)</f>
        <v>1</v>
      </c>
      <c r="K725" s="6">
        <f t="shared" si="27"/>
        <v>1</v>
      </c>
    </row>
    <row r="726" spans="1:11" x14ac:dyDescent="0.25">
      <c r="A726" t="s">
        <v>0</v>
      </c>
      <c r="B726" t="s">
        <v>609</v>
      </c>
      <c r="C726" t="s">
        <v>901</v>
      </c>
      <c r="D726" t="s">
        <v>903</v>
      </c>
      <c r="H726" t="str">
        <f t="shared" si="26"/>
        <v>.csv</v>
      </c>
      <c r="I726" s="5" t="str">
        <f>IFERROR(IF(OR(C726="PERAC",C726="FoPITY"),INDEX(Customizations!$C$2:$C$41,MATCH(Sheet1!D726,Customizations!$B$2:$B$41,0),1),INDEX(About!C:C,MATCH(Sheet1!C726,About!B:B,0),1)),"")</f>
        <v>Std Dev of Veh Prices by Technology.xlsx</v>
      </c>
      <c r="J726" s="5">
        <f>IFERROR(INDEX(About!$D$34:$D$222,MATCH(Sheet1!I726,About!$C$34:$C$222,0),1),0)</f>
        <v>1</v>
      </c>
      <c r="K726" s="6">
        <f t="shared" si="27"/>
        <v>1</v>
      </c>
    </row>
    <row r="727" spans="1:11" x14ac:dyDescent="0.25">
      <c r="A727" t="s">
        <v>0</v>
      </c>
      <c r="B727" t="s">
        <v>609</v>
      </c>
      <c r="C727" t="s">
        <v>901</v>
      </c>
      <c r="D727" t="s">
        <v>904</v>
      </c>
      <c r="H727" t="str">
        <f t="shared" si="26"/>
        <v>xlsx</v>
      </c>
      <c r="I727" s="5" t="str">
        <f>IFERROR(IF(OR(C727="PERAC",C727="FoPITY"),INDEX(Customizations!$C$2:$C$41,MATCH(Sheet1!D727,Customizations!$B$2:$B$41,0),1),INDEX(About!C:C,MATCH(Sheet1!C727,About!B:B,0),1)),"")</f>
        <v>Std Dev of Veh Prices by Technology.xlsx</v>
      </c>
      <c r="J727" s="5">
        <f>IFERROR(INDEX(About!$D$34:$D$222,MATCH(Sheet1!I727,About!$C$34:$C$222,0),1),0)</f>
        <v>1</v>
      </c>
      <c r="K727" s="6">
        <f t="shared" si="27"/>
        <v>0</v>
      </c>
    </row>
    <row r="728" spans="1:11" x14ac:dyDescent="0.25">
      <c r="A728" t="s">
        <v>0</v>
      </c>
      <c r="B728" t="s">
        <v>609</v>
      </c>
      <c r="C728" t="s">
        <v>905</v>
      </c>
      <c r="D728" t="s">
        <v>906</v>
      </c>
      <c r="H728" t="str">
        <f t="shared" si="26"/>
        <v>xlsx</v>
      </c>
      <c r="I728" s="5" t="str">
        <f>IFERROR(IF(OR(C728="PERAC",C728="FoPITY"),INDEX(Customizations!$C$2:$C$41,MATCH(Sheet1!D728,Customizations!$B$2:$B$41,0),1),INDEX(About!C:C,MATCH(Sheet1!C728,About!B:B,0),1)),"")</f>
        <v>Share of Cargo Dist Transported that is New This Year.xlsx</v>
      </c>
      <c r="J728" s="5">
        <f>IFERROR(INDEX(About!$D$34:$D$222,MATCH(Sheet1!I728,About!$C$34:$C$222,0),1),0)</f>
        <v>1</v>
      </c>
      <c r="K728" s="6">
        <f t="shared" si="27"/>
        <v>0</v>
      </c>
    </row>
    <row r="729" spans="1:11" x14ac:dyDescent="0.25">
      <c r="A729" t="s">
        <v>0</v>
      </c>
      <c r="B729" t="s">
        <v>609</v>
      </c>
      <c r="C729" t="s">
        <v>905</v>
      </c>
      <c r="D729" t="s">
        <v>1789</v>
      </c>
      <c r="H729" t="str">
        <f t="shared" si="26"/>
        <v>.csv</v>
      </c>
      <c r="I729" s="5" t="str">
        <f>IFERROR(IF(OR(C729="PERAC",C729="FoPITY"),INDEX(Customizations!$C$2:$C$41,MATCH(Sheet1!D729,Customizations!$B$2:$B$41,0),1),INDEX(About!C:C,MATCH(Sheet1!C729,About!B:B,0),1)),"")</f>
        <v>Share of Cargo Dist Transported that is New This Year.xlsx</v>
      </c>
      <c r="J729" s="5">
        <f>IFERROR(INDEX(About!$D$34:$D$222,MATCH(Sheet1!I729,About!$C$34:$C$222,0),1),0)</f>
        <v>1</v>
      </c>
      <c r="K729" s="6">
        <f t="shared" si="27"/>
        <v>1</v>
      </c>
    </row>
    <row r="730" spans="1:11" x14ac:dyDescent="0.25">
      <c r="A730" t="s">
        <v>0</v>
      </c>
      <c r="B730" t="s">
        <v>609</v>
      </c>
      <c r="C730" t="s">
        <v>905</v>
      </c>
      <c r="D730" t="s">
        <v>1790</v>
      </c>
      <c r="H730" t="str">
        <f t="shared" si="26"/>
        <v>.csv</v>
      </c>
      <c r="I730" s="5" t="str">
        <f>IFERROR(IF(OR(C730="PERAC",C730="FoPITY"),INDEX(Customizations!$C$2:$C$41,MATCH(Sheet1!D730,Customizations!$B$2:$B$41,0),1),INDEX(About!C:C,MATCH(Sheet1!C730,About!B:B,0),1)),"")</f>
        <v>Share of Cargo Dist Transported that is New This Year.xlsx</v>
      </c>
      <c r="J730" s="5">
        <f>IFERROR(INDEX(About!$D$34:$D$222,MATCH(Sheet1!I730,About!$C$34:$C$222,0),1),0)</f>
        <v>1</v>
      </c>
      <c r="K730" s="6">
        <f t="shared" si="27"/>
        <v>1</v>
      </c>
    </row>
    <row r="731" spans="1:11" x14ac:dyDescent="0.25">
      <c r="A731" t="s">
        <v>0</v>
      </c>
      <c r="B731" t="s">
        <v>609</v>
      </c>
      <c r="C731" t="s">
        <v>907</v>
      </c>
      <c r="D731" t="s">
        <v>908</v>
      </c>
      <c r="H731" t="str">
        <f t="shared" si="26"/>
        <v>xlsx</v>
      </c>
      <c r="I731" s="5" t="str">
        <f>IFERROR(IF(OR(C731="PERAC",C731="FoPITY"),INDEX(Customizations!$C$2:$C$41,MATCH(Sheet1!D731,Customizations!$B$2:$B$41,0),1),INDEX(About!C:C,MATCH(Sheet1!C731,About!B:B,0),1)),"")</f>
        <v>Separately Regulated Pollutants by Vehicle Type.xlsx</v>
      </c>
      <c r="J731" s="5">
        <f>IFERROR(INDEX(About!$D$34:$D$222,MATCH(Sheet1!I731,About!$C$34:$C$222,0),1),0)</f>
        <v>1</v>
      </c>
      <c r="K731" s="6">
        <f t="shared" si="27"/>
        <v>0</v>
      </c>
    </row>
    <row r="732" spans="1:11" x14ac:dyDescent="0.25">
      <c r="A732" t="s">
        <v>0</v>
      </c>
      <c r="B732" t="s">
        <v>609</v>
      </c>
      <c r="C732" t="s">
        <v>907</v>
      </c>
      <c r="D732" t="s">
        <v>909</v>
      </c>
      <c r="H732" t="str">
        <f t="shared" si="26"/>
        <v>.csv</v>
      </c>
      <c r="I732" s="5" t="str">
        <f>IFERROR(IF(OR(C732="PERAC",C732="FoPITY"),INDEX(Customizations!$C$2:$C$41,MATCH(Sheet1!D732,Customizations!$B$2:$B$41,0),1),INDEX(About!C:C,MATCH(Sheet1!C732,About!B:B,0),1)),"")</f>
        <v>Separately Regulated Pollutants by Vehicle Type.xlsx</v>
      </c>
      <c r="J732" s="5">
        <f>IFERROR(INDEX(About!$D$34:$D$222,MATCH(Sheet1!I732,About!$C$34:$C$222,0),1),0)</f>
        <v>1</v>
      </c>
      <c r="K732" s="6">
        <f t="shared" si="27"/>
        <v>1</v>
      </c>
    </row>
    <row r="733" spans="1:11" x14ac:dyDescent="0.25">
      <c r="A733" t="s">
        <v>0</v>
      </c>
      <c r="B733" t="s">
        <v>609</v>
      </c>
      <c r="C733" t="s">
        <v>910</v>
      </c>
      <c r="D733" t="s">
        <v>911</v>
      </c>
      <c r="H733" t="str">
        <f t="shared" si="26"/>
        <v>xlsx</v>
      </c>
      <c r="I733" s="5" t="str">
        <f>IFERROR(IF(OR(C733="PERAC",C733="FoPITY"),INDEX(Customizations!$C$2:$C$41,MATCH(Sheet1!D733,Customizations!$B$2:$B$41,0),1),INDEX(About!C:C,MATCH(Sheet1!C733,About!B:B,0),1)),"")</f>
        <v>Start Year Battery Share of EV Price.xlsx</v>
      </c>
      <c r="J733" s="5">
        <f>IFERROR(INDEX(About!$D$34:$D$222,MATCH(Sheet1!I733,About!$C$34:$C$222,0),1),0)</f>
        <v>1</v>
      </c>
      <c r="K733" s="6">
        <f t="shared" si="27"/>
        <v>0</v>
      </c>
    </row>
    <row r="734" spans="1:11" x14ac:dyDescent="0.25">
      <c r="A734" t="s">
        <v>0</v>
      </c>
      <c r="B734" t="s">
        <v>609</v>
      </c>
      <c r="C734" t="s">
        <v>910</v>
      </c>
      <c r="D734" t="s">
        <v>912</v>
      </c>
      <c r="H734" t="str">
        <f t="shared" si="26"/>
        <v>.csv</v>
      </c>
      <c r="I734" s="5" t="str">
        <f>IFERROR(IF(OR(C734="PERAC",C734="FoPITY"),INDEX(Customizations!$C$2:$C$41,MATCH(Sheet1!D734,Customizations!$B$2:$B$41,0),1),INDEX(About!C:C,MATCH(Sheet1!C734,About!B:B,0),1)),"")</f>
        <v>Start Year Battery Share of EV Price.xlsx</v>
      </c>
      <c r="J734" s="5">
        <f>IFERROR(INDEX(About!$D$34:$D$222,MATCH(Sheet1!I734,About!$C$34:$C$222,0),1),0)</f>
        <v>1</v>
      </c>
      <c r="K734" s="6">
        <f t="shared" si="27"/>
        <v>1</v>
      </c>
    </row>
    <row r="735" spans="1:11" x14ac:dyDescent="0.25">
      <c r="A735" t="s">
        <v>0</v>
      </c>
      <c r="B735" t="s">
        <v>609</v>
      </c>
      <c r="C735" t="s">
        <v>913</v>
      </c>
      <c r="D735" t="s">
        <v>914</v>
      </c>
      <c r="H735" t="str">
        <f t="shared" si="26"/>
        <v>xlsx</v>
      </c>
      <c r="I735" s="5" t="str">
        <f>IFERROR(IF(OR(C735="PERAC",C735="FoPITY"),INDEX(Customizations!$C$2:$C$41,MATCH(Sheet1!D735,Customizations!$B$2:$B$41,0),1),INDEX(About!C:C,MATCH(Sheet1!C735,About!B:B,0),1)),"")</f>
        <v>Start Year Fleet Avg Fuel Economy.xlsx</v>
      </c>
      <c r="J735" s="5">
        <f>IFERROR(INDEX(About!$D$34:$D$222,MATCH(Sheet1!I735,About!$C$34:$C$222,0),1),0)</f>
        <v>1</v>
      </c>
      <c r="K735" s="6">
        <f t="shared" si="27"/>
        <v>0</v>
      </c>
    </row>
    <row r="736" spans="1:11" x14ac:dyDescent="0.25">
      <c r="A736" t="s">
        <v>0</v>
      </c>
      <c r="B736" t="s">
        <v>609</v>
      </c>
      <c r="C736" t="s">
        <v>913</v>
      </c>
      <c r="D736" t="s">
        <v>915</v>
      </c>
      <c r="H736" t="str">
        <f t="shared" si="26"/>
        <v>.csv</v>
      </c>
      <c r="I736" s="5" t="str">
        <f>IFERROR(IF(OR(C736="PERAC",C736="FoPITY"),INDEX(Customizations!$C$2:$C$41,MATCH(Sheet1!D736,Customizations!$B$2:$B$41,0),1),INDEX(About!C:C,MATCH(Sheet1!C736,About!B:B,0),1)),"")</f>
        <v>Start Year Fleet Avg Fuel Economy.xlsx</v>
      </c>
      <c r="J736" s="5">
        <f>IFERROR(INDEX(About!$D$34:$D$222,MATCH(Sheet1!I736,About!$C$34:$C$222,0),1),0)</f>
        <v>1</v>
      </c>
      <c r="K736" s="6">
        <f t="shared" si="27"/>
        <v>1</v>
      </c>
    </row>
    <row r="737" spans="1:11" x14ac:dyDescent="0.25">
      <c r="A737" t="s">
        <v>0</v>
      </c>
      <c r="B737" t="s">
        <v>609</v>
      </c>
      <c r="C737" t="s">
        <v>913</v>
      </c>
      <c r="D737" t="s">
        <v>916</v>
      </c>
      <c r="H737" t="str">
        <f t="shared" si="26"/>
        <v>.csv</v>
      </c>
      <c r="I737" s="5" t="str">
        <f>IFERROR(IF(OR(C737="PERAC",C737="FoPITY"),INDEX(Customizations!$C$2:$C$41,MATCH(Sheet1!D737,Customizations!$B$2:$B$41,0),1),INDEX(About!C:C,MATCH(Sheet1!C737,About!B:B,0),1)),"")</f>
        <v>Start Year Fleet Avg Fuel Economy.xlsx</v>
      </c>
      <c r="J737" s="5">
        <f>IFERROR(INDEX(About!$D$34:$D$222,MATCH(Sheet1!I737,About!$C$34:$C$222,0),1),0)</f>
        <v>1</v>
      </c>
      <c r="K737" s="6">
        <f t="shared" si="27"/>
        <v>1</v>
      </c>
    </row>
    <row r="738" spans="1:11" x14ac:dyDescent="0.25">
      <c r="A738" t="s">
        <v>0</v>
      </c>
      <c r="B738" t="s">
        <v>609</v>
      </c>
      <c r="C738" t="s">
        <v>917</v>
      </c>
      <c r="D738" t="s">
        <v>918</v>
      </c>
      <c r="H738" t="str">
        <f t="shared" si="26"/>
        <v>xlsx</v>
      </c>
      <c r="I738" s="5" t="str">
        <f>IFERROR(IF(OR(C738="PERAC",C738="FoPITY"),INDEX(Customizations!$C$2:$C$41,MATCH(Sheet1!D738,Customizations!$B$2:$B$41,0),1),INDEX(About!C:C,MATCH(Sheet1!C738,About!B:B,0),1)),"")</f>
        <v>Start Year Vehicles by Technology.xlsx</v>
      </c>
      <c r="J738" s="5">
        <f>IFERROR(INDEX(About!$D$34:$D$222,MATCH(Sheet1!I738,About!$C$34:$C$222,0),1),0)</f>
        <v>1</v>
      </c>
      <c r="K738" s="6">
        <f t="shared" si="27"/>
        <v>0</v>
      </c>
    </row>
    <row r="739" spans="1:11" x14ac:dyDescent="0.25">
      <c r="A739" t="s">
        <v>0</v>
      </c>
      <c r="B739" t="s">
        <v>609</v>
      </c>
      <c r="C739" t="s">
        <v>917</v>
      </c>
      <c r="D739" t="s">
        <v>919</v>
      </c>
      <c r="H739" t="str">
        <f t="shared" si="26"/>
        <v>.csv</v>
      </c>
      <c r="I739" s="5" t="str">
        <f>IFERROR(IF(OR(C739="PERAC",C739="FoPITY"),INDEX(Customizations!$C$2:$C$41,MATCH(Sheet1!D739,Customizations!$B$2:$B$41,0),1),INDEX(About!C:C,MATCH(Sheet1!C739,About!B:B,0),1)),"")</f>
        <v>Start Year Vehicles by Technology.xlsx</v>
      </c>
      <c r="J739" s="5">
        <f>IFERROR(INDEX(About!$D$34:$D$222,MATCH(Sheet1!I739,About!$C$34:$C$222,0),1),0)</f>
        <v>1</v>
      </c>
      <c r="K739" s="6">
        <f t="shared" si="27"/>
        <v>1</v>
      </c>
    </row>
    <row r="740" spans="1:11" x14ac:dyDescent="0.25">
      <c r="A740" t="s">
        <v>0</v>
      </c>
      <c r="B740" t="s">
        <v>609</v>
      </c>
      <c r="C740" t="s">
        <v>917</v>
      </c>
      <c r="D740" t="s">
        <v>920</v>
      </c>
      <c r="H740" t="str">
        <f t="shared" si="26"/>
        <v>.csv</v>
      </c>
      <c r="I740" s="5" t="str">
        <f>IFERROR(IF(OR(C740="PERAC",C740="FoPITY"),INDEX(Customizations!$C$2:$C$41,MATCH(Sheet1!D740,Customizations!$B$2:$B$41,0),1),INDEX(About!C:C,MATCH(Sheet1!C740,About!B:B,0),1)),"")</f>
        <v>Start Year Vehicles by Technology.xlsx</v>
      </c>
      <c r="J740" s="5">
        <f>IFERROR(INDEX(About!$D$34:$D$222,MATCH(Sheet1!I740,About!$C$34:$C$222,0),1),0)</f>
        <v>1</v>
      </c>
      <c r="K740" s="6">
        <f t="shared" si="27"/>
        <v>1</v>
      </c>
    </row>
    <row r="741" spans="1:11" x14ac:dyDescent="0.25">
      <c r="A741" t="s">
        <v>0</v>
      </c>
      <c r="B741" t="s">
        <v>609</v>
      </c>
      <c r="C741" t="s">
        <v>921</v>
      </c>
      <c r="D741" t="s">
        <v>922</v>
      </c>
      <c r="H741" t="str">
        <f t="shared" si="26"/>
        <v>.csv</v>
      </c>
      <c r="I741" s="5" t="str">
        <f>IFERROR(IF(OR(C741="PERAC",C741="FoPITY"),INDEX(Customizations!$C$2:$C$41,MATCH(Sheet1!D741,Customizations!$B$2:$B$41,0),1),INDEX(About!C:C,MATCH(Sheet1!C741,About!B:B,0),1)),"")</f>
        <v>Veh Buyer Discount Rate.xlsx</v>
      </c>
      <c r="J741" s="5">
        <f>IFERROR(INDEX(About!$D$34:$D$222,MATCH(Sheet1!I741,About!$C$34:$C$222,0),1),0)</f>
        <v>1</v>
      </c>
      <c r="K741" s="6">
        <f t="shared" si="27"/>
        <v>1</v>
      </c>
    </row>
    <row r="742" spans="1:11" x14ac:dyDescent="0.25">
      <c r="A742" t="s">
        <v>0</v>
      </c>
      <c r="B742" t="s">
        <v>609</v>
      </c>
      <c r="C742" t="s">
        <v>921</v>
      </c>
      <c r="D742" t="s">
        <v>923</v>
      </c>
      <c r="H742" t="str">
        <f t="shared" si="26"/>
        <v>xlsx</v>
      </c>
      <c r="I742" s="5" t="str">
        <f>IFERROR(IF(OR(C742="PERAC",C742="FoPITY"),INDEX(Customizations!$C$2:$C$41,MATCH(Sheet1!D742,Customizations!$B$2:$B$41,0),1),INDEX(About!C:C,MATCH(Sheet1!C742,About!B:B,0),1)),"")</f>
        <v>Veh Buyer Discount Rate.xlsx</v>
      </c>
      <c r="J742" s="5">
        <f>IFERROR(INDEX(About!$D$34:$D$222,MATCH(Sheet1!I742,About!$C$34:$C$222,0),1),0)</f>
        <v>1</v>
      </c>
      <c r="K742" s="6">
        <f t="shared" si="27"/>
        <v>0</v>
      </c>
    </row>
    <row r="743" spans="1:11" x14ac:dyDescent="0.25">
      <c r="A743" t="s">
        <v>0</v>
      </c>
      <c r="B743" t="s">
        <v>609</v>
      </c>
      <c r="C743" t="s">
        <v>924</v>
      </c>
      <c r="D743" t="s">
        <v>925</v>
      </c>
      <c r="H743" t="str">
        <f t="shared" si="26"/>
        <v>xlsx</v>
      </c>
      <c r="I743" s="5" t="str">
        <f>IFERROR(IF(OR(C743="PERAC",C743="FoPITY"),INDEX(Customizations!$C$2:$C$41,MATCH(Sheet1!D743,Customizations!$B$2:$B$41,0),1),INDEX(About!C:C,MATCH(Sheet1!C743,About!B:B,0),1)),"")</f>
        <v>Vehicle Quantization Size.xlsx</v>
      </c>
      <c r="J743" s="5">
        <f>IFERROR(INDEX(About!$D$34:$D$222,MATCH(Sheet1!I743,About!$C$34:$C$222,0),1),0)</f>
        <v>1</v>
      </c>
      <c r="K743" s="6">
        <f t="shared" si="27"/>
        <v>0</v>
      </c>
    </row>
    <row r="744" spans="1:11" x14ac:dyDescent="0.25">
      <c r="A744" t="s">
        <v>0</v>
      </c>
      <c r="B744" t="s">
        <v>609</v>
      </c>
      <c r="C744" t="s">
        <v>924</v>
      </c>
      <c r="D744" t="s">
        <v>926</v>
      </c>
      <c r="H744" t="str">
        <f t="shared" si="26"/>
        <v>.csv</v>
      </c>
      <c r="I744" s="5" t="str">
        <f>IFERROR(IF(OR(C744="PERAC",C744="FoPITY"),INDEX(Customizations!$C$2:$C$41,MATCH(Sheet1!D744,Customizations!$B$2:$B$41,0),1),INDEX(About!C:C,MATCH(Sheet1!C744,About!B:B,0),1)),"")</f>
        <v>Vehicle Quantization Size.xlsx</v>
      </c>
      <c r="J744" s="5">
        <f>IFERROR(INDEX(About!$D$34:$D$222,MATCH(Sheet1!I744,About!$C$34:$C$222,0),1),0)</f>
        <v>1</v>
      </c>
      <c r="K744" s="6">
        <f t="shared" si="27"/>
        <v>1</v>
      </c>
    </row>
    <row r="745" spans="1:11" x14ac:dyDescent="0.25">
      <c r="A745" t="s">
        <v>0</v>
      </c>
      <c r="B745" t="s">
        <v>609</v>
      </c>
      <c r="C745" t="s">
        <v>927</v>
      </c>
      <c r="D745" t="s">
        <v>928</v>
      </c>
      <c r="H745" t="str">
        <f t="shared" si="26"/>
        <v>xlsx</v>
      </c>
      <c r="I745" s="5" t="str">
        <f>IFERROR(IF(OR(C745="PERAC",C745="FoPITY"),INDEX(Customizations!$C$2:$C$41,MATCH(Sheet1!D745,Customizations!$B$2:$B$41,0),1),INDEX(About!C:C,MATCH(Sheet1!C745,About!B:B,0),1)),"")</f>
        <v>Veh Techs Subject to Fuel Econ Std.xlsx</v>
      </c>
      <c r="J745" s="5">
        <f>IFERROR(INDEX(About!$D$34:$D$222,MATCH(Sheet1!I745,About!$C$34:$C$222,0),1),0)</f>
        <v>1</v>
      </c>
      <c r="K745" s="6">
        <f t="shared" si="27"/>
        <v>0</v>
      </c>
    </row>
    <row r="746" spans="1:11" x14ac:dyDescent="0.25">
      <c r="A746" t="s">
        <v>0</v>
      </c>
      <c r="B746" t="s">
        <v>609</v>
      </c>
      <c r="C746" t="s">
        <v>927</v>
      </c>
      <c r="D746" t="s">
        <v>929</v>
      </c>
      <c r="H746" t="str">
        <f t="shared" si="26"/>
        <v>.csv</v>
      </c>
      <c r="I746" s="5" t="str">
        <f>IFERROR(IF(OR(C746="PERAC",C746="FoPITY"),INDEX(Customizations!$C$2:$C$41,MATCH(Sheet1!D746,Customizations!$B$2:$B$41,0),1),INDEX(About!C:C,MATCH(Sheet1!C746,About!B:B,0),1)),"")</f>
        <v>Veh Techs Subject to Fuel Econ Std.xlsx</v>
      </c>
      <c r="J746" s="5">
        <f>IFERROR(INDEX(About!$D$34:$D$222,MATCH(Sheet1!I746,About!$C$34:$C$222,0),1),0)</f>
        <v>1</v>
      </c>
      <c r="K746" s="6">
        <f t="shared" si="27"/>
        <v>1</v>
      </c>
    </row>
    <row r="747" spans="1:11" x14ac:dyDescent="0.25">
      <c r="A747" t="s">
        <v>0</v>
      </c>
      <c r="B747" t="s">
        <v>930</v>
      </c>
      <c r="C747" t="s">
        <v>931</v>
      </c>
      <c r="D747" t="s">
        <v>932</v>
      </c>
      <c r="H747" t="str">
        <f t="shared" si="26"/>
        <v>.csv</v>
      </c>
      <c r="I747" s="5" t="str">
        <f>IFERROR(IF(OR(C747="PERAC",C747="FoPITY"),INDEX(Customizations!$C$2:$C$41,MATCH(Sheet1!D747,Customizations!$B$2:$B$41,0),1),INDEX(About!C:C,MATCH(Sheet1!C747,About!B:B,0),1)),"")</f>
        <v>BTU Conversion Factors.xlsx</v>
      </c>
      <c r="J747" s="5">
        <f>IFERROR(INDEX(About!$D$34:$D$222,MATCH(Sheet1!I747,About!$C$34:$C$222,0),1),0)</f>
        <v>1</v>
      </c>
      <c r="K747" s="6">
        <f t="shared" si="27"/>
        <v>1</v>
      </c>
    </row>
    <row r="748" spans="1:11" x14ac:dyDescent="0.25">
      <c r="A748" t="s">
        <v>0</v>
      </c>
      <c r="B748" t="s">
        <v>930</v>
      </c>
      <c r="C748" t="s">
        <v>931</v>
      </c>
      <c r="D748" t="s">
        <v>933</v>
      </c>
      <c r="H748" t="str">
        <f t="shared" si="26"/>
        <v>.csv</v>
      </c>
      <c r="I748" s="5" t="str">
        <f>IFERROR(IF(OR(C748="PERAC",C748="FoPITY"),INDEX(Customizations!$C$2:$C$41,MATCH(Sheet1!D748,Customizations!$B$2:$B$41,0),1),INDEX(About!C:C,MATCH(Sheet1!C748,About!B:B,0),1)),"")</f>
        <v>BTU Conversion Factors.xlsx</v>
      </c>
      <c r="J748" s="5">
        <f>IFERROR(INDEX(About!$D$34:$D$222,MATCH(Sheet1!I748,About!$C$34:$C$222,0),1),0)</f>
        <v>1</v>
      </c>
      <c r="K748" s="6">
        <f t="shared" si="27"/>
        <v>1</v>
      </c>
    </row>
    <row r="749" spans="1:11" x14ac:dyDescent="0.25">
      <c r="A749" t="s">
        <v>0</v>
      </c>
      <c r="B749" t="s">
        <v>930</v>
      </c>
      <c r="C749" t="s">
        <v>931</v>
      </c>
      <c r="D749" t="s">
        <v>934</v>
      </c>
      <c r="H749" t="str">
        <f t="shared" si="26"/>
        <v>.csv</v>
      </c>
      <c r="I749" s="5" t="str">
        <f>IFERROR(IF(OR(C749="PERAC",C749="FoPITY"),INDEX(Customizations!$C$2:$C$41,MATCH(Sheet1!D749,Customizations!$B$2:$B$41,0),1),INDEX(About!C:C,MATCH(Sheet1!C749,About!B:B,0),1)),"")</f>
        <v>BTU Conversion Factors.xlsx</v>
      </c>
      <c r="J749" s="5">
        <f>IFERROR(INDEX(About!$D$34:$D$222,MATCH(Sheet1!I749,About!$C$34:$C$222,0),1),0)</f>
        <v>1</v>
      </c>
      <c r="K749" s="6">
        <f t="shared" si="27"/>
        <v>1</v>
      </c>
    </row>
    <row r="750" spans="1:11" x14ac:dyDescent="0.25">
      <c r="A750" t="s">
        <v>0</v>
      </c>
      <c r="B750" t="s">
        <v>930</v>
      </c>
      <c r="C750" t="s">
        <v>931</v>
      </c>
      <c r="D750" t="s">
        <v>935</v>
      </c>
      <c r="H750" t="str">
        <f t="shared" si="26"/>
        <v>.csv</v>
      </c>
      <c r="I750" s="5" t="str">
        <f>IFERROR(IF(OR(C750="PERAC",C750="FoPITY"),INDEX(Customizations!$C$2:$C$41,MATCH(Sheet1!D750,Customizations!$B$2:$B$41,0),1),INDEX(About!C:C,MATCH(Sheet1!C750,About!B:B,0),1)),"")</f>
        <v>BTU Conversion Factors.xlsx</v>
      </c>
      <c r="J750" s="5">
        <f>IFERROR(INDEX(About!$D$34:$D$222,MATCH(Sheet1!I750,About!$C$34:$C$222,0),1),0)</f>
        <v>1</v>
      </c>
      <c r="K750" s="6">
        <f t="shared" si="27"/>
        <v>1</v>
      </c>
    </row>
    <row r="751" spans="1:11" x14ac:dyDescent="0.25">
      <c r="A751" t="s">
        <v>0</v>
      </c>
      <c r="B751" t="s">
        <v>930</v>
      </c>
      <c r="C751" t="s">
        <v>931</v>
      </c>
      <c r="D751" t="s">
        <v>936</v>
      </c>
      <c r="H751" t="str">
        <f t="shared" si="26"/>
        <v>xlsx</v>
      </c>
      <c r="I751" s="5" t="str">
        <f>IFERROR(IF(OR(C751="PERAC",C751="FoPITY"),INDEX(Customizations!$C$2:$C$41,MATCH(Sheet1!D751,Customizations!$B$2:$B$41,0),1),INDEX(About!C:C,MATCH(Sheet1!C751,About!B:B,0),1)),"")</f>
        <v>BTU Conversion Factors.xlsx</v>
      </c>
      <c r="J751" s="5">
        <f>IFERROR(INDEX(About!$D$34:$D$222,MATCH(Sheet1!I751,About!$C$34:$C$222,0),1),0)</f>
        <v>1</v>
      </c>
      <c r="K751" s="6">
        <f t="shared" si="27"/>
        <v>0</v>
      </c>
    </row>
    <row r="752" spans="1:11" x14ac:dyDescent="0.25">
      <c r="A752" t="s">
        <v>0</v>
      </c>
      <c r="B752" t="s">
        <v>930</v>
      </c>
      <c r="C752" t="s">
        <v>937</v>
      </c>
      <c r="D752" t="s">
        <v>1791</v>
      </c>
      <c r="H752" t="str">
        <f t="shared" si="26"/>
        <v>.csv</v>
      </c>
      <c r="I752" s="5" t="str">
        <f>IFERROR(IF(OR(C752="PERAC",C752="FoPITY"),INDEX(Customizations!$C$2:$C$41,MATCH(Sheet1!D752,Customizations!$B$2:$B$41,0),1),INDEX(About!C:C,MATCH(Sheet1!C752,About!B:B,0),1)),"")</f>
        <v>BTU per Total Primary Energy Unit.xlsx</v>
      </c>
      <c r="J752" s="5">
        <f>IFERROR(INDEX(About!$D$34:$D$222,MATCH(Sheet1!I752,About!$C$34:$C$222,0),1),0)</f>
        <v>1</v>
      </c>
      <c r="K752" s="6">
        <f t="shared" si="27"/>
        <v>1</v>
      </c>
    </row>
    <row r="753" spans="1:11" x14ac:dyDescent="0.25">
      <c r="A753" t="s">
        <v>0</v>
      </c>
      <c r="B753" t="s">
        <v>930</v>
      </c>
      <c r="C753" t="s">
        <v>937</v>
      </c>
      <c r="D753" t="s">
        <v>1792</v>
      </c>
      <c r="H753" t="str">
        <f t="shared" si="26"/>
        <v>.csv</v>
      </c>
      <c r="I753" s="5" t="str">
        <f>IFERROR(IF(OR(C753="PERAC",C753="FoPITY"),INDEX(Customizations!$C$2:$C$41,MATCH(Sheet1!D753,Customizations!$B$2:$B$41,0),1),INDEX(About!C:C,MATCH(Sheet1!C753,About!B:B,0),1)),"")</f>
        <v>BTU per Total Primary Energy Unit.xlsx</v>
      </c>
      <c r="J753" s="5">
        <f>IFERROR(INDEX(About!$D$34:$D$222,MATCH(Sheet1!I753,About!$C$34:$C$222,0),1),0)</f>
        <v>1</v>
      </c>
      <c r="K753" s="6">
        <f t="shared" si="27"/>
        <v>1</v>
      </c>
    </row>
    <row r="754" spans="1:11" x14ac:dyDescent="0.25">
      <c r="A754" t="s">
        <v>0</v>
      </c>
      <c r="B754" t="s">
        <v>930</v>
      </c>
      <c r="C754" t="s">
        <v>937</v>
      </c>
      <c r="D754" t="s">
        <v>938</v>
      </c>
      <c r="H754" t="str">
        <f t="shared" si="26"/>
        <v>xlsx</v>
      </c>
      <c r="I754" s="5" t="str">
        <f>IFERROR(IF(OR(C754="PERAC",C754="FoPITY"),INDEX(Customizations!$C$2:$C$41,MATCH(Sheet1!D754,Customizations!$B$2:$B$41,0),1),INDEX(About!C:C,MATCH(Sheet1!C754,About!B:B,0),1)),"")</f>
        <v>BTU per Total Primary Energy Unit.xlsx</v>
      </c>
      <c r="J754" s="5">
        <f>IFERROR(INDEX(About!$D$34:$D$222,MATCH(Sheet1!I754,About!$C$34:$C$222,0),1),0)</f>
        <v>1</v>
      </c>
      <c r="K754" s="6">
        <f t="shared" si="27"/>
        <v>0</v>
      </c>
    </row>
    <row r="755" spans="1:11" x14ac:dyDescent="0.25">
      <c r="A755" t="s">
        <v>0</v>
      </c>
      <c r="B755" t="s">
        <v>930</v>
      </c>
      <c r="C755" t="s">
        <v>939</v>
      </c>
      <c r="D755" t="s">
        <v>940</v>
      </c>
      <c r="H755" t="str">
        <f t="shared" si="26"/>
        <v>xlsx</v>
      </c>
      <c r="I755" s="5" t="str">
        <f>IFERROR(IF(OR(C755="PERAC",C755="FoPITY"),INDEX(Customizations!$C$2:$C$41,MATCH(Sheet1!D755,Customizations!$B$2:$B$41,0),1),INDEX(About!C:C,MATCH(Sheet1!C755,About!B:B,0),1)),"")</f>
        <v>Cargo Dist Conversion Factors.xlsx</v>
      </c>
      <c r="J755" s="5">
        <f>IFERROR(INDEX(About!$D$34:$D$222,MATCH(Sheet1!I755,About!$C$34:$C$222,0),1),0)</f>
        <v>1</v>
      </c>
      <c r="K755" s="6">
        <f t="shared" ref="K755:K817" si="28">IF(H755=".csv",1,0)*J755</f>
        <v>0</v>
      </c>
    </row>
    <row r="756" spans="1:11" x14ac:dyDescent="0.25">
      <c r="A756" t="s">
        <v>0</v>
      </c>
      <c r="B756" t="s">
        <v>930</v>
      </c>
      <c r="C756" t="s">
        <v>939</v>
      </c>
      <c r="D756" t="s">
        <v>941</v>
      </c>
      <c r="H756" t="str">
        <f t="shared" si="26"/>
        <v>.csv</v>
      </c>
      <c r="I756" s="5" t="str">
        <f>IFERROR(IF(OR(C756="PERAC",C756="FoPITY"),INDEX(Customizations!$C$2:$C$41,MATCH(Sheet1!D756,Customizations!$B$2:$B$41,0),1),INDEX(About!C:C,MATCH(Sheet1!C756,About!B:B,0),1)),"")</f>
        <v>Cargo Dist Conversion Factors.xlsx</v>
      </c>
      <c r="J756" s="5">
        <f>IFERROR(INDEX(About!$D$34:$D$222,MATCH(Sheet1!I756,About!$C$34:$C$222,0),1),0)</f>
        <v>1</v>
      </c>
      <c r="K756" s="6">
        <f t="shared" si="28"/>
        <v>1</v>
      </c>
    </row>
    <row r="757" spans="1:11" x14ac:dyDescent="0.25">
      <c r="A757" t="s">
        <v>0</v>
      </c>
      <c r="B757" t="s">
        <v>930</v>
      </c>
      <c r="C757" t="s">
        <v>939</v>
      </c>
      <c r="D757" t="s">
        <v>942</v>
      </c>
      <c r="H757" t="str">
        <f t="shared" si="26"/>
        <v>.csv</v>
      </c>
      <c r="I757" s="5"/>
      <c r="J757" s="5">
        <f>IFERROR(INDEX(About!$D$34:$D$222,MATCH(Sheet1!I757,About!$C$34:$C$222,0),1),0)</f>
        <v>0</v>
      </c>
      <c r="K757" s="6">
        <f t="shared" si="28"/>
        <v>0</v>
      </c>
    </row>
    <row r="758" spans="1:11" x14ac:dyDescent="0.25">
      <c r="A758" t="s">
        <v>0</v>
      </c>
      <c r="B758" t="s">
        <v>930</v>
      </c>
      <c r="C758" t="s">
        <v>943</v>
      </c>
      <c r="D758" t="s">
        <v>944</v>
      </c>
      <c r="H758" t="str">
        <f t="shared" si="26"/>
        <v>xlsx</v>
      </c>
      <c r="I758" s="5"/>
      <c r="J758" s="5">
        <f>IFERROR(INDEX(About!$D$34:$D$222,MATCH(Sheet1!I758,About!$C$34:$C$222,0),1),0)</f>
        <v>0</v>
      </c>
      <c r="K758" s="6">
        <f t="shared" si="28"/>
        <v>0</v>
      </c>
    </row>
    <row r="759" spans="1:11" x14ac:dyDescent="0.25">
      <c r="A759" t="s">
        <v>0</v>
      </c>
      <c r="B759" t="s">
        <v>930</v>
      </c>
      <c r="C759" t="s">
        <v>943</v>
      </c>
      <c r="D759" t="s">
        <v>945</v>
      </c>
      <c r="H759" t="str">
        <f t="shared" si="26"/>
        <v>.csv</v>
      </c>
      <c r="I759" s="5" t="str">
        <f>IFERROR(IF(OR(C759="PERAC",C759="FoPITY"),INDEX(Customizations!$C$2:$C$41,MATCH(Sheet1!D759,Customizations!$B$2:$B$41,0),1),INDEX(About!C:C,MATCH(Sheet1!C759,About!B:B,0),1)),"")</f>
        <v>Liters per Water Output Unit.xlsx</v>
      </c>
      <c r="J759" s="5">
        <f>IFERROR(INDEX(About!$D$34:$D$222,MATCH(Sheet1!I759,About!$C$34:$C$222,0),1),0)</f>
        <v>1</v>
      </c>
      <c r="K759" s="6">
        <f t="shared" si="28"/>
        <v>1</v>
      </c>
    </row>
    <row r="760" spans="1:11" x14ac:dyDescent="0.25">
      <c r="A760" t="s">
        <v>0</v>
      </c>
      <c r="B760" t="s">
        <v>930</v>
      </c>
      <c r="C760" t="s">
        <v>946</v>
      </c>
      <c r="D760" t="s">
        <v>947</v>
      </c>
      <c r="H760" t="str">
        <f t="shared" si="26"/>
        <v>.csv</v>
      </c>
      <c r="I760" s="5" t="str">
        <f>IFERROR(IF(OR(C760="PERAC",C760="FoPITY"),INDEX(Customizations!$C$2:$C$41,MATCH(Sheet1!D760,Customizations!$B$2:$B$41,0),1),INDEX(About!C:C,MATCH(Sheet1!C760,About!B:B,0),1)),"")</f>
        <v>Output Currency Conversion Factors.xlsx</v>
      </c>
      <c r="J760" s="5">
        <f>IFERROR(INDEX(About!$D$34:$D$222,MATCH(Sheet1!I760,About!$C$34:$C$222,0),1),0)</f>
        <v>1</v>
      </c>
      <c r="K760" s="6">
        <f t="shared" si="28"/>
        <v>1</v>
      </c>
    </row>
    <row r="761" spans="1:11" x14ac:dyDescent="0.25">
      <c r="A761" t="s">
        <v>0</v>
      </c>
      <c r="B761" t="s">
        <v>930</v>
      </c>
      <c r="C761" t="s">
        <v>946</v>
      </c>
      <c r="D761" t="s">
        <v>948</v>
      </c>
      <c r="H761" t="str">
        <f t="shared" si="26"/>
        <v>.csv</v>
      </c>
      <c r="I761" s="5" t="str">
        <f>IFERROR(IF(OR(C761="PERAC",C761="FoPITY"),INDEX(Customizations!$C$2:$C$41,MATCH(Sheet1!D761,Customizations!$B$2:$B$41,0),1),INDEX(About!C:C,MATCH(Sheet1!C761,About!B:B,0),1)),"")</f>
        <v>Output Currency Conversion Factors.xlsx</v>
      </c>
      <c r="J761" s="5">
        <f>IFERROR(INDEX(About!$D$34:$D$222,MATCH(Sheet1!I761,About!$C$34:$C$222,0),1),0)</f>
        <v>1</v>
      </c>
      <c r="K761" s="6">
        <f t="shared" si="28"/>
        <v>1</v>
      </c>
    </row>
    <row r="762" spans="1:11" x14ac:dyDescent="0.25">
      <c r="A762" t="s">
        <v>0</v>
      </c>
      <c r="B762" t="s">
        <v>930</v>
      </c>
      <c r="C762" t="s">
        <v>946</v>
      </c>
      <c r="D762" t="s">
        <v>949</v>
      </c>
      <c r="H762" t="str">
        <f t="shared" si="26"/>
        <v>.csv</v>
      </c>
      <c r="I762" s="5" t="str">
        <f>IFERROR(IF(OR(C762="PERAC",C762="FoPITY"),INDEX(Customizations!$C$2:$C$41,MATCH(Sheet1!D762,Customizations!$B$2:$B$41,0),1),INDEX(About!C:C,MATCH(Sheet1!C762,About!B:B,0),1)),"")</f>
        <v>Output Currency Conversion Factors.xlsx</v>
      </c>
      <c r="J762" s="5">
        <f>IFERROR(INDEX(About!$D$34:$D$222,MATCH(Sheet1!I762,About!$C$34:$C$222,0),1),0)</f>
        <v>1</v>
      </c>
      <c r="K762" s="6">
        <f t="shared" si="28"/>
        <v>1</v>
      </c>
    </row>
    <row r="763" spans="1:11" x14ac:dyDescent="0.25">
      <c r="A763" t="s">
        <v>0</v>
      </c>
      <c r="B763" t="s">
        <v>930</v>
      </c>
      <c r="C763" t="s">
        <v>946</v>
      </c>
      <c r="D763" t="s">
        <v>950</v>
      </c>
      <c r="H763" t="str">
        <f t="shared" si="26"/>
        <v>xlsx</v>
      </c>
      <c r="I763" s="5" t="str">
        <f>IFERROR(IF(OR(C763="PERAC",C763="FoPITY"),INDEX(Customizations!$C$2:$C$41,MATCH(Sheet1!D763,Customizations!$B$2:$B$41,0),1),INDEX(About!C:C,MATCH(Sheet1!C763,About!B:B,0),1)),"")</f>
        <v>Output Currency Conversion Factors.xlsx</v>
      </c>
      <c r="J763" s="5">
        <f>IFERROR(INDEX(About!$D$34:$D$222,MATCH(Sheet1!I763,About!$C$34:$C$222,0),1),0)</f>
        <v>1</v>
      </c>
      <c r="K763" s="6">
        <f t="shared" si="28"/>
        <v>0</v>
      </c>
    </row>
    <row r="764" spans="1:11" x14ac:dyDescent="0.25">
      <c r="H764" t="str">
        <f t="shared" si="26"/>
        <v/>
      </c>
      <c r="I764" s="5" t="str">
        <f>IFERROR(IF(OR(C764="PERAC",C764="FoPITY"),INDEX(Customizations!$C$2:$C$41,MATCH(Sheet1!D764,Customizations!$B$2:$B$41,0),1),INDEX(About!C:C,MATCH(Sheet1!C764,About!B:B,0),1)),"")</f>
        <v/>
      </c>
      <c r="J764" s="5">
        <f>IFERROR(INDEX(About!$D$34:$D$222,MATCH(Sheet1!I764,About!$C$34:$C$222,0),1),0)</f>
        <v>0</v>
      </c>
      <c r="K764" s="6">
        <f t="shared" si="28"/>
        <v>0</v>
      </c>
    </row>
    <row r="765" spans="1:11" x14ac:dyDescent="0.25">
      <c r="H765" t="str">
        <f t="shared" si="26"/>
        <v/>
      </c>
      <c r="I765" s="5" t="str">
        <f>IFERROR(IF(OR(C765="PERAC",C765="FoPITY"),INDEX(Customizations!$C$2:$C$41,MATCH(Sheet1!D765,Customizations!$B$2:$B$41,0),1),INDEX(About!C:C,MATCH(Sheet1!C765,About!B:B,0),1)),"")</f>
        <v/>
      </c>
      <c r="J765" s="5">
        <f>IFERROR(INDEX(About!$D$34:$D$222,MATCH(Sheet1!I765,About!$C$34:$C$222,0),1),0)</f>
        <v>0</v>
      </c>
      <c r="K765" s="6">
        <f t="shared" si="28"/>
        <v>0</v>
      </c>
    </row>
    <row r="766" spans="1:11" x14ac:dyDescent="0.25">
      <c r="H766" t="str">
        <f t="shared" si="26"/>
        <v/>
      </c>
      <c r="I766" s="5" t="str">
        <f>IFERROR(IF(OR(C766="PERAC",C766="FoPITY"),INDEX(Customizations!$C$2:$C$41,MATCH(Sheet1!D766,Customizations!$B$2:$B$41,0),1),INDEX(About!C:C,MATCH(Sheet1!C766,About!B:B,0),1)),"")</f>
        <v/>
      </c>
      <c r="J766" s="5">
        <f>IFERROR(INDEX(About!$D$34:$D$222,MATCH(Sheet1!I766,About!$C$34:$C$222,0),1),0)</f>
        <v>0</v>
      </c>
      <c r="K766" s="6">
        <f t="shared" si="28"/>
        <v>0</v>
      </c>
    </row>
    <row r="767" spans="1:11" x14ac:dyDescent="0.25">
      <c r="H767" t="str">
        <f t="shared" si="26"/>
        <v/>
      </c>
      <c r="I767" s="5" t="str">
        <f>IFERROR(IF(OR(C767="PERAC",C767="FoPITY"),INDEX(Customizations!$C$2:$C$41,MATCH(Sheet1!D767,Customizations!$B$2:$B$41,0),1),INDEX(About!C:C,MATCH(Sheet1!C767,About!B:B,0),1)),"")</f>
        <v/>
      </c>
      <c r="J767" s="5">
        <f>IFERROR(INDEX(About!$D$34:$D$222,MATCH(Sheet1!I767,About!$C$34:$C$222,0),1),0)</f>
        <v>0</v>
      </c>
      <c r="K767" s="6">
        <f t="shared" si="28"/>
        <v>0</v>
      </c>
    </row>
    <row r="768" spans="1:11" x14ac:dyDescent="0.25">
      <c r="H768" t="str">
        <f t="shared" si="26"/>
        <v/>
      </c>
      <c r="I768" s="5" t="str">
        <f>IFERROR(IF(OR(C768="PERAC",C768="FoPITY"),INDEX(Customizations!$C$2:$C$41,MATCH(Sheet1!D768,Customizations!$B$2:$B$41,0),1),INDEX(About!C:C,MATCH(Sheet1!C768,About!B:B,0),1)),"")</f>
        <v/>
      </c>
      <c r="J768" s="5">
        <f>IFERROR(INDEX(About!$D$34:$D$222,MATCH(Sheet1!I768,About!$C$34:$C$222,0),1),0)</f>
        <v>0</v>
      </c>
      <c r="K768" s="6">
        <f t="shared" si="28"/>
        <v>0</v>
      </c>
    </row>
    <row r="769" spans="8:11" x14ac:dyDescent="0.25">
      <c r="H769" t="str">
        <f t="shared" si="26"/>
        <v/>
      </c>
      <c r="I769" s="5" t="str">
        <f>IFERROR(IF(OR(C769="PERAC",C769="FoPITY"),INDEX(Customizations!$C$2:$C$41,MATCH(Sheet1!D769,Customizations!$B$2:$B$41,0),1),INDEX(About!C:C,MATCH(Sheet1!C769,About!B:B,0),1)),"")</f>
        <v/>
      </c>
      <c r="J769" s="5">
        <f>IFERROR(INDEX(About!$D$34:$D$222,MATCH(Sheet1!I769,About!$C$34:$C$222,0),1),0)</f>
        <v>0</v>
      </c>
      <c r="K769" s="6">
        <f t="shared" si="28"/>
        <v>0</v>
      </c>
    </row>
    <row r="770" spans="8:11" x14ac:dyDescent="0.25">
      <c r="H770" t="str">
        <f t="shared" si="26"/>
        <v/>
      </c>
      <c r="I770" s="5" t="str">
        <f>IFERROR(IF(OR(C770="PERAC",C770="FoPITY"),INDEX(Customizations!$C$2:$C$41,MATCH(Sheet1!D770,Customizations!$B$2:$B$41,0),1),INDEX(About!C:C,MATCH(Sheet1!C770,About!B:B,0),1)),"")</f>
        <v/>
      </c>
      <c r="J770" s="5">
        <f>IFERROR(INDEX(About!$D$34:$D$222,MATCH(Sheet1!I770,About!$C$34:$C$222,0),1),0)</f>
        <v>0</v>
      </c>
      <c r="K770" s="6">
        <f t="shared" si="28"/>
        <v>0</v>
      </c>
    </row>
    <row r="771" spans="8:11" x14ac:dyDescent="0.25">
      <c r="H771" t="str">
        <f t="shared" si="26"/>
        <v/>
      </c>
      <c r="I771" s="5" t="str">
        <f>IFERROR(IF(OR(C771="PERAC",C771="FoPITY"),INDEX(Customizations!$C$2:$C$41,MATCH(Sheet1!D771,Customizations!$B$2:$B$41,0),1),INDEX(About!C:C,MATCH(Sheet1!C771,About!B:B,0),1)),"")</f>
        <v/>
      </c>
      <c r="J771" s="5">
        <f>IFERROR(INDEX(About!$D$34:$D$222,MATCH(Sheet1!I771,About!$C$34:$C$222,0),1),0)</f>
        <v>0</v>
      </c>
      <c r="K771" s="6">
        <f t="shared" si="28"/>
        <v>0</v>
      </c>
    </row>
    <row r="772" spans="8:11" x14ac:dyDescent="0.25">
      <c r="H772" t="str">
        <f t="shared" si="26"/>
        <v/>
      </c>
      <c r="I772" s="5" t="str">
        <f>IFERROR(IF(OR(C772="PERAC",C772="FoPITY"),INDEX(Customizations!$C$2:$C$41,MATCH(Sheet1!D772,Customizations!$B$2:$B$41,0),1),INDEX(About!C:C,MATCH(Sheet1!C772,About!B:B,0),1)),"")</f>
        <v/>
      </c>
      <c r="J772" s="5">
        <f>IFERROR(INDEX(About!$D$34:$D$222,MATCH(Sheet1!I772,About!$C$34:$C$222,0),1),0)</f>
        <v>0</v>
      </c>
      <c r="K772" s="6">
        <f t="shared" si="28"/>
        <v>0</v>
      </c>
    </row>
    <row r="773" spans="8:11" x14ac:dyDescent="0.25">
      <c r="H773" t="str">
        <f t="shared" si="26"/>
        <v/>
      </c>
      <c r="I773" s="5" t="str">
        <f>IFERROR(IF(OR(C773="PERAC",C773="FoPITY"),INDEX(Customizations!$C$2:$C$41,MATCH(Sheet1!D773,Customizations!$B$2:$B$41,0),1),INDEX(About!C:C,MATCH(Sheet1!C773,About!B:B,0),1)),"")</f>
        <v/>
      </c>
      <c r="J773" s="5">
        <f>IFERROR(INDEX(About!$D$34:$D$222,MATCH(Sheet1!I773,About!$C$34:$C$222,0),1),0)</f>
        <v>0</v>
      </c>
      <c r="K773" s="6">
        <f t="shared" si="28"/>
        <v>0</v>
      </c>
    </row>
    <row r="774" spans="8:11" x14ac:dyDescent="0.25">
      <c r="H774" t="str">
        <f t="shared" si="26"/>
        <v/>
      </c>
      <c r="I774" s="5" t="str">
        <f>IFERROR(IF(OR(C774="PERAC",C774="FoPITY"),INDEX(Customizations!$C$2:$C$41,MATCH(Sheet1!D774,Customizations!$B$2:$B$41,0),1),INDEX(About!C:C,MATCH(Sheet1!C774,About!B:B,0),1)),"")</f>
        <v/>
      </c>
      <c r="J774" s="5">
        <f>IFERROR(INDEX(About!$D$34:$D$222,MATCH(Sheet1!I774,About!$C$34:$C$222,0),1),0)</f>
        <v>0</v>
      </c>
      <c r="K774" s="6">
        <f t="shared" si="28"/>
        <v>0</v>
      </c>
    </row>
    <row r="775" spans="8:11" x14ac:dyDescent="0.25">
      <c r="H775" t="str">
        <f t="shared" ref="H775:H817" si="29">RIGHT(D775,"4")</f>
        <v/>
      </c>
      <c r="I775" s="5" t="str">
        <f>IFERROR(IF(OR(C775="PERAC",C775="FoPITY"),INDEX(Customizations!$C$2:$C$41,MATCH(Sheet1!D775,Customizations!$B$2:$B$41,0),1),INDEX(About!C:C,MATCH(Sheet1!C775,About!B:B,0),1)),"")</f>
        <v/>
      </c>
      <c r="J775" s="5">
        <f>IFERROR(INDEX(About!$D$34:$D$222,MATCH(Sheet1!I775,About!$C$34:$C$222,0),1),0)</f>
        <v>0</v>
      </c>
      <c r="K775" s="6">
        <f t="shared" si="28"/>
        <v>0</v>
      </c>
    </row>
    <row r="776" spans="8:11" x14ac:dyDescent="0.25">
      <c r="H776" t="str">
        <f t="shared" si="29"/>
        <v/>
      </c>
      <c r="I776" s="5" t="str">
        <f>IFERROR(IF(OR(C776="PERAC",C776="FoPITY"),INDEX(Customizations!$C$2:$C$41,MATCH(Sheet1!D776,Customizations!$B$2:$B$41,0),1),INDEX(About!C:C,MATCH(Sheet1!C776,About!B:B,0),1)),"")</f>
        <v/>
      </c>
      <c r="J776" s="5">
        <f>IFERROR(INDEX(About!$D$34:$D$222,MATCH(Sheet1!I776,About!$C$34:$C$222,0),1),0)</f>
        <v>0</v>
      </c>
      <c r="K776" s="6">
        <f t="shared" si="28"/>
        <v>0</v>
      </c>
    </row>
    <row r="777" spans="8:11" x14ac:dyDescent="0.25">
      <c r="H777" t="str">
        <f t="shared" si="29"/>
        <v/>
      </c>
      <c r="I777" s="5" t="str">
        <f>IFERROR(IF(OR(C777="PERAC",C777="FoPITY"),INDEX(Customizations!$C$2:$C$41,MATCH(Sheet1!D777,Customizations!$B$2:$B$41,0),1),INDEX(About!C:C,MATCH(Sheet1!C777,About!B:B,0),1)),"")</f>
        <v/>
      </c>
      <c r="J777" s="5">
        <f>IFERROR(INDEX(About!$D$34:$D$222,MATCH(Sheet1!I777,About!$C$34:$C$222,0),1),0)</f>
        <v>0</v>
      </c>
      <c r="K777" s="6">
        <f t="shared" si="28"/>
        <v>0</v>
      </c>
    </row>
    <row r="778" spans="8:11" x14ac:dyDescent="0.25">
      <c r="H778" t="str">
        <f t="shared" si="29"/>
        <v/>
      </c>
      <c r="I778" s="5" t="str">
        <f>IFERROR(IF(OR(C778="PERAC",C778="FoPITY"),INDEX(Customizations!$C$2:$C$41,MATCH(Sheet1!D778,Customizations!$B$2:$B$41,0),1),INDEX(About!C:C,MATCH(Sheet1!C778,About!B:B,0),1)),"")</f>
        <v/>
      </c>
      <c r="J778" s="5">
        <f>IFERROR(INDEX(About!$D$34:$D$222,MATCH(Sheet1!I778,About!$C$34:$C$222,0),1),0)</f>
        <v>0</v>
      </c>
      <c r="K778" s="6">
        <f t="shared" si="28"/>
        <v>0</v>
      </c>
    </row>
    <row r="779" spans="8:11" x14ac:dyDescent="0.25">
      <c r="H779" t="str">
        <f t="shared" si="29"/>
        <v/>
      </c>
      <c r="I779" s="5" t="str">
        <f>IFERROR(IF(OR(C779="PERAC",C779="FoPITY"),INDEX(Customizations!$C$2:$C$41,MATCH(Sheet1!D779,Customizations!$B$2:$B$41,0),1),INDEX(About!C:C,MATCH(Sheet1!C779,About!B:B,0),1)),"")</f>
        <v/>
      </c>
      <c r="J779" s="5">
        <f>IFERROR(INDEX(About!$D$34:$D$222,MATCH(Sheet1!I779,About!$C$34:$C$222,0),1),0)</f>
        <v>0</v>
      </c>
      <c r="K779" s="6">
        <f t="shared" si="28"/>
        <v>0</v>
      </c>
    </row>
    <row r="780" spans="8:11" x14ac:dyDescent="0.25">
      <c r="H780" t="str">
        <f t="shared" si="29"/>
        <v/>
      </c>
      <c r="I780" s="5" t="str">
        <f>IFERROR(IF(OR(C780="PERAC",C780="FoPITY"),INDEX(Customizations!$C$2:$C$41,MATCH(Sheet1!D780,Customizations!$B$2:$B$41,0),1),INDEX(About!C:C,MATCH(Sheet1!C780,About!B:B,0),1)),"")</f>
        <v/>
      </c>
      <c r="J780" s="5">
        <f>IFERROR(INDEX(About!$D$34:$D$222,MATCH(Sheet1!I780,About!$C$34:$C$222,0),1),0)</f>
        <v>0</v>
      </c>
      <c r="K780" s="6">
        <f t="shared" si="28"/>
        <v>0</v>
      </c>
    </row>
    <row r="781" spans="8:11" x14ac:dyDescent="0.25">
      <c r="H781" t="str">
        <f t="shared" si="29"/>
        <v/>
      </c>
      <c r="I781" s="5" t="str">
        <f>IFERROR(IF(OR(C781="PERAC",C781="FoPITY"),INDEX(Customizations!$C$2:$C$41,MATCH(Sheet1!D781,Customizations!$B$2:$B$41,0),1),INDEX(About!C:C,MATCH(Sheet1!C781,About!B:B,0),1)),"")</f>
        <v/>
      </c>
      <c r="J781" s="5">
        <f>IFERROR(INDEX(About!$D$34:$D$222,MATCH(Sheet1!I781,About!$C$34:$C$222,0),1),0)</f>
        <v>0</v>
      </c>
      <c r="K781" s="6">
        <f t="shared" si="28"/>
        <v>0</v>
      </c>
    </row>
    <row r="782" spans="8:11" x14ac:dyDescent="0.25">
      <c r="H782" t="str">
        <f t="shared" si="29"/>
        <v/>
      </c>
      <c r="I782" s="5" t="str">
        <f>IFERROR(IF(OR(C782="PERAC",C782="FoPITY"),INDEX(Customizations!$C$2:$C$41,MATCH(Sheet1!D782,Customizations!$B$2:$B$41,0),1),INDEX(About!C:C,MATCH(Sheet1!C782,About!B:B,0),1)),"")</f>
        <v/>
      </c>
      <c r="J782" s="5">
        <f>IFERROR(INDEX(About!$D$34:$D$222,MATCH(Sheet1!I782,About!$C$34:$C$222,0),1),0)</f>
        <v>0</v>
      </c>
      <c r="K782" s="6">
        <f t="shared" si="28"/>
        <v>0</v>
      </c>
    </row>
    <row r="783" spans="8:11" x14ac:dyDescent="0.25">
      <c r="H783" t="str">
        <f t="shared" si="29"/>
        <v/>
      </c>
      <c r="I783" s="5" t="str">
        <f>IFERROR(IF(OR(C783="PERAC",C783="FoPITY"),INDEX(Customizations!$C$2:$C$41,MATCH(Sheet1!D783,Customizations!$B$2:$B$41,0),1),INDEX(About!C:C,MATCH(Sheet1!C783,About!B:B,0),1)),"")</f>
        <v/>
      </c>
      <c r="J783" s="5">
        <f>IFERROR(INDEX(About!$D$34:$D$222,MATCH(Sheet1!I783,About!$C$34:$C$222,0),1),0)</f>
        <v>0</v>
      </c>
      <c r="K783" s="6">
        <f t="shared" si="28"/>
        <v>0</v>
      </c>
    </row>
    <row r="784" spans="8:11" x14ac:dyDescent="0.25">
      <c r="H784" t="str">
        <f t="shared" si="29"/>
        <v/>
      </c>
      <c r="I784" s="5" t="str">
        <f>IFERROR(IF(OR(C784="PERAC",C784="FoPITY"),INDEX(Customizations!$C$2:$C$41,MATCH(Sheet1!D784,Customizations!$B$2:$B$41,0),1),INDEX(About!C:C,MATCH(Sheet1!C784,About!B:B,0),1)),"")</f>
        <v/>
      </c>
      <c r="J784" s="5">
        <f>IFERROR(INDEX(About!$D$34:$D$222,MATCH(Sheet1!I784,About!$C$34:$C$222,0),1),0)</f>
        <v>0</v>
      </c>
      <c r="K784" s="6">
        <f t="shared" si="28"/>
        <v>0</v>
      </c>
    </row>
    <row r="785" spans="8:11" x14ac:dyDescent="0.25">
      <c r="H785" t="str">
        <f t="shared" si="29"/>
        <v/>
      </c>
      <c r="I785" s="5" t="str">
        <f>IFERROR(IF(OR(C785="PERAC",C785="FoPITY"),INDEX(Customizations!$C$2:$C$41,MATCH(Sheet1!D785,Customizations!$B$2:$B$41,0),1),INDEX(About!C:C,MATCH(Sheet1!C785,About!B:B,0),1)),"")</f>
        <v/>
      </c>
      <c r="J785" s="5">
        <f>IFERROR(INDEX(About!$D$34:$D$222,MATCH(Sheet1!I785,About!$C$34:$C$222,0),1),0)</f>
        <v>0</v>
      </c>
      <c r="K785" s="6">
        <f t="shared" si="28"/>
        <v>0</v>
      </c>
    </row>
    <row r="786" spans="8:11" x14ac:dyDescent="0.25">
      <c r="H786" t="str">
        <f t="shared" si="29"/>
        <v/>
      </c>
      <c r="I786" s="5" t="str">
        <f>IFERROR(IF(OR(C786="PERAC",C786="FoPITY"),INDEX(Customizations!$C$2:$C$41,MATCH(Sheet1!D786,Customizations!$B$2:$B$41,0),1),INDEX(About!C:C,MATCH(Sheet1!C786,About!B:B,0),1)),"")</f>
        <v/>
      </c>
      <c r="J786" s="5">
        <f>IFERROR(INDEX(About!$D$34:$D$222,MATCH(Sheet1!I786,About!$C$34:$C$222,0),1),0)</f>
        <v>0</v>
      </c>
      <c r="K786" s="6">
        <f t="shared" si="28"/>
        <v>0</v>
      </c>
    </row>
    <row r="787" spans="8:11" x14ac:dyDescent="0.25">
      <c r="H787" t="str">
        <f t="shared" si="29"/>
        <v/>
      </c>
      <c r="I787" s="5" t="str">
        <f>IFERROR(IF(OR(C787="PERAC",C787="FoPITY"),INDEX(Customizations!$C$2:$C$41,MATCH(Sheet1!D787,Customizations!$B$2:$B$41,0),1),INDEX(About!C:C,MATCH(Sheet1!C787,About!B:B,0),1)),"")</f>
        <v/>
      </c>
      <c r="J787" s="5">
        <f>IFERROR(INDEX(About!$D$34:$D$222,MATCH(Sheet1!I787,About!$C$34:$C$222,0),1),0)</f>
        <v>0</v>
      </c>
      <c r="K787" s="6">
        <f t="shared" si="28"/>
        <v>0</v>
      </c>
    </row>
    <row r="788" spans="8:11" x14ac:dyDescent="0.25">
      <c r="H788" t="str">
        <f t="shared" si="29"/>
        <v/>
      </c>
      <c r="I788" s="5" t="str">
        <f>IFERROR(IF(OR(C788="PERAC",C788="FoPITY"),INDEX(Customizations!$C$2:$C$41,MATCH(Sheet1!D788,Customizations!$B$2:$B$41,0),1),INDEX(About!C:C,MATCH(Sheet1!C788,About!B:B,0),1)),"")</f>
        <v/>
      </c>
      <c r="J788" s="5">
        <f>IFERROR(INDEX(About!$D$34:$D$222,MATCH(Sheet1!I788,About!$C$34:$C$222,0),1),0)</f>
        <v>0</v>
      </c>
      <c r="K788" s="6">
        <f t="shared" si="28"/>
        <v>0</v>
      </c>
    </row>
    <row r="789" spans="8:11" x14ac:dyDescent="0.25">
      <c r="H789" t="str">
        <f t="shared" si="29"/>
        <v/>
      </c>
      <c r="I789" s="5" t="str">
        <f>IFERROR(IF(OR(C789="PERAC",C789="FoPITY"),INDEX(Customizations!$C$2:$C$41,MATCH(Sheet1!D789,Customizations!$B$2:$B$41,0),1),INDEX(About!C:C,MATCH(Sheet1!C789,About!B:B,0),1)),"")</f>
        <v/>
      </c>
      <c r="J789" s="5">
        <f>IFERROR(INDEX(About!$D$34:$D$222,MATCH(Sheet1!I789,About!$C$34:$C$222,0),1),0)</f>
        <v>0</v>
      </c>
      <c r="K789" s="6">
        <f t="shared" si="28"/>
        <v>0</v>
      </c>
    </row>
    <row r="790" spans="8:11" x14ac:dyDescent="0.25">
      <c r="H790" t="str">
        <f t="shared" si="29"/>
        <v/>
      </c>
      <c r="I790" s="5" t="str">
        <f>IFERROR(IF(OR(C790="PERAC",C790="FoPITY"),INDEX(Customizations!$C$2:$C$41,MATCH(Sheet1!D790,Customizations!$B$2:$B$41,0),1),INDEX(About!C:C,MATCH(Sheet1!C790,About!B:B,0),1)),"")</f>
        <v/>
      </c>
      <c r="J790" s="5">
        <f>IFERROR(INDEX(About!$D$34:$D$222,MATCH(Sheet1!I790,About!$C$34:$C$222,0),1),0)</f>
        <v>0</v>
      </c>
      <c r="K790" s="6">
        <f t="shared" si="28"/>
        <v>0</v>
      </c>
    </row>
    <row r="791" spans="8:11" x14ac:dyDescent="0.25">
      <c r="H791" t="str">
        <f t="shared" si="29"/>
        <v/>
      </c>
      <c r="I791" s="5" t="str">
        <f>IFERROR(IF(OR(C791="PERAC",C791="FoPITY"),INDEX(Customizations!$C$2:$C$41,MATCH(Sheet1!D791,Customizations!$B$2:$B$41,0),1),INDEX(About!C:C,MATCH(Sheet1!C791,About!B:B,0),1)),"")</f>
        <v/>
      </c>
      <c r="J791" s="5">
        <f>IFERROR(INDEX(About!$D$34:$D$222,MATCH(Sheet1!I791,About!$C$34:$C$222,0),1),0)</f>
        <v>0</v>
      </c>
      <c r="K791" s="6">
        <f t="shared" si="28"/>
        <v>0</v>
      </c>
    </row>
    <row r="792" spans="8:11" x14ac:dyDescent="0.25">
      <c r="H792" t="str">
        <f t="shared" si="29"/>
        <v/>
      </c>
      <c r="I792" s="5" t="str">
        <f>IFERROR(IF(OR(C792="PERAC",C792="FoPITY"),INDEX(Customizations!$C$2:$C$41,MATCH(Sheet1!D792,Customizations!$B$2:$B$41,0),1),INDEX(About!C:C,MATCH(Sheet1!C792,About!B:B,0),1)),"")</f>
        <v/>
      </c>
      <c r="J792" s="5">
        <f>IFERROR(INDEX(About!$D$34:$D$222,MATCH(Sheet1!I792,About!$C$34:$C$222,0),1),0)</f>
        <v>0</v>
      </c>
      <c r="K792" s="6">
        <f t="shared" si="28"/>
        <v>0</v>
      </c>
    </row>
    <row r="793" spans="8:11" x14ac:dyDescent="0.25">
      <c r="H793" t="str">
        <f t="shared" si="29"/>
        <v/>
      </c>
      <c r="I793" s="5" t="str">
        <f>IFERROR(IF(OR(C793="PERAC",C793="FoPITY"),INDEX(Customizations!$C$2:$C$41,MATCH(Sheet1!D793,Customizations!$B$2:$B$41,0),1),INDEX(About!C:C,MATCH(Sheet1!C793,About!B:B,0),1)),"")</f>
        <v/>
      </c>
      <c r="J793" s="5">
        <f>IFERROR(INDEX(About!$D$34:$D$222,MATCH(Sheet1!I793,About!$C$34:$C$222,0),1),0)</f>
        <v>0</v>
      </c>
      <c r="K793" s="6">
        <f t="shared" si="28"/>
        <v>0</v>
      </c>
    </row>
    <row r="794" spans="8:11" x14ac:dyDescent="0.25">
      <c r="H794" t="str">
        <f t="shared" si="29"/>
        <v/>
      </c>
      <c r="I794" s="5" t="str">
        <f>IFERROR(IF(OR(C794="PERAC",C794="FoPITY"),INDEX(Customizations!$C$2:$C$41,MATCH(Sheet1!D794,Customizations!$B$2:$B$41,0),1),INDEX(About!C:C,MATCH(Sheet1!C794,About!B:B,0),1)),"")</f>
        <v/>
      </c>
      <c r="J794" s="5">
        <f>IFERROR(INDEX(About!$D$34:$D$222,MATCH(Sheet1!I794,About!$C$34:$C$222,0),1),0)</f>
        <v>0</v>
      </c>
      <c r="K794" s="6">
        <f t="shared" si="28"/>
        <v>0</v>
      </c>
    </row>
    <row r="795" spans="8:11" x14ac:dyDescent="0.25">
      <c r="H795" t="str">
        <f t="shared" si="29"/>
        <v/>
      </c>
      <c r="I795" s="5" t="str">
        <f>IFERROR(IF(OR(C795="PERAC",C795="FoPITY"),INDEX(Customizations!$C$2:$C$41,MATCH(Sheet1!D795,Customizations!$B$2:$B$41,0),1),INDEX(About!C:C,MATCH(Sheet1!C795,About!B:B,0),1)),"")</f>
        <v/>
      </c>
      <c r="J795" s="5">
        <f>IFERROR(INDEX(About!$D$34:$D$222,MATCH(Sheet1!I795,About!$C$34:$C$222,0),1),0)</f>
        <v>0</v>
      </c>
      <c r="K795" s="6">
        <f t="shared" si="28"/>
        <v>0</v>
      </c>
    </row>
    <row r="796" spans="8:11" x14ac:dyDescent="0.25">
      <c r="H796" t="str">
        <f t="shared" si="29"/>
        <v/>
      </c>
      <c r="I796" s="5" t="str">
        <f>IFERROR(IF(OR(C796="PERAC",C796="FoPITY"),INDEX(Customizations!$C$2:$C$41,MATCH(Sheet1!D796,Customizations!$B$2:$B$41,0),1),INDEX(About!C:C,MATCH(Sheet1!C796,About!B:B,0),1)),"")</f>
        <v/>
      </c>
      <c r="J796" s="5">
        <f>IFERROR(INDEX(About!$D$34:$D$222,MATCH(Sheet1!I796,About!$C$34:$C$222,0),1),0)</f>
        <v>0</v>
      </c>
      <c r="K796" s="6">
        <f t="shared" si="28"/>
        <v>0</v>
      </c>
    </row>
    <row r="797" spans="8:11" x14ac:dyDescent="0.25">
      <c r="H797" t="str">
        <f t="shared" si="29"/>
        <v/>
      </c>
      <c r="I797" s="5" t="str">
        <f>IFERROR(IF(OR(C797="PERAC",C797="FoPITY"),INDEX(Customizations!$C$2:$C$41,MATCH(Sheet1!D797,Customizations!$B$2:$B$41,0),1),INDEX(About!C:C,MATCH(Sheet1!C797,About!B:B,0),1)),"")</f>
        <v/>
      </c>
      <c r="J797" s="5">
        <f>IFERROR(INDEX(About!$D$34:$D$222,MATCH(Sheet1!I797,About!$C$34:$C$222,0),1),0)</f>
        <v>0</v>
      </c>
      <c r="K797" s="6">
        <f t="shared" si="28"/>
        <v>0</v>
      </c>
    </row>
    <row r="798" spans="8:11" x14ac:dyDescent="0.25">
      <c r="H798" t="str">
        <f t="shared" si="29"/>
        <v/>
      </c>
      <c r="I798" s="5" t="str">
        <f>IFERROR(IF(OR(C798="PERAC",C798="FoPITY"),INDEX(Customizations!$C$2:$C$41,MATCH(Sheet1!D798,Customizations!$B$2:$B$41,0),1),INDEX(About!C:C,MATCH(Sheet1!C798,About!B:B,0),1)),"")</f>
        <v/>
      </c>
      <c r="J798" s="5">
        <f>IFERROR(INDEX(About!$D$34:$D$222,MATCH(Sheet1!I798,About!$C$34:$C$222,0),1),0)</f>
        <v>0</v>
      </c>
      <c r="K798" s="6">
        <f t="shared" si="28"/>
        <v>0</v>
      </c>
    </row>
    <row r="799" spans="8:11" x14ac:dyDescent="0.25">
      <c r="H799" t="str">
        <f t="shared" si="29"/>
        <v/>
      </c>
      <c r="I799" s="5" t="str">
        <f>IFERROR(IF(OR(C799="PERAC",C799="FoPITY"),INDEX(Customizations!$C$2:$C$41,MATCH(Sheet1!D799,Customizations!$B$2:$B$41,0),1),INDEX(About!C:C,MATCH(Sheet1!C799,About!B:B,0),1)),"")</f>
        <v/>
      </c>
      <c r="J799" s="5">
        <f>IFERROR(INDEX(About!$D$34:$D$222,MATCH(Sheet1!I799,About!$C$34:$C$222,0),1),0)</f>
        <v>0</v>
      </c>
      <c r="K799" s="6">
        <f t="shared" si="28"/>
        <v>0</v>
      </c>
    </row>
    <row r="800" spans="8:11" x14ac:dyDescent="0.25">
      <c r="H800" t="str">
        <f t="shared" si="29"/>
        <v/>
      </c>
      <c r="I800" s="5" t="str">
        <f>IFERROR(IF(OR(C800="PERAC",C800="FoPITY"),INDEX(Customizations!$C$2:$C$41,MATCH(Sheet1!D800,Customizations!$B$2:$B$41,0),1),INDEX(About!C:C,MATCH(Sheet1!C800,About!B:B,0),1)),"")</f>
        <v/>
      </c>
      <c r="J800" s="5">
        <f>IFERROR(INDEX(About!$D$34:$D$222,MATCH(Sheet1!I800,About!$C$34:$C$222,0),1),0)</f>
        <v>0</v>
      </c>
      <c r="K800" s="6">
        <f t="shared" si="28"/>
        <v>0</v>
      </c>
    </row>
    <row r="801" spans="8:11" x14ac:dyDescent="0.25">
      <c r="H801" t="str">
        <f t="shared" si="29"/>
        <v/>
      </c>
      <c r="I801" s="5" t="str">
        <f>IFERROR(IF(OR(C801="PERAC",C801="FoPITY"),INDEX(Customizations!$C$2:$C$41,MATCH(Sheet1!D801,Customizations!$B$2:$B$41,0),1),INDEX(About!C:C,MATCH(Sheet1!C801,About!B:B,0),1)),"")</f>
        <v/>
      </c>
      <c r="J801" s="5">
        <f>IFERROR(INDEX(About!$D$34:$D$222,MATCH(Sheet1!I801,About!$C$34:$C$222,0),1),0)</f>
        <v>0</v>
      </c>
      <c r="K801" s="6">
        <f t="shared" si="28"/>
        <v>0</v>
      </c>
    </row>
    <row r="802" spans="8:11" x14ac:dyDescent="0.25">
      <c r="H802" t="str">
        <f t="shared" si="29"/>
        <v/>
      </c>
      <c r="I802" s="5" t="str">
        <f>IFERROR(IF(OR(C802="PERAC",C802="FoPITY"),INDEX(Customizations!$C$2:$C$41,MATCH(Sheet1!D802,Customizations!$B$2:$B$41,0),1),INDEX(About!C:C,MATCH(Sheet1!C802,About!B:B,0),1)),"")</f>
        <v/>
      </c>
      <c r="J802" s="5">
        <f>IFERROR(INDEX(About!$D$34:$D$222,MATCH(Sheet1!I802,About!$C$34:$C$222,0),1),0)</f>
        <v>0</v>
      </c>
      <c r="K802" s="6">
        <f t="shared" si="28"/>
        <v>0</v>
      </c>
    </row>
    <row r="803" spans="8:11" x14ac:dyDescent="0.25">
      <c r="H803" t="str">
        <f t="shared" si="29"/>
        <v/>
      </c>
      <c r="I803" s="5" t="str">
        <f>IFERROR(IF(OR(C803="PERAC",C803="FoPITY"),INDEX(Customizations!$C$2:$C$41,MATCH(Sheet1!D803,Customizations!$B$2:$B$41,0),1),INDEX(About!C:C,MATCH(Sheet1!C803,About!B:B,0),1)),"")</f>
        <v/>
      </c>
      <c r="J803" s="5">
        <f>IFERROR(INDEX(About!$D$34:$D$222,MATCH(Sheet1!I803,About!$C$34:$C$222,0),1),0)</f>
        <v>0</v>
      </c>
      <c r="K803" s="6">
        <f t="shared" si="28"/>
        <v>0</v>
      </c>
    </row>
    <row r="804" spans="8:11" x14ac:dyDescent="0.25">
      <c r="H804" t="str">
        <f t="shared" si="29"/>
        <v/>
      </c>
      <c r="I804" s="5" t="str">
        <f>IFERROR(IF(OR(C804="PERAC",C804="FoPITY"),INDEX(Customizations!$C$2:$C$41,MATCH(Sheet1!D804,Customizations!$B$2:$B$41,0),1),INDEX(About!C:C,MATCH(Sheet1!C804,About!B:B,0),1)),"")</f>
        <v/>
      </c>
      <c r="J804" s="5">
        <f>IFERROR(INDEX(About!$D$34:$D$222,MATCH(Sheet1!I804,About!$C$34:$C$222,0),1),0)</f>
        <v>0</v>
      </c>
      <c r="K804" s="6">
        <f t="shared" si="28"/>
        <v>0</v>
      </c>
    </row>
    <row r="805" spans="8:11" x14ac:dyDescent="0.25">
      <c r="H805" t="str">
        <f t="shared" si="29"/>
        <v/>
      </c>
      <c r="I805" s="5" t="str">
        <f>IFERROR(IF(OR(C805="PERAC",C805="FoPITY"),INDEX(Customizations!$C$2:$C$41,MATCH(Sheet1!D805,Customizations!$B$2:$B$41,0),1),INDEX(About!C:C,MATCH(Sheet1!C805,About!B:B,0),1)),"")</f>
        <v/>
      </c>
      <c r="J805" s="5">
        <f>IFERROR(INDEX(About!$D$34:$D$222,MATCH(Sheet1!I805,About!$C$34:$C$222,0),1),0)</f>
        <v>0</v>
      </c>
      <c r="K805" s="6">
        <f t="shared" si="28"/>
        <v>0</v>
      </c>
    </row>
    <row r="806" spans="8:11" x14ac:dyDescent="0.25">
      <c r="H806" t="str">
        <f t="shared" si="29"/>
        <v/>
      </c>
      <c r="I806" s="5" t="str">
        <f>IFERROR(IF(OR(C806="PERAC",C806="FoPITY"),INDEX(Customizations!$C$2:$C$41,MATCH(Sheet1!D806,Customizations!$B$2:$B$41,0),1),INDEX(About!C:C,MATCH(Sheet1!C806,About!B:B,0),1)),"")</f>
        <v/>
      </c>
      <c r="J806" s="5">
        <f>IFERROR(INDEX(About!$D$34:$D$222,MATCH(Sheet1!I806,About!$C$34:$C$222,0),1),0)</f>
        <v>0</v>
      </c>
      <c r="K806" s="6">
        <f t="shared" si="28"/>
        <v>0</v>
      </c>
    </row>
    <row r="807" spans="8:11" x14ac:dyDescent="0.25">
      <c r="H807" t="str">
        <f t="shared" si="29"/>
        <v/>
      </c>
      <c r="I807" s="5" t="str">
        <f>IFERROR(IF(OR(C807="PERAC",C807="FoPITY"),INDEX(Customizations!$C$2:$C$41,MATCH(Sheet1!D807,Customizations!$B$2:$B$41,0),1),INDEX(About!C:C,MATCH(Sheet1!C807,About!B:B,0),1)),"")</f>
        <v/>
      </c>
      <c r="J807" s="5">
        <f>IFERROR(INDEX(About!$D$34:$D$222,MATCH(Sheet1!I807,About!$C$34:$C$222,0),1),0)</f>
        <v>0</v>
      </c>
      <c r="K807" s="6">
        <f t="shared" si="28"/>
        <v>0</v>
      </c>
    </row>
    <row r="808" spans="8:11" x14ac:dyDescent="0.25">
      <c r="H808" t="str">
        <f t="shared" si="29"/>
        <v/>
      </c>
      <c r="I808" s="5" t="str">
        <f>IFERROR(IF(OR(C808="PERAC",C808="FoPITY"),INDEX(Customizations!$C$2:$C$41,MATCH(Sheet1!D808,Customizations!$B$2:$B$41,0),1),INDEX(About!C:C,MATCH(Sheet1!C808,About!B:B,0),1)),"")</f>
        <v/>
      </c>
      <c r="J808" s="5">
        <f>IFERROR(INDEX(About!$D$34:$D$222,MATCH(Sheet1!I808,About!$C$34:$C$222,0),1),0)</f>
        <v>0</v>
      </c>
      <c r="K808" s="6">
        <f t="shared" si="28"/>
        <v>0</v>
      </c>
    </row>
    <row r="809" spans="8:11" x14ac:dyDescent="0.25">
      <c r="H809" t="str">
        <f t="shared" si="29"/>
        <v/>
      </c>
      <c r="I809" s="5" t="str">
        <f>IFERROR(IF(OR(C809="PERAC",C809="FoPITY"),INDEX(Customizations!$C$2:$C$41,MATCH(Sheet1!D809,Customizations!$B$2:$B$41,0),1),INDEX(About!C:C,MATCH(Sheet1!C809,About!B:B,0),1)),"")</f>
        <v/>
      </c>
      <c r="J809" s="5">
        <f>IFERROR(INDEX(About!$D$34:$D$222,MATCH(Sheet1!I809,About!$C$34:$C$222,0),1),0)</f>
        <v>0</v>
      </c>
      <c r="K809" s="6">
        <f t="shared" si="28"/>
        <v>0</v>
      </c>
    </row>
    <row r="810" spans="8:11" x14ac:dyDescent="0.25">
      <c r="H810" t="str">
        <f t="shared" si="29"/>
        <v/>
      </c>
      <c r="I810" s="5" t="str">
        <f>IFERROR(IF(OR(C810="PERAC",C810="FoPITY"),INDEX(Customizations!$C$2:$C$41,MATCH(Sheet1!D810,Customizations!$B$2:$B$41,0),1),INDEX(About!C:C,MATCH(Sheet1!C810,About!B:B,0),1)),"")</f>
        <v/>
      </c>
      <c r="J810" s="5">
        <f>IFERROR(INDEX(About!$D$34:$D$222,MATCH(Sheet1!I810,About!$C$34:$C$222,0),1),0)</f>
        <v>0</v>
      </c>
      <c r="K810" s="6">
        <f t="shared" si="28"/>
        <v>0</v>
      </c>
    </row>
    <row r="811" spans="8:11" x14ac:dyDescent="0.25">
      <c r="H811" t="str">
        <f t="shared" si="29"/>
        <v/>
      </c>
      <c r="I811" s="5" t="str">
        <f>IFERROR(IF(OR(C811="PERAC",C811="FoPITY"),INDEX(Customizations!$C$2:$C$41,MATCH(Sheet1!D811,Customizations!$B$2:$B$41,0),1),INDEX(About!C:C,MATCH(Sheet1!C811,About!B:B,0),1)),"")</f>
        <v/>
      </c>
      <c r="J811" s="5">
        <f>IFERROR(INDEX(About!$D$34:$D$222,MATCH(Sheet1!I811,About!$C$34:$C$222,0),1),0)</f>
        <v>0</v>
      </c>
      <c r="K811" s="6">
        <f t="shared" si="28"/>
        <v>0</v>
      </c>
    </row>
    <row r="812" spans="8:11" x14ac:dyDescent="0.25">
      <c r="H812" t="str">
        <f t="shared" si="29"/>
        <v/>
      </c>
      <c r="I812" s="5" t="str">
        <f>IFERROR(IF(OR(C812="PERAC",C812="FoPITY"),INDEX(Customizations!$C$2:$C$41,MATCH(Sheet1!D812,Customizations!$B$2:$B$41,0),1),INDEX(About!C:C,MATCH(Sheet1!C812,About!B:B,0),1)),"")</f>
        <v/>
      </c>
      <c r="J812" s="5">
        <f>IFERROR(INDEX(About!$D$34:$D$222,MATCH(Sheet1!I812,About!$C$34:$C$222,0),1),0)</f>
        <v>0</v>
      </c>
      <c r="K812" s="6">
        <f t="shared" si="28"/>
        <v>0</v>
      </c>
    </row>
    <row r="813" spans="8:11" x14ac:dyDescent="0.25">
      <c r="H813" t="str">
        <f t="shared" si="29"/>
        <v/>
      </c>
      <c r="I813" s="5" t="str">
        <f>IFERROR(IF(OR(C813="PERAC",C813="FoPITY"),INDEX(Customizations!$C$2:$C$41,MATCH(Sheet1!D813,Customizations!$B$2:$B$41,0),1),INDEX(About!C:C,MATCH(Sheet1!C813,About!B:B,0),1)),"")</f>
        <v/>
      </c>
      <c r="J813" s="5">
        <f>IFERROR(INDEX(About!$D$34:$D$222,MATCH(Sheet1!I813,About!$C$34:$C$222,0),1),0)</f>
        <v>0</v>
      </c>
      <c r="K813" s="6">
        <f t="shared" si="28"/>
        <v>0</v>
      </c>
    </row>
    <row r="814" spans="8:11" x14ac:dyDescent="0.25">
      <c r="H814" t="str">
        <f t="shared" si="29"/>
        <v/>
      </c>
      <c r="I814" s="5" t="str">
        <f>IFERROR(IF(OR(C814="PERAC",C814="FoPITY"),INDEX(Customizations!$C$2:$C$41,MATCH(Sheet1!D814,Customizations!$B$2:$B$41,0),1),INDEX(About!C:C,MATCH(Sheet1!C814,About!B:B,0),1)),"")</f>
        <v/>
      </c>
      <c r="J814" s="5">
        <f>IFERROR(INDEX(About!$D$34:$D$222,MATCH(Sheet1!I814,About!$C$34:$C$222,0),1),0)</f>
        <v>0</v>
      </c>
      <c r="K814" s="6">
        <f t="shared" si="28"/>
        <v>0</v>
      </c>
    </row>
    <row r="815" spans="8:11" x14ac:dyDescent="0.25">
      <c r="H815" t="str">
        <f t="shared" si="29"/>
        <v/>
      </c>
      <c r="I815" s="5" t="str">
        <f>IFERROR(IF(OR(C815="PERAC",C815="FoPITY"),INDEX(Customizations!$C$2:$C$41,MATCH(Sheet1!D815,Customizations!$B$2:$B$41,0),1),INDEX(About!C:C,MATCH(Sheet1!C815,About!B:B,0),1)),"")</f>
        <v/>
      </c>
      <c r="J815" s="5">
        <f>IFERROR(INDEX(About!$D$34:$D$222,MATCH(Sheet1!I815,About!$C$34:$C$222,0),1),0)</f>
        <v>0</v>
      </c>
      <c r="K815" s="6">
        <f t="shared" si="28"/>
        <v>0</v>
      </c>
    </row>
    <row r="816" spans="8:11" x14ac:dyDescent="0.25">
      <c r="H816" t="str">
        <f t="shared" si="29"/>
        <v/>
      </c>
      <c r="I816" s="5" t="str">
        <f>IFERROR(IF(OR(C816="PERAC",C816="FoPITY"),INDEX(Customizations!$C$2:$C$41,MATCH(Sheet1!D816,Customizations!$B$2:$B$41,0),1),INDEX(About!C:C,MATCH(Sheet1!C816,About!B:B,0),1)),"")</f>
        <v/>
      </c>
      <c r="J816" s="5">
        <f>IFERROR(INDEX(About!$D$34:$D$222,MATCH(Sheet1!I816,About!$C$34:$C$222,0),1),0)</f>
        <v>0</v>
      </c>
      <c r="K816" s="6">
        <f t="shared" si="28"/>
        <v>0</v>
      </c>
    </row>
    <row r="817" spans="8:11" x14ac:dyDescent="0.25">
      <c r="H817" t="str">
        <f t="shared" si="29"/>
        <v/>
      </c>
      <c r="I817" s="5" t="str">
        <f>IFERROR(IF(OR(C817="PERAC",C817="FoPITY"),INDEX(Customizations!$C$2:$C$41,MATCH(Sheet1!D817,Customizations!$B$2:$B$41,0),1),INDEX(About!C:C,MATCH(Sheet1!C817,About!B:B,0),1)),"")</f>
        <v/>
      </c>
      <c r="J817" s="5">
        <f>IFERROR(INDEX(About!$D$34:$D$222,MATCH(Sheet1!I817,About!$C$34:$C$222,0),1),0)</f>
        <v>0</v>
      </c>
      <c r="K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62"/>
  <sheetViews>
    <sheetView workbookViewId="0">
      <selection activeCell="D35" sqref="D35"/>
    </sheetView>
  </sheetViews>
  <sheetFormatPr defaultRowHeight="15" x14ac:dyDescent="0.25"/>
  <sheetData>
    <row r="1" spans="1:1" x14ac:dyDescent="0.25">
      <c r="A1" t="s">
        <v>991</v>
      </c>
    </row>
    <row r="2" spans="1:1" x14ac:dyDescent="0.25">
      <c r="A2" t="s">
        <v>992</v>
      </c>
    </row>
    <row r="3" spans="1:1" x14ac:dyDescent="0.25">
      <c r="A3" t="s">
        <v>993</v>
      </c>
    </row>
    <row r="4" spans="1:1" x14ac:dyDescent="0.25">
      <c r="A4" t="s">
        <v>994</v>
      </c>
    </row>
    <row r="5" spans="1:1" x14ac:dyDescent="0.25">
      <c r="A5" t="s">
        <v>995</v>
      </c>
    </row>
    <row r="6" spans="1:1" x14ac:dyDescent="0.25">
      <c r="A6" t="s">
        <v>996</v>
      </c>
    </row>
    <row r="7" spans="1:1" x14ac:dyDescent="0.25">
      <c r="A7" t="s">
        <v>997</v>
      </c>
    </row>
    <row r="8" spans="1:1" x14ac:dyDescent="0.25">
      <c r="A8" t="s">
        <v>998</v>
      </c>
    </row>
    <row r="9" spans="1:1" x14ac:dyDescent="0.25">
      <c r="A9" t="s">
        <v>999</v>
      </c>
    </row>
    <row r="10" spans="1:1" x14ac:dyDescent="0.25">
      <c r="A10" t="s">
        <v>1000</v>
      </c>
    </row>
    <row r="11" spans="1:1" x14ac:dyDescent="0.25">
      <c r="A11" t="s">
        <v>1001</v>
      </c>
    </row>
    <row r="12" spans="1:1" x14ac:dyDescent="0.25">
      <c r="A12" t="s">
        <v>1002</v>
      </c>
    </row>
    <row r="13" spans="1:1" x14ac:dyDescent="0.25">
      <c r="A13" t="s">
        <v>1003</v>
      </c>
    </row>
    <row r="14" spans="1:1" x14ac:dyDescent="0.25">
      <c r="A14" t="s">
        <v>1004</v>
      </c>
    </row>
    <row r="15" spans="1:1" x14ac:dyDescent="0.25">
      <c r="A15" t="s">
        <v>1005</v>
      </c>
    </row>
    <row r="16" spans="1:1" x14ac:dyDescent="0.25">
      <c r="A16" t="s">
        <v>1006</v>
      </c>
    </row>
    <row r="17" spans="1:1" x14ac:dyDescent="0.25">
      <c r="A17" t="s">
        <v>1007</v>
      </c>
    </row>
    <row r="18" spans="1:1" x14ac:dyDescent="0.25">
      <c r="A18" t="s">
        <v>1008</v>
      </c>
    </row>
    <row r="19" spans="1:1" x14ac:dyDescent="0.25">
      <c r="A19" t="s">
        <v>1009</v>
      </c>
    </row>
    <row r="20" spans="1:1" x14ac:dyDescent="0.25">
      <c r="A20" t="s">
        <v>1010</v>
      </c>
    </row>
    <row r="21" spans="1:1" x14ac:dyDescent="0.25">
      <c r="A21" t="s">
        <v>1011</v>
      </c>
    </row>
    <row r="22" spans="1:1" x14ac:dyDescent="0.25">
      <c r="A22" t="s">
        <v>1012</v>
      </c>
    </row>
    <row r="23" spans="1:1" x14ac:dyDescent="0.25">
      <c r="A23" t="s">
        <v>1013</v>
      </c>
    </row>
    <row r="24" spans="1:1" x14ac:dyDescent="0.25">
      <c r="A24" t="s">
        <v>1014</v>
      </c>
    </row>
    <row r="25" spans="1:1" x14ac:dyDescent="0.25">
      <c r="A25" t="s">
        <v>1015</v>
      </c>
    </row>
    <row r="26" spans="1:1" x14ac:dyDescent="0.25">
      <c r="A26" t="s">
        <v>1016</v>
      </c>
    </row>
    <row r="27" spans="1:1" x14ac:dyDescent="0.25">
      <c r="A27" t="s">
        <v>1017</v>
      </c>
    </row>
    <row r="28" spans="1:1" x14ac:dyDescent="0.25">
      <c r="A28" t="s">
        <v>1018</v>
      </c>
    </row>
    <row r="29" spans="1:1" x14ac:dyDescent="0.25">
      <c r="A29" t="s">
        <v>1019</v>
      </c>
    </row>
    <row r="30" spans="1:1" x14ac:dyDescent="0.25">
      <c r="A30" t="s">
        <v>1020</v>
      </c>
    </row>
    <row r="31" spans="1:1" x14ac:dyDescent="0.25">
      <c r="A31" t="s">
        <v>1021</v>
      </c>
    </row>
    <row r="32" spans="1:1" x14ac:dyDescent="0.25">
      <c r="A32" t="s">
        <v>1022</v>
      </c>
    </row>
    <row r="33" spans="1:1" x14ac:dyDescent="0.25">
      <c r="A33" t="s">
        <v>1023</v>
      </c>
    </row>
    <row r="34" spans="1:1" x14ac:dyDescent="0.25">
      <c r="A34" t="s">
        <v>1024</v>
      </c>
    </row>
    <row r="35" spans="1:1" x14ac:dyDescent="0.25">
      <c r="A35" t="s">
        <v>1025</v>
      </c>
    </row>
    <row r="36" spans="1:1" x14ac:dyDescent="0.25">
      <c r="A36" t="s">
        <v>1026</v>
      </c>
    </row>
    <row r="37" spans="1:1" x14ac:dyDescent="0.25">
      <c r="A37" t="s">
        <v>1027</v>
      </c>
    </row>
    <row r="38" spans="1:1" x14ac:dyDescent="0.25">
      <c r="A38" t="s">
        <v>1028</v>
      </c>
    </row>
    <row r="39" spans="1:1" x14ac:dyDescent="0.25">
      <c r="A39" t="s">
        <v>1029</v>
      </c>
    </row>
    <row r="40" spans="1:1" x14ac:dyDescent="0.25">
      <c r="A40" t="s">
        <v>1030</v>
      </c>
    </row>
    <row r="41" spans="1:1" x14ac:dyDescent="0.25">
      <c r="A41" t="s">
        <v>1031</v>
      </c>
    </row>
    <row r="42" spans="1:1" x14ac:dyDescent="0.25">
      <c r="A42" t="s">
        <v>1032</v>
      </c>
    </row>
    <row r="43" spans="1:1" x14ac:dyDescent="0.25">
      <c r="A43" t="s">
        <v>1033</v>
      </c>
    </row>
    <row r="44" spans="1:1" x14ac:dyDescent="0.25">
      <c r="A44" t="s">
        <v>1034</v>
      </c>
    </row>
    <row r="45" spans="1:1" x14ac:dyDescent="0.25">
      <c r="A45" t="s">
        <v>1035</v>
      </c>
    </row>
    <row r="46" spans="1:1" x14ac:dyDescent="0.25">
      <c r="A46" t="s">
        <v>1036</v>
      </c>
    </row>
    <row r="47" spans="1:1" x14ac:dyDescent="0.25">
      <c r="A47" t="s">
        <v>1037</v>
      </c>
    </row>
    <row r="48" spans="1:1" x14ac:dyDescent="0.25">
      <c r="A48" t="s">
        <v>1038</v>
      </c>
    </row>
    <row r="49" spans="1:1" x14ac:dyDescent="0.25">
      <c r="A49" t="s">
        <v>1039</v>
      </c>
    </row>
    <row r="50" spans="1:1" x14ac:dyDescent="0.25">
      <c r="A50" t="s">
        <v>1040</v>
      </c>
    </row>
    <row r="51" spans="1:1" x14ac:dyDescent="0.25">
      <c r="A51" t="s">
        <v>1041</v>
      </c>
    </row>
    <row r="52" spans="1:1" x14ac:dyDescent="0.25">
      <c r="A52" t="s">
        <v>1042</v>
      </c>
    </row>
    <row r="53" spans="1:1" x14ac:dyDescent="0.25">
      <c r="A53" t="s">
        <v>1043</v>
      </c>
    </row>
    <row r="54" spans="1:1" x14ac:dyDescent="0.25">
      <c r="A54" t="s">
        <v>1044</v>
      </c>
    </row>
    <row r="55" spans="1:1" x14ac:dyDescent="0.25">
      <c r="A55" t="s">
        <v>1045</v>
      </c>
    </row>
    <row r="56" spans="1:1" x14ac:dyDescent="0.25">
      <c r="A56" t="s">
        <v>1046</v>
      </c>
    </row>
    <row r="57" spans="1:1" x14ac:dyDescent="0.25">
      <c r="A57" t="s">
        <v>1047</v>
      </c>
    </row>
    <row r="58" spans="1:1" x14ac:dyDescent="0.25">
      <c r="A58" t="s">
        <v>1048</v>
      </c>
    </row>
    <row r="59" spans="1:1" x14ac:dyDescent="0.25">
      <c r="A59" t="s">
        <v>1049</v>
      </c>
    </row>
    <row r="60" spans="1:1" x14ac:dyDescent="0.25">
      <c r="A60" t="s">
        <v>1050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1054</v>
      </c>
    </row>
    <row r="65" spans="1:1" x14ac:dyDescent="0.25">
      <c r="A65" t="s">
        <v>1055</v>
      </c>
    </row>
    <row r="66" spans="1:1" x14ac:dyDescent="0.25">
      <c r="A66" t="s">
        <v>1056</v>
      </c>
    </row>
    <row r="67" spans="1:1" x14ac:dyDescent="0.25">
      <c r="A67" t="s">
        <v>1057</v>
      </c>
    </row>
    <row r="68" spans="1:1" x14ac:dyDescent="0.25">
      <c r="A68" t="s">
        <v>1058</v>
      </c>
    </row>
    <row r="69" spans="1:1" x14ac:dyDescent="0.25">
      <c r="A69" t="s">
        <v>1059</v>
      </c>
    </row>
    <row r="70" spans="1:1" x14ac:dyDescent="0.25">
      <c r="A70" t="s">
        <v>1060</v>
      </c>
    </row>
    <row r="71" spans="1:1" x14ac:dyDescent="0.25">
      <c r="A71" t="s">
        <v>1061</v>
      </c>
    </row>
    <row r="72" spans="1:1" x14ac:dyDescent="0.25">
      <c r="A72" t="s">
        <v>1062</v>
      </c>
    </row>
    <row r="73" spans="1:1" x14ac:dyDescent="0.25">
      <c r="A73" t="s">
        <v>1063</v>
      </c>
    </row>
    <row r="74" spans="1:1" x14ac:dyDescent="0.25">
      <c r="A74" t="s">
        <v>1064</v>
      </c>
    </row>
    <row r="75" spans="1:1" x14ac:dyDescent="0.25">
      <c r="A75" t="s">
        <v>1065</v>
      </c>
    </row>
    <row r="76" spans="1:1" x14ac:dyDescent="0.25">
      <c r="A76" t="s">
        <v>1066</v>
      </c>
    </row>
    <row r="77" spans="1:1" x14ac:dyDescent="0.25">
      <c r="A77" t="s">
        <v>1067</v>
      </c>
    </row>
    <row r="78" spans="1:1" x14ac:dyDescent="0.25">
      <c r="A78" t="s">
        <v>1068</v>
      </c>
    </row>
    <row r="79" spans="1:1" x14ac:dyDescent="0.25">
      <c r="A79" t="s">
        <v>1069</v>
      </c>
    </row>
    <row r="80" spans="1:1" x14ac:dyDescent="0.25">
      <c r="A80" t="s">
        <v>1070</v>
      </c>
    </row>
    <row r="81" spans="1:1" x14ac:dyDescent="0.25">
      <c r="A81" t="s">
        <v>1071</v>
      </c>
    </row>
    <row r="82" spans="1:1" x14ac:dyDescent="0.25">
      <c r="A82" t="s">
        <v>1072</v>
      </c>
    </row>
    <row r="83" spans="1:1" x14ac:dyDescent="0.25">
      <c r="A83" t="s">
        <v>1073</v>
      </c>
    </row>
    <row r="84" spans="1:1" x14ac:dyDescent="0.25">
      <c r="A84" t="s">
        <v>1074</v>
      </c>
    </row>
    <row r="85" spans="1:1" x14ac:dyDescent="0.25">
      <c r="A85" t="s">
        <v>1075</v>
      </c>
    </row>
    <row r="86" spans="1:1" x14ac:dyDescent="0.25">
      <c r="A86" t="s">
        <v>1076</v>
      </c>
    </row>
    <row r="87" spans="1:1" x14ac:dyDescent="0.25">
      <c r="A87" t="s">
        <v>1077</v>
      </c>
    </row>
    <row r="88" spans="1:1" x14ac:dyDescent="0.25">
      <c r="A88" t="s">
        <v>1078</v>
      </c>
    </row>
    <row r="89" spans="1:1" x14ac:dyDescent="0.25">
      <c r="A89" t="s">
        <v>1079</v>
      </c>
    </row>
    <row r="90" spans="1:1" x14ac:dyDescent="0.25">
      <c r="A90" t="s">
        <v>1080</v>
      </c>
    </row>
    <row r="91" spans="1:1" x14ac:dyDescent="0.25">
      <c r="A91" t="s">
        <v>1081</v>
      </c>
    </row>
    <row r="92" spans="1:1" x14ac:dyDescent="0.25">
      <c r="A92" t="s">
        <v>1082</v>
      </c>
    </row>
    <row r="93" spans="1:1" x14ac:dyDescent="0.25">
      <c r="A93" t="s">
        <v>1083</v>
      </c>
    </row>
    <row r="94" spans="1:1" x14ac:dyDescent="0.25">
      <c r="A94" t="s">
        <v>1084</v>
      </c>
    </row>
    <row r="95" spans="1:1" x14ac:dyDescent="0.25">
      <c r="A95" t="s">
        <v>1085</v>
      </c>
    </row>
    <row r="96" spans="1:1" x14ac:dyDescent="0.25">
      <c r="A96" t="s">
        <v>1086</v>
      </c>
    </row>
    <row r="97" spans="1:1" x14ac:dyDescent="0.25">
      <c r="A97" t="s">
        <v>1087</v>
      </c>
    </row>
    <row r="98" spans="1:1" x14ac:dyDescent="0.25">
      <c r="A98" t="s">
        <v>1088</v>
      </c>
    </row>
    <row r="99" spans="1:1" x14ac:dyDescent="0.25">
      <c r="A99" t="s">
        <v>1089</v>
      </c>
    </row>
    <row r="100" spans="1:1" x14ac:dyDescent="0.25">
      <c r="A100" t="s">
        <v>1090</v>
      </c>
    </row>
    <row r="101" spans="1:1" x14ac:dyDescent="0.25">
      <c r="A101" t="s">
        <v>1091</v>
      </c>
    </row>
    <row r="102" spans="1:1" x14ac:dyDescent="0.25">
      <c r="A102" t="s">
        <v>1092</v>
      </c>
    </row>
    <row r="103" spans="1:1" x14ac:dyDescent="0.25">
      <c r="A103" t="s">
        <v>1093</v>
      </c>
    </row>
    <row r="104" spans="1:1" x14ac:dyDescent="0.25">
      <c r="A104" t="s">
        <v>1094</v>
      </c>
    </row>
    <row r="105" spans="1:1" x14ac:dyDescent="0.25">
      <c r="A105" t="s">
        <v>1095</v>
      </c>
    </row>
    <row r="106" spans="1:1" x14ac:dyDescent="0.25">
      <c r="A106" t="s">
        <v>1096</v>
      </c>
    </row>
    <row r="107" spans="1:1" x14ac:dyDescent="0.25">
      <c r="A107" t="s">
        <v>1097</v>
      </c>
    </row>
    <row r="108" spans="1:1" x14ac:dyDescent="0.25">
      <c r="A108" t="s">
        <v>1098</v>
      </c>
    </row>
    <row r="109" spans="1:1" x14ac:dyDescent="0.25">
      <c r="A109" t="s">
        <v>1099</v>
      </c>
    </row>
    <row r="110" spans="1:1" x14ac:dyDescent="0.25">
      <c r="A110" t="s">
        <v>1100</v>
      </c>
    </row>
    <row r="111" spans="1:1" x14ac:dyDescent="0.25">
      <c r="A111" t="s">
        <v>1101</v>
      </c>
    </row>
    <row r="112" spans="1:1" x14ac:dyDescent="0.25">
      <c r="A112" t="s">
        <v>1102</v>
      </c>
    </row>
    <row r="113" spans="1:1" x14ac:dyDescent="0.25">
      <c r="A113" t="s">
        <v>1103</v>
      </c>
    </row>
    <row r="114" spans="1:1" x14ac:dyDescent="0.25">
      <c r="A114" t="s">
        <v>1104</v>
      </c>
    </row>
    <row r="115" spans="1:1" x14ac:dyDescent="0.25">
      <c r="A115" t="s">
        <v>1105</v>
      </c>
    </row>
    <row r="116" spans="1:1" x14ac:dyDescent="0.25">
      <c r="A116" t="s">
        <v>1106</v>
      </c>
    </row>
    <row r="117" spans="1:1" x14ac:dyDescent="0.25">
      <c r="A117" t="s">
        <v>1107</v>
      </c>
    </row>
    <row r="118" spans="1:1" x14ac:dyDescent="0.25">
      <c r="A118" t="s">
        <v>1108</v>
      </c>
    </row>
    <row r="119" spans="1:1" x14ac:dyDescent="0.25">
      <c r="A119" t="s">
        <v>1109</v>
      </c>
    </row>
    <row r="120" spans="1:1" x14ac:dyDescent="0.25">
      <c r="A120" t="s">
        <v>1110</v>
      </c>
    </row>
    <row r="121" spans="1:1" x14ac:dyDescent="0.25">
      <c r="A121" t="s">
        <v>1111</v>
      </c>
    </row>
    <row r="122" spans="1:1" x14ac:dyDescent="0.25">
      <c r="A122" t="s">
        <v>1112</v>
      </c>
    </row>
    <row r="123" spans="1:1" x14ac:dyDescent="0.25">
      <c r="A123" t="s">
        <v>1113</v>
      </c>
    </row>
    <row r="124" spans="1:1" x14ac:dyDescent="0.25">
      <c r="A124" t="s">
        <v>1114</v>
      </c>
    </row>
    <row r="125" spans="1:1" x14ac:dyDescent="0.25">
      <c r="A125" t="s">
        <v>1115</v>
      </c>
    </row>
    <row r="126" spans="1:1" x14ac:dyDescent="0.25">
      <c r="A126" t="s">
        <v>1116</v>
      </c>
    </row>
    <row r="127" spans="1:1" x14ac:dyDescent="0.25">
      <c r="A127" t="s">
        <v>1117</v>
      </c>
    </row>
    <row r="128" spans="1:1" x14ac:dyDescent="0.25">
      <c r="A128" t="s">
        <v>1118</v>
      </c>
    </row>
    <row r="129" spans="1:1" x14ac:dyDescent="0.25">
      <c r="A129" t="s">
        <v>1119</v>
      </c>
    </row>
    <row r="130" spans="1:1" x14ac:dyDescent="0.25">
      <c r="A130" t="s">
        <v>1120</v>
      </c>
    </row>
    <row r="131" spans="1:1" x14ac:dyDescent="0.25">
      <c r="A131" t="s">
        <v>1121</v>
      </c>
    </row>
    <row r="132" spans="1:1" x14ac:dyDescent="0.25">
      <c r="A132" t="s">
        <v>1122</v>
      </c>
    </row>
    <row r="133" spans="1:1" x14ac:dyDescent="0.25">
      <c r="A133" t="s">
        <v>1123</v>
      </c>
    </row>
    <row r="134" spans="1:1" x14ac:dyDescent="0.25">
      <c r="A134" t="s">
        <v>1124</v>
      </c>
    </row>
    <row r="135" spans="1:1" x14ac:dyDescent="0.25">
      <c r="A135" t="s">
        <v>1125</v>
      </c>
    </row>
    <row r="136" spans="1:1" x14ac:dyDescent="0.25">
      <c r="A136" t="s">
        <v>1126</v>
      </c>
    </row>
    <row r="137" spans="1:1" x14ac:dyDescent="0.25">
      <c r="A137" t="s">
        <v>1127</v>
      </c>
    </row>
    <row r="138" spans="1:1" x14ac:dyDescent="0.25">
      <c r="A138" t="s">
        <v>1128</v>
      </c>
    </row>
    <row r="139" spans="1:1" x14ac:dyDescent="0.25">
      <c r="A139" t="s">
        <v>1129</v>
      </c>
    </row>
    <row r="140" spans="1:1" x14ac:dyDescent="0.25">
      <c r="A140" t="s">
        <v>1130</v>
      </c>
    </row>
    <row r="141" spans="1:1" x14ac:dyDescent="0.25">
      <c r="A141" t="s">
        <v>1131</v>
      </c>
    </row>
    <row r="142" spans="1:1" x14ac:dyDescent="0.25">
      <c r="A142" t="s">
        <v>1132</v>
      </c>
    </row>
    <row r="143" spans="1:1" x14ac:dyDescent="0.25">
      <c r="A143" t="s">
        <v>1133</v>
      </c>
    </row>
    <row r="144" spans="1:1" x14ac:dyDescent="0.25">
      <c r="A144" t="s">
        <v>1134</v>
      </c>
    </row>
    <row r="145" spans="1:1" x14ac:dyDescent="0.25">
      <c r="A145" t="s">
        <v>1135</v>
      </c>
    </row>
    <row r="146" spans="1:1" x14ac:dyDescent="0.25">
      <c r="A146" t="s">
        <v>1136</v>
      </c>
    </row>
    <row r="147" spans="1:1" x14ac:dyDescent="0.25">
      <c r="A147" t="s">
        <v>1137</v>
      </c>
    </row>
    <row r="148" spans="1:1" x14ac:dyDescent="0.25">
      <c r="A148" t="s">
        <v>1138</v>
      </c>
    </row>
    <row r="149" spans="1:1" x14ac:dyDescent="0.25">
      <c r="A149" t="s">
        <v>1139</v>
      </c>
    </row>
    <row r="150" spans="1:1" x14ac:dyDescent="0.25">
      <c r="A150" t="s">
        <v>1140</v>
      </c>
    </row>
    <row r="151" spans="1:1" x14ac:dyDescent="0.25">
      <c r="A151" t="s">
        <v>1141</v>
      </c>
    </row>
    <row r="152" spans="1:1" x14ac:dyDescent="0.25">
      <c r="A152" t="s">
        <v>1142</v>
      </c>
    </row>
    <row r="153" spans="1:1" x14ac:dyDescent="0.25">
      <c r="A153" t="s">
        <v>1143</v>
      </c>
    </row>
    <row r="154" spans="1:1" x14ac:dyDescent="0.25">
      <c r="A154" t="s">
        <v>1144</v>
      </c>
    </row>
    <row r="155" spans="1:1" x14ac:dyDescent="0.25">
      <c r="A155" t="s">
        <v>1145</v>
      </c>
    </row>
    <row r="156" spans="1:1" x14ac:dyDescent="0.25">
      <c r="A156" t="s">
        <v>1146</v>
      </c>
    </row>
    <row r="157" spans="1:1" x14ac:dyDescent="0.25">
      <c r="A157" t="s">
        <v>1147</v>
      </c>
    </row>
    <row r="158" spans="1:1" x14ac:dyDescent="0.25">
      <c r="A158" t="s">
        <v>1148</v>
      </c>
    </row>
    <row r="159" spans="1:1" x14ac:dyDescent="0.25">
      <c r="A159" t="s">
        <v>1149</v>
      </c>
    </row>
    <row r="160" spans="1:1" x14ac:dyDescent="0.25">
      <c r="A160" t="s">
        <v>1150</v>
      </c>
    </row>
    <row r="161" spans="1:1" x14ac:dyDescent="0.25">
      <c r="A161" t="s">
        <v>1151</v>
      </c>
    </row>
    <row r="162" spans="1:1" x14ac:dyDescent="0.25">
      <c r="A162" t="s">
        <v>1152</v>
      </c>
    </row>
    <row r="163" spans="1:1" x14ac:dyDescent="0.25">
      <c r="A163" t="s">
        <v>1153</v>
      </c>
    </row>
    <row r="164" spans="1:1" x14ac:dyDescent="0.25">
      <c r="A164" t="s">
        <v>1154</v>
      </c>
    </row>
    <row r="165" spans="1:1" x14ac:dyDescent="0.25">
      <c r="A165" t="s">
        <v>1155</v>
      </c>
    </row>
    <row r="166" spans="1:1" x14ac:dyDescent="0.25">
      <c r="A166" t="s">
        <v>1156</v>
      </c>
    </row>
    <row r="167" spans="1:1" x14ac:dyDescent="0.25">
      <c r="A167" t="s">
        <v>1157</v>
      </c>
    </row>
    <row r="168" spans="1:1" x14ac:dyDescent="0.25">
      <c r="A168" t="s">
        <v>1158</v>
      </c>
    </row>
    <row r="169" spans="1:1" x14ac:dyDescent="0.25">
      <c r="A169" t="s">
        <v>1159</v>
      </c>
    </row>
    <row r="170" spans="1:1" x14ac:dyDescent="0.25">
      <c r="A170" t="s">
        <v>1160</v>
      </c>
    </row>
    <row r="171" spans="1:1" x14ac:dyDescent="0.25">
      <c r="A171" t="s">
        <v>1161</v>
      </c>
    </row>
    <row r="172" spans="1:1" x14ac:dyDescent="0.25">
      <c r="A172" t="s">
        <v>1162</v>
      </c>
    </row>
    <row r="173" spans="1:1" x14ac:dyDescent="0.25">
      <c r="A173" t="s">
        <v>1163</v>
      </c>
    </row>
    <row r="174" spans="1:1" x14ac:dyDescent="0.25">
      <c r="A174" t="s">
        <v>1164</v>
      </c>
    </row>
    <row r="175" spans="1:1" x14ac:dyDescent="0.25">
      <c r="A175" t="s">
        <v>1165</v>
      </c>
    </row>
    <row r="176" spans="1:1" x14ac:dyDescent="0.25">
      <c r="A176" t="s">
        <v>1166</v>
      </c>
    </row>
    <row r="177" spans="1:1" x14ac:dyDescent="0.25">
      <c r="A177" t="s">
        <v>1167</v>
      </c>
    </row>
    <row r="178" spans="1:1" x14ac:dyDescent="0.25">
      <c r="A178" t="s">
        <v>1168</v>
      </c>
    </row>
    <row r="179" spans="1:1" x14ac:dyDescent="0.25">
      <c r="A179" t="s">
        <v>1169</v>
      </c>
    </row>
    <row r="180" spans="1:1" x14ac:dyDescent="0.25">
      <c r="A180" t="s">
        <v>1170</v>
      </c>
    </row>
    <row r="181" spans="1:1" x14ac:dyDescent="0.25">
      <c r="A181" t="s">
        <v>1171</v>
      </c>
    </row>
    <row r="182" spans="1:1" x14ac:dyDescent="0.25">
      <c r="A182" t="s">
        <v>1172</v>
      </c>
    </row>
    <row r="183" spans="1:1" x14ac:dyDescent="0.25">
      <c r="A183" t="s">
        <v>1173</v>
      </c>
    </row>
    <row r="184" spans="1:1" x14ac:dyDescent="0.25">
      <c r="A184" t="s">
        <v>1174</v>
      </c>
    </row>
    <row r="185" spans="1:1" x14ac:dyDescent="0.25">
      <c r="A185" t="s">
        <v>1175</v>
      </c>
    </row>
    <row r="186" spans="1:1" x14ac:dyDescent="0.25">
      <c r="A186" t="s">
        <v>1176</v>
      </c>
    </row>
    <row r="187" spans="1:1" x14ac:dyDescent="0.25">
      <c r="A187" t="s">
        <v>1177</v>
      </c>
    </row>
    <row r="188" spans="1:1" x14ac:dyDescent="0.25">
      <c r="A188" t="s">
        <v>1178</v>
      </c>
    </row>
    <row r="189" spans="1:1" x14ac:dyDescent="0.25">
      <c r="A189" t="s">
        <v>1179</v>
      </c>
    </row>
    <row r="190" spans="1:1" x14ac:dyDescent="0.25">
      <c r="A190" t="s">
        <v>1180</v>
      </c>
    </row>
    <row r="191" spans="1:1" x14ac:dyDescent="0.25">
      <c r="A191" t="s">
        <v>1181</v>
      </c>
    </row>
    <row r="192" spans="1:1" x14ac:dyDescent="0.25">
      <c r="A192" t="s">
        <v>1182</v>
      </c>
    </row>
    <row r="193" spans="1:1" x14ac:dyDescent="0.25">
      <c r="A193" t="s">
        <v>1183</v>
      </c>
    </row>
    <row r="194" spans="1:1" x14ac:dyDescent="0.25">
      <c r="A194" t="s">
        <v>1184</v>
      </c>
    </row>
    <row r="195" spans="1:1" x14ac:dyDescent="0.25">
      <c r="A195" t="s">
        <v>1185</v>
      </c>
    </row>
    <row r="196" spans="1:1" x14ac:dyDescent="0.25">
      <c r="A196" t="s">
        <v>1186</v>
      </c>
    </row>
    <row r="197" spans="1:1" x14ac:dyDescent="0.25">
      <c r="A197" t="s">
        <v>1187</v>
      </c>
    </row>
    <row r="198" spans="1:1" x14ac:dyDescent="0.25">
      <c r="A198" t="s">
        <v>1188</v>
      </c>
    </row>
    <row r="199" spans="1:1" x14ac:dyDescent="0.25">
      <c r="A199" t="s">
        <v>1189</v>
      </c>
    </row>
    <row r="200" spans="1:1" x14ac:dyDescent="0.25">
      <c r="A200" t="s">
        <v>1190</v>
      </c>
    </row>
    <row r="201" spans="1:1" x14ac:dyDescent="0.25">
      <c r="A201" t="s">
        <v>1191</v>
      </c>
    </row>
    <row r="202" spans="1:1" x14ac:dyDescent="0.25">
      <c r="A202" t="s">
        <v>1192</v>
      </c>
    </row>
    <row r="203" spans="1:1" x14ac:dyDescent="0.25">
      <c r="A203" t="s">
        <v>1193</v>
      </c>
    </row>
    <row r="204" spans="1:1" x14ac:dyDescent="0.25">
      <c r="A204" t="s">
        <v>1194</v>
      </c>
    </row>
    <row r="205" spans="1:1" x14ac:dyDescent="0.25">
      <c r="A205" t="s">
        <v>1195</v>
      </c>
    </row>
    <row r="206" spans="1:1" x14ac:dyDescent="0.25">
      <c r="A206" t="s">
        <v>1196</v>
      </c>
    </row>
    <row r="207" spans="1:1" x14ac:dyDescent="0.25">
      <c r="A207" t="s">
        <v>1197</v>
      </c>
    </row>
    <row r="208" spans="1:1" x14ac:dyDescent="0.25">
      <c r="A208" t="s">
        <v>1198</v>
      </c>
    </row>
    <row r="209" spans="1:1" x14ac:dyDescent="0.25">
      <c r="A209" t="s">
        <v>1199</v>
      </c>
    </row>
    <row r="210" spans="1:1" x14ac:dyDescent="0.25">
      <c r="A210" t="s">
        <v>1200</v>
      </c>
    </row>
    <row r="211" spans="1:1" x14ac:dyDescent="0.25">
      <c r="A211" t="s">
        <v>1201</v>
      </c>
    </row>
    <row r="212" spans="1:1" x14ac:dyDescent="0.25">
      <c r="A212" t="s">
        <v>1202</v>
      </c>
    </row>
    <row r="213" spans="1:1" x14ac:dyDescent="0.25">
      <c r="A213" t="s">
        <v>1203</v>
      </c>
    </row>
    <row r="214" spans="1:1" x14ac:dyDescent="0.25">
      <c r="A214" t="s">
        <v>1204</v>
      </c>
    </row>
    <row r="215" spans="1:1" x14ac:dyDescent="0.25">
      <c r="A215" t="s">
        <v>1205</v>
      </c>
    </row>
    <row r="216" spans="1:1" x14ac:dyDescent="0.25">
      <c r="A216" t="s">
        <v>1206</v>
      </c>
    </row>
    <row r="217" spans="1:1" x14ac:dyDescent="0.25">
      <c r="A217" t="s">
        <v>1207</v>
      </c>
    </row>
    <row r="218" spans="1:1" x14ac:dyDescent="0.25">
      <c r="A218" t="s">
        <v>1208</v>
      </c>
    </row>
    <row r="219" spans="1:1" x14ac:dyDescent="0.25">
      <c r="A219" t="s">
        <v>1209</v>
      </c>
    </row>
    <row r="220" spans="1:1" x14ac:dyDescent="0.25">
      <c r="A220" t="s">
        <v>1210</v>
      </c>
    </row>
    <row r="221" spans="1:1" x14ac:dyDescent="0.25">
      <c r="A221" t="s">
        <v>1211</v>
      </c>
    </row>
    <row r="222" spans="1:1" x14ac:dyDescent="0.25">
      <c r="A222" t="s">
        <v>1212</v>
      </c>
    </row>
    <row r="223" spans="1:1" x14ac:dyDescent="0.25">
      <c r="A223" t="s">
        <v>1213</v>
      </c>
    </row>
    <row r="224" spans="1:1" x14ac:dyDescent="0.25">
      <c r="A224" t="s">
        <v>1214</v>
      </c>
    </row>
    <row r="225" spans="1:1" x14ac:dyDescent="0.25">
      <c r="A225" t="s">
        <v>1215</v>
      </c>
    </row>
    <row r="226" spans="1:1" x14ac:dyDescent="0.25">
      <c r="A226" t="s">
        <v>1216</v>
      </c>
    </row>
    <row r="227" spans="1:1" x14ac:dyDescent="0.25">
      <c r="A227" t="s">
        <v>1217</v>
      </c>
    </row>
    <row r="228" spans="1:1" x14ac:dyDescent="0.25">
      <c r="A228" t="s">
        <v>1218</v>
      </c>
    </row>
    <row r="229" spans="1:1" x14ac:dyDescent="0.25">
      <c r="A229" t="s">
        <v>1219</v>
      </c>
    </row>
    <row r="230" spans="1:1" x14ac:dyDescent="0.25">
      <c r="A230" t="s">
        <v>1220</v>
      </c>
    </row>
    <row r="231" spans="1:1" x14ac:dyDescent="0.25">
      <c r="A231" t="s">
        <v>1221</v>
      </c>
    </row>
    <row r="232" spans="1:1" x14ac:dyDescent="0.25">
      <c r="A232" t="s">
        <v>1222</v>
      </c>
    </row>
    <row r="233" spans="1:1" x14ac:dyDescent="0.25">
      <c r="A233" t="s">
        <v>1223</v>
      </c>
    </row>
    <row r="234" spans="1:1" x14ac:dyDescent="0.25">
      <c r="A234" t="s">
        <v>1224</v>
      </c>
    </row>
    <row r="235" spans="1:1" x14ac:dyDescent="0.25">
      <c r="A235" t="s">
        <v>1225</v>
      </c>
    </row>
    <row r="236" spans="1:1" x14ac:dyDescent="0.25">
      <c r="A236" t="s">
        <v>1226</v>
      </c>
    </row>
    <row r="237" spans="1:1" x14ac:dyDescent="0.25">
      <c r="A237" t="s">
        <v>1227</v>
      </c>
    </row>
    <row r="238" spans="1:1" x14ac:dyDescent="0.25">
      <c r="A238" t="s">
        <v>1228</v>
      </c>
    </row>
    <row r="239" spans="1:1" x14ac:dyDescent="0.25">
      <c r="A239" t="s">
        <v>1229</v>
      </c>
    </row>
    <row r="240" spans="1:1" x14ac:dyDescent="0.25">
      <c r="A240" t="s">
        <v>1230</v>
      </c>
    </row>
    <row r="241" spans="1:1" x14ac:dyDescent="0.25">
      <c r="A241" t="s">
        <v>1231</v>
      </c>
    </row>
    <row r="242" spans="1:1" x14ac:dyDescent="0.25">
      <c r="A242" t="s">
        <v>1232</v>
      </c>
    </row>
    <row r="243" spans="1:1" x14ac:dyDescent="0.25">
      <c r="A243" t="s">
        <v>1233</v>
      </c>
    </row>
    <row r="244" spans="1:1" x14ac:dyDescent="0.25">
      <c r="A244" t="s">
        <v>1234</v>
      </c>
    </row>
    <row r="245" spans="1:1" x14ac:dyDescent="0.25">
      <c r="A245" t="s">
        <v>1235</v>
      </c>
    </row>
    <row r="246" spans="1:1" x14ac:dyDescent="0.25">
      <c r="A246" t="s">
        <v>1236</v>
      </c>
    </row>
    <row r="247" spans="1:1" x14ac:dyDescent="0.25">
      <c r="A247" t="s">
        <v>1237</v>
      </c>
    </row>
    <row r="248" spans="1:1" x14ac:dyDescent="0.25">
      <c r="A248" t="s">
        <v>1238</v>
      </c>
    </row>
    <row r="249" spans="1:1" x14ac:dyDescent="0.25">
      <c r="A249" t="s">
        <v>1239</v>
      </c>
    </row>
    <row r="250" spans="1:1" x14ac:dyDescent="0.25">
      <c r="A250" t="s">
        <v>1240</v>
      </c>
    </row>
    <row r="251" spans="1:1" x14ac:dyDescent="0.25">
      <c r="A251" t="s">
        <v>1241</v>
      </c>
    </row>
    <row r="252" spans="1:1" x14ac:dyDescent="0.25">
      <c r="A252" t="s">
        <v>1242</v>
      </c>
    </row>
    <row r="253" spans="1:1" x14ac:dyDescent="0.25">
      <c r="A253" t="s">
        <v>1243</v>
      </c>
    </row>
    <row r="254" spans="1:1" x14ac:dyDescent="0.25">
      <c r="A254" t="s">
        <v>1244</v>
      </c>
    </row>
    <row r="255" spans="1:1" x14ac:dyDescent="0.25">
      <c r="A255" t="s">
        <v>1245</v>
      </c>
    </row>
    <row r="256" spans="1:1" x14ac:dyDescent="0.25">
      <c r="A256" t="s">
        <v>1246</v>
      </c>
    </row>
    <row r="257" spans="1:1" x14ac:dyDescent="0.25">
      <c r="A257" t="s">
        <v>1247</v>
      </c>
    </row>
    <row r="258" spans="1:1" x14ac:dyDescent="0.25">
      <c r="A258" t="s">
        <v>1248</v>
      </c>
    </row>
    <row r="259" spans="1:1" x14ac:dyDescent="0.25">
      <c r="A259" t="s">
        <v>1249</v>
      </c>
    </row>
    <row r="260" spans="1:1" x14ac:dyDescent="0.25">
      <c r="A260" t="s">
        <v>1250</v>
      </c>
    </row>
    <row r="261" spans="1:1" x14ac:dyDescent="0.25">
      <c r="A261" t="s">
        <v>1251</v>
      </c>
    </row>
    <row r="262" spans="1:1" x14ac:dyDescent="0.25">
      <c r="A262" t="s">
        <v>1252</v>
      </c>
    </row>
    <row r="263" spans="1:1" x14ac:dyDescent="0.25">
      <c r="A263" t="s">
        <v>1253</v>
      </c>
    </row>
    <row r="264" spans="1:1" x14ac:dyDescent="0.25">
      <c r="A264" t="s">
        <v>1254</v>
      </c>
    </row>
    <row r="265" spans="1:1" x14ac:dyDescent="0.25">
      <c r="A265" t="s">
        <v>1255</v>
      </c>
    </row>
    <row r="266" spans="1:1" x14ac:dyDescent="0.25">
      <c r="A266" t="s">
        <v>1256</v>
      </c>
    </row>
    <row r="267" spans="1:1" x14ac:dyDescent="0.25">
      <c r="A267" t="s">
        <v>1257</v>
      </c>
    </row>
    <row r="268" spans="1:1" x14ac:dyDescent="0.25">
      <c r="A268" t="s">
        <v>1258</v>
      </c>
    </row>
    <row r="269" spans="1:1" x14ac:dyDescent="0.25">
      <c r="A269" t="s">
        <v>1259</v>
      </c>
    </row>
    <row r="270" spans="1:1" x14ac:dyDescent="0.25">
      <c r="A270" t="s">
        <v>1260</v>
      </c>
    </row>
    <row r="271" spans="1:1" x14ac:dyDescent="0.25">
      <c r="A271" t="s">
        <v>1261</v>
      </c>
    </row>
    <row r="272" spans="1:1" x14ac:dyDescent="0.25">
      <c r="A272" t="s">
        <v>1262</v>
      </c>
    </row>
    <row r="273" spans="1:1" x14ac:dyDescent="0.25">
      <c r="A273" t="s">
        <v>1263</v>
      </c>
    </row>
    <row r="274" spans="1:1" x14ac:dyDescent="0.25">
      <c r="A274" t="s">
        <v>1264</v>
      </c>
    </row>
    <row r="275" spans="1:1" x14ac:dyDescent="0.25">
      <c r="A275" t="s">
        <v>1265</v>
      </c>
    </row>
    <row r="276" spans="1:1" x14ac:dyDescent="0.25">
      <c r="A276" t="s">
        <v>1266</v>
      </c>
    </row>
    <row r="277" spans="1:1" x14ac:dyDescent="0.25">
      <c r="A277" t="s">
        <v>1267</v>
      </c>
    </row>
    <row r="278" spans="1:1" x14ac:dyDescent="0.25">
      <c r="A278" t="s">
        <v>1268</v>
      </c>
    </row>
    <row r="279" spans="1:1" x14ac:dyDescent="0.25">
      <c r="A279" t="s">
        <v>1269</v>
      </c>
    </row>
    <row r="280" spans="1:1" x14ac:dyDescent="0.25">
      <c r="A280" t="s">
        <v>1270</v>
      </c>
    </row>
    <row r="281" spans="1:1" x14ac:dyDescent="0.25">
      <c r="A281" t="s">
        <v>1271</v>
      </c>
    </row>
    <row r="282" spans="1:1" x14ac:dyDescent="0.25">
      <c r="A282" t="s">
        <v>1272</v>
      </c>
    </row>
    <row r="283" spans="1:1" x14ac:dyDescent="0.25">
      <c r="A283" t="s">
        <v>1273</v>
      </c>
    </row>
    <row r="284" spans="1:1" x14ac:dyDescent="0.25">
      <c r="A284" t="s">
        <v>1274</v>
      </c>
    </row>
    <row r="285" spans="1:1" x14ac:dyDescent="0.25">
      <c r="A285" t="s">
        <v>1275</v>
      </c>
    </row>
    <row r="286" spans="1:1" x14ac:dyDescent="0.25">
      <c r="A286" t="s">
        <v>1276</v>
      </c>
    </row>
    <row r="287" spans="1:1" x14ac:dyDescent="0.25">
      <c r="A287" t="s">
        <v>1277</v>
      </c>
    </row>
    <row r="288" spans="1:1" x14ac:dyDescent="0.25">
      <c r="A288" t="s">
        <v>1278</v>
      </c>
    </row>
    <row r="289" spans="1:1" x14ac:dyDescent="0.25">
      <c r="A289" t="s">
        <v>1279</v>
      </c>
    </row>
    <row r="290" spans="1:1" x14ac:dyDescent="0.25">
      <c r="A290" t="s">
        <v>1280</v>
      </c>
    </row>
    <row r="291" spans="1:1" x14ac:dyDescent="0.25">
      <c r="A291" t="s">
        <v>1281</v>
      </c>
    </row>
    <row r="292" spans="1:1" x14ac:dyDescent="0.25">
      <c r="A292" t="s">
        <v>1282</v>
      </c>
    </row>
    <row r="293" spans="1:1" x14ac:dyDescent="0.25">
      <c r="A293" t="s">
        <v>1283</v>
      </c>
    </row>
    <row r="294" spans="1:1" x14ac:dyDescent="0.25">
      <c r="A294" t="s">
        <v>1284</v>
      </c>
    </row>
    <row r="295" spans="1:1" x14ac:dyDescent="0.25">
      <c r="A295" t="s">
        <v>1285</v>
      </c>
    </row>
    <row r="296" spans="1:1" x14ac:dyDescent="0.25">
      <c r="A296" t="s">
        <v>1286</v>
      </c>
    </row>
    <row r="297" spans="1:1" x14ac:dyDescent="0.25">
      <c r="A297" t="s">
        <v>1287</v>
      </c>
    </row>
    <row r="298" spans="1:1" x14ac:dyDescent="0.25">
      <c r="A298" t="s">
        <v>1288</v>
      </c>
    </row>
    <row r="299" spans="1:1" x14ac:dyDescent="0.25">
      <c r="A299" t="s">
        <v>1289</v>
      </c>
    </row>
    <row r="300" spans="1:1" x14ac:dyDescent="0.25">
      <c r="A300" t="s">
        <v>1290</v>
      </c>
    </row>
    <row r="301" spans="1:1" x14ac:dyDescent="0.25">
      <c r="A301" t="s">
        <v>1291</v>
      </c>
    </row>
    <row r="302" spans="1:1" x14ac:dyDescent="0.25">
      <c r="A302" t="s">
        <v>1292</v>
      </c>
    </row>
    <row r="303" spans="1:1" x14ac:dyDescent="0.25">
      <c r="A303" t="s">
        <v>1293</v>
      </c>
    </row>
    <row r="304" spans="1:1" x14ac:dyDescent="0.25">
      <c r="A304" t="s">
        <v>1294</v>
      </c>
    </row>
    <row r="305" spans="1:1" x14ac:dyDescent="0.25">
      <c r="A305" t="s">
        <v>1295</v>
      </c>
    </row>
    <row r="306" spans="1:1" x14ac:dyDescent="0.25">
      <c r="A306" t="s">
        <v>1296</v>
      </c>
    </row>
    <row r="307" spans="1:1" x14ac:dyDescent="0.25">
      <c r="A307" t="s">
        <v>1297</v>
      </c>
    </row>
    <row r="308" spans="1:1" x14ac:dyDescent="0.25">
      <c r="A308" t="s">
        <v>1298</v>
      </c>
    </row>
    <row r="309" spans="1:1" x14ac:dyDescent="0.25">
      <c r="A309" t="s">
        <v>1299</v>
      </c>
    </row>
    <row r="310" spans="1:1" x14ac:dyDescent="0.25">
      <c r="A310" t="s">
        <v>1300</v>
      </c>
    </row>
    <row r="311" spans="1:1" x14ac:dyDescent="0.25">
      <c r="A311" t="s">
        <v>1301</v>
      </c>
    </row>
    <row r="312" spans="1:1" x14ac:dyDescent="0.25">
      <c r="A312" t="s">
        <v>1302</v>
      </c>
    </row>
    <row r="313" spans="1:1" x14ac:dyDescent="0.25">
      <c r="A313" t="s">
        <v>1303</v>
      </c>
    </row>
    <row r="314" spans="1:1" x14ac:dyDescent="0.25">
      <c r="A314" t="s">
        <v>1304</v>
      </c>
    </row>
    <row r="315" spans="1:1" x14ac:dyDescent="0.25">
      <c r="A315" t="s">
        <v>1305</v>
      </c>
    </row>
    <row r="316" spans="1:1" x14ac:dyDescent="0.25">
      <c r="A316" t="s">
        <v>1306</v>
      </c>
    </row>
    <row r="317" spans="1:1" x14ac:dyDescent="0.25">
      <c r="A317" t="s">
        <v>1307</v>
      </c>
    </row>
    <row r="318" spans="1:1" x14ac:dyDescent="0.25">
      <c r="A318" t="s">
        <v>1308</v>
      </c>
    </row>
    <row r="319" spans="1:1" x14ac:dyDescent="0.25">
      <c r="A319" t="s">
        <v>1309</v>
      </c>
    </row>
    <row r="320" spans="1:1" x14ac:dyDescent="0.25">
      <c r="A320" t="s">
        <v>1310</v>
      </c>
    </row>
    <row r="321" spans="1:1" x14ac:dyDescent="0.25">
      <c r="A321" t="s">
        <v>1311</v>
      </c>
    </row>
    <row r="322" spans="1:1" x14ac:dyDescent="0.25">
      <c r="A322" t="s">
        <v>1312</v>
      </c>
    </row>
    <row r="323" spans="1:1" x14ac:dyDescent="0.25">
      <c r="A323" t="s">
        <v>1313</v>
      </c>
    </row>
    <row r="324" spans="1:1" x14ac:dyDescent="0.25">
      <c r="A324" t="s">
        <v>1314</v>
      </c>
    </row>
    <row r="325" spans="1:1" x14ac:dyDescent="0.25">
      <c r="A325" t="s">
        <v>1315</v>
      </c>
    </row>
    <row r="326" spans="1:1" x14ac:dyDescent="0.25">
      <c r="A326" t="s">
        <v>1316</v>
      </c>
    </row>
    <row r="327" spans="1:1" x14ac:dyDescent="0.25">
      <c r="A327" t="s">
        <v>1317</v>
      </c>
    </row>
    <row r="328" spans="1:1" x14ac:dyDescent="0.25">
      <c r="A328" t="s">
        <v>1318</v>
      </c>
    </row>
    <row r="329" spans="1:1" x14ac:dyDescent="0.25">
      <c r="A329" t="s">
        <v>1319</v>
      </c>
    </row>
    <row r="330" spans="1:1" x14ac:dyDescent="0.25">
      <c r="A330" t="s">
        <v>1320</v>
      </c>
    </row>
    <row r="331" spans="1:1" x14ac:dyDescent="0.25">
      <c r="A331" t="s">
        <v>1321</v>
      </c>
    </row>
    <row r="332" spans="1:1" x14ac:dyDescent="0.25">
      <c r="A332" t="s">
        <v>1322</v>
      </c>
    </row>
    <row r="333" spans="1:1" x14ac:dyDescent="0.25">
      <c r="A333" t="s">
        <v>1323</v>
      </c>
    </row>
    <row r="334" spans="1:1" x14ac:dyDescent="0.25">
      <c r="A334" t="s">
        <v>1324</v>
      </c>
    </row>
    <row r="335" spans="1:1" x14ac:dyDescent="0.25">
      <c r="A335" t="s">
        <v>1325</v>
      </c>
    </row>
    <row r="336" spans="1:1" x14ac:dyDescent="0.25">
      <c r="A336" t="s">
        <v>1326</v>
      </c>
    </row>
    <row r="337" spans="1:1" x14ac:dyDescent="0.25">
      <c r="A337" t="s">
        <v>1327</v>
      </c>
    </row>
    <row r="338" spans="1:1" x14ac:dyDescent="0.25">
      <c r="A338" t="s">
        <v>1328</v>
      </c>
    </row>
    <row r="339" spans="1:1" x14ac:dyDescent="0.25">
      <c r="A339" t="s">
        <v>1329</v>
      </c>
    </row>
    <row r="340" spans="1:1" x14ac:dyDescent="0.25">
      <c r="A340" t="s">
        <v>1330</v>
      </c>
    </row>
    <row r="341" spans="1:1" x14ac:dyDescent="0.25">
      <c r="A341" t="s">
        <v>1331</v>
      </c>
    </row>
    <row r="342" spans="1:1" x14ac:dyDescent="0.25">
      <c r="A342" t="s">
        <v>1332</v>
      </c>
    </row>
    <row r="343" spans="1:1" x14ac:dyDescent="0.25">
      <c r="A343" t="s">
        <v>1333</v>
      </c>
    </row>
    <row r="344" spans="1:1" x14ac:dyDescent="0.25">
      <c r="A344" t="s">
        <v>1334</v>
      </c>
    </row>
    <row r="345" spans="1:1" x14ac:dyDescent="0.25">
      <c r="A345" t="s">
        <v>1335</v>
      </c>
    </row>
    <row r="346" spans="1:1" x14ac:dyDescent="0.25">
      <c r="A346" t="s">
        <v>1336</v>
      </c>
    </row>
    <row r="347" spans="1:1" x14ac:dyDescent="0.25">
      <c r="A347" t="s">
        <v>1337</v>
      </c>
    </row>
    <row r="348" spans="1:1" x14ac:dyDescent="0.25">
      <c r="A348" t="s">
        <v>1338</v>
      </c>
    </row>
    <row r="349" spans="1:1" x14ac:dyDescent="0.25">
      <c r="A349" t="s">
        <v>1339</v>
      </c>
    </row>
    <row r="350" spans="1:1" x14ac:dyDescent="0.25">
      <c r="A350" t="s">
        <v>1340</v>
      </c>
    </row>
    <row r="351" spans="1:1" x14ac:dyDescent="0.25">
      <c r="A351" t="s">
        <v>1341</v>
      </c>
    </row>
    <row r="352" spans="1:1" x14ac:dyDescent="0.25">
      <c r="A352" t="s">
        <v>1342</v>
      </c>
    </row>
    <row r="353" spans="1:1" x14ac:dyDescent="0.25">
      <c r="A353" t="s">
        <v>1343</v>
      </c>
    </row>
    <row r="354" spans="1:1" x14ac:dyDescent="0.25">
      <c r="A354" t="s">
        <v>1344</v>
      </c>
    </row>
    <row r="355" spans="1:1" x14ac:dyDescent="0.25">
      <c r="A355" t="s">
        <v>1345</v>
      </c>
    </row>
    <row r="356" spans="1:1" x14ac:dyDescent="0.25">
      <c r="A356" t="s">
        <v>1346</v>
      </c>
    </row>
    <row r="357" spans="1:1" x14ac:dyDescent="0.25">
      <c r="A357" t="s">
        <v>1347</v>
      </c>
    </row>
    <row r="358" spans="1:1" x14ac:dyDescent="0.25">
      <c r="A358" t="s">
        <v>1348</v>
      </c>
    </row>
    <row r="359" spans="1:1" x14ac:dyDescent="0.25">
      <c r="A359" t="s">
        <v>1349</v>
      </c>
    </row>
    <row r="360" spans="1:1" x14ac:dyDescent="0.25">
      <c r="A360" t="s">
        <v>1350</v>
      </c>
    </row>
    <row r="361" spans="1:1" x14ac:dyDescent="0.25">
      <c r="A361" t="s">
        <v>1351</v>
      </c>
    </row>
    <row r="362" spans="1:1" x14ac:dyDescent="0.25">
      <c r="A362" t="s">
        <v>1352</v>
      </c>
    </row>
    <row r="363" spans="1:1" x14ac:dyDescent="0.25">
      <c r="A363" t="s">
        <v>1353</v>
      </c>
    </row>
    <row r="364" spans="1:1" x14ac:dyDescent="0.25">
      <c r="A364" t="s">
        <v>1354</v>
      </c>
    </row>
    <row r="365" spans="1:1" x14ac:dyDescent="0.25">
      <c r="A365" t="s">
        <v>1355</v>
      </c>
    </row>
    <row r="366" spans="1:1" x14ac:dyDescent="0.25">
      <c r="A366" t="s">
        <v>1356</v>
      </c>
    </row>
    <row r="367" spans="1:1" x14ac:dyDescent="0.25">
      <c r="A367" t="s">
        <v>1357</v>
      </c>
    </row>
    <row r="368" spans="1:1" x14ac:dyDescent="0.25">
      <c r="A368" t="s">
        <v>1358</v>
      </c>
    </row>
    <row r="369" spans="1:1" x14ac:dyDescent="0.25">
      <c r="A369" t="s">
        <v>1359</v>
      </c>
    </row>
    <row r="370" spans="1:1" x14ac:dyDescent="0.25">
      <c r="A370" t="s">
        <v>1360</v>
      </c>
    </row>
    <row r="371" spans="1:1" x14ac:dyDescent="0.25">
      <c r="A371" t="s">
        <v>1361</v>
      </c>
    </row>
    <row r="372" spans="1:1" x14ac:dyDescent="0.25">
      <c r="A372" t="s">
        <v>1362</v>
      </c>
    </row>
    <row r="373" spans="1:1" x14ac:dyDescent="0.25">
      <c r="A373" t="s">
        <v>1363</v>
      </c>
    </row>
    <row r="374" spans="1:1" x14ac:dyDescent="0.25">
      <c r="A374" t="s">
        <v>1364</v>
      </c>
    </row>
    <row r="375" spans="1:1" x14ac:dyDescent="0.25">
      <c r="A375" t="s">
        <v>1365</v>
      </c>
    </row>
    <row r="376" spans="1:1" x14ac:dyDescent="0.25">
      <c r="A376" t="s">
        <v>1366</v>
      </c>
    </row>
    <row r="377" spans="1:1" x14ac:dyDescent="0.25">
      <c r="A377" t="s">
        <v>1367</v>
      </c>
    </row>
    <row r="378" spans="1:1" x14ac:dyDescent="0.25">
      <c r="A378" t="s">
        <v>1368</v>
      </c>
    </row>
    <row r="379" spans="1:1" x14ac:dyDescent="0.25">
      <c r="A379" t="s">
        <v>1369</v>
      </c>
    </row>
    <row r="380" spans="1:1" x14ac:dyDescent="0.25">
      <c r="A380" t="s">
        <v>1370</v>
      </c>
    </row>
    <row r="381" spans="1:1" x14ac:dyDescent="0.25">
      <c r="A381" t="s">
        <v>1371</v>
      </c>
    </row>
    <row r="382" spans="1:1" x14ac:dyDescent="0.25">
      <c r="A382" t="s">
        <v>1372</v>
      </c>
    </row>
    <row r="383" spans="1:1" x14ac:dyDescent="0.25">
      <c r="A383" t="s">
        <v>1373</v>
      </c>
    </row>
    <row r="384" spans="1:1" x14ac:dyDescent="0.25">
      <c r="A384" t="s">
        <v>1374</v>
      </c>
    </row>
    <row r="385" spans="1:1" x14ac:dyDescent="0.25">
      <c r="A385" t="s">
        <v>1375</v>
      </c>
    </row>
    <row r="386" spans="1:1" x14ac:dyDescent="0.25">
      <c r="A386" t="s">
        <v>1376</v>
      </c>
    </row>
    <row r="387" spans="1:1" x14ac:dyDescent="0.25">
      <c r="A387" t="s">
        <v>1377</v>
      </c>
    </row>
    <row r="388" spans="1:1" x14ac:dyDescent="0.25">
      <c r="A388" t="s">
        <v>1378</v>
      </c>
    </row>
    <row r="389" spans="1:1" x14ac:dyDescent="0.25">
      <c r="A389" t="s">
        <v>1379</v>
      </c>
    </row>
    <row r="390" spans="1:1" x14ac:dyDescent="0.25">
      <c r="A390" t="s">
        <v>1380</v>
      </c>
    </row>
    <row r="391" spans="1:1" x14ac:dyDescent="0.25">
      <c r="A391" t="s">
        <v>1381</v>
      </c>
    </row>
    <row r="392" spans="1:1" x14ac:dyDescent="0.25">
      <c r="A392" t="s">
        <v>1382</v>
      </c>
    </row>
    <row r="393" spans="1:1" x14ac:dyDescent="0.25">
      <c r="A393" t="s">
        <v>1383</v>
      </c>
    </row>
    <row r="394" spans="1:1" x14ac:dyDescent="0.25">
      <c r="A394" t="s">
        <v>1384</v>
      </c>
    </row>
    <row r="395" spans="1:1" x14ac:dyDescent="0.25">
      <c r="A395" t="s">
        <v>1385</v>
      </c>
    </row>
    <row r="396" spans="1:1" x14ac:dyDescent="0.25">
      <c r="A396" t="s">
        <v>1386</v>
      </c>
    </row>
    <row r="397" spans="1:1" x14ac:dyDescent="0.25">
      <c r="A397" t="s">
        <v>1387</v>
      </c>
    </row>
    <row r="398" spans="1:1" x14ac:dyDescent="0.25">
      <c r="A398" t="s">
        <v>1388</v>
      </c>
    </row>
    <row r="399" spans="1:1" x14ac:dyDescent="0.25">
      <c r="A399" t="s">
        <v>1389</v>
      </c>
    </row>
    <row r="400" spans="1:1" x14ac:dyDescent="0.25">
      <c r="A400" t="s">
        <v>1390</v>
      </c>
    </row>
    <row r="401" spans="1:1" x14ac:dyDescent="0.25">
      <c r="A401" t="s">
        <v>1391</v>
      </c>
    </row>
    <row r="402" spans="1:1" x14ac:dyDescent="0.25">
      <c r="A402" t="s">
        <v>1392</v>
      </c>
    </row>
    <row r="403" spans="1:1" x14ac:dyDescent="0.25">
      <c r="A403" t="s">
        <v>1393</v>
      </c>
    </row>
    <row r="404" spans="1:1" x14ac:dyDescent="0.25">
      <c r="A404" t="s">
        <v>1394</v>
      </c>
    </row>
    <row r="405" spans="1:1" x14ac:dyDescent="0.25">
      <c r="A405" t="s">
        <v>1395</v>
      </c>
    </row>
    <row r="406" spans="1:1" x14ac:dyDescent="0.25">
      <c r="A406" t="s">
        <v>1396</v>
      </c>
    </row>
    <row r="407" spans="1:1" x14ac:dyDescent="0.25">
      <c r="A407" t="s">
        <v>1397</v>
      </c>
    </row>
    <row r="408" spans="1:1" x14ac:dyDescent="0.25">
      <c r="A408" t="s">
        <v>1398</v>
      </c>
    </row>
    <row r="409" spans="1:1" x14ac:dyDescent="0.25">
      <c r="A409" t="s">
        <v>1399</v>
      </c>
    </row>
    <row r="410" spans="1:1" x14ac:dyDescent="0.25">
      <c r="A410" t="s">
        <v>1400</v>
      </c>
    </row>
    <row r="411" spans="1:1" x14ac:dyDescent="0.25">
      <c r="A411" t="s">
        <v>1401</v>
      </c>
    </row>
    <row r="412" spans="1:1" x14ac:dyDescent="0.25">
      <c r="A412" t="s">
        <v>1402</v>
      </c>
    </row>
    <row r="413" spans="1:1" x14ac:dyDescent="0.25">
      <c r="A413" t="s">
        <v>1403</v>
      </c>
    </row>
    <row r="414" spans="1:1" x14ac:dyDescent="0.25">
      <c r="A414" t="s">
        <v>1404</v>
      </c>
    </row>
    <row r="415" spans="1:1" x14ac:dyDescent="0.25">
      <c r="A415" t="s">
        <v>1405</v>
      </c>
    </row>
    <row r="416" spans="1:1" x14ac:dyDescent="0.25">
      <c r="A416" t="s">
        <v>1406</v>
      </c>
    </row>
    <row r="417" spans="1:1" x14ac:dyDescent="0.25">
      <c r="A417" t="s">
        <v>1407</v>
      </c>
    </row>
    <row r="418" spans="1:1" x14ac:dyDescent="0.25">
      <c r="A418" t="s">
        <v>1408</v>
      </c>
    </row>
    <row r="419" spans="1:1" x14ac:dyDescent="0.25">
      <c r="A419" t="s">
        <v>1409</v>
      </c>
    </row>
    <row r="420" spans="1:1" x14ac:dyDescent="0.25">
      <c r="A420" t="s">
        <v>1410</v>
      </c>
    </row>
    <row r="421" spans="1:1" x14ac:dyDescent="0.25">
      <c r="A421" t="s">
        <v>1411</v>
      </c>
    </row>
    <row r="422" spans="1:1" x14ac:dyDescent="0.25">
      <c r="A422" t="s">
        <v>1412</v>
      </c>
    </row>
    <row r="423" spans="1:1" x14ac:dyDescent="0.25">
      <c r="A423" t="s">
        <v>1413</v>
      </c>
    </row>
    <row r="424" spans="1:1" x14ac:dyDescent="0.25">
      <c r="A424" t="s">
        <v>1414</v>
      </c>
    </row>
    <row r="425" spans="1:1" x14ac:dyDescent="0.25">
      <c r="A425" t="s">
        <v>1415</v>
      </c>
    </row>
    <row r="426" spans="1:1" x14ac:dyDescent="0.25">
      <c r="A426" t="s">
        <v>1416</v>
      </c>
    </row>
    <row r="427" spans="1:1" x14ac:dyDescent="0.25">
      <c r="A427" t="s">
        <v>1417</v>
      </c>
    </row>
    <row r="428" spans="1:1" x14ac:dyDescent="0.25">
      <c r="A428" t="s">
        <v>1418</v>
      </c>
    </row>
    <row r="429" spans="1:1" x14ac:dyDescent="0.25">
      <c r="A429" t="s">
        <v>1419</v>
      </c>
    </row>
    <row r="430" spans="1:1" x14ac:dyDescent="0.25">
      <c r="A430" t="s">
        <v>1420</v>
      </c>
    </row>
    <row r="431" spans="1:1" x14ac:dyDescent="0.25">
      <c r="A431" t="s">
        <v>1421</v>
      </c>
    </row>
    <row r="432" spans="1:1" x14ac:dyDescent="0.25">
      <c r="A432" t="s">
        <v>1422</v>
      </c>
    </row>
    <row r="433" spans="1:1" x14ac:dyDescent="0.25">
      <c r="A433" t="s">
        <v>1423</v>
      </c>
    </row>
    <row r="434" spans="1:1" x14ac:dyDescent="0.25">
      <c r="A434" t="s">
        <v>1424</v>
      </c>
    </row>
    <row r="435" spans="1:1" x14ac:dyDescent="0.25">
      <c r="A435" t="s">
        <v>1425</v>
      </c>
    </row>
    <row r="436" spans="1:1" x14ac:dyDescent="0.25">
      <c r="A436" t="s">
        <v>1426</v>
      </c>
    </row>
    <row r="437" spans="1:1" x14ac:dyDescent="0.25">
      <c r="A437" t="s">
        <v>1427</v>
      </c>
    </row>
    <row r="438" spans="1:1" x14ac:dyDescent="0.25">
      <c r="A438" t="s">
        <v>1428</v>
      </c>
    </row>
    <row r="439" spans="1:1" x14ac:dyDescent="0.25">
      <c r="A439" t="s">
        <v>1429</v>
      </c>
    </row>
    <row r="440" spans="1:1" x14ac:dyDescent="0.25">
      <c r="A440" t="s">
        <v>1430</v>
      </c>
    </row>
    <row r="441" spans="1:1" x14ac:dyDescent="0.25">
      <c r="A441" t="s">
        <v>1431</v>
      </c>
    </row>
    <row r="442" spans="1:1" x14ac:dyDescent="0.25">
      <c r="A442" t="s">
        <v>1432</v>
      </c>
    </row>
    <row r="443" spans="1:1" x14ac:dyDescent="0.25">
      <c r="A443" t="s">
        <v>1433</v>
      </c>
    </row>
    <row r="444" spans="1:1" x14ac:dyDescent="0.25">
      <c r="A444" t="s">
        <v>1434</v>
      </c>
    </row>
    <row r="445" spans="1:1" x14ac:dyDescent="0.25">
      <c r="A445" t="s">
        <v>1435</v>
      </c>
    </row>
    <row r="446" spans="1:1" x14ac:dyDescent="0.25">
      <c r="A446" t="s">
        <v>1436</v>
      </c>
    </row>
    <row r="447" spans="1:1" x14ac:dyDescent="0.25">
      <c r="A447" t="s">
        <v>1437</v>
      </c>
    </row>
    <row r="448" spans="1:1" x14ac:dyDescent="0.25">
      <c r="A448" t="s">
        <v>1438</v>
      </c>
    </row>
    <row r="449" spans="1:1" x14ac:dyDescent="0.25">
      <c r="A449" t="s">
        <v>1439</v>
      </c>
    </row>
    <row r="450" spans="1:1" x14ac:dyDescent="0.25">
      <c r="A450" t="s">
        <v>1440</v>
      </c>
    </row>
    <row r="451" spans="1:1" x14ac:dyDescent="0.25">
      <c r="A451" t="s">
        <v>1441</v>
      </c>
    </row>
    <row r="452" spans="1:1" x14ac:dyDescent="0.25">
      <c r="A452" t="s">
        <v>1442</v>
      </c>
    </row>
    <row r="453" spans="1:1" x14ac:dyDescent="0.25">
      <c r="A453" t="s">
        <v>1443</v>
      </c>
    </row>
    <row r="454" spans="1:1" x14ac:dyDescent="0.25">
      <c r="A454" t="s">
        <v>1444</v>
      </c>
    </row>
    <row r="455" spans="1:1" x14ac:dyDescent="0.25">
      <c r="A455" t="s">
        <v>1445</v>
      </c>
    </row>
    <row r="456" spans="1:1" x14ac:dyDescent="0.25">
      <c r="A456" t="s">
        <v>1446</v>
      </c>
    </row>
    <row r="457" spans="1:1" x14ac:dyDescent="0.25">
      <c r="A457" t="s">
        <v>1447</v>
      </c>
    </row>
    <row r="458" spans="1:1" x14ac:dyDescent="0.25">
      <c r="A458" t="s">
        <v>1448</v>
      </c>
    </row>
    <row r="459" spans="1:1" x14ac:dyDescent="0.25">
      <c r="A459" t="s">
        <v>1449</v>
      </c>
    </row>
    <row r="460" spans="1:1" x14ac:dyDescent="0.25">
      <c r="A460" t="s">
        <v>1450</v>
      </c>
    </row>
    <row r="461" spans="1:1" x14ac:dyDescent="0.25">
      <c r="A461" t="s">
        <v>1451</v>
      </c>
    </row>
    <row r="462" spans="1:1" x14ac:dyDescent="0.25">
      <c r="A462" t="s">
        <v>1452</v>
      </c>
    </row>
    <row r="463" spans="1:1" x14ac:dyDescent="0.25">
      <c r="A463" t="s">
        <v>1453</v>
      </c>
    </row>
    <row r="464" spans="1:1" x14ac:dyDescent="0.25">
      <c r="A464" t="s">
        <v>1454</v>
      </c>
    </row>
    <row r="465" spans="1:1" x14ac:dyDescent="0.25">
      <c r="A465" t="s">
        <v>1455</v>
      </c>
    </row>
    <row r="466" spans="1:1" x14ac:dyDescent="0.25">
      <c r="A466" t="s">
        <v>1456</v>
      </c>
    </row>
    <row r="467" spans="1:1" x14ac:dyDescent="0.25">
      <c r="A467" t="s">
        <v>1457</v>
      </c>
    </row>
    <row r="468" spans="1:1" x14ac:dyDescent="0.25">
      <c r="A468" t="s">
        <v>1458</v>
      </c>
    </row>
    <row r="469" spans="1:1" x14ac:dyDescent="0.25">
      <c r="A469" t="s">
        <v>1459</v>
      </c>
    </row>
    <row r="470" spans="1:1" x14ac:dyDescent="0.25">
      <c r="A470" t="s">
        <v>1460</v>
      </c>
    </row>
    <row r="471" spans="1:1" x14ac:dyDescent="0.25">
      <c r="A471" t="s">
        <v>1461</v>
      </c>
    </row>
    <row r="472" spans="1:1" x14ac:dyDescent="0.25">
      <c r="A472" t="s">
        <v>1462</v>
      </c>
    </row>
    <row r="473" spans="1:1" x14ac:dyDescent="0.25">
      <c r="A473" t="s">
        <v>1463</v>
      </c>
    </row>
    <row r="474" spans="1:1" x14ac:dyDescent="0.25">
      <c r="A474" t="s">
        <v>1464</v>
      </c>
    </row>
    <row r="475" spans="1:1" x14ac:dyDescent="0.25">
      <c r="A475" t="s">
        <v>1465</v>
      </c>
    </row>
    <row r="476" spans="1:1" x14ac:dyDescent="0.25">
      <c r="A476" t="s">
        <v>1466</v>
      </c>
    </row>
    <row r="477" spans="1:1" x14ac:dyDescent="0.25">
      <c r="A477" t="s">
        <v>1467</v>
      </c>
    </row>
    <row r="478" spans="1:1" x14ac:dyDescent="0.25">
      <c r="A478" t="s">
        <v>1468</v>
      </c>
    </row>
    <row r="479" spans="1:1" x14ac:dyDescent="0.25">
      <c r="A479" t="s">
        <v>1469</v>
      </c>
    </row>
    <row r="480" spans="1:1" x14ac:dyDescent="0.25">
      <c r="A480" t="s">
        <v>1470</v>
      </c>
    </row>
    <row r="481" spans="1:1" x14ac:dyDescent="0.25">
      <c r="A481" t="s">
        <v>1471</v>
      </c>
    </row>
    <row r="482" spans="1:1" x14ac:dyDescent="0.25">
      <c r="A482" t="s">
        <v>1472</v>
      </c>
    </row>
    <row r="483" spans="1:1" x14ac:dyDescent="0.25">
      <c r="A483" t="s">
        <v>1473</v>
      </c>
    </row>
    <row r="484" spans="1:1" x14ac:dyDescent="0.25">
      <c r="A484" t="s">
        <v>1474</v>
      </c>
    </row>
    <row r="485" spans="1:1" x14ac:dyDescent="0.25">
      <c r="A485" t="s">
        <v>1475</v>
      </c>
    </row>
    <row r="486" spans="1:1" x14ac:dyDescent="0.25">
      <c r="A486" t="s">
        <v>1476</v>
      </c>
    </row>
    <row r="487" spans="1:1" x14ac:dyDescent="0.25">
      <c r="A487" t="s">
        <v>1477</v>
      </c>
    </row>
    <row r="488" spans="1:1" x14ac:dyDescent="0.25">
      <c r="A488" t="s">
        <v>1478</v>
      </c>
    </row>
    <row r="489" spans="1:1" x14ac:dyDescent="0.25">
      <c r="A489" t="s">
        <v>1479</v>
      </c>
    </row>
    <row r="490" spans="1:1" x14ac:dyDescent="0.25">
      <c r="A490" t="s">
        <v>1480</v>
      </c>
    </row>
    <row r="491" spans="1:1" x14ac:dyDescent="0.25">
      <c r="A491" t="s">
        <v>1481</v>
      </c>
    </row>
    <row r="492" spans="1:1" x14ac:dyDescent="0.25">
      <c r="A492" t="s">
        <v>1482</v>
      </c>
    </row>
    <row r="493" spans="1:1" x14ac:dyDescent="0.25">
      <c r="A493" t="s">
        <v>1483</v>
      </c>
    </row>
    <row r="494" spans="1:1" x14ac:dyDescent="0.25">
      <c r="A494" t="s">
        <v>1484</v>
      </c>
    </row>
    <row r="495" spans="1:1" x14ac:dyDescent="0.25">
      <c r="A495" t="s">
        <v>1485</v>
      </c>
    </row>
    <row r="496" spans="1:1" x14ac:dyDescent="0.25">
      <c r="A496" t="s">
        <v>1486</v>
      </c>
    </row>
    <row r="497" spans="1:1" x14ac:dyDescent="0.25">
      <c r="A497" t="s">
        <v>1487</v>
      </c>
    </row>
    <row r="498" spans="1:1" x14ac:dyDescent="0.25">
      <c r="A498" t="s">
        <v>1488</v>
      </c>
    </row>
    <row r="499" spans="1:1" x14ac:dyDescent="0.25">
      <c r="A499" t="s">
        <v>1489</v>
      </c>
    </row>
    <row r="500" spans="1:1" x14ac:dyDescent="0.25">
      <c r="A500" t="s">
        <v>1490</v>
      </c>
    </row>
    <row r="501" spans="1:1" x14ac:dyDescent="0.25">
      <c r="A501" t="s">
        <v>1491</v>
      </c>
    </row>
    <row r="502" spans="1:1" x14ac:dyDescent="0.25">
      <c r="A502" t="s">
        <v>1492</v>
      </c>
    </row>
    <row r="503" spans="1:1" x14ac:dyDescent="0.25">
      <c r="A503" t="s">
        <v>1493</v>
      </c>
    </row>
    <row r="504" spans="1:1" x14ac:dyDescent="0.25">
      <c r="A504" t="s">
        <v>1494</v>
      </c>
    </row>
    <row r="505" spans="1:1" x14ac:dyDescent="0.25">
      <c r="A505" t="s">
        <v>1495</v>
      </c>
    </row>
    <row r="506" spans="1:1" x14ac:dyDescent="0.25">
      <c r="A506" t="s">
        <v>1496</v>
      </c>
    </row>
    <row r="507" spans="1:1" x14ac:dyDescent="0.25">
      <c r="A507" t="s">
        <v>1497</v>
      </c>
    </row>
    <row r="508" spans="1:1" x14ac:dyDescent="0.25">
      <c r="A508" t="s">
        <v>1498</v>
      </c>
    </row>
    <row r="509" spans="1:1" x14ac:dyDescent="0.25">
      <c r="A509" t="s">
        <v>1499</v>
      </c>
    </row>
    <row r="510" spans="1:1" x14ac:dyDescent="0.25">
      <c r="A510" t="s">
        <v>1500</v>
      </c>
    </row>
    <row r="511" spans="1:1" x14ac:dyDescent="0.25">
      <c r="A511" t="s">
        <v>1501</v>
      </c>
    </row>
    <row r="512" spans="1:1" x14ac:dyDescent="0.25">
      <c r="A512" t="s">
        <v>1502</v>
      </c>
    </row>
    <row r="513" spans="1:1" x14ac:dyDescent="0.25">
      <c r="A513" t="s">
        <v>1503</v>
      </c>
    </row>
    <row r="514" spans="1:1" x14ac:dyDescent="0.25">
      <c r="A514" t="s">
        <v>1504</v>
      </c>
    </row>
    <row r="515" spans="1:1" x14ac:dyDescent="0.25">
      <c r="A515" t="s">
        <v>1505</v>
      </c>
    </row>
    <row r="516" spans="1:1" x14ac:dyDescent="0.25">
      <c r="A516" t="s">
        <v>1506</v>
      </c>
    </row>
    <row r="517" spans="1:1" x14ac:dyDescent="0.25">
      <c r="A517" t="s">
        <v>1507</v>
      </c>
    </row>
    <row r="518" spans="1:1" x14ac:dyDescent="0.25">
      <c r="A518" t="s">
        <v>1508</v>
      </c>
    </row>
    <row r="519" spans="1:1" x14ac:dyDescent="0.25">
      <c r="A519" t="s">
        <v>1509</v>
      </c>
    </row>
    <row r="520" spans="1:1" x14ac:dyDescent="0.25">
      <c r="A520" t="s">
        <v>1510</v>
      </c>
    </row>
    <row r="521" spans="1:1" x14ac:dyDescent="0.25">
      <c r="A521" t="s">
        <v>1511</v>
      </c>
    </row>
    <row r="522" spans="1:1" x14ac:dyDescent="0.25">
      <c r="A522" t="s">
        <v>1512</v>
      </c>
    </row>
    <row r="523" spans="1:1" x14ac:dyDescent="0.25">
      <c r="A523" t="s">
        <v>1513</v>
      </c>
    </row>
    <row r="524" spans="1:1" x14ac:dyDescent="0.25">
      <c r="A524" t="s">
        <v>1514</v>
      </c>
    </row>
    <row r="525" spans="1:1" x14ac:dyDescent="0.25">
      <c r="A525" t="s">
        <v>1515</v>
      </c>
    </row>
    <row r="526" spans="1:1" x14ac:dyDescent="0.25">
      <c r="A526" t="s">
        <v>1516</v>
      </c>
    </row>
    <row r="527" spans="1:1" x14ac:dyDescent="0.25">
      <c r="A527" t="s">
        <v>1517</v>
      </c>
    </row>
    <row r="528" spans="1:1" x14ac:dyDescent="0.25">
      <c r="A528" t="s">
        <v>1518</v>
      </c>
    </row>
    <row r="529" spans="1:1" x14ac:dyDescent="0.25">
      <c r="A529" t="s">
        <v>1519</v>
      </c>
    </row>
    <row r="530" spans="1:1" x14ac:dyDescent="0.25">
      <c r="A530" t="s">
        <v>1520</v>
      </c>
    </row>
    <row r="531" spans="1:1" x14ac:dyDescent="0.25">
      <c r="A531" t="s">
        <v>1521</v>
      </c>
    </row>
    <row r="532" spans="1:1" x14ac:dyDescent="0.25">
      <c r="A532" t="s">
        <v>1522</v>
      </c>
    </row>
    <row r="533" spans="1:1" x14ac:dyDescent="0.25">
      <c r="A533" t="s">
        <v>1523</v>
      </c>
    </row>
    <row r="534" spans="1:1" x14ac:dyDescent="0.25">
      <c r="A534" t="s">
        <v>1524</v>
      </c>
    </row>
    <row r="535" spans="1:1" x14ac:dyDescent="0.25">
      <c r="A535" t="s">
        <v>1525</v>
      </c>
    </row>
    <row r="536" spans="1:1" x14ac:dyDescent="0.25">
      <c r="A536" t="s">
        <v>1526</v>
      </c>
    </row>
    <row r="537" spans="1:1" x14ac:dyDescent="0.25">
      <c r="A537" t="s">
        <v>1527</v>
      </c>
    </row>
    <row r="538" spans="1:1" x14ac:dyDescent="0.25">
      <c r="A538" t="s">
        <v>1528</v>
      </c>
    </row>
    <row r="539" spans="1:1" x14ac:dyDescent="0.25">
      <c r="A539" t="s">
        <v>1529</v>
      </c>
    </row>
    <row r="540" spans="1:1" x14ac:dyDescent="0.25">
      <c r="A540" t="s">
        <v>1530</v>
      </c>
    </row>
    <row r="541" spans="1:1" x14ac:dyDescent="0.25">
      <c r="A541" t="s">
        <v>1531</v>
      </c>
    </row>
    <row r="542" spans="1:1" x14ac:dyDescent="0.25">
      <c r="A542" t="s">
        <v>1532</v>
      </c>
    </row>
    <row r="543" spans="1:1" x14ac:dyDescent="0.25">
      <c r="A543" t="s">
        <v>1533</v>
      </c>
    </row>
    <row r="544" spans="1:1" x14ac:dyDescent="0.25">
      <c r="A544" t="s">
        <v>1534</v>
      </c>
    </row>
    <row r="545" spans="1:1" x14ac:dyDescent="0.25">
      <c r="A545" t="s">
        <v>1535</v>
      </c>
    </row>
    <row r="546" spans="1:1" x14ac:dyDescent="0.25">
      <c r="A546" t="s">
        <v>1536</v>
      </c>
    </row>
    <row r="547" spans="1:1" x14ac:dyDescent="0.25">
      <c r="A547" t="s">
        <v>1537</v>
      </c>
    </row>
    <row r="548" spans="1:1" x14ac:dyDescent="0.25">
      <c r="A548" t="s">
        <v>1538</v>
      </c>
    </row>
    <row r="549" spans="1:1" x14ac:dyDescent="0.25">
      <c r="A549" t="s">
        <v>1539</v>
      </c>
    </row>
    <row r="550" spans="1:1" x14ac:dyDescent="0.25">
      <c r="A550" t="s">
        <v>1540</v>
      </c>
    </row>
    <row r="551" spans="1:1" x14ac:dyDescent="0.25">
      <c r="A551" t="s">
        <v>1541</v>
      </c>
    </row>
    <row r="552" spans="1:1" x14ac:dyDescent="0.25">
      <c r="A552" t="s">
        <v>1542</v>
      </c>
    </row>
    <row r="553" spans="1:1" x14ac:dyDescent="0.25">
      <c r="A553" t="s">
        <v>1543</v>
      </c>
    </row>
    <row r="554" spans="1:1" x14ac:dyDescent="0.25">
      <c r="A554" t="s">
        <v>1544</v>
      </c>
    </row>
    <row r="555" spans="1:1" x14ac:dyDescent="0.25">
      <c r="A555" t="s">
        <v>1545</v>
      </c>
    </row>
    <row r="556" spans="1:1" x14ac:dyDescent="0.25">
      <c r="A556" t="s">
        <v>1546</v>
      </c>
    </row>
    <row r="557" spans="1:1" x14ac:dyDescent="0.25">
      <c r="A557" t="s">
        <v>1547</v>
      </c>
    </row>
    <row r="558" spans="1:1" x14ac:dyDescent="0.25">
      <c r="A558" t="s">
        <v>1548</v>
      </c>
    </row>
    <row r="559" spans="1:1" x14ac:dyDescent="0.25">
      <c r="A559" t="s">
        <v>1549</v>
      </c>
    </row>
    <row r="560" spans="1:1" x14ac:dyDescent="0.25">
      <c r="A560" t="s">
        <v>1550</v>
      </c>
    </row>
    <row r="561" spans="1:1" x14ac:dyDescent="0.25">
      <c r="A561" t="s">
        <v>1551</v>
      </c>
    </row>
    <row r="562" spans="1:1" x14ac:dyDescent="0.25">
      <c r="A562" t="s">
        <v>1552</v>
      </c>
    </row>
    <row r="563" spans="1:1" x14ac:dyDescent="0.25">
      <c r="A563" t="s">
        <v>1553</v>
      </c>
    </row>
    <row r="564" spans="1:1" x14ac:dyDescent="0.25">
      <c r="A564" t="s">
        <v>1554</v>
      </c>
    </row>
    <row r="565" spans="1:1" x14ac:dyDescent="0.25">
      <c r="A565" t="s">
        <v>1555</v>
      </c>
    </row>
    <row r="566" spans="1:1" x14ac:dyDescent="0.25">
      <c r="A566" t="s">
        <v>1556</v>
      </c>
    </row>
    <row r="567" spans="1:1" x14ac:dyDescent="0.25">
      <c r="A567" t="s">
        <v>1557</v>
      </c>
    </row>
    <row r="568" spans="1:1" x14ac:dyDescent="0.25">
      <c r="A568" t="s">
        <v>1558</v>
      </c>
    </row>
    <row r="569" spans="1:1" x14ac:dyDescent="0.25">
      <c r="A569" t="s">
        <v>1559</v>
      </c>
    </row>
    <row r="570" spans="1:1" x14ac:dyDescent="0.25">
      <c r="A570" t="s">
        <v>1560</v>
      </c>
    </row>
    <row r="571" spans="1:1" x14ac:dyDescent="0.25">
      <c r="A571" t="s">
        <v>1561</v>
      </c>
    </row>
    <row r="572" spans="1:1" x14ac:dyDescent="0.25">
      <c r="A572" t="s">
        <v>1562</v>
      </c>
    </row>
    <row r="573" spans="1:1" x14ac:dyDescent="0.25">
      <c r="A573" t="s">
        <v>1563</v>
      </c>
    </row>
    <row r="574" spans="1:1" x14ac:dyDescent="0.25">
      <c r="A574" t="s">
        <v>1564</v>
      </c>
    </row>
    <row r="575" spans="1:1" x14ac:dyDescent="0.25">
      <c r="A575" t="s">
        <v>1565</v>
      </c>
    </row>
    <row r="576" spans="1:1" x14ac:dyDescent="0.25">
      <c r="A576" t="s">
        <v>1566</v>
      </c>
    </row>
    <row r="577" spans="1:1" x14ac:dyDescent="0.25">
      <c r="A577" t="s">
        <v>1567</v>
      </c>
    </row>
    <row r="578" spans="1:1" x14ac:dyDescent="0.25">
      <c r="A578" t="s">
        <v>1568</v>
      </c>
    </row>
    <row r="579" spans="1:1" x14ac:dyDescent="0.25">
      <c r="A579" t="s">
        <v>1569</v>
      </c>
    </row>
    <row r="580" spans="1:1" x14ac:dyDescent="0.25">
      <c r="A580" t="s">
        <v>1570</v>
      </c>
    </row>
    <row r="581" spans="1:1" x14ac:dyDescent="0.25">
      <c r="A581" t="s">
        <v>1571</v>
      </c>
    </row>
    <row r="582" spans="1:1" x14ac:dyDescent="0.25">
      <c r="A582" t="s">
        <v>1572</v>
      </c>
    </row>
    <row r="583" spans="1:1" x14ac:dyDescent="0.25">
      <c r="A583" t="s">
        <v>1573</v>
      </c>
    </row>
    <row r="584" spans="1:1" x14ac:dyDescent="0.25">
      <c r="A584" t="s">
        <v>1574</v>
      </c>
    </row>
    <row r="585" spans="1:1" x14ac:dyDescent="0.25">
      <c r="A585" t="s">
        <v>1575</v>
      </c>
    </row>
    <row r="586" spans="1:1" x14ac:dyDescent="0.25">
      <c r="A586" t="s">
        <v>1576</v>
      </c>
    </row>
    <row r="587" spans="1:1" x14ac:dyDescent="0.25">
      <c r="A587" t="s">
        <v>1577</v>
      </c>
    </row>
    <row r="588" spans="1:1" x14ac:dyDescent="0.25">
      <c r="A588" t="s">
        <v>1578</v>
      </c>
    </row>
    <row r="589" spans="1:1" x14ac:dyDescent="0.25">
      <c r="A589" t="s">
        <v>1579</v>
      </c>
    </row>
    <row r="590" spans="1:1" x14ac:dyDescent="0.25">
      <c r="A590" t="s">
        <v>1580</v>
      </c>
    </row>
    <row r="591" spans="1:1" x14ac:dyDescent="0.25">
      <c r="A591" t="s">
        <v>1581</v>
      </c>
    </row>
    <row r="592" spans="1:1" x14ac:dyDescent="0.25">
      <c r="A592" t="s">
        <v>1582</v>
      </c>
    </row>
    <row r="593" spans="1:1" x14ac:dyDescent="0.25">
      <c r="A593" t="s">
        <v>1583</v>
      </c>
    </row>
    <row r="594" spans="1:1" x14ac:dyDescent="0.25">
      <c r="A594" t="s">
        <v>1584</v>
      </c>
    </row>
    <row r="595" spans="1:1" x14ac:dyDescent="0.25">
      <c r="A595" t="s">
        <v>1585</v>
      </c>
    </row>
    <row r="596" spans="1:1" x14ac:dyDescent="0.25">
      <c r="A596" t="s">
        <v>1586</v>
      </c>
    </row>
    <row r="597" spans="1:1" x14ac:dyDescent="0.25">
      <c r="A597" t="s">
        <v>1587</v>
      </c>
    </row>
    <row r="598" spans="1:1" x14ac:dyDescent="0.25">
      <c r="A598" t="s">
        <v>1588</v>
      </c>
    </row>
    <row r="599" spans="1:1" x14ac:dyDescent="0.25">
      <c r="A599" t="s">
        <v>1589</v>
      </c>
    </row>
    <row r="600" spans="1:1" x14ac:dyDescent="0.25">
      <c r="A600" t="s">
        <v>1590</v>
      </c>
    </row>
    <row r="601" spans="1:1" x14ac:dyDescent="0.25">
      <c r="A601" t="s">
        <v>1591</v>
      </c>
    </row>
    <row r="602" spans="1:1" x14ac:dyDescent="0.25">
      <c r="A602" t="s">
        <v>1592</v>
      </c>
    </row>
    <row r="603" spans="1:1" x14ac:dyDescent="0.25">
      <c r="A603" t="s">
        <v>1593</v>
      </c>
    </row>
    <row r="604" spans="1:1" x14ac:dyDescent="0.25">
      <c r="A604" t="s">
        <v>1594</v>
      </c>
    </row>
    <row r="605" spans="1:1" x14ac:dyDescent="0.25">
      <c r="A605" t="s">
        <v>1595</v>
      </c>
    </row>
    <row r="606" spans="1:1" x14ac:dyDescent="0.25">
      <c r="A606" t="s">
        <v>1596</v>
      </c>
    </row>
    <row r="607" spans="1:1" x14ac:dyDescent="0.25">
      <c r="A607" t="s">
        <v>1597</v>
      </c>
    </row>
    <row r="608" spans="1:1" x14ac:dyDescent="0.25">
      <c r="A608" t="s">
        <v>1598</v>
      </c>
    </row>
    <row r="609" spans="1:1" x14ac:dyDescent="0.25">
      <c r="A609" t="s">
        <v>1599</v>
      </c>
    </row>
    <row r="610" spans="1:1" x14ac:dyDescent="0.25">
      <c r="A610" t="s">
        <v>1600</v>
      </c>
    </row>
    <row r="611" spans="1:1" x14ac:dyDescent="0.25">
      <c r="A611" t="s">
        <v>1601</v>
      </c>
    </row>
    <row r="612" spans="1:1" x14ac:dyDescent="0.25">
      <c r="A612" t="s">
        <v>1602</v>
      </c>
    </row>
    <row r="613" spans="1:1" x14ac:dyDescent="0.25">
      <c r="A613" t="s">
        <v>1603</v>
      </c>
    </row>
    <row r="614" spans="1:1" x14ac:dyDescent="0.25">
      <c r="A614" t="s">
        <v>1604</v>
      </c>
    </row>
    <row r="615" spans="1:1" x14ac:dyDescent="0.25">
      <c r="A615" t="s">
        <v>1605</v>
      </c>
    </row>
    <row r="616" spans="1:1" x14ac:dyDescent="0.25">
      <c r="A616" t="s">
        <v>1606</v>
      </c>
    </row>
    <row r="617" spans="1:1" x14ac:dyDescent="0.25">
      <c r="A617" t="s">
        <v>1607</v>
      </c>
    </row>
    <row r="618" spans="1:1" x14ac:dyDescent="0.25">
      <c r="A618" t="s">
        <v>1608</v>
      </c>
    </row>
    <row r="619" spans="1:1" x14ac:dyDescent="0.25">
      <c r="A619" t="s">
        <v>1609</v>
      </c>
    </row>
    <row r="620" spans="1:1" x14ac:dyDescent="0.25">
      <c r="A620" t="s">
        <v>1610</v>
      </c>
    </row>
    <row r="621" spans="1:1" x14ac:dyDescent="0.25">
      <c r="A621" t="s">
        <v>1611</v>
      </c>
    </row>
    <row r="622" spans="1:1" x14ac:dyDescent="0.25">
      <c r="A622" t="s">
        <v>1612</v>
      </c>
    </row>
    <row r="623" spans="1:1" x14ac:dyDescent="0.25">
      <c r="A623" t="s">
        <v>1613</v>
      </c>
    </row>
    <row r="624" spans="1:1" x14ac:dyDescent="0.25">
      <c r="A624" t="s">
        <v>1614</v>
      </c>
    </row>
    <row r="625" spans="1:1" x14ac:dyDescent="0.25">
      <c r="A625" t="s">
        <v>1615</v>
      </c>
    </row>
    <row r="626" spans="1:1" x14ac:dyDescent="0.25">
      <c r="A626" t="s">
        <v>1616</v>
      </c>
    </row>
    <row r="627" spans="1:1" x14ac:dyDescent="0.25">
      <c r="A627" t="s">
        <v>1617</v>
      </c>
    </row>
    <row r="628" spans="1:1" x14ac:dyDescent="0.25">
      <c r="A628" t="s">
        <v>1618</v>
      </c>
    </row>
    <row r="629" spans="1:1" x14ac:dyDescent="0.25">
      <c r="A629" t="s">
        <v>1619</v>
      </c>
    </row>
    <row r="630" spans="1:1" x14ac:dyDescent="0.25">
      <c r="A630" t="s">
        <v>1620</v>
      </c>
    </row>
    <row r="631" spans="1:1" x14ac:dyDescent="0.25">
      <c r="A631" t="s">
        <v>1621</v>
      </c>
    </row>
    <row r="632" spans="1:1" x14ac:dyDescent="0.25">
      <c r="A632" t="s">
        <v>1622</v>
      </c>
    </row>
    <row r="633" spans="1:1" x14ac:dyDescent="0.25">
      <c r="A633" t="s">
        <v>1623</v>
      </c>
    </row>
    <row r="634" spans="1:1" x14ac:dyDescent="0.25">
      <c r="A634" t="s">
        <v>1624</v>
      </c>
    </row>
    <row r="635" spans="1:1" x14ac:dyDescent="0.25">
      <c r="A635" t="s">
        <v>1625</v>
      </c>
    </row>
    <row r="636" spans="1:1" x14ac:dyDescent="0.25">
      <c r="A636" t="s">
        <v>1626</v>
      </c>
    </row>
    <row r="637" spans="1:1" x14ac:dyDescent="0.25">
      <c r="A637" t="s">
        <v>1627</v>
      </c>
    </row>
    <row r="638" spans="1:1" x14ac:dyDescent="0.25">
      <c r="A638" t="s">
        <v>1628</v>
      </c>
    </row>
    <row r="639" spans="1:1" x14ac:dyDescent="0.25">
      <c r="A639" t="s">
        <v>1629</v>
      </c>
    </row>
    <row r="640" spans="1:1" x14ac:dyDescent="0.25">
      <c r="A640" t="s">
        <v>1630</v>
      </c>
    </row>
    <row r="641" spans="1:1" x14ac:dyDescent="0.25">
      <c r="A641" t="s">
        <v>1631</v>
      </c>
    </row>
    <row r="642" spans="1:1" x14ac:dyDescent="0.25">
      <c r="A642" t="s">
        <v>1632</v>
      </c>
    </row>
    <row r="643" spans="1:1" x14ac:dyDescent="0.25">
      <c r="A643" t="s">
        <v>1633</v>
      </c>
    </row>
    <row r="644" spans="1:1" x14ac:dyDescent="0.25">
      <c r="A644" t="s">
        <v>1634</v>
      </c>
    </row>
    <row r="645" spans="1:1" x14ac:dyDescent="0.25">
      <c r="A645" t="s">
        <v>1635</v>
      </c>
    </row>
    <row r="646" spans="1:1" x14ac:dyDescent="0.25">
      <c r="A646" t="s">
        <v>1636</v>
      </c>
    </row>
    <row r="647" spans="1:1" x14ac:dyDescent="0.25">
      <c r="A647" t="s">
        <v>1637</v>
      </c>
    </row>
    <row r="648" spans="1:1" x14ac:dyDescent="0.25">
      <c r="A648" t="s">
        <v>1638</v>
      </c>
    </row>
    <row r="649" spans="1:1" x14ac:dyDescent="0.25">
      <c r="A649" t="s">
        <v>1639</v>
      </c>
    </row>
    <row r="650" spans="1:1" x14ac:dyDescent="0.25">
      <c r="A650" t="s">
        <v>1640</v>
      </c>
    </row>
    <row r="651" spans="1:1" x14ac:dyDescent="0.25">
      <c r="A651" t="s">
        <v>1641</v>
      </c>
    </row>
    <row r="652" spans="1:1" x14ac:dyDescent="0.25">
      <c r="A652" t="s">
        <v>1642</v>
      </c>
    </row>
    <row r="653" spans="1:1" x14ac:dyDescent="0.25">
      <c r="A653" t="s">
        <v>1643</v>
      </c>
    </row>
    <row r="654" spans="1:1" x14ac:dyDescent="0.25">
      <c r="A654" t="s">
        <v>1644</v>
      </c>
    </row>
    <row r="655" spans="1:1" x14ac:dyDescent="0.25">
      <c r="A655" t="s">
        <v>1645</v>
      </c>
    </row>
    <row r="656" spans="1:1" x14ac:dyDescent="0.25">
      <c r="A656" t="s">
        <v>1646</v>
      </c>
    </row>
    <row r="657" spans="1:1" x14ac:dyDescent="0.25">
      <c r="A657" t="s">
        <v>1647</v>
      </c>
    </row>
    <row r="658" spans="1:1" x14ac:dyDescent="0.25">
      <c r="A658" t="s">
        <v>1648</v>
      </c>
    </row>
    <row r="659" spans="1:1" x14ac:dyDescent="0.25">
      <c r="A659" t="s">
        <v>1649</v>
      </c>
    </row>
    <row r="660" spans="1:1" x14ac:dyDescent="0.25">
      <c r="A660" t="s">
        <v>1650</v>
      </c>
    </row>
    <row r="661" spans="1:1" x14ac:dyDescent="0.25">
      <c r="A661" t="s">
        <v>1651</v>
      </c>
    </row>
    <row r="662" spans="1:1" x14ac:dyDescent="0.25">
      <c r="A662" t="s">
        <v>1652</v>
      </c>
    </row>
    <row r="663" spans="1:1" x14ac:dyDescent="0.25">
      <c r="A663" t="s">
        <v>1653</v>
      </c>
    </row>
    <row r="664" spans="1:1" x14ac:dyDescent="0.25">
      <c r="A664" t="s">
        <v>1654</v>
      </c>
    </row>
    <row r="665" spans="1:1" x14ac:dyDescent="0.25">
      <c r="A665" t="s">
        <v>1655</v>
      </c>
    </row>
    <row r="666" spans="1:1" x14ac:dyDescent="0.25">
      <c r="A666" t="s">
        <v>1656</v>
      </c>
    </row>
    <row r="667" spans="1:1" x14ac:dyDescent="0.25">
      <c r="A667" t="s">
        <v>1657</v>
      </c>
    </row>
    <row r="668" spans="1:1" x14ac:dyDescent="0.25">
      <c r="A668" t="s">
        <v>1658</v>
      </c>
    </row>
    <row r="669" spans="1:1" x14ac:dyDescent="0.25">
      <c r="A669" t="s">
        <v>1659</v>
      </c>
    </row>
    <row r="670" spans="1:1" x14ac:dyDescent="0.25">
      <c r="A670" t="s">
        <v>1660</v>
      </c>
    </row>
    <row r="671" spans="1:1" x14ac:dyDescent="0.25">
      <c r="A671" t="s">
        <v>1661</v>
      </c>
    </row>
    <row r="672" spans="1:1" x14ac:dyDescent="0.25">
      <c r="A672" t="s">
        <v>1662</v>
      </c>
    </row>
    <row r="673" spans="1:1" x14ac:dyDescent="0.25">
      <c r="A673" t="s">
        <v>1663</v>
      </c>
    </row>
    <row r="674" spans="1:1" x14ac:dyDescent="0.25">
      <c r="A674" t="s">
        <v>1664</v>
      </c>
    </row>
    <row r="675" spans="1:1" x14ac:dyDescent="0.25">
      <c r="A675" t="s">
        <v>1665</v>
      </c>
    </row>
    <row r="676" spans="1:1" x14ac:dyDescent="0.25">
      <c r="A676" t="s">
        <v>1666</v>
      </c>
    </row>
    <row r="677" spans="1:1" x14ac:dyDescent="0.25">
      <c r="A677" t="s">
        <v>1667</v>
      </c>
    </row>
    <row r="678" spans="1:1" x14ac:dyDescent="0.25">
      <c r="A678" t="s">
        <v>1668</v>
      </c>
    </row>
    <row r="679" spans="1:1" x14ac:dyDescent="0.25">
      <c r="A679" t="s">
        <v>1669</v>
      </c>
    </row>
    <row r="680" spans="1:1" x14ac:dyDescent="0.25">
      <c r="A680" t="s">
        <v>1670</v>
      </c>
    </row>
    <row r="681" spans="1:1" x14ac:dyDescent="0.25">
      <c r="A681" t="s">
        <v>1671</v>
      </c>
    </row>
    <row r="682" spans="1:1" x14ac:dyDescent="0.25">
      <c r="A682" t="s">
        <v>1672</v>
      </c>
    </row>
    <row r="683" spans="1:1" x14ac:dyDescent="0.25">
      <c r="A683" t="s">
        <v>1673</v>
      </c>
    </row>
    <row r="684" spans="1:1" x14ac:dyDescent="0.25">
      <c r="A684" t="s">
        <v>1674</v>
      </c>
    </row>
    <row r="685" spans="1:1" x14ac:dyDescent="0.25">
      <c r="A685" t="s">
        <v>1675</v>
      </c>
    </row>
    <row r="686" spans="1:1" x14ac:dyDescent="0.25">
      <c r="A686" t="s">
        <v>1676</v>
      </c>
    </row>
    <row r="687" spans="1:1" x14ac:dyDescent="0.25">
      <c r="A687" t="s">
        <v>1677</v>
      </c>
    </row>
    <row r="688" spans="1:1" x14ac:dyDescent="0.25">
      <c r="A688" t="s">
        <v>1678</v>
      </c>
    </row>
    <row r="689" spans="1:1" x14ac:dyDescent="0.25">
      <c r="A689" t="s">
        <v>1679</v>
      </c>
    </row>
    <row r="690" spans="1:1" x14ac:dyDescent="0.25">
      <c r="A690" t="s">
        <v>1680</v>
      </c>
    </row>
    <row r="691" spans="1:1" x14ac:dyDescent="0.25">
      <c r="A691" t="s">
        <v>1681</v>
      </c>
    </row>
    <row r="692" spans="1:1" x14ac:dyDescent="0.25">
      <c r="A692" t="s">
        <v>1682</v>
      </c>
    </row>
    <row r="693" spans="1:1" x14ac:dyDescent="0.25">
      <c r="A693" t="s">
        <v>1683</v>
      </c>
    </row>
    <row r="694" spans="1:1" x14ac:dyDescent="0.25">
      <c r="A694" t="s">
        <v>1684</v>
      </c>
    </row>
    <row r="695" spans="1:1" x14ac:dyDescent="0.25">
      <c r="A695" t="s">
        <v>1685</v>
      </c>
    </row>
    <row r="696" spans="1:1" x14ac:dyDescent="0.25">
      <c r="A696" t="s">
        <v>1686</v>
      </c>
    </row>
    <row r="697" spans="1:1" x14ac:dyDescent="0.25">
      <c r="A697" t="s">
        <v>1687</v>
      </c>
    </row>
    <row r="698" spans="1:1" x14ac:dyDescent="0.25">
      <c r="A698" t="s">
        <v>1688</v>
      </c>
    </row>
    <row r="699" spans="1:1" x14ac:dyDescent="0.25">
      <c r="A699" t="s">
        <v>1689</v>
      </c>
    </row>
    <row r="700" spans="1:1" x14ac:dyDescent="0.25">
      <c r="A700" t="s">
        <v>1690</v>
      </c>
    </row>
    <row r="701" spans="1:1" x14ac:dyDescent="0.25">
      <c r="A701" t="s">
        <v>1691</v>
      </c>
    </row>
    <row r="702" spans="1:1" x14ac:dyDescent="0.25">
      <c r="A702" t="s">
        <v>1692</v>
      </c>
    </row>
    <row r="703" spans="1:1" x14ac:dyDescent="0.25">
      <c r="A703" t="s">
        <v>1693</v>
      </c>
    </row>
    <row r="704" spans="1:1" x14ac:dyDescent="0.25">
      <c r="A704" t="s">
        <v>1694</v>
      </c>
    </row>
    <row r="705" spans="1:1" x14ac:dyDescent="0.25">
      <c r="A705" t="s">
        <v>1695</v>
      </c>
    </row>
    <row r="706" spans="1:1" x14ac:dyDescent="0.25">
      <c r="A706" t="s">
        <v>1696</v>
      </c>
    </row>
    <row r="707" spans="1:1" x14ac:dyDescent="0.25">
      <c r="A707" t="s">
        <v>1697</v>
      </c>
    </row>
    <row r="708" spans="1:1" x14ac:dyDescent="0.25">
      <c r="A708" t="s">
        <v>1698</v>
      </c>
    </row>
    <row r="709" spans="1:1" x14ac:dyDescent="0.25">
      <c r="A709" t="s">
        <v>1699</v>
      </c>
    </row>
    <row r="710" spans="1:1" x14ac:dyDescent="0.25">
      <c r="A710" t="s">
        <v>1700</v>
      </c>
    </row>
    <row r="711" spans="1:1" x14ac:dyDescent="0.25">
      <c r="A711" t="s">
        <v>1701</v>
      </c>
    </row>
    <row r="712" spans="1:1" x14ac:dyDescent="0.25">
      <c r="A712" t="s">
        <v>1702</v>
      </c>
    </row>
    <row r="713" spans="1:1" x14ac:dyDescent="0.25">
      <c r="A713" t="s">
        <v>1703</v>
      </c>
    </row>
    <row r="714" spans="1:1" x14ac:dyDescent="0.25">
      <c r="A714" t="s">
        <v>1704</v>
      </c>
    </row>
    <row r="715" spans="1:1" x14ac:dyDescent="0.25">
      <c r="A715" t="s">
        <v>1705</v>
      </c>
    </row>
    <row r="716" spans="1:1" x14ac:dyDescent="0.25">
      <c r="A716" t="s">
        <v>1706</v>
      </c>
    </row>
    <row r="717" spans="1:1" x14ac:dyDescent="0.25">
      <c r="A717" t="s">
        <v>1707</v>
      </c>
    </row>
    <row r="718" spans="1:1" x14ac:dyDescent="0.25">
      <c r="A718" t="s">
        <v>1708</v>
      </c>
    </row>
    <row r="719" spans="1:1" x14ac:dyDescent="0.25">
      <c r="A719" t="s">
        <v>1709</v>
      </c>
    </row>
    <row r="720" spans="1:1" x14ac:dyDescent="0.25">
      <c r="A720" t="s">
        <v>1710</v>
      </c>
    </row>
    <row r="721" spans="1:1" x14ac:dyDescent="0.25">
      <c r="A721" t="s">
        <v>1711</v>
      </c>
    </row>
    <row r="722" spans="1:1" x14ac:dyDescent="0.25">
      <c r="A722" t="s">
        <v>1712</v>
      </c>
    </row>
    <row r="723" spans="1:1" x14ac:dyDescent="0.25">
      <c r="A723" t="s">
        <v>1713</v>
      </c>
    </row>
    <row r="724" spans="1:1" x14ac:dyDescent="0.25">
      <c r="A724" t="s">
        <v>1714</v>
      </c>
    </row>
    <row r="725" spans="1:1" x14ac:dyDescent="0.25">
      <c r="A725" t="s">
        <v>1715</v>
      </c>
    </row>
    <row r="726" spans="1:1" x14ac:dyDescent="0.25">
      <c r="A726" t="s">
        <v>1716</v>
      </c>
    </row>
    <row r="727" spans="1:1" x14ac:dyDescent="0.25">
      <c r="A727" t="s">
        <v>1717</v>
      </c>
    </row>
    <row r="728" spans="1:1" x14ac:dyDescent="0.25">
      <c r="A728" t="s">
        <v>1718</v>
      </c>
    </row>
    <row r="729" spans="1:1" x14ac:dyDescent="0.25">
      <c r="A729" t="s">
        <v>1719</v>
      </c>
    </row>
    <row r="730" spans="1:1" x14ac:dyDescent="0.25">
      <c r="A730" t="s">
        <v>1720</v>
      </c>
    </row>
    <row r="731" spans="1:1" x14ac:dyDescent="0.25">
      <c r="A731" t="s">
        <v>1721</v>
      </c>
    </row>
    <row r="732" spans="1:1" x14ac:dyDescent="0.25">
      <c r="A732" t="s">
        <v>1722</v>
      </c>
    </row>
    <row r="733" spans="1:1" x14ac:dyDescent="0.25">
      <c r="A733" t="s">
        <v>1723</v>
      </c>
    </row>
    <row r="734" spans="1:1" x14ac:dyDescent="0.25">
      <c r="A734" t="s">
        <v>1724</v>
      </c>
    </row>
    <row r="735" spans="1:1" x14ac:dyDescent="0.25">
      <c r="A735" t="s">
        <v>1725</v>
      </c>
    </row>
    <row r="736" spans="1:1" x14ac:dyDescent="0.25">
      <c r="A736" t="s">
        <v>1726</v>
      </c>
    </row>
    <row r="737" spans="1:1" x14ac:dyDescent="0.25">
      <c r="A737" t="s">
        <v>1727</v>
      </c>
    </row>
    <row r="738" spans="1:1" x14ac:dyDescent="0.25">
      <c r="A738" t="s">
        <v>1728</v>
      </c>
    </row>
    <row r="739" spans="1:1" x14ac:dyDescent="0.25">
      <c r="A739" t="s">
        <v>1729</v>
      </c>
    </row>
    <row r="740" spans="1:1" x14ac:dyDescent="0.25">
      <c r="A740" t="s">
        <v>1730</v>
      </c>
    </row>
    <row r="741" spans="1:1" x14ac:dyDescent="0.25">
      <c r="A741" t="s">
        <v>1731</v>
      </c>
    </row>
    <row r="742" spans="1:1" x14ac:dyDescent="0.25">
      <c r="A742" t="s">
        <v>1732</v>
      </c>
    </row>
    <row r="743" spans="1:1" x14ac:dyDescent="0.25">
      <c r="A743" t="s">
        <v>1733</v>
      </c>
    </row>
    <row r="744" spans="1:1" x14ac:dyDescent="0.25">
      <c r="A744" t="s">
        <v>1734</v>
      </c>
    </row>
    <row r="745" spans="1:1" x14ac:dyDescent="0.25">
      <c r="A745" t="s">
        <v>1735</v>
      </c>
    </row>
    <row r="746" spans="1:1" x14ac:dyDescent="0.25">
      <c r="A746" t="s">
        <v>1736</v>
      </c>
    </row>
    <row r="747" spans="1:1" x14ac:dyDescent="0.25">
      <c r="A747" t="s">
        <v>1737</v>
      </c>
    </row>
    <row r="748" spans="1:1" x14ac:dyDescent="0.25">
      <c r="A748" t="s">
        <v>1738</v>
      </c>
    </row>
    <row r="749" spans="1:1" x14ac:dyDescent="0.25">
      <c r="A749" t="s">
        <v>1739</v>
      </c>
    </row>
    <row r="750" spans="1:1" x14ac:dyDescent="0.25">
      <c r="A750" t="s">
        <v>1740</v>
      </c>
    </row>
    <row r="751" spans="1:1" x14ac:dyDescent="0.25">
      <c r="A751" t="s">
        <v>1741</v>
      </c>
    </row>
    <row r="752" spans="1:1" x14ac:dyDescent="0.25">
      <c r="A752" t="s">
        <v>1742</v>
      </c>
    </row>
    <row r="753" spans="1:1" x14ac:dyDescent="0.25">
      <c r="A753" t="s">
        <v>1743</v>
      </c>
    </row>
    <row r="754" spans="1:1" x14ac:dyDescent="0.25">
      <c r="A754" t="s">
        <v>1744</v>
      </c>
    </row>
    <row r="755" spans="1:1" x14ac:dyDescent="0.25">
      <c r="A755" t="s">
        <v>1745</v>
      </c>
    </row>
    <row r="756" spans="1:1" x14ac:dyDescent="0.25">
      <c r="A756" t="s">
        <v>1746</v>
      </c>
    </row>
    <row r="757" spans="1:1" x14ac:dyDescent="0.25">
      <c r="A757" t="s">
        <v>1747</v>
      </c>
    </row>
    <row r="758" spans="1:1" x14ac:dyDescent="0.25">
      <c r="A758" t="s">
        <v>1748</v>
      </c>
    </row>
    <row r="759" spans="1:1" x14ac:dyDescent="0.25">
      <c r="A759" t="s">
        <v>1749</v>
      </c>
    </row>
    <row r="760" spans="1:1" x14ac:dyDescent="0.25">
      <c r="A760" t="s">
        <v>1750</v>
      </c>
    </row>
    <row r="761" spans="1:1" x14ac:dyDescent="0.25">
      <c r="A761" t="s">
        <v>1751</v>
      </c>
    </row>
    <row r="762" spans="1:1" x14ac:dyDescent="0.25">
      <c r="A762" t="s">
        <v>1752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>
      <selection activeCell="C32" sqref="C32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979</v>
      </c>
      <c r="B1" s="7" t="s">
        <v>980</v>
      </c>
      <c r="C1" s="7" t="s">
        <v>952</v>
      </c>
    </row>
    <row r="2" spans="1:3" x14ac:dyDescent="0.25">
      <c r="A2" s="7" t="s">
        <v>489</v>
      </c>
      <c r="B2" s="7" t="s">
        <v>511</v>
      </c>
      <c r="C2" s="7" t="s">
        <v>511</v>
      </c>
    </row>
    <row r="3" spans="1:3" x14ac:dyDescent="0.25">
      <c r="A3" s="7" t="s">
        <v>489</v>
      </c>
      <c r="B3" s="7" t="s">
        <v>490</v>
      </c>
      <c r="C3" s="7" t="s">
        <v>511</v>
      </c>
    </row>
    <row r="4" spans="1:3" x14ac:dyDescent="0.25">
      <c r="A4" s="7" t="s">
        <v>489</v>
      </c>
      <c r="B4" s="7" t="s">
        <v>491</v>
      </c>
      <c r="C4" s="7" t="s">
        <v>511</v>
      </c>
    </row>
    <row r="5" spans="1:3" x14ac:dyDescent="0.25">
      <c r="A5" s="7" t="s">
        <v>489</v>
      </c>
      <c r="B5" s="7" t="s">
        <v>492</v>
      </c>
      <c r="C5" s="7" t="s">
        <v>511</v>
      </c>
    </row>
    <row r="6" spans="1:3" x14ac:dyDescent="0.25">
      <c r="A6" s="7" t="s">
        <v>489</v>
      </c>
      <c r="B6" s="7" t="s">
        <v>493</v>
      </c>
      <c r="C6" s="7" t="s">
        <v>511</v>
      </c>
    </row>
    <row r="7" spans="1:3" x14ac:dyDescent="0.25">
      <c r="A7" s="7" t="s">
        <v>489</v>
      </c>
      <c r="B7" s="7" t="s">
        <v>494</v>
      </c>
      <c r="C7" s="7" t="s">
        <v>511</v>
      </c>
    </row>
    <row r="8" spans="1:3" x14ac:dyDescent="0.25">
      <c r="A8" s="7" t="s">
        <v>489</v>
      </c>
      <c r="B8" s="7" t="s">
        <v>495</v>
      </c>
      <c r="C8" s="7" t="s">
        <v>511</v>
      </c>
    </row>
    <row r="9" spans="1:3" x14ac:dyDescent="0.25">
      <c r="A9" s="7" t="s">
        <v>489</v>
      </c>
      <c r="B9" s="7" t="s">
        <v>496</v>
      </c>
      <c r="C9" s="7" t="s">
        <v>511</v>
      </c>
    </row>
    <row r="10" spans="1:3" x14ac:dyDescent="0.25">
      <c r="A10" s="7" t="s">
        <v>489</v>
      </c>
      <c r="B10" s="7" t="s">
        <v>497</v>
      </c>
      <c r="C10" s="7" t="s">
        <v>511</v>
      </c>
    </row>
    <row r="11" spans="1:3" x14ac:dyDescent="0.25">
      <c r="A11" s="7" t="s">
        <v>489</v>
      </c>
      <c r="B11" s="7" t="s">
        <v>498</v>
      </c>
      <c r="C11" s="7" t="s">
        <v>511</v>
      </c>
    </row>
    <row r="12" spans="1:3" x14ac:dyDescent="0.25">
      <c r="A12" s="7" t="s">
        <v>489</v>
      </c>
      <c r="B12" s="7" t="s">
        <v>499</v>
      </c>
      <c r="C12" s="7" t="s">
        <v>511</v>
      </c>
    </row>
    <row r="13" spans="1:3" x14ac:dyDescent="0.25">
      <c r="A13" s="7" t="s">
        <v>489</v>
      </c>
      <c r="B13" s="7" t="s">
        <v>500</v>
      </c>
      <c r="C13" s="7" t="s">
        <v>511</v>
      </c>
    </row>
    <row r="14" spans="1:3" x14ac:dyDescent="0.25">
      <c r="A14" s="7" t="s">
        <v>489</v>
      </c>
      <c r="B14" s="7" t="s">
        <v>501</v>
      </c>
      <c r="C14" s="7" t="s">
        <v>511</v>
      </c>
    </row>
    <row r="15" spans="1:3" x14ac:dyDescent="0.25">
      <c r="A15" s="7" t="s">
        <v>489</v>
      </c>
      <c r="B15" s="7" t="s">
        <v>502</v>
      </c>
      <c r="C15" s="7" t="s">
        <v>511</v>
      </c>
    </row>
    <row r="16" spans="1:3" x14ac:dyDescent="0.25">
      <c r="A16" s="7" t="s">
        <v>489</v>
      </c>
      <c r="B16" s="7" t="s">
        <v>503</v>
      </c>
      <c r="C16" s="7" t="s">
        <v>977</v>
      </c>
    </row>
    <row r="17" spans="1:3" x14ac:dyDescent="0.25">
      <c r="A17" s="7" t="s">
        <v>489</v>
      </c>
      <c r="B17" s="7" t="s">
        <v>977</v>
      </c>
      <c r="C17" s="7" t="s">
        <v>977</v>
      </c>
    </row>
    <row r="18" spans="1:3" x14ac:dyDescent="0.25">
      <c r="A18" s="7" t="s">
        <v>489</v>
      </c>
      <c r="B18" s="7" t="s">
        <v>978</v>
      </c>
      <c r="C18" s="7" t="e">
        <f>NA()</f>
        <v>#N/A</v>
      </c>
    </row>
    <row r="19" spans="1:3" x14ac:dyDescent="0.25">
      <c r="A19" s="7" t="s">
        <v>489</v>
      </c>
      <c r="B19" s="7" t="s">
        <v>504</v>
      </c>
      <c r="C19" s="7" t="e">
        <f>NA()</f>
        <v>#N/A</v>
      </c>
    </row>
    <row r="20" spans="1:3" x14ac:dyDescent="0.25">
      <c r="A20" s="7" t="s">
        <v>489</v>
      </c>
      <c r="B20" s="7" t="s">
        <v>504</v>
      </c>
      <c r="C20" s="7" t="e">
        <f>NA()</f>
        <v>#N/A</v>
      </c>
    </row>
    <row r="21" spans="1:3" x14ac:dyDescent="0.25">
      <c r="A21" s="7" t="s">
        <v>489</v>
      </c>
      <c r="B21" s="7" t="s">
        <v>504</v>
      </c>
      <c r="C21" s="7" t="e">
        <f>NA()</f>
        <v>#N/A</v>
      </c>
    </row>
    <row r="22" spans="1:3" x14ac:dyDescent="0.25">
      <c r="A22" s="7" t="s">
        <v>489</v>
      </c>
      <c r="B22" s="7" t="s">
        <v>508</v>
      </c>
      <c r="C22" s="7" t="e">
        <f>NA()</f>
        <v>#N/A</v>
      </c>
    </row>
    <row r="23" spans="1:3" x14ac:dyDescent="0.25">
      <c r="A23" s="7" t="s">
        <v>489</v>
      </c>
      <c r="B23" s="7" t="s">
        <v>508</v>
      </c>
      <c r="C23" s="7" t="e">
        <f>NA()</f>
        <v>#N/A</v>
      </c>
    </row>
    <row r="24" spans="1:3" x14ac:dyDescent="0.25">
      <c r="A24" t="s">
        <v>588</v>
      </c>
      <c r="B24" t="s">
        <v>591</v>
      </c>
      <c r="C24" s="7" t="str">
        <f>IFERROR(INDEX(About!C:C,MATCH("*"&amp;CONCATENATE("Frac of Pol Impl This Yr - ",ROUNDUP(COUNTIF($A$2:A24,A24)/2,0)," -")&amp;"*",About!C:C,0),1),$C$25)</f>
        <v>Frac of Pol Impl This Yr - 1 - Default.xlsx</v>
      </c>
    </row>
    <row r="25" spans="1:3" x14ac:dyDescent="0.25">
      <c r="A25" t="s">
        <v>588</v>
      </c>
      <c r="B25" t="s">
        <v>590</v>
      </c>
      <c r="C25" s="7" t="str">
        <f>IFERROR(INDEX(About!C:C,MATCH("*"&amp;CONCATENATE("Frac of Pol Impl This Yr - ",ROUNDUP(COUNTIF($A$2:A25,A25)/2,0)," -")&amp;"*",About!C:C,0),1),$C$25)</f>
        <v>Frac of Pol Impl This Yr - 1 - Default.xlsx</v>
      </c>
    </row>
    <row r="26" spans="1:3" x14ac:dyDescent="0.25">
      <c r="A26" t="s">
        <v>588</v>
      </c>
      <c r="B26" t="s">
        <v>593</v>
      </c>
      <c r="C26" s="7" t="str">
        <f>IFERROR(INDEX(About!C:C,MATCH("*"&amp;CONCATENATE("Frac of Pol Impl This Yr - ",ROUNDUP(COUNTIF($A$2:A26,A26)/2,0)," -")&amp;"*",About!C:C,0),1),$C$25)</f>
        <v>Frac of Pol Impl This Yr - 2 - Net Zero.xlsx</v>
      </c>
    </row>
    <row r="27" spans="1:3" x14ac:dyDescent="0.25">
      <c r="A27" t="s">
        <v>588</v>
      </c>
      <c r="B27" t="s">
        <v>592</v>
      </c>
      <c r="C27" s="7" t="str">
        <f>IFERROR(INDEX(About!C:C,MATCH("*"&amp;CONCATENATE("Frac of Pol Impl This Yr - ",ROUNDUP(COUNTIF($A$2:A27,A27)/2,0)," -")&amp;"*",About!C:C,0),1),$C$25)</f>
        <v>Frac of Pol Impl This Yr - 2 - Net Zero.xlsx</v>
      </c>
    </row>
    <row r="28" spans="1:3" x14ac:dyDescent="0.25">
      <c r="A28" t="s">
        <v>588</v>
      </c>
      <c r="B28" t="s">
        <v>594</v>
      </c>
      <c r="C28" s="7" t="str">
        <f>IFERROR(INDEX(About!C:C,MATCH("*"&amp;CONCATENATE("Frac of Pol Impl This Yr - ",ROUNDUP(COUNTIF($A$2:A28,A28)/2,0)," -")&amp;"*",About!C:C,0),1),$C$25)</f>
        <v>Frac of Pol Impl This Yr - 3 - NDC.xlsx</v>
      </c>
    </row>
    <row r="29" spans="1:3" x14ac:dyDescent="0.25">
      <c r="A29" t="s">
        <v>588</v>
      </c>
      <c r="B29" t="s">
        <v>981</v>
      </c>
      <c r="C29" s="7" t="str">
        <f>IFERROR(INDEX(About!C:C,MATCH("*"&amp;CONCATENATE("Frac of Pol Impl This Yr - ",ROUNDUP(COUNTIF($A$2:A29,A29)/2,0)," -")&amp;"*",About!C:C,0),1),$C$25)</f>
        <v>Frac of Pol Impl This Yr - 3 - NDC.xlsx</v>
      </c>
    </row>
    <row r="30" spans="1:3" x14ac:dyDescent="0.25">
      <c r="A30" t="s">
        <v>588</v>
      </c>
      <c r="B30" t="s">
        <v>595</v>
      </c>
      <c r="C30" s="7" t="str">
        <f>IFERROR(INDEX(About!C:C,MATCH("*"&amp;CONCATENATE("Frac of Pol Impl This Yr - ",ROUNDUP(COUNTIF($A$2:A30,A30)/2,0)," -")&amp;"*",About!C:C,0),1),$C$25)</f>
        <v>Frac of Pol Impl This Yr - 1 - Default.xlsx</v>
      </c>
    </row>
    <row r="31" spans="1:3" x14ac:dyDescent="0.25">
      <c r="A31" t="s">
        <v>588</v>
      </c>
      <c r="B31" t="s">
        <v>982</v>
      </c>
      <c r="C31" s="7" t="str">
        <f>IFERROR(INDEX(About!C:C,MATCH("*"&amp;CONCATENATE("Frac of Pol Impl This Yr - ",ROUNDUP(COUNTIF($A$2:A31,A31)/2,0)," -")&amp;"*",About!C:C,0),1),$C$25)</f>
        <v>Frac of Pol Impl This Yr - 1 - Default.xlsx</v>
      </c>
    </row>
    <row r="32" spans="1:3" x14ac:dyDescent="0.25">
      <c r="A32" t="s">
        <v>588</v>
      </c>
      <c r="B32" t="s">
        <v>596</v>
      </c>
      <c r="C32" s="7" t="str">
        <f>IFERROR(INDEX(About!C:C,MATCH("*"&amp;CONCATENATE("Frac of Pol Impl This Yr - ",ROUNDUP(COUNTIF($A$2:A32,A32)/2,0)," -")&amp;"*",About!C:C,0),1),$C$25)</f>
        <v>Frac of Pol Impl This Yr - 1 - Default.xlsx</v>
      </c>
    </row>
    <row r="33" spans="1:3" x14ac:dyDescent="0.25">
      <c r="A33" t="s">
        <v>588</v>
      </c>
      <c r="B33" t="s">
        <v>983</v>
      </c>
      <c r="C33" s="7" t="str">
        <f>IFERROR(INDEX(About!C:C,MATCH("*"&amp;CONCATENATE("Frac of Pol Impl This Yr - ",ROUNDUP(COUNTIF($A$2:A33,A33)/2,0)," -")&amp;"*",About!C:C,0),1),$C$25)</f>
        <v>Frac of Pol Impl This Yr - 1 - Default.xlsx</v>
      </c>
    </row>
    <row r="34" spans="1:3" x14ac:dyDescent="0.25">
      <c r="A34" t="s">
        <v>588</v>
      </c>
      <c r="B34" t="s">
        <v>597</v>
      </c>
      <c r="C34" s="7" t="str">
        <f>IFERROR(INDEX(About!C:C,MATCH("*"&amp;CONCATENATE("Frac of Pol Impl This Yr - ",ROUNDUP(COUNTIF($A$2:A34,A34)/2,0)," -")&amp;"*",About!C:C,0),1),$C$25)</f>
        <v>Frac of Pol Impl This Yr - 1 - Default.xlsx</v>
      </c>
    </row>
    <row r="35" spans="1:3" x14ac:dyDescent="0.25">
      <c r="A35" t="s">
        <v>588</v>
      </c>
      <c r="B35" t="s">
        <v>984</v>
      </c>
      <c r="C35" s="7" t="str">
        <f>IFERROR(INDEX(About!C:C,MATCH("*"&amp;CONCATENATE("Frac of Pol Impl This Yr - ",ROUNDUP(COUNTIF($A$2:A35,A35)/2,0)," -")&amp;"*",About!C:C,0),1),$C$25)</f>
        <v>Frac of Pol Impl This Yr - 1 - Default.xlsx</v>
      </c>
    </row>
    <row r="36" spans="1:3" x14ac:dyDescent="0.25">
      <c r="A36" t="s">
        <v>588</v>
      </c>
      <c r="B36" t="s">
        <v>598</v>
      </c>
      <c r="C36" s="7" t="str">
        <f>IFERROR(INDEX(About!C:C,MATCH("*"&amp;CONCATENATE("Frac of Pol Impl This Yr - ",ROUNDUP(COUNTIF($A$2:A36,A36)/2,0)," -")&amp;"*",About!C:C,0),1),$C$25)</f>
        <v>Frac of Pol Impl This Yr - 1 - Default.xlsx</v>
      </c>
    </row>
    <row r="37" spans="1:3" x14ac:dyDescent="0.25">
      <c r="A37" t="s">
        <v>588</v>
      </c>
      <c r="B37" t="s">
        <v>985</v>
      </c>
      <c r="C37" s="7" t="str">
        <f>IFERROR(INDEX(About!C:C,MATCH("*"&amp;CONCATENATE("Frac of Pol Impl This Yr - ",ROUNDUP(COUNTIF($A$2:A37,A37)/2,0)," -")&amp;"*",About!C:C,0),1),$C$25)</f>
        <v>Frac of Pol Impl This Yr - 1 - Default.xlsx</v>
      </c>
    </row>
    <row r="38" spans="1:3" x14ac:dyDescent="0.25">
      <c r="A38" t="s">
        <v>588</v>
      </c>
      <c r="B38" t="s">
        <v>599</v>
      </c>
      <c r="C38" s="7" t="str">
        <f>IFERROR(INDEX(About!C:C,MATCH("*"&amp;CONCATENATE("Frac of Pol Impl This Yr - ",ROUNDUP(COUNTIF($A$2:A38,A38)/2,0)," -")&amp;"*",About!C:C,0),1),$C$25)</f>
        <v>Frac of Pol Impl This Yr - 1 - Default.xlsx</v>
      </c>
    </row>
    <row r="39" spans="1:3" x14ac:dyDescent="0.25">
      <c r="A39" t="s">
        <v>588</v>
      </c>
      <c r="B39" t="s">
        <v>986</v>
      </c>
      <c r="C39" s="7" t="str">
        <f>IFERROR(INDEX(About!C:C,MATCH("*"&amp;CONCATENATE("Frac of Pol Impl This Yr - ",ROUNDUP(COUNTIF($A$2:A39,A39)/2,0)," -")&amp;"*",About!C:C,0),1),$C$25)</f>
        <v>Frac of Pol Impl This Yr - 1 - Default.xlsx</v>
      </c>
    </row>
    <row r="40" spans="1:3" x14ac:dyDescent="0.25">
      <c r="A40" t="s">
        <v>588</v>
      </c>
      <c r="B40" t="s">
        <v>600</v>
      </c>
      <c r="C40" s="7" t="str">
        <f>IFERROR(INDEX(About!C:C,MATCH("*"&amp;CONCATENATE("Frac of Pol Impl This Yr - ",ROUNDUP(COUNTIF($A$2:A40,A40)/2,0)," -")&amp;"*",About!C:C,0),1),$C$25)</f>
        <v>Frac of Pol Impl This Yr - 1 - Default.xlsx</v>
      </c>
    </row>
    <row r="41" spans="1:3" x14ac:dyDescent="0.25">
      <c r="A41" t="s">
        <v>588</v>
      </c>
      <c r="B41" t="s">
        <v>987</v>
      </c>
      <c r="C41" s="7" t="str">
        <f>IFERROR(INDEX(About!C:C,MATCH("*"&amp;CONCATENATE("Frac of Pol Impl This Yr - ",ROUNDUP(COUNTIF($A$2:A41,A41)/2,0)," -")&amp;"*",About!C:C,0),1),$C$25)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About</vt:lpstr>
      <vt:lpstr>Sheet1</vt:lpstr>
      <vt:lpstr>Sheet2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2020-01-10T19:32:40Z</dcterms:modified>
</cp:coreProperties>
</file>