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anOBrien\Models\EPS\US\eps-us\InputData\"/>
    </mc:Choice>
  </mc:AlternateContent>
  <xr:revisionPtr revIDLastSave="0" documentId="13_ncr:1_{0CE49B2F-8842-43B3-BDAB-D4A6E1A97E69}" xr6:coauthVersionLast="47" xr6:coauthVersionMax="47" xr10:uidLastSave="{00000000-0000-0000-0000-000000000000}"/>
  <bookViews>
    <workbookView xWindow="-6930" yWindow="-16320" windowWidth="29040" windowHeight="157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I1151" i="1" l="1"/>
  <c r="G1151" i="1"/>
  <c r="I1150" i="1"/>
  <c r="G1150" i="1"/>
  <c r="I1149" i="1"/>
  <c r="G1149" i="1"/>
  <c r="I1148" i="1"/>
  <c r="G1148" i="1"/>
  <c r="I1147" i="1"/>
  <c r="G1147" i="1"/>
  <c r="I1146" i="1"/>
  <c r="G1146" i="1"/>
  <c r="I1145" i="1"/>
  <c r="G1145" i="1"/>
  <c r="I1144" i="1"/>
  <c r="G1144" i="1"/>
  <c r="I1143" i="1"/>
  <c r="G1143" i="1"/>
  <c r="I1142" i="1"/>
  <c r="G1142" i="1"/>
  <c r="I1141" i="1"/>
  <c r="G1141" i="1"/>
  <c r="I1140" i="1"/>
  <c r="G1140" i="1"/>
  <c r="I1139" i="1"/>
  <c r="G1139" i="1"/>
  <c r="I1138" i="1"/>
  <c r="G1138" i="1"/>
  <c r="I1137" i="1"/>
  <c r="G1137" i="1"/>
  <c r="I1136" i="1"/>
  <c r="G1136" i="1"/>
  <c r="I1135" i="1"/>
  <c r="G1135" i="1"/>
  <c r="I1134" i="1"/>
  <c r="G1134" i="1"/>
  <c r="I1133" i="1"/>
  <c r="G1133" i="1"/>
  <c r="I1132" i="1"/>
  <c r="G1132" i="1"/>
  <c r="I1131" i="1"/>
  <c r="G1131" i="1"/>
  <c r="I1130" i="1"/>
  <c r="G1130" i="1"/>
  <c r="I1129" i="1"/>
  <c r="G1129" i="1"/>
  <c r="I1128" i="1"/>
  <c r="G1128" i="1"/>
  <c r="I1127" i="1"/>
  <c r="G1127" i="1"/>
  <c r="I1126" i="1"/>
  <c r="G1126" i="1"/>
  <c r="I1125" i="1"/>
  <c r="G1125" i="1"/>
  <c r="I1124" i="1"/>
  <c r="G1124" i="1"/>
  <c r="I1123" i="1"/>
  <c r="G1123" i="1"/>
  <c r="I1122" i="1"/>
  <c r="G1122" i="1"/>
  <c r="I1121" i="1"/>
  <c r="G1121" i="1"/>
  <c r="I1120" i="1"/>
  <c r="G1120" i="1"/>
  <c r="I1119" i="1"/>
  <c r="G1119" i="1"/>
  <c r="I1118" i="1"/>
  <c r="G1118" i="1"/>
  <c r="I1117" i="1"/>
  <c r="G1117" i="1"/>
  <c r="I1116" i="1"/>
  <c r="G1116" i="1"/>
  <c r="I1115" i="1"/>
  <c r="G1115" i="1"/>
  <c r="I1114" i="1"/>
  <c r="G1114" i="1"/>
  <c r="I1113" i="1"/>
  <c r="G1113" i="1"/>
  <c r="I1112" i="1"/>
  <c r="G1112" i="1"/>
  <c r="I1111" i="1"/>
  <c r="G1111" i="1"/>
  <c r="I1110" i="1"/>
  <c r="G1110" i="1"/>
  <c r="I1109" i="1"/>
  <c r="G1109" i="1"/>
  <c r="I1108" i="1"/>
  <c r="G1108" i="1"/>
  <c r="I1107" i="1"/>
  <c r="G1107" i="1"/>
  <c r="I1106" i="1"/>
  <c r="G1106" i="1"/>
  <c r="I1105" i="1"/>
  <c r="G1105" i="1"/>
  <c r="I1104" i="1"/>
  <c r="G1104" i="1"/>
  <c r="I1103" i="1"/>
  <c r="G1103" i="1"/>
  <c r="I1102" i="1"/>
  <c r="G1102" i="1"/>
  <c r="I1101" i="1"/>
  <c r="G1101" i="1"/>
  <c r="I1100" i="1"/>
  <c r="G1100" i="1"/>
  <c r="I1099" i="1"/>
  <c r="G1099" i="1"/>
  <c r="I1098" i="1"/>
  <c r="G1098" i="1"/>
  <c r="I1097" i="1"/>
  <c r="G1097" i="1"/>
  <c r="I1096" i="1"/>
  <c r="G1096" i="1"/>
  <c r="I1095" i="1"/>
  <c r="G1095" i="1"/>
  <c r="I1094" i="1"/>
  <c r="G1094" i="1"/>
  <c r="I1093" i="1"/>
  <c r="G1093" i="1"/>
  <c r="I1092" i="1"/>
  <c r="G1092" i="1"/>
  <c r="I1091" i="1"/>
  <c r="G1091" i="1"/>
  <c r="I1090" i="1"/>
  <c r="G1090" i="1"/>
  <c r="I1089" i="1"/>
  <c r="G1089" i="1"/>
  <c r="I1088" i="1"/>
  <c r="G1088" i="1"/>
  <c r="I1087" i="1"/>
  <c r="G1087" i="1"/>
  <c r="I1086" i="1"/>
  <c r="G1086" i="1"/>
  <c r="I1085" i="1"/>
  <c r="G1085" i="1"/>
  <c r="I1084" i="1"/>
  <c r="G1084" i="1"/>
  <c r="I1083" i="1"/>
  <c r="G1083" i="1"/>
  <c r="I1082" i="1"/>
  <c r="G1082" i="1"/>
  <c r="I1081" i="1"/>
  <c r="G1081" i="1"/>
  <c r="I1080" i="1"/>
  <c r="G1080" i="1"/>
  <c r="I1079" i="1"/>
  <c r="G1079" i="1"/>
  <c r="I1078" i="1"/>
  <c r="G1078" i="1"/>
  <c r="I1077" i="1"/>
  <c r="G1077" i="1"/>
  <c r="I1076" i="1"/>
  <c r="G1076" i="1"/>
  <c r="I1075" i="1"/>
  <c r="G1075" i="1"/>
  <c r="I1074" i="1"/>
  <c r="G1074" i="1"/>
  <c r="I1073" i="1"/>
  <c r="G1073" i="1"/>
  <c r="I1072" i="1"/>
  <c r="G1072" i="1"/>
  <c r="I1071" i="1"/>
  <c r="G1071" i="1"/>
  <c r="I1070" i="1"/>
  <c r="G1070" i="1"/>
  <c r="I1069" i="1"/>
  <c r="G1069" i="1"/>
  <c r="I1068" i="1"/>
  <c r="G1068" i="1"/>
  <c r="I1067" i="1"/>
  <c r="G1067" i="1"/>
  <c r="I1066" i="1"/>
  <c r="G1066" i="1"/>
  <c r="I1065" i="1"/>
  <c r="G1065" i="1"/>
  <c r="I1064" i="1"/>
  <c r="G1064" i="1"/>
  <c r="I1063" i="1"/>
  <c r="G1063" i="1"/>
  <c r="I1062" i="1"/>
  <c r="G1062" i="1"/>
  <c r="I1061" i="1"/>
  <c r="G1061" i="1"/>
  <c r="I1060" i="1"/>
  <c r="G1060" i="1"/>
  <c r="I1059" i="1"/>
  <c r="G1059" i="1"/>
  <c r="I1058" i="1"/>
  <c r="G1058" i="1"/>
  <c r="I1057" i="1"/>
  <c r="G1057" i="1"/>
  <c r="I1056" i="1"/>
  <c r="G1056" i="1"/>
  <c r="I1055" i="1"/>
  <c r="G1055" i="1"/>
  <c r="I1054" i="1"/>
  <c r="G1054" i="1"/>
  <c r="I1053" i="1"/>
  <c r="G1053" i="1"/>
  <c r="I1052" i="1"/>
  <c r="G1052" i="1"/>
  <c r="I1051" i="1"/>
  <c r="G1051" i="1"/>
  <c r="I1050" i="1"/>
  <c r="G1050" i="1"/>
  <c r="I1049" i="1"/>
  <c r="G1049" i="1"/>
  <c r="I1048" i="1"/>
  <c r="G1048" i="1"/>
  <c r="I1047" i="1"/>
  <c r="G1047" i="1"/>
  <c r="I1046" i="1"/>
  <c r="G1046" i="1"/>
  <c r="I1045" i="1"/>
  <c r="G1045" i="1"/>
  <c r="I1044" i="1"/>
  <c r="G1044" i="1"/>
  <c r="I1043" i="1"/>
  <c r="G1043" i="1"/>
  <c r="I1042" i="1"/>
  <c r="G1042" i="1"/>
  <c r="I1041" i="1"/>
  <c r="G1041" i="1"/>
  <c r="I1040" i="1"/>
  <c r="G1040" i="1"/>
  <c r="I1039" i="1"/>
  <c r="G1039" i="1"/>
  <c r="I1038" i="1"/>
  <c r="G1038" i="1"/>
  <c r="I1037" i="1"/>
  <c r="G1037" i="1"/>
  <c r="I1036" i="1"/>
  <c r="G1036" i="1"/>
  <c r="I1035" i="1"/>
  <c r="G1035" i="1"/>
  <c r="I1034" i="1"/>
  <c r="G1034" i="1"/>
  <c r="I1033" i="1"/>
  <c r="G1033" i="1"/>
  <c r="I1032" i="1"/>
  <c r="G1032" i="1"/>
  <c r="I1031" i="1"/>
  <c r="G1031" i="1"/>
  <c r="I1030" i="1"/>
  <c r="G1030" i="1"/>
  <c r="I1029" i="1"/>
  <c r="G1029" i="1"/>
  <c r="I1028" i="1"/>
  <c r="G1028" i="1"/>
  <c r="I1027" i="1"/>
  <c r="G1027" i="1"/>
  <c r="I1026" i="1"/>
  <c r="G1026" i="1"/>
  <c r="I1025" i="1"/>
  <c r="G1025" i="1"/>
  <c r="I1024" i="1"/>
  <c r="G1024" i="1"/>
  <c r="I1023" i="1"/>
  <c r="G1023" i="1"/>
  <c r="I1022" i="1"/>
  <c r="G1022" i="1"/>
  <c r="I1021" i="1"/>
  <c r="G1021" i="1"/>
  <c r="I1020" i="1"/>
  <c r="G1020" i="1"/>
  <c r="I1019" i="1"/>
  <c r="G1019" i="1"/>
  <c r="I1018" i="1"/>
  <c r="G1018" i="1"/>
  <c r="I1017" i="1"/>
  <c r="G1017" i="1"/>
  <c r="I1016" i="1"/>
  <c r="G1016" i="1"/>
  <c r="I1015" i="1"/>
  <c r="G1015" i="1"/>
  <c r="I1014" i="1"/>
  <c r="G1014" i="1"/>
  <c r="I1013" i="1"/>
  <c r="G1013" i="1"/>
  <c r="I1012" i="1"/>
  <c r="G1012" i="1"/>
  <c r="I1011" i="1"/>
  <c r="G1011" i="1"/>
  <c r="I1010" i="1"/>
  <c r="G1010" i="1"/>
  <c r="I1009" i="1"/>
  <c r="G1009" i="1"/>
  <c r="I1008" i="1"/>
  <c r="G1008" i="1"/>
  <c r="I1007" i="1"/>
  <c r="G1007" i="1"/>
  <c r="I1006" i="1"/>
  <c r="G1006" i="1"/>
  <c r="I1005" i="1"/>
  <c r="G1005" i="1"/>
  <c r="I1004" i="1"/>
  <c r="G1004" i="1"/>
  <c r="I1003" i="1"/>
  <c r="G1003" i="1"/>
  <c r="I1002" i="1"/>
  <c r="G1002" i="1"/>
  <c r="I1001" i="1"/>
  <c r="G1001" i="1"/>
  <c r="I1000" i="1"/>
  <c r="G1000" i="1"/>
  <c r="I999" i="1"/>
  <c r="G999" i="1"/>
  <c r="I998" i="1"/>
  <c r="G998" i="1"/>
  <c r="I997" i="1"/>
  <c r="G997" i="1"/>
  <c r="I996" i="1"/>
  <c r="G996" i="1"/>
  <c r="I995" i="1"/>
  <c r="G995" i="1"/>
  <c r="I994" i="1"/>
  <c r="G994" i="1"/>
  <c r="I993" i="1"/>
  <c r="G993" i="1"/>
  <c r="I992" i="1"/>
  <c r="G992" i="1"/>
  <c r="I991" i="1"/>
  <c r="G991" i="1"/>
  <c r="I990" i="1"/>
  <c r="G990" i="1"/>
  <c r="I989" i="1"/>
  <c r="G989" i="1"/>
  <c r="I988" i="1"/>
  <c r="G988" i="1"/>
  <c r="I987" i="1"/>
  <c r="G987" i="1"/>
  <c r="I986" i="1"/>
  <c r="G986" i="1"/>
  <c r="I985" i="1"/>
  <c r="G985" i="1"/>
  <c r="I984" i="1"/>
  <c r="G984" i="1"/>
  <c r="I983" i="1"/>
  <c r="G983" i="1"/>
  <c r="I982" i="1"/>
  <c r="G982" i="1"/>
  <c r="I981" i="1"/>
  <c r="G981" i="1"/>
  <c r="I980" i="1"/>
  <c r="G980" i="1"/>
  <c r="I979" i="1"/>
  <c r="G979" i="1"/>
  <c r="I978" i="1"/>
  <c r="G978" i="1"/>
  <c r="I977" i="1"/>
  <c r="G977" i="1"/>
  <c r="I976" i="1"/>
  <c r="G976" i="1"/>
  <c r="I975" i="1"/>
  <c r="G975" i="1"/>
  <c r="I974" i="1"/>
  <c r="G974" i="1"/>
  <c r="I973" i="1"/>
  <c r="G973" i="1"/>
  <c r="I972" i="1"/>
  <c r="G972" i="1"/>
  <c r="I971" i="1"/>
  <c r="G971" i="1"/>
  <c r="I970" i="1"/>
  <c r="G970" i="1"/>
  <c r="I969" i="1"/>
  <c r="G969" i="1"/>
  <c r="I968" i="1"/>
  <c r="G968" i="1"/>
  <c r="I967" i="1"/>
  <c r="G967" i="1"/>
  <c r="I966" i="1"/>
  <c r="G966" i="1"/>
  <c r="I965" i="1"/>
  <c r="G965" i="1"/>
  <c r="I964" i="1"/>
  <c r="G964" i="1"/>
  <c r="I963" i="1"/>
  <c r="G963" i="1"/>
  <c r="I962" i="1"/>
  <c r="G962" i="1"/>
  <c r="I961" i="1"/>
  <c r="G961" i="1"/>
  <c r="I960" i="1"/>
  <c r="G960" i="1"/>
  <c r="I959" i="1"/>
  <c r="G959" i="1"/>
  <c r="I958" i="1"/>
  <c r="G958" i="1"/>
  <c r="I957" i="1"/>
  <c r="G957" i="1"/>
  <c r="I956" i="1"/>
  <c r="G956" i="1"/>
  <c r="I955" i="1"/>
  <c r="G955" i="1"/>
  <c r="I954" i="1"/>
  <c r="G954" i="1"/>
  <c r="I953" i="1"/>
  <c r="G953" i="1"/>
  <c r="I952" i="1"/>
  <c r="G952" i="1"/>
  <c r="I951" i="1"/>
  <c r="G951" i="1"/>
  <c r="G833" i="1"/>
  <c r="I833" i="1"/>
  <c r="G834" i="1"/>
  <c r="I834" i="1"/>
  <c r="G835" i="1"/>
  <c r="I835" i="1"/>
  <c r="G836" i="1"/>
  <c r="I836" i="1"/>
  <c r="G837" i="1"/>
  <c r="I837" i="1"/>
  <c r="G838" i="1"/>
  <c r="I838" i="1"/>
  <c r="G839" i="1"/>
  <c r="I839" i="1"/>
  <c r="G840" i="1"/>
  <c r="I840" i="1"/>
  <c r="G841" i="1"/>
  <c r="I841" i="1"/>
  <c r="G842" i="1"/>
  <c r="I842" i="1"/>
  <c r="G843" i="1"/>
  <c r="I843" i="1"/>
  <c r="G844" i="1"/>
  <c r="I844" i="1"/>
  <c r="G845" i="1"/>
  <c r="I845" i="1"/>
  <c r="G846" i="1"/>
  <c r="I846" i="1"/>
  <c r="G847" i="1"/>
  <c r="I847" i="1"/>
  <c r="G848" i="1"/>
  <c r="I848" i="1"/>
  <c r="G849" i="1"/>
  <c r="I849" i="1"/>
  <c r="G850" i="1"/>
  <c r="I850" i="1"/>
  <c r="G851" i="1"/>
  <c r="I851" i="1"/>
  <c r="G852" i="1"/>
  <c r="I852" i="1"/>
  <c r="G853" i="1"/>
  <c r="I853" i="1"/>
  <c r="G854" i="1"/>
  <c r="I854" i="1"/>
  <c r="G855" i="1"/>
  <c r="I855" i="1"/>
  <c r="G856" i="1"/>
  <c r="I856" i="1"/>
  <c r="G857" i="1"/>
  <c r="I857" i="1"/>
  <c r="G858" i="1"/>
  <c r="I858" i="1"/>
  <c r="G859" i="1"/>
  <c r="I859" i="1"/>
  <c r="G860" i="1"/>
  <c r="I860" i="1"/>
  <c r="G861" i="1"/>
  <c r="I861" i="1"/>
  <c r="G862" i="1"/>
  <c r="I862" i="1"/>
  <c r="G863" i="1"/>
  <c r="I863" i="1"/>
  <c r="G864" i="1"/>
  <c r="I864" i="1"/>
  <c r="G865" i="1"/>
  <c r="I865" i="1"/>
  <c r="G866" i="1"/>
  <c r="I866" i="1"/>
  <c r="G867" i="1"/>
  <c r="I867" i="1"/>
  <c r="G868" i="1"/>
  <c r="I868" i="1"/>
  <c r="G869" i="1"/>
  <c r="I869" i="1"/>
  <c r="G870" i="1"/>
  <c r="I870" i="1"/>
  <c r="G871" i="1"/>
  <c r="I871" i="1"/>
  <c r="G872" i="1"/>
  <c r="I872" i="1"/>
  <c r="G873" i="1"/>
  <c r="I873" i="1"/>
  <c r="G874" i="1"/>
  <c r="I874" i="1"/>
  <c r="G875" i="1"/>
  <c r="I875" i="1"/>
  <c r="G876" i="1"/>
  <c r="I876" i="1"/>
  <c r="G877" i="1"/>
  <c r="I877" i="1"/>
  <c r="G878" i="1"/>
  <c r="I878" i="1"/>
  <c r="G879" i="1"/>
  <c r="I879" i="1"/>
  <c r="G880" i="1"/>
  <c r="I880" i="1"/>
  <c r="G881" i="1"/>
  <c r="I881" i="1"/>
  <c r="G882" i="1"/>
  <c r="I882" i="1"/>
  <c r="G883" i="1"/>
  <c r="I883" i="1"/>
  <c r="G884" i="1"/>
  <c r="I884" i="1"/>
  <c r="G885" i="1"/>
  <c r="I885" i="1"/>
  <c r="G886" i="1"/>
  <c r="I886" i="1"/>
  <c r="G887" i="1"/>
  <c r="I887" i="1"/>
  <c r="G888" i="1"/>
  <c r="I888" i="1"/>
  <c r="G889" i="1"/>
  <c r="I889" i="1"/>
  <c r="G890" i="1"/>
  <c r="I890" i="1"/>
  <c r="G891" i="1"/>
  <c r="I891" i="1"/>
  <c r="G892" i="1"/>
  <c r="I892" i="1"/>
  <c r="G893" i="1"/>
  <c r="I893" i="1"/>
  <c r="G894" i="1"/>
  <c r="I894" i="1"/>
  <c r="G895" i="1"/>
  <c r="I895" i="1"/>
  <c r="G896" i="1"/>
  <c r="I896" i="1"/>
  <c r="G897" i="1"/>
  <c r="I897" i="1"/>
  <c r="G898" i="1"/>
  <c r="I898" i="1"/>
  <c r="G899" i="1"/>
  <c r="I899" i="1"/>
  <c r="G900" i="1"/>
  <c r="I900" i="1"/>
  <c r="G901" i="1"/>
  <c r="I901" i="1"/>
  <c r="G902" i="1"/>
  <c r="I902" i="1"/>
  <c r="G903" i="1"/>
  <c r="I903" i="1"/>
  <c r="G904" i="1"/>
  <c r="I904" i="1"/>
  <c r="G905" i="1"/>
  <c r="I905" i="1"/>
  <c r="G906" i="1"/>
  <c r="I906" i="1"/>
  <c r="G907" i="1"/>
  <c r="I907" i="1"/>
  <c r="G908" i="1"/>
  <c r="I908" i="1"/>
  <c r="G909" i="1"/>
  <c r="I909" i="1"/>
  <c r="G910" i="1"/>
  <c r="I910" i="1"/>
  <c r="G911" i="1"/>
  <c r="I911" i="1"/>
  <c r="G912" i="1"/>
  <c r="I912" i="1"/>
  <c r="G913" i="1"/>
  <c r="I913" i="1"/>
  <c r="G914" i="1"/>
  <c r="I914" i="1"/>
  <c r="G915" i="1"/>
  <c r="I915" i="1"/>
  <c r="G916" i="1"/>
  <c r="I916" i="1"/>
  <c r="G917" i="1"/>
  <c r="I917" i="1"/>
  <c r="G918" i="1"/>
  <c r="I918" i="1"/>
  <c r="G919" i="1"/>
  <c r="I919" i="1"/>
  <c r="G920" i="1"/>
  <c r="I920" i="1"/>
  <c r="G921" i="1"/>
  <c r="I921" i="1"/>
  <c r="G922" i="1"/>
  <c r="I922" i="1"/>
  <c r="G923" i="1"/>
  <c r="I923" i="1"/>
  <c r="G924" i="1"/>
  <c r="I924" i="1"/>
  <c r="G925" i="1"/>
  <c r="I925" i="1"/>
  <c r="G926" i="1"/>
  <c r="I926" i="1"/>
  <c r="G927" i="1"/>
  <c r="I927" i="1"/>
  <c r="G928" i="1"/>
  <c r="I928" i="1"/>
  <c r="G929" i="1"/>
  <c r="I929" i="1"/>
  <c r="G930" i="1"/>
  <c r="I930" i="1"/>
  <c r="G931" i="1"/>
  <c r="I931" i="1"/>
  <c r="G932" i="1"/>
  <c r="I932" i="1"/>
  <c r="G933" i="1"/>
  <c r="I933" i="1"/>
  <c r="G934" i="1"/>
  <c r="I934" i="1"/>
  <c r="G935" i="1"/>
  <c r="I935" i="1"/>
  <c r="G936" i="1"/>
  <c r="I936" i="1"/>
  <c r="G937" i="1"/>
  <c r="I937" i="1"/>
  <c r="G938" i="1"/>
  <c r="I938" i="1"/>
  <c r="G939" i="1"/>
  <c r="I939" i="1"/>
  <c r="G940" i="1"/>
  <c r="I940" i="1"/>
  <c r="G941" i="1"/>
  <c r="I941" i="1"/>
  <c r="G942" i="1"/>
  <c r="I942" i="1"/>
  <c r="G943" i="1"/>
  <c r="I943" i="1"/>
  <c r="G944" i="1"/>
  <c r="I944" i="1"/>
  <c r="G945" i="1"/>
  <c r="I945" i="1"/>
  <c r="G946" i="1"/>
  <c r="I946" i="1"/>
  <c r="G947" i="1"/>
  <c r="I947" i="1"/>
  <c r="J947" i="1" s="1"/>
  <c r="G948" i="1"/>
  <c r="I948" i="1"/>
  <c r="G949" i="1"/>
  <c r="I949" i="1"/>
  <c r="G950" i="1"/>
  <c r="I950" i="1"/>
  <c r="J938" i="1" l="1"/>
  <c r="J91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I770" i="1"/>
  <c r="G771" i="1"/>
  <c r="I771" i="1"/>
  <c r="G772" i="1"/>
  <c r="I772" i="1"/>
  <c r="G773" i="1"/>
  <c r="I773" i="1"/>
  <c r="G774" i="1"/>
  <c r="I774" i="1"/>
  <c r="G775" i="1"/>
  <c r="I775" i="1"/>
  <c r="G776" i="1"/>
  <c r="I776" i="1"/>
  <c r="G777" i="1"/>
  <c r="I777" i="1"/>
  <c r="G778" i="1"/>
  <c r="I778" i="1"/>
  <c r="G779" i="1"/>
  <c r="I779" i="1"/>
  <c r="G780" i="1"/>
  <c r="I780" i="1"/>
  <c r="G781" i="1"/>
  <c r="I781" i="1"/>
  <c r="G782" i="1"/>
  <c r="I782" i="1"/>
  <c r="G783" i="1"/>
  <c r="I783" i="1"/>
  <c r="G784" i="1"/>
  <c r="I784" i="1"/>
  <c r="G785" i="1"/>
  <c r="I785" i="1"/>
  <c r="G786" i="1"/>
  <c r="I786" i="1"/>
  <c r="G787" i="1"/>
  <c r="I787" i="1"/>
  <c r="G788" i="1"/>
  <c r="I788" i="1"/>
  <c r="G789" i="1"/>
  <c r="I789" i="1"/>
  <c r="G790" i="1"/>
  <c r="I790" i="1"/>
  <c r="G791" i="1"/>
  <c r="I791" i="1"/>
  <c r="G792" i="1"/>
  <c r="I792" i="1"/>
  <c r="G793" i="1"/>
  <c r="I793" i="1"/>
  <c r="G794" i="1"/>
  <c r="I794" i="1"/>
  <c r="G795" i="1"/>
  <c r="I795" i="1"/>
  <c r="G796" i="1"/>
  <c r="I796" i="1"/>
  <c r="G797" i="1"/>
  <c r="I797" i="1"/>
  <c r="G798" i="1"/>
  <c r="I798" i="1"/>
  <c r="G799" i="1"/>
  <c r="I799" i="1"/>
  <c r="G800" i="1"/>
  <c r="I800" i="1"/>
  <c r="G801" i="1"/>
  <c r="I801" i="1"/>
  <c r="G802" i="1"/>
  <c r="I802" i="1"/>
  <c r="G803" i="1"/>
  <c r="I803" i="1"/>
  <c r="G804" i="1"/>
  <c r="I804" i="1"/>
  <c r="G805" i="1"/>
  <c r="I805" i="1"/>
  <c r="G806" i="1"/>
  <c r="I806" i="1"/>
  <c r="G807" i="1"/>
  <c r="I807" i="1"/>
  <c r="G808" i="1"/>
  <c r="I808" i="1"/>
  <c r="G809" i="1"/>
  <c r="I809" i="1"/>
  <c r="G810" i="1"/>
  <c r="I810" i="1"/>
  <c r="G811" i="1"/>
  <c r="I811" i="1"/>
  <c r="G812" i="1"/>
  <c r="I812" i="1"/>
  <c r="G813" i="1"/>
  <c r="I813" i="1"/>
  <c r="G814" i="1"/>
  <c r="I814" i="1"/>
  <c r="G815" i="1"/>
  <c r="I815" i="1"/>
  <c r="G816" i="1"/>
  <c r="I816" i="1"/>
  <c r="G817" i="1"/>
  <c r="I817" i="1"/>
  <c r="G818" i="1"/>
  <c r="I818" i="1"/>
  <c r="G819" i="1"/>
  <c r="I819" i="1"/>
  <c r="G820" i="1"/>
  <c r="I820" i="1"/>
  <c r="G821" i="1"/>
  <c r="I821" i="1"/>
  <c r="G822" i="1"/>
  <c r="I822" i="1"/>
  <c r="G823" i="1"/>
  <c r="I823" i="1"/>
  <c r="G824" i="1"/>
  <c r="I824" i="1"/>
  <c r="G825" i="1"/>
  <c r="I825" i="1"/>
  <c r="G826" i="1"/>
  <c r="I826" i="1"/>
  <c r="G827" i="1"/>
  <c r="I827" i="1"/>
  <c r="G828" i="1"/>
  <c r="I828" i="1"/>
  <c r="G829" i="1"/>
  <c r="I829" i="1"/>
  <c r="G830" i="1"/>
  <c r="I830" i="1"/>
  <c r="G831" i="1"/>
  <c r="I831" i="1"/>
  <c r="G832" i="1"/>
  <c r="I832" i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522" i="1"/>
  <c r="I523" i="1"/>
  <c r="I524" i="1"/>
  <c r="I537" i="1"/>
  <c r="I538" i="1"/>
  <c r="I539" i="1"/>
  <c r="I540" i="1"/>
  <c r="I541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6" i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I437" i="1" l="1"/>
  <c r="J437" i="1" s="1"/>
  <c r="I438" i="1"/>
  <c r="J438" i="1" s="1"/>
  <c r="I436" i="1" l="1"/>
  <c r="J436" i="1" s="1"/>
  <c r="I445" i="1" l="1"/>
  <c r="J445" i="1" s="1"/>
  <c r="I443" i="1"/>
  <c r="J443" i="1" s="1"/>
  <c r="I444" i="1"/>
  <c r="J444" i="1" s="1"/>
  <c r="I446" i="1"/>
  <c r="J446" i="1" s="1"/>
  <c r="I439" i="1"/>
  <c r="J439" i="1" s="1"/>
  <c r="I440" i="1" l="1"/>
  <c r="J440" i="1" s="1"/>
  <c r="I441" i="1"/>
  <c r="J441" i="1" s="1"/>
  <c r="I442" i="1"/>
  <c r="J442" i="1" s="1"/>
  <c r="I449" i="1"/>
  <c r="J449" i="1" s="1"/>
  <c r="I452" i="1" l="1"/>
  <c r="J452" i="1" s="1"/>
  <c r="I450" i="1"/>
  <c r="J450" i="1" s="1"/>
  <c r="I448" i="1"/>
  <c r="J448" i="1" s="1"/>
  <c r="I451" i="1"/>
  <c r="J451" i="1" s="1"/>
  <c r="I447" i="1"/>
  <c r="J447" i="1" s="1"/>
  <c r="I458" i="1" l="1"/>
  <c r="J458" i="1" s="1"/>
  <c r="I455" i="1"/>
  <c r="J455" i="1" s="1"/>
  <c r="I454" i="1"/>
  <c r="J454" i="1" s="1"/>
  <c r="I457" i="1"/>
  <c r="J457" i="1" s="1"/>
  <c r="I456" i="1"/>
  <c r="J456" i="1" s="1"/>
  <c r="I453" i="1"/>
  <c r="J453" i="1" s="1"/>
  <c r="I506" i="1" l="1"/>
  <c r="J506" i="1" s="1"/>
  <c r="I501" i="1"/>
  <c r="J501" i="1" s="1"/>
  <c r="I499" i="1"/>
  <c r="J499" i="1" s="1"/>
  <c r="I503" i="1"/>
  <c r="J503" i="1" s="1"/>
  <c r="I500" i="1"/>
  <c r="J500" i="1" s="1"/>
  <c r="I502" i="1"/>
  <c r="J502" i="1" s="1"/>
  <c r="I504" i="1" l="1"/>
  <c r="J504" i="1" s="1"/>
  <c r="I505" i="1"/>
  <c r="J505" i="1" s="1"/>
  <c r="I507" i="1"/>
  <c r="J507" i="1" s="1"/>
  <c r="I508" i="1"/>
  <c r="J508" i="1" s="1"/>
  <c r="I509" i="1"/>
  <c r="J509" i="1" s="1"/>
  <c r="I515" i="1" l="1"/>
  <c r="J515" i="1" s="1"/>
  <c r="I514" i="1"/>
  <c r="J514" i="1" s="1"/>
  <c r="I512" i="1"/>
  <c r="J512" i="1" s="1"/>
  <c r="I511" i="1"/>
  <c r="J511" i="1" s="1"/>
  <c r="I513" i="1"/>
  <c r="J513" i="1" s="1"/>
  <c r="I510" i="1"/>
  <c r="J510" i="1" s="1"/>
  <c r="I516" i="1" l="1"/>
  <c r="J516" i="1" s="1"/>
  <c r="I519" i="1"/>
  <c r="J519" i="1" s="1"/>
  <c r="I518" i="1"/>
  <c r="J518" i="1" s="1"/>
  <c r="I520" i="1"/>
  <c r="J520" i="1" s="1"/>
  <c r="I517" i="1"/>
  <c r="J517" i="1" s="1"/>
  <c r="I521" i="1"/>
  <c r="J521" i="1" s="1"/>
  <c r="I532" i="1" l="1"/>
  <c r="J532" i="1" s="1"/>
  <c r="I526" i="1"/>
  <c r="J526" i="1" s="1"/>
  <c r="I528" i="1"/>
  <c r="J528" i="1" s="1"/>
  <c r="I529" i="1"/>
  <c r="J529" i="1" s="1"/>
  <c r="I527" i="1"/>
  <c r="J527" i="1" s="1"/>
  <c r="I530" i="1"/>
  <c r="J530" i="1" s="1"/>
  <c r="I525" i="1"/>
  <c r="J525" i="1" s="1"/>
  <c r="I536" i="1" l="1"/>
  <c r="J536" i="1" s="1"/>
  <c r="I531" i="1"/>
  <c r="J531" i="1" s="1"/>
  <c r="I535" i="1"/>
  <c r="J535" i="1" s="1"/>
  <c r="I533" i="1"/>
  <c r="J533" i="1" s="1"/>
  <c r="I534" i="1"/>
  <c r="J534" i="1" s="1"/>
  <c r="I542" i="1" l="1"/>
  <c r="J542" i="1" s="1"/>
  <c r="I543" i="1" l="1"/>
  <c r="J543" i="1" s="1"/>
  <c r="I554" i="1"/>
  <c r="J554" i="1" s="1"/>
  <c r="I547" i="1" l="1"/>
  <c r="J547" i="1" s="1"/>
  <c r="I546" i="1"/>
  <c r="J546" i="1" s="1"/>
  <c r="I545" i="1"/>
  <c r="J545" i="1" s="1"/>
  <c r="I544" i="1"/>
  <c r="J544" i="1" s="1"/>
  <c r="I548" i="1" l="1"/>
  <c r="J548" i="1" s="1"/>
  <c r="I550" i="1"/>
  <c r="J550" i="1" s="1"/>
  <c r="I553" i="1"/>
  <c r="J553" i="1" s="1"/>
  <c r="I549" i="1"/>
  <c r="J549" i="1" s="1"/>
  <c r="I551" i="1"/>
  <c r="J551" i="1" s="1"/>
  <c r="I552" i="1"/>
  <c r="J552" i="1" s="1"/>
  <c r="I570" i="1" l="1"/>
  <c r="J570" i="1" s="1"/>
  <c r="I571" i="1"/>
  <c r="J571" i="1" s="1"/>
  <c r="I572" i="1"/>
  <c r="J572" i="1" s="1"/>
  <c r="I573" i="1"/>
  <c r="J573" i="1" s="1"/>
  <c r="I574" i="1"/>
  <c r="J574" i="1" s="1"/>
  <c r="I575" i="1"/>
  <c r="J575" i="1" s="1"/>
  <c r="I576" i="1" l="1"/>
  <c r="J576" i="1" s="1"/>
  <c r="I555" i="1" l="1"/>
  <c r="J555" i="1" s="1"/>
  <c r="I557" i="1"/>
  <c r="J557" i="1" s="1"/>
  <c r="I556" i="1"/>
  <c r="J556" i="1" s="1"/>
  <c r="I559" i="1" l="1"/>
  <c r="J559" i="1" s="1"/>
  <c r="I562" i="1"/>
  <c r="J562" i="1" s="1"/>
  <c r="I560" i="1"/>
  <c r="J560" i="1" s="1"/>
  <c r="I561" i="1"/>
  <c r="J561" i="1" s="1"/>
  <c r="I563" i="1"/>
  <c r="J563" i="1" s="1"/>
  <c r="I558" i="1"/>
  <c r="J558" i="1" s="1"/>
  <c r="I565" i="1" l="1"/>
  <c r="J565" i="1" s="1"/>
  <c r="I566" i="1"/>
  <c r="J566" i="1" s="1"/>
  <c r="I568" i="1"/>
  <c r="J568" i="1" s="1"/>
  <c r="I567" i="1"/>
  <c r="J567" i="1" s="1"/>
  <c r="I564" i="1"/>
  <c r="J564" i="1" s="1"/>
  <c r="I569" i="1"/>
  <c r="J569" i="1" s="1"/>
  <c r="I611" i="1" l="1"/>
  <c r="J611" i="1" s="1"/>
  <c r="I621" i="1"/>
  <c r="J621" i="1" s="1"/>
  <c r="I617" i="1"/>
  <c r="J617" i="1" s="1"/>
  <c r="I612" i="1"/>
  <c r="J612" i="1" s="1"/>
  <c r="I620" i="1"/>
  <c r="J620" i="1" s="1"/>
  <c r="I619" i="1"/>
  <c r="J619" i="1" s="1"/>
  <c r="I616" i="1"/>
  <c r="J616" i="1" s="1"/>
  <c r="I615" i="1"/>
  <c r="J615" i="1" s="1"/>
  <c r="I618" i="1"/>
  <c r="J618" i="1" s="1"/>
  <c r="I614" i="1"/>
  <c r="J614" i="1" s="1"/>
  <c r="I613" i="1"/>
  <c r="J613" i="1" s="1"/>
</calcChain>
</file>

<file path=xl/sharedStrings.xml><?xml version="1.0" encoding="utf-8"?>
<sst xmlns="http://schemas.openxmlformats.org/spreadsheetml/2006/main" count="6501" uniqueCount="2166">
  <si>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</si>
  <si>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</si>
  <si>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</si>
  <si>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</si>
  <si>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</si>
  <si>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</si>
  <si>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</si>
  <si>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</si>
  <si>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</si>
  <si>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</si>
  <si>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</si>
  <si>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</si>
  <si>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</si>
  <si>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</si>
  <si>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</si>
  <si>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</si>
  <si>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</si>
  <si>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</si>
  <si>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</si>
  <si>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</si>
  <si>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</si>
  <si>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</si>
  <si>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</si>
  <si>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</si>
  <si>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</si>
  <si>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</si>
  <si>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</si>
  <si>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</si>
  <si>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</si>
  <si>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</si>
  <si>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</si>
  <si>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</si>
  <si>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</si>
  <si>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</si>
  <si>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</si>
  <si>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</si>
  <si>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</si>
  <si>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</si>
  <si>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</si>
  <si>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</si>
  <si>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</si>
  <si>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</si>
  <si>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</si>
  <si>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</si>
  <si>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</si>
  <si>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</si>
  <si>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</si>
  <si>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</si>
  <si>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</si>
  <si>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</si>
  <si>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</si>
  <si>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</si>
  <si>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</si>
  <si>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</si>
  <si>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</si>
  <si>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</si>
  <si>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</si>
  <si>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</si>
  <si>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</si>
  <si>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</si>
  <si>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</si>
  <si>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</si>
  <si>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</si>
  <si>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</si>
  <si>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</si>
  <si>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</si>
  <si>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</si>
  <si>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</si>
  <si>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</si>
  <si>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</si>
  <si>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</si>
  <si>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</si>
  <si>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</si>
  <si>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</si>
  <si>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</si>
  <si>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</si>
  <si>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</si>
  <si>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</si>
  <si>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</si>
  <si>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</si>
  <si>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</si>
  <si>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</si>
  <si>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</si>
  <si>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</si>
  <si>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</si>
  <si>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</si>
  <si>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</si>
  <si>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</si>
  <si>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</si>
  <si>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</si>
  <si>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</si>
  <si>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</si>
  <si>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</si>
  <si>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</si>
  <si>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</si>
  <si>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</si>
  <si>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</si>
  <si>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</si>
  <si>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</si>
  <si>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</si>
  <si>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</si>
  <si>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</si>
  <si>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</si>
  <si>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</si>
  <si>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</si>
  <si>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</si>
  <si>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</si>
  <si>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</si>
  <si>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</si>
  <si>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</si>
  <si>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</si>
  <si>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</si>
  <si>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</si>
  <si>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</si>
  <si>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</si>
  <si>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</si>
  <si>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</si>
  <si>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</si>
  <si>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</si>
  <si>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</si>
  <si>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</si>
  <si>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</si>
  <si>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</si>
  <si>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</si>
  <si>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</si>
  <si>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</si>
  <si>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</si>
  <si>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</si>
  <si>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</si>
  <si>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</si>
  <si>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</si>
  <si>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</si>
  <si>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</si>
  <si>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</si>
  <si>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</si>
  <si>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</si>
  <si>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</si>
  <si>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</si>
  <si>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</si>
  <si>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</si>
  <si>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</si>
  <si>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</si>
  <si>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</si>
  <si>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</si>
  <si>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</si>
  <si>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</si>
  <si>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</si>
  <si>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</si>
  <si>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</si>
  <si>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</si>
  <si>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</si>
  <si>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</si>
  <si>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</si>
  <si>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</si>
  <si>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</si>
  <si>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</si>
  <si>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</si>
  <si>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</si>
  <si>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</si>
  <si>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</si>
  <si>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</si>
  <si>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</si>
  <si>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</si>
  <si>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</si>
  <si>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</si>
  <si>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</si>
  <si>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</si>
  <si>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</si>
  <si>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</si>
  <si>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</si>
  <si>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</si>
  <si>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</si>
  <si>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</si>
  <si>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</si>
  <si>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</si>
  <si>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</si>
  <si>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</si>
  <si>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</si>
  <si>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</si>
  <si>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</si>
  <si>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</si>
  <si>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</si>
  <si>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</si>
  <si>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</si>
  <si>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</si>
  <si>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</si>
  <si>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</si>
  <si>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</si>
  <si>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</si>
  <si>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</si>
  <si>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</si>
  <si>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</si>
  <si>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</si>
  <si>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</si>
  <si>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</si>
  <si>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</si>
  <si>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</si>
  <si>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</si>
  <si>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</si>
  <si>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</si>
  <si>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</si>
  <si>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</si>
  <si>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</si>
  <si>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</si>
  <si>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</si>
  <si>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</si>
  <si>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</si>
  <si>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</si>
  <si>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</si>
  <si>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</si>
  <si>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</si>
  <si>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</si>
  <si>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</si>
  <si>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</si>
  <si>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</si>
  <si>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</si>
  <si>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</si>
  <si>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</si>
  <si>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</si>
  <si>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</si>
  <si>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</si>
  <si>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</si>
  <si>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</si>
  <si>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</si>
  <si>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</si>
  <si>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</si>
  <si>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</si>
  <si>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</si>
  <si>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</si>
  <si>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</si>
  <si>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</si>
  <si>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</si>
  <si>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EHPpUC</t>
  </si>
  <si>
    <t>EHPpUC.csv</t>
  </si>
  <si>
    <t>Electrolyzer Hydrogen Production per Unit Capacity.xlsx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</si>
  <si>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</si>
  <si>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</si>
  <si>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</si>
  <si>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</si>
  <si>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</si>
  <si>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</si>
  <si>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</si>
  <si>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indst</t>
  </si>
  <si>
    <t>BSoAIGtAP</t>
  </si>
  <si>
    <t>BAU Shr of Ag Indst Going to Anml Prdcts.xlsx</t>
  </si>
  <si>
    <t>BSoAIGtAP.csv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</si>
  <si>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</si>
  <si>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</si>
  <si>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</si>
  <si>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</si>
  <si>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</si>
  <si>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</si>
  <si>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</si>
  <si>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</si>
  <si>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</si>
  <si>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</si>
  <si>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</si>
  <si>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</si>
  <si>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</si>
  <si>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</si>
  <si>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</si>
  <si>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</si>
  <si>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</si>
  <si>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</si>
  <si>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</si>
  <si>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</si>
  <si>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</si>
  <si>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</si>
  <si>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</si>
  <si>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</si>
  <si>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</si>
  <si>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</si>
  <si>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</si>
  <si>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</si>
  <si>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</si>
  <si>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</si>
  <si>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</si>
  <si>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</si>
  <si>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</si>
  <si>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</si>
  <si>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</si>
  <si>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</si>
  <si>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</si>
  <si>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</si>
  <si>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</si>
  <si>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</si>
  <si>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</si>
  <si>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</si>
  <si>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</si>
  <si>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</si>
  <si>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</si>
  <si>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</si>
  <si>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</si>
  <si>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</si>
  <si>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</si>
  <si>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</si>
  <si>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</si>
  <si>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</si>
  <si>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</si>
  <si>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</si>
  <si>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</si>
  <si>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</si>
  <si>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</si>
  <si>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</si>
  <si>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</si>
  <si>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</si>
  <si>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</si>
  <si>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</si>
  <si>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</si>
  <si>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</si>
  <si>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</si>
  <si>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</si>
  <si>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</si>
  <si>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</si>
  <si>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</si>
  <si>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</si>
  <si>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</si>
  <si>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</si>
  <si>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</si>
  <si>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</si>
  <si>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</si>
  <si>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</si>
  <si>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</si>
  <si>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</si>
  <si>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</si>
  <si>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</si>
  <si>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</si>
  <si>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</si>
  <si>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</si>
  <si>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</si>
  <si>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</si>
  <si>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</si>
  <si>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</si>
  <si>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</si>
  <si>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</si>
  <si>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</si>
  <si>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</si>
  <si>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</si>
  <si>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</si>
  <si>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</si>
  <si>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</si>
  <si>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</si>
  <si>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</si>
  <si>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</si>
  <si>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</si>
  <si>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</si>
  <si>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</si>
  <si>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</si>
  <si>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</si>
  <si>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</si>
  <si>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</si>
  <si>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</si>
  <si>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</si>
  <si>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</si>
  <si>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</si>
  <si>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</si>
  <si>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</si>
  <si>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</si>
  <si>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</si>
  <si>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</si>
  <si>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</si>
  <si>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</si>
  <si>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</si>
  <si>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</si>
  <si>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</si>
  <si>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</si>
  <si>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</si>
  <si>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</si>
  <si>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</si>
  <si>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</si>
  <si>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</si>
  <si>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</si>
  <si>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</si>
  <si>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</si>
  <si>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</si>
  <si>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</si>
  <si>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</si>
  <si>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</si>
  <si>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</si>
  <si>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</si>
  <si>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</si>
  <si>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</si>
  <si>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</si>
  <si>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</si>
  <si>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</si>
  <si>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</si>
  <si>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</si>
  <si>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</si>
  <si>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</si>
  <si>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</si>
  <si>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</si>
  <si>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</si>
  <si>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</si>
  <si>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</si>
  <si>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</si>
  <si>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</si>
  <si>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</si>
  <si>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</si>
  <si>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</si>
  <si>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</si>
  <si>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</si>
  <si>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</si>
  <si>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</si>
  <si>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</si>
  <si>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</si>
  <si>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</si>
  <si>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</si>
  <si>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</si>
  <si>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</si>
  <si>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</si>
  <si>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</si>
  <si>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</si>
  <si>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</si>
  <si>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</si>
  <si>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</si>
  <si>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</si>
  <si>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</si>
  <si>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</si>
  <si>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</si>
  <si>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</si>
  <si>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</si>
  <si>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</si>
  <si>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</si>
  <si>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</si>
  <si>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</si>
  <si>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</si>
  <si>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</si>
  <si>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</si>
  <si>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</si>
  <si>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</si>
  <si>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</si>
  <si>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</si>
  <si>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</si>
  <si>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</si>
  <si>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</si>
  <si>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</si>
  <si>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</si>
  <si>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</si>
  <si>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</si>
  <si>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</si>
  <si>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</si>
  <si>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</si>
  <si>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</si>
  <si>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</si>
  <si>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</si>
  <si>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</si>
  <si>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</si>
  <si>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</si>
  <si>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</si>
  <si>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</si>
  <si>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</si>
  <si>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</si>
  <si>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</si>
  <si>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</si>
  <si>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</si>
  <si>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</si>
  <si>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</si>
  <si>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</si>
  <si>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</si>
  <si>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</si>
  <si>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</si>
  <si>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</si>
  <si>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</si>
  <si>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</si>
  <si>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</si>
  <si>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</si>
  <si>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</si>
  <si>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</si>
  <si>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</si>
  <si>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</si>
  <si>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</si>
  <si>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</si>
  <si>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</si>
  <si>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</si>
  <si>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</si>
  <si>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</si>
  <si>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</si>
  <si>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</si>
  <si>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</si>
  <si>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</si>
  <si>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</si>
  <si>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</si>
  <si>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</si>
  <si>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</si>
  <si>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</si>
  <si>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</si>
  <si>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</si>
  <si>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</si>
  <si>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</si>
  <si>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</si>
  <si>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</si>
  <si>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</si>
  <si>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</si>
  <si>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</si>
  <si>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</si>
  <si>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</si>
  <si>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</si>
  <si>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</si>
  <si>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</si>
  <si>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</si>
  <si>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</si>
  <si>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</si>
  <si>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</si>
  <si>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</si>
  <si>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</si>
  <si>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</si>
  <si>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</si>
  <si>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</si>
  <si>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</si>
  <si>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</si>
  <si>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</si>
  <si>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</si>
  <si>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</si>
  <si>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</si>
  <si>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</si>
  <si>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</si>
  <si>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</si>
  <si>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</si>
  <si>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</si>
  <si>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</si>
  <si>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</si>
  <si>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</si>
  <si>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</si>
  <si>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</si>
  <si>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</si>
  <si>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</si>
  <si>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</si>
  <si>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</si>
  <si>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</si>
  <si>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</si>
  <si>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</si>
  <si>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</si>
  <si>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</si>
  <si>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</si>
  <si>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</si>
  <si>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</si>
  <si>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</si>
  <si>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</si>
  <si>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</si>
  <si>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</si>
  <si>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</si>
  <si>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</si>
  <si>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</si>
  <si>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</si>
  <si>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</si>
  <si>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</si>
  <si>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</si>
  <si>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</si>
  <si>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</si>
  <si>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</si>
  <si>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</si>
  <si>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</si>
  <si>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</si>
  <si>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</si>
  <si>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</si>
  <si>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</si>
  <si>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</si>
  <si>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</si>
  <si>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</si>
  <si>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</si>
  <si>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</si>
  <si>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</si>
  <si>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</si>
  <si>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</si>
  <si>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</si>
  <si>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</si>
  <si>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</si>
  <si>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</si>
  <si>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</si>
  <si>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</si>
  <si>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</si>
  <si>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</si>
  <si>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</si>
  <si>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</si>
  <si>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</si>
  <si>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</si>
  <si>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</si>
  <si>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</si>
  <si>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</si>
  <si>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</si>
  <si>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</si>
  <si>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</si>
  <si>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</si>
  <si>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</si>
  <si>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</si>
  <si>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</si>
  <si>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</si>
  <si>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</si>
  <si>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</si>
  <si>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</si>
  <si>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</si>
  <si>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</si>
  <si>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</si>
  <si>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</si>
  <si>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</si>
  <si>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</si>
  <si>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</si>
  <si>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</si>
  <si>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</si>
  <si>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</si>
  <si>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</si>
  <si>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</si>
  <si>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</si>
  <si>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</si>
  <si>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</si>
  <si>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</si>
  <si>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</si>
  <si>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</si>
  <si>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</si>
  <si>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</si>
  <si>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</si>
  <si>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</si>
  <si>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</si>
  <si>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</si>
  <si>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</si>
  <si>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</si>
  <si>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</si>
  <si>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</si>
  <si>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</si>
  <si>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</si>
  <si>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</si>
  <si>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</si>
  <si>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</si>
  <si>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</si>
  <si>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</si>
  <si>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</si>
  <si>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</si>
  <si>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</si>
  <si>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</si>
  <si>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</si>
  <si>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</si>
  <si>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</si>
  <si>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</si>
  <si>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</si>
  <si>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</si>
  <si>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</si>
  <si>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</si>
  <si>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</si>
  <si>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</si>
  <si>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</si>
  <si>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</si>
  <si>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</si>
  <si>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</si>
  <si>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</si>
  <si>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</si>
  <si>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</si>
  <si>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</si>
  <si>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</si>
  <si>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</si>
  <si>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</si>
  <si>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</si>
  <si>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</si>
  <si>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</si>
  <si>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</si>
  <si>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</si>
  <si>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</si>
  <si>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</si>
  <si>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</si>
  <si>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</si>
  <si>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</si>
  <si>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</si>
  <si>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</si>
  <si>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</si>
  <si>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</si>
  <si>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</si>
  <si>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</si>
  <si>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</si>
  <si>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</si>
  <si>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</si>
  <si>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</si>
  <si>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</si>
  <si>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</si>
  <si>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</si>
  <si>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</si>
  <si>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</si>
  <si>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</si>
  <si>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</si>
  <si>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</si>
  <si>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</si>
  <si>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</si>
  <si>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</si>
  <si>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</si>
  <si>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</si>
  <si>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</si>
  <si>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</si>
  <si>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</si>
  <si>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</si>
  <si>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</si>
  <si>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</si>
  <si>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</si>
  <si>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</si>
  <si>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</si>
  <si>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</si>
  <si>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</si>
  <si>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</si>
  <si>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</si>
  <si>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</si>
  <si>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</si>
  <si>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</si>
  <si>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</si>
  <si>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</si>
  <si>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</si>
  <si>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</si>
  <si>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</si>
  <si>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</si>
  <si>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</si>
  <si>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</si>
  <si>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</si>
  <si>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</si>
  <si>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</si>
  <si>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</si>
  <si>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</si>
  <si>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</si>
  <si>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</si>
  <si>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</si>
  <si>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</si>
  <si>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</si>
  <si>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</si>
  <si>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</si>
  <si>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</si>
  <si>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</si>
  <si>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</si>
  <si>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</si>
  <si>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</si>
  <si>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</si>
  <si>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</si>
  <si>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</si>
  <si>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</si>
  <si>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</si>
  <si>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</si>
  <si>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</si>
  <si>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</si>
  <si>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</si>
  <si>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</si>
  <si>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</si>
  <si>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</si>
  <si>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</si>
  <si>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</si>
  <si>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</si>
  <si>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</si>
  <si>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</si>
  <si>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</si>
  <si>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</si>
  <si>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</si>
  <si>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</si>
  <si>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</si>
  <si>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</si>
  <si>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</si>
  <si>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</si>
  <si>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</si>
  <si>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</si>
  <si>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</si>
  <si>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</si>
  <si>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</si>
  <si>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</si>
  <si>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</si>
  <si>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</si>
  <si>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</si>
  <si>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</si>
  <si>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</si>
  <si>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</si>
  <si>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</si>
  <si>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</si>
  <si>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</si>
  <si>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</si>
  <si>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</si>
  <si>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</si>
  <si>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</si>
  <si>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</si>
  <si>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</si>
  <si>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</si>
  <si>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</si>
  <si>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</si>
  <si>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</si>
  <si>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</si>
  <si>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</si>
  <si>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</si>
  <si>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</si>
  <si>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</si>
  <si>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</si>
  <si>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</si>
  <si>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</si>
  <si>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</si>
  <si>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</si>
  <si>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</si>
  <si>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</si>
  <si>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</si>
  <si>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</si>
  <si>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</si>
  <si>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</si>
  <si>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</si>
  <si>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</si>
  <si>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</si>
  <si>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</si>
  <si>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</si>
  <si>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</si>
  <si>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</si>
  <si>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</si>
  <si>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</si>
  <si>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</si>
  <si>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</si>
  <si>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</si>
  <si>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</si>
  <si>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</si>
  <si>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</si>
  <si>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</si>
  <si>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</si>
  <si>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</si>
  <si>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</si>
  <si>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</si>
  <si>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</si>
  <si>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</si>
  <si>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</si>
  <si>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</si>
  <si>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</si>
  <si>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</si>
  <si>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</si>
  <si>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</si>
  <si>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</si>
  <si>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</si>
  <si>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</si>
  <si>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</si>
  <si>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</si>
  <si>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</si>
  <si>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</si>
  <si>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</si>
  <si>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</si>
  <si>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</si>
  <si>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</si>
  <si>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</si>
  <si>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</si>
  <si>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</si>
  <si>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</si>
  <si>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</si>
  <si>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</si>
  <si>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</si>
  <si>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</si>
  <si>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</si>
  <si>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</si>
  <si>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</si>
  <si>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</si>
  <si>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</si>
  <si>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</si>
  <si>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</si>
  <si>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</si>
  <si>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</si>
  <si>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</si>
  <si>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</si>
  <si>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</si>
  <si>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</si>
  <si>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</si>
  <si>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</si>
  <si>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</si>
  <si>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</si>
  <si>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</si>
  <si>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</si>
  <si>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</si>
  <si>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</si>
  <si>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</si>
  <si>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</si>
  <si>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</si>
  <si>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</si>
  <si>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</si>
  <si>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</si>
  <si>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</si>
  <si>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</si>
  <si>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</si>
  <si>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</si>
  <si>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</si>
  <si>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</si>
  <si>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</si>
  <si>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</si>
  <si>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</si>
  <si>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</si>
  <si>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</si>
  <si>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</si>
  <si>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</si>
  <si>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</si>
  <si>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</si>
  <si>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</si>
  <si>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</si>
  <si>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</si>
  <si>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</si>
  <si>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</si>
  <si>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</si>
  <si>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</si>
  <si>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</si>
  <si>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</si>
  <si>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</si>
  <si>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</si>
  <si>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</si>
  <si>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</si>
  <si>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</si>
  <si>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</si>
  <si>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</si>
  <si>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</si>
  <si>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</si>
  <si>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</si>
  <si>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</si>
  <si>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</si>
  <si>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</si>
  <si>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</si>
  <si>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</si>
  <si>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</si>
  <si>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</si>
  <si>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</si>
  <si>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</si>
  <si>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</si>
  <si>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</si>
  <si>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</si>
  <si>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</si>
  <si>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</si>
  <si>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</si>
  <si>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</si>
  <si>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</si>
  <si>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</si>
  <si>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</si>
  <si>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</si>
  <si>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</si>
  <si>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</si>
  <si>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</si>
  <si>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</si>
  <si>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</si>
  <si>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</si>
  <si>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</si>
  <si>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</si>
  <si>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</si>
  <si>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</si>
  <si>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</si>
  <si>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</si>
  <si>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</si>
  <si>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</si>
  <si>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</si>
  <si>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</si>
  <si>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</si>
  <si>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</si>
  <si>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</si>
  <si>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</si>
  <si>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</si>
  <si>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</si>
  <si>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</si>
  <si>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</si>
  <si>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</si>
  <si>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</si>
  <si>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</si>
  <si>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</si>
  <si>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</si>
  <si>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</si>
  <si>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</si>
  <si>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</si>
  <si>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</si>
  <si>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</si>
  <si>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</si>
  <si>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</si>
  <si>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</si>
  <si>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</si>
  <si>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</si>
  <si>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AVLRaPTC</t>
  </si>
  <si>
    <t>Annual Vehicle Licensing Registration and Property Tax Costs.xlsx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</si>
  <si>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</si>
  <si>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</si>
  <si>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</si>
  <si>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</si>
  <si>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</si>
  <si>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</si>
  <si>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</si>
  <si>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</si>
  <si>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</si>
  <si>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</si>
  <si>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</si>
  <si>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</si>
  <si>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</si>
  <si>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</si>
  <si>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</si>
  <si>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</si>
  <si>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</si>
  <si>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</si>
  <si>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</si>
  <si>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</si>
  <si>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</si>
  <si>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</si>
  <si>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</si>
  <si>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</si>
  <si>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</si>
  <si>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</si>
  <si>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</si>
  <si>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</si>
  <si>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</si>
  <si>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</si>
  <si>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</si>
  <si>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</si>
  <si>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</si>
  <si>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</si>
  <si>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</si>
  <si>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</si>
  <si>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</si>
  <si>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</si>
  <si>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</si>
  <si>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</si>
  <si>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</si>
  <si>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</si>
  <si>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</si>
  <si>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</si>
  <si>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</si>
  <si>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</si>
  <si>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</si>
  <si>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</si>
  <si>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</si>
  <si>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</si>
  <si>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</si>
  <si>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</si>
  <si>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</si>
  <si>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</si>
  <si>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</si>
  <si>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</si>
  <si>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</si>
  <si>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</si>
  <si>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</si>
  <si>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</si>
  <si>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</si>
  <si>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</si>
  <si>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</si>
  <si>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</si>
  <si>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</si>
  <si>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</si>
  <si>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</si>
  <si>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</si>
  <si>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</si>
  <si>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</si>
  <si>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</si>
  <si>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</si>
  <si>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</si>
  <si>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</si>
  <si>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</si>
  <si>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</si>
  <si>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</si>
  <si>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</si>
  <si>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</si>
  <si>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</si>
  <si>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</si>
  <si>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</si>
  <si>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</si>
  <si>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</si>
  <si>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</si>
  <si>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</si>
  <si>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</si>
  <si>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</si>
  <si>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</si>
  <si>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</si>
  <si>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</si>
  <si>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</si>
  <si>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</si>
  <si>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</si>
  <si>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</si>
  <si>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</si>
  <si>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</si>
  <si>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</si>
  <si>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</si>
  <si>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</si>
  <si>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</si>
  <si>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</si>
  <si>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</si>
  <si>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</si>
  <si>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</si>
  <si>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</si>
  <si>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</si>
  <si>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</si>
  <si>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</si>
  <si>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</si>
  <si>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</si>
  <si>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</si>
  <si>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</si>
  <si>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</si>
  <si>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</si>
  <si>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</si>
  <si>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</si>
  <si>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</si>
  <si>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</si>
  <si>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</si>
  <si>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</si>
  <si>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</si>
  <si>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</si>
  <si>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</si>
  <si>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</si>
  <si>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</si>
  <si>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</si>
  <si>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</si>
  <si>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</si>
  <si>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</si>
  <si>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</si>
  <si>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</si>
  <si>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</si>
  <si>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</si>
  <si>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</si>
  <si>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</si>
  <si>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</si>
  <si>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</si>
  <si>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</si>
  <si>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</si>
  <si>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</si>
  <si>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</si>
  <si>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</si>
  <si>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</si>
  <si>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</si>
  <si>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</si>
  <si>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</si>
  <si>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</si>
  <si>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</si>
  <si>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</si>
  <si>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</si>
  <si>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</si>
  <si>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</si>
  <si>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</si>
  <si>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</si>
  <si>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</si>
  <si>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</si>
  <si>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</si>
  <si>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</si>
  <si>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</si>
  <si>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</si>
  <si>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</si>
  <si>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</si>
  <si>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</si>
  <si>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</si>
  <si>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</si>
  <si>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</si>
  <si>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</si>
  <si>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</si>
  <si>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</si>
  <si>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</si>
  <si>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</si>
  <si>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</si>
  <si>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</si>
  <si>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</si>
  <si>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</si>
  <si>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</si>
  <si>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</si>
  <si>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</si>
  <si>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</si>
  <si>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</si>
  <si>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</si>
  <si>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</si>
  <si>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</si>
  <si>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</si>
  <si>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</si>
  <si>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</si>
  <si>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</si>
  <si>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</si>
  <si>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</si>
  <si>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</si>
  <si>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</si>
  <si>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</si>
  <si>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</si>
  <si>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</si>
  <si>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</si>
  <si>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</si>
  <si>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</si>
  <si>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</si>
  <si>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</si>
  <si>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</si>
  <si>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</si>
  <si>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</si>
  <si>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</si>
  <si>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</si>
  <si>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</si>
  <si>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</si>
  <si>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</si>
  <si>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</si>
  <si>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</si>
  <si>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</si>
  <si>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</si>
  <si>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</si>
  <si>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</si>
  <si>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</si>
  <si>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</si>
  <si>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</si>
  <si>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</si>
  <si>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</si>
  <si>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</si>
  <si>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</si>
  <si>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</si>
  <si>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</si>
  <si>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</si>
  <si>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</si>
  <si>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</si>
  <si>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</si>
  <si>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</si>
  <si>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</si>
  <si>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</si>
  <si>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</si>
  <si>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</si>
  <si>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</si>
  <si>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</si>
  <si>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</si>
  <si>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</si>
  <si>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</si>
  <si>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</si>
  <si>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</si>
  <si>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</si>
  <si>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</si>
  <si>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</si>
  <si>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</si>
  <si>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</si>
  <si>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</si>
  <si>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</si>
  <si>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</si>
  <si>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</si>
  <si>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</si>
  <si>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</si>
  <si>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</si>
  <si>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</si>
  <si>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</si>
  <si>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</si>
  <si>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</si>
  <si>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</si>
  <si>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</si>
  <si>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</si>
  <si>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</si>
  <si>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</si>
  <si>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</si>
  <si>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</si>
  <si>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</si>
  <si>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</si>
  <si>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</si>
  <si>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</si>
  <si>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</si>
  <si>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</si>
  <si>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</si>
  <si>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</si>
  <si>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</si>
  <si>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</si>
  <si>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</si>
  <si>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</si>
  <si>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</si>
  <si>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</si>
  <si>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</si>
  <si>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</si>
  <si>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</si>
  <si>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</si>
  <si>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</si>
  <si>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</si>
  <si>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</si>
  <si>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</si>
  <si>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</si>
  <si>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</si>
  <si>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</si>
  <si>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</si>
  <si>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</si>
  <si>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</si>
  <si>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</si>
  <si>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</si>
  <si>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</si>
  <si>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</si>
  <si>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</si>
  <si>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</si>
  <si>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</si>
  <si>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</si>
  <si>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</si>
  <si>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</si>
  <si>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</si>
  <si>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</si>
  <si>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</si>
  <si>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</si>
  <si>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</si>
  <si>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</si>
  <si>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</si>
  <si>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</si>
  <si>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</si>
  <si>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</si>
  <si>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</si>
  <si>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</si>
  <si>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</si>
  <si>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</si>
  <si>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</si>
  <si>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</si>
  <si>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</si>
  <si>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</si>
  <si>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</si>
  <si>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</si>
  <si>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</si>
  <si>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</si>
  <si>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</si>
  <si>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</si>
  <si>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</si>
  <si>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</si>
  <si>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</si>
  <si>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</si>
  <si>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</si>
  <si>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</si>
  <si>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</si>
  <si>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</si>
  <si>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</si>
  <si>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</si>
  <si>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</si>
  <si>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</si>
  <si>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</si>
  <si>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</si>
  <si>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</si>
  <si>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</si>
  <si>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</si>
  <si>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</si>
  <si>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</si>
  <si>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</si>
  <si>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</si>
  <si>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</si>
  <si>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</si>
  <si>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</si>
  <si>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</si>
  <si>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</si>
  <si>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</si>
  <si>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</si>
  <si>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</si>
  <si>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</si>
  <si>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</si>
  <si>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</si>
  <si>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</si>
  <si>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</si>
  <si>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</si>
  <si>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</si>
  <si>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</si>
  <si>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</si>
  <si>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</si>
  <si>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</si>
  <si>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</si>
  <si>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</si>
  <si>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</si>
  <si>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</si>
  <si>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</si>
  <si>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</si>
  <si>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</si>
  <si>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</si>
  <si>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</si>
  <si>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</si>
  <si>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</si>
  <si>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</si>
  <si>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</si>
  <si>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</si>
  <si>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</si>
  <si>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</si>
  <si>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</si>
  <si>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</si>
  <si>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</si>
  <si>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</si>
  <si>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</si>
  <si>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</si>
  <si>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</si>
  <si>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</si>
  <si>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</si>
  <si>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</si>
  <si>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</si>
  <si>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</si>
  <si>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</si>
  <si>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</si>
  <si>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</si>
  <si>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</si>
  <si>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</si>
  <si>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</si>
  <si>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</si>
  <si>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</si>
  <si>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</si>
  <si>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</si>
  <si>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</si>
  <si>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</si>
  <si>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</si>
  <si>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</si>
  <si>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</si>
  <si>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</si>
  <si>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</si>
  <si>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</si>
  <si>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</si>
  <si>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</si>
  <si>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</si>
  <si>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</si>
  <si>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</si>
  <si>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</si>
  <si>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</si>
  <si>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BDbDT-infant.csv</t>
  </si>
  <si>
    <t>BDbDT-other.csv</t>
  </si>
  <si>
    <t>FoCaAPMbDT</t>
  </si>
  <si>
    <t>FoCaAPMbDT-NOx-asian.csv</t>
  </si>
  <si>
    <t>FoCaAPMbDT-NOx-black.csv</t>
  </si>
  <si>
    <t>FoCaAPMbDT-NOx-female.csv</t>
  </si>
  <si>
    <t>FoCaAPMbDT-NOx-hispanic.csv</t>
  </si>
  <si>
    <t>FoCaAPMbDT-NOx-male.csv</t>
  </si>
  <si>
    <t>FoCaAPMbDT-NOx-nonhispanic.csv</t>
  </si>
  <si>
    <t>FoCaAPMbDT-NOx-otherrace.csv</t>
  </si>
  <si>
    <t>FoCaAPMbDT-NOx-white.csv</t>
  </si>
  <si>
    <t>FoCaAPMbDT-PM25-asian.csv</t>
  </si>
  <si>
    <t>FoCaAPMbDT-PM25-black.csv</t>
  </si>
  <si>
    <t>FoCaAPMbDT-PM25-female.csv</t>
  </si>
  <si>
    <t>FoCaAPMbDT-PM25-hispanic.csv</t>
  </si>
  <si>
    <t>FoCaAPMbDT-PM25-male.csv</t>
  </si>
  <si>
    <t>FoCaAPMbDT-PM25-nonhispanic.csv</t>
  </si>
  <si>
    <t>FoCaAPMbDT-PM25-otherrace.csv</t>
  </si>
  <si>
    <t>FoCaAPMbDT-PM25-white.csv</t>
  </si>
  <si>
    <t>FoCaAPMbDT-SOx-asian.csv</t>
  </si>
  <si>
    <t>FoCaAPMbDT-SOx-black.csv</t>
  </si>
  <si>
    <t>FoCaAPMbDT-SOx-female.csv</t>
  </si>
  <si>
    <t>FoCaAPMbDT-SOx-hispanic.csv</t>
  </si>
  <si>
    <t>FoCaAPMbDT-SOx-male.csv</t>
  </si>
  <si>
    <t>FoCaAPMbDT-SOx-nonhispanic.csv</t>
  </si>
  <si>
    <t>FoCaAPMbDT-SOx-otherrace.csv</t>
  </si>
  <si>
    <t>FoCaAPMbDT-SOx-white.csv</t>
  </si>
  <si>
    <t>Frac of Child and Adult Prem Mort by Demo Trait.xlsx</t>
  </si>
  <si>
    <t>FoIPMbDT</t>
  </si>
  <si>
    <t>FoIPMbDT-NOx-asian.csv</t>
  </si>
  <si>
    <t>FoIPMbDT-NOx-black.csv</t>
  </si>
  <si>
    <t>FoIPMbDT-NOx-female.csv</t>
  </si>
  <si>
    <t>FoIPMbDT-NOx-hispanic.csv</t>
  </si>
  <si>
    <t>FoIPMbDT-NOx-male.csv</t>
  </si>
  <si>
    <t>FoIPMbDT-NOx-nonhispanic.csv</t>
  </si>
  <si>
    <t>FoIPMbDT-NOx-otherrace.csv</t>
  </si>
  <si>
    <t>FoIPMbDT-NOx-white.csv</t>
  </si>
  <si>
    <t>FoIPMbDT-PM25-asian.csv</t>
  </si>
  <si>
    <t>FoIPMbDT-PM25-black.csv</t>
  </si>
  <si>
    <t>FoIPMbDT-PM25-female.csv</t>
  </si>
  <si>
    <t>FoIPMbDT-PM25-hispanic.csv</t>
  </si>
  <si>
    <t>FoIPMbDT-PM25-male.csv</t>
  </si>
  <si>
    <t>FoIPMbDT-PM25-nonhispanic.csv</t>
  </si>
  <si>
    <t>FoIPMbDT-PM25-otherrace.csv</t>
  </si>
  <si>
    <t>FoIPMbDT-PM25-white.csv</t>
  </si>
  <si>
    <t>FoIPMbDT-SOx-asian.csv</t>
  </si>
  <si>
    <t>FoIPMbDT-SOx-black.csv</t>
  </si>
  <si>
    <t>FoIPMbDT-SOx-female.csv</t>
  </si>
  <si>
    <t>FoIPMbDT-SOx-hispanic.csv</t>
  </si>
  <si>
    <t>FoIPMbDT-SOx-male.csv</t>
  </si>
  <si>
    <t>FoIPMbDT-SOx-nonhispanic.csv</t>
  </si>
  <si>
    <t>FoIPMbDT-SOx-otherrace.csv</t>
  </si>
  <si>
    <t>FoIPMbDT-SOx-white.csv</t>
  </si>
  <si>
    <t>Frac of Infant Prem Mort by Demo Trait.xlsx</t>
  </si>
  <si>
    <t>Generator.py</t>
  </si>
  <si>
    <t>CiDESCTY</t>
  </si>
  <si>
    <t>Change in Distributed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</si>
  <si>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</si>
  <si>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</si>
  <si>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</si>
  <si>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</si>
  <si>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</si>
  <si>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</si>
  <si>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RPfFBSCC</t>
  </si>
  <si>
    <t>RPfFBSCC.csv</t>
  </si>
  <si>
    <t>RPfFESCC Repayment Period for Financed Buildings Sector Capital Costs.xlsx</t>
  </si>
  <si>
    <t>CCSTaSCaS</t>
  </si>
  <si>
    <t>CCS Transportation and Storage Costs and Subsidies.xlsx</t>
  </si>
  <si>
    <t>CCSTaSCaS-costs.csv</t>
  </si>
  <si>
    <t>CCSTaSCaS-subsidies.csv</t>
  </si>
  <si>
    <t>CECRCbI</t>
  </si>
  <si>
    <t>CECRCbI-energy.csv</t>
  </si>
  <si>
    <t>CECRCbI-process.csv</t>
  </si>
  <si>
    <t>Cost Effective CCS Retrofit Capacity by Industry.xlsx</t>
  </si>
  <si>
    <t>CRDT</t>
  </si>
  <si>
    <t>CCS Retrofit Detployment Time.xlsx</t>
  </si>
  <si>
    <t>CRDT.csv</t>
  </si>
  <si>
    <t>SoCECRCSiaY</t>
  </si>
  <si>
    <t>Share of Cost Effective CCS Retrofit Construction Started in a Year.xlsx</t>
  </si>
  <si>
    <t>SoCECRCSiaY.csv</t>
  </si>
  <si>
    <t>BUCMfNCR</t>
  </si>
  <si>
    <t>Boolean Use Capacity Market for New Capacity Revenue.xlsx</t>
  </si>
  <si>
    <t>BUCMfNCR.csv</t>
  </si>
  <si>
    <t>FYIbFP</t>
  </si>
  <si>
    <t>First Year Impacted by Future Policies.xlsx</t>
  </si>
  <si>
    <t>FYIbFP.csv</t>
  </si>
  <si>
    <t>MV</t>
  </si>
  <si>
    <t>FMV.csv</t>
  </si>
  <si>
    <t>Modeled Vintages.xlsx</t>
  </si>
  <si>
    <t>MV-current.csv</t>
  </si>
  <si>
    <t>MV-preceding.csv</t>
  </si>
  <si>
    <t>MV.csv</t>
  </si>
  <si>
    <t>CECpUES</t>
  </si>
  <si>
    <t>CECpUES.csv</t>
  </si>
  <si>
    <t>CHP Eqpt Cost per Unit Energy Shifted.xlsx</t>
  </si>
  <si>
    <t>BCoESC-dist-solar.csv</t>
  </si>
  <si>
    <t>BPPEOUP</t>
  </si>
  <si>
    <t>BAU Pwr Plnt Elec Own Use Perc.xlsx</t>
  </si>
  <si>
    <t>BPPEOUP.csv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</si>
  <si>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</si>
  <si>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</si>
  <si>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</si>
  <si>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</si>
  <si>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</si>
  <si>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</si>
  <si>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</si>
  <si>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</si>
  <si>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BPTbCP</t>
  </si>
  <si>
    <t>BAU Pollutants Taxed by Carbon Pricing.xlsx</t>
  </si>
  <si>
    <t>BPTbCP-buildings.csv</t>
  </si>
  <si>
    <t>BPTbCP-districtheat.csv</t>
  </si>
  <si>
    <t>BPTbCP-electricity.csv</t>
  </si>
  <si>
    <t>BPTbCP-hydrogen.csv</t>
  </si>
  <si>
    <t>BPTbCP-industry.csv</t>
  </si>
  <si>
    <t>BPTbCP-transportation.csv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</si>
  <si>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</si>
  <si>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</si>
  <si>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</si>
  <si>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</si>
  <si>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</si>
  <si>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</si>
  <si>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</si>
  <si>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PTbCP</t>
  </si>
  <si>
    <t>Pollutants Taxed by Carbon Pricing.xlsx</t>
  </si>
  <si>
    <t>PTbCP-buildings.csv</t>
  </si>
  <si>
    <t>PTbCP-districtheat.csv</t>
  </si>
  <si>
    <t>PTbCP-electricity.csv</t>
  </si>
  <si>
    <t>PTbCP-hydrogen.csv</t>
  </si>
  <si>
    <t>PTbCP-industry.csv</t>
  </si>
  <si>
    <t>PTbCP-transportation.csv</t>
  </si>
  <si>
    <t>BCoHSC</t>
  </si>
  <si>
    <t>BAU Cost of Hydrogen Sector Capital.xlsx</t>
  </si>
  <si>
    <t>BCoHSC.csv</t>
  </si>
  <si>
    <t>FIoHP</t>
  </si>
  <si>
    <t>FIoHP-biomass-gasification.csv</t>
  </si>
  <si>
    <t>FIoHP-coal-gasification.csv</t>
  </si>
  <si>
    <t>FIoHP-electrolysis.csv</t>
  </si>
  <si>
    <t>FIoHP-green-electrolysis.csv</t>
  </si>
  <si>
    <t>FIoHP-hydrocarbon-POx.csv</t>
  </si>
  <si>
    <t>FIoHP-ng-reforming-CCS.csv</t>
  </si>
  <si>
    <t>FIoHP-ng-reforming.csv</t>
  </si>
  <si>
    <t>Fuel Intensity of Hydrogen Production.xlsx</t>
  </si>
  <si>
    <t>HPLC</t>
  </si>
  <si>
    <t>HPLC.csv</t>
  </si>
  <si>
    <t>Hydrogen Production Logit Coefficient.xlsx</t>
  </si>
  <si>
    <t>HPS</t>
  </si>
  <si>
    <t>HPS.csv</t>
  </si>
  <si>
    <t>Hydrogen Production Shareweights.xlsx</t>
  </si>
  <si>
    <t>RPfFHSCC</t>
  </si>
  <si>
    <t>RPfFHSCC Repayment Period for Financed Hydgn Sector Capital Costs.xlsx</t>
  </si>
  <si>
    <t>RPfFHSCC.csv</t>
  </si>
  <si>
    <t>SoHDTiGaLCbS</t>
  </si>
  <si>
    <t>Share of Hydgn Demand That is Green and Low Carbon by Sector.xlsx</t>
  </si>
  <si>
    <t>SoHDTiGaLCbS-green.csv</t>
  </si>
  <si>
    <t>SoHDTiGaLCbS-lowcarbon.csv</t>
  </si>
  <si>
    <t>SYAHPC</t>
  </si>
  <si>
    <t>Start Year Annual Hydrogen Production Capacity.xlsx</t>
  </si>
  <si>
    <t>SYAHPC.csv</t>
  </si>
  <si>
    <t>BCHPD</t>
  </si>
  <si>
    <t>BAU Clean Heat PTC Duration.xlsx</t>
  </si>
  <si>
    <t>BCHPD.csv</t>
  </si>
  <si>
    <t>BCHSR</t>
  </si>
  <si>
    <t>BAU Clean Heat Subsidy Rate.xlsx</t>
  </si>
  <si>
    <t>BCoISC</t>
  </si>
  <si>
    <t>BAU Cost of Industry Sector Capital.xlsx</t>
  </si>
  <si>
    <t>BCoISC-RPfE.csv</t>
  </si>
  <si>
    <t>BCoISC-WACCbI.csv</t>
  </si>
  <si>
    <t>BIEEI</t>
  </si>
  <si>
    <t>BAU Industrial Equipment Efficiency Improvement.xlsx</t>
  </si>
  <si>
    <t>BIEEI-elec.csv</t>
  </si>
  <si>
    <t>BIEEI-other.csv</t>
  </si>
  <si>
    <t>BIEURfPEI</t>
  </si>
  <si>
    <t>BAU Industrial Energy Use Reduction from Process Efficiency Improvements.xlsx</t>
  </si>
  <si>
    <t>BIEURfPEI-biomass.csv</t>
  </si>
  <si>
    <t>BIEURfPEI-coal.csv</t>
  </si>
  <si>
    <t>BIEURfPEI-crude-oil.csv</t>
  </si>
  <si>
    <t>BIEURfPEI-electricity.csv</t>
  </si>
  <si>
    <t>BIEURfPEI-green-hydrogen.csv</t>
  </si>
  <si>
    <t>BIEURfPEI-heat.csv</t>
  </si>
  <si>
    <t>BIEURfPEI-heavy-or-residual-oil.csv</t>
  </si>
  <si>
    <t>BIEURfPEI-hydrogen.csv</t>
  </si>
  <si>
    <t>BIEURfPEI-lowcarbon-hydrogen.csv</t>
  </si>
  <si>
    <t>BIEURfPEI-LPG-propane-or-butane.csv</t>
  </si>
  <si>
    <t>BIEURfPEI-natural-gas.csv</t>
  </si>
  <si>
    <t>BIEURfPEI-petroleum-diesel.csv</t>
  </si>
  <si>
    <t>BIFU</t>
  </si>
  <si>
    <t>BAU Industrial Fuel Use.xlsx</t>
  </si>
  <si>
    <t>BIFUaF-biomass.csv</t>
  </si>
  <si>
    <t>BIFUaF-coal.csv</t>
  </si>
  <si>
    <t>BIFUaF-crude-oil.csv</t>
  </si>
  <si>
    <t>BIFUaF-electricity.csv</t>
  </si>
  <si>
    <t>BIFUaF-green-hydrogen.csv</t>
  </si>
  <si>
    <t>BIFUaF-heat.csv</t>
  </si>
  <si>
    <t>BIFUaF-heavy-or-residual-oil.csv</t>
  </si>
  <si>
    <t>BIFUaF-hydrogen.csv</t>
  </si>
  <si>
    <t>BIFUaF-lowcarbon-hydrogen.csv</t>
  </si>
  <si>
    <t>BIFUaF-LPG-propane-or-butane.csv</t>
  </si>
  <si>
    <t>BIFUaF-natural-gas.csv</t>
  </si>
  <si>
    <t>BIFUaF-petroleum-diesel.csv</t>
  </si>
  <si>
    <t>BIFUfE-biomass.csv</t>
  </si>
  <si>
    <t>BIFUfE-coal.csv</t>
  </si>
  <si>
    <t>BIFUfE-crude-oil.csv</t>
  </si>
  <si>
    <t>BIFUfE-electricity.csv</t>
  </si>
  <si>
    <t>BIFUfE-green-hydrogen.csv</t>
  </si>
  <si>
    <t>BIFUfE-heat.csv</t>
  </si>
  <si>
    <t>BIFUfE-heavy-or-residual-oil.csv</t>
  </si>
  <si>
    <t>BIFUfE-hydrogen.csv</t>
  </si>
  <si>
    <t>BIFUfE-lowcarbon-hydrogen.csv</t>
  </si>
  <si>
    <t>BIFUfE-LPG-propane-or-butane.csv</t>
  </si>
  <si>
    <t>BIFUfE-natural-gas.csv</t>
  </si>
  <si>
    <t>BIFUfE-petroleum-diesel.csv</t>
  </si>
  <si>
    <t>BPFUbIP-biomass.csv</t>
  </si>
  <si>
    <t>BPFUbIP-crude-oil.csv</t>
  </si>
  <si>
    <t>BPFUbIP-fallback.csv</t>
  </si>
  <si>
    <t>BPFUbIP-green-hydrogen.csv</t>
  </si>
  <si>
    <t>BPFUbIP-hard-coal.csv</t>
  </si>
  <si>
    <t>BPFUbIP-heat.csv</t>
  </si>
  <si>
    <t>BPFUbIP-hvy-resid-fuel-oil.csv</t>
  </si>
  <si>
    <t>BPFUbIP-hydrogen.csv</t>
  </si>
  <si>
    <t>BPFUbIP-lowcarbon-hydrogen.csv</t>
  </si>
  <si>
    <t>BPFUbIP-LPG.csv</t>
  </si>
  <si>
    <t>BPFUbIP-natural-gas.csv</t>
  </si>
  <si>
    <t>BPFUbIP-petroleum-diesel.csv</t>
  </si>
  <si>
    <t>EoIEECwEC</t>
  </si>
  <si>
    <t>Elasticity of Ind Eqpt E Cons wrt E Cost.xlsx</t>
  </si>
  <si>
    <t>EoIEECwEC.csv</t>
  </si>
  <si>
    <t>IECCpUAEU</t>
  </si>
  <si>
    <t>IECCpUAEU.csv</t>
  </si>
  <si>
    <t>Indst Eqpt Cap Cost per Unit Ann E Use.xlsx</t>
  </si>
  <si>
    <t>IELC</t>
  </si>
  <si>
    <t>IELC.csv</t>
  </si>
  <si>
    <t>Industrial Eqpt Logit Coefficient.xlsx</t>
  </si>
  <si>
    <t>IEMUEF</t>
  </si>
  <si>
    <t>IEMUEF.csv</t>
  </si>
  <si>
    <t>IES</t>
  </si>
  <si>
    <t>IES-cooling-biomass.csv</t>
  </si>
  <si>
    <t>IES-cooling-coal.csv</t>
  </si>
  <si>
    <t>IES-cooling-crudeoil.csv</t>
  </si>
  <si>
    <t>IES-cooling-elec.csv</t>
  </si>
  <si>
    <t>IES-cooling-green-hydgn.csv</t>
  </si>
  <si>
    <t>IES-cooling-heat.csv</t>
  </si>
  <si>
    <t>IES-cooling-heavyresidoil.csv</t>
  </si>
  <si>
    <t>IES-cooling-hydrogen.csv</t>
  </si>
  <si>
    <t>IES-cooling-lc-hydgn.csv</t>
  </si>
  <si>
    <t>IES-cooling-lpgpropbut.csv</t>
  </si>
  <si>
    <t>IES-cooling-natgas.csv</t>
  </si>
  <si>
    <t>IES-cooling-petdiesel.csv</t>
  </si>
  <si>
    <t>IES-machinedrive-biomass.csv</t>
  </si>
  <si>
    <t>IES-machinedrive-coal.csv</t>
  </si>
  <si>
    <t>IES-machinedrive-crudeoil.csv</t>
  </si>
  <si>
    <t>IES-machinedrive-elec.csv</t>
  </si>
  <si>
    <t>IES-machinedrive-green-hydgn.csv</t>
  </si>
  <si>
    <t>IES-machinedrive-heat.csv</t>
  </si>
  <si>
    <t>IES-machinedrive-heavyresidoil.csv</t>
  </si>
  <si>
    <t>IES-machinedrive-hydrogen.csv</t>
  </si>
  <si>
    <t>IES-machinedrive-lc-hydgn.csv</t>
  </si>
  <si>
    <t>IES-machinedrive-lpgpropbut.csv</t>
  </si>
  <si>
    <t>IES-machinedrive-natgas.csv</t>
  </si>
  <si>
    <t>IES-machinedrive-petdiesel.csv</t>
  </si>
  <si>
    <t>IES-other-biomass.csv</t>
  </si>
  <si>
    <t>IES-other-coal.csv</t>
  </si>
  <si>
    <t>IES-other-crudeoil.csv</t>
  </si>
  <si>
    <t>IES-other-elec.csv</t>
  </si>
  <si>
    <t>IES-other-green-hydgn.csv</t>
  </si>
  <si>
    <t>IES-other-heat.csv</t>
  </si>
  <si>
    <t>IES-other-heavyresidoil.csv</t>
  </si>
  <si>
    <t>IES-other-hydrogen.csv</t>
  </si>
  <si>
    <t>IES-other-lc-hydgn.csv</t>
  </si>
  <si>
    <t>IES-other-lpgpropbut.csv</t>
  </si>
  <si>
    <t>IES-other-natgas.csv</t>
  </si>
  <si>
    <t>IES-other-petdiesel.csv</t>
  </si>
  <si>
    <t>Industrial Equipment Shareweights.xlsm</t>
  </si>
  <si>
    <t>Industrial Equipment Shareweights.xlsx</t>
  </si>
  <si>
    <t>IESD</t>
  </si>
  <si>
    <t>IESD-AAaWER.csv</t>
  </si>
  <si>
    <t>IESD-FoIERbA.csv</t>
  </si>
  <si>
    <t>Industrial Equipment Survival Data.xlsx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</si>
  <si>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</si>
  <si>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</si>
  <si>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</si>
  <si>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</si>
  <si>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</si>
  <si>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</si>
  <si>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</si>
  <si>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IFTQfS</t>
  </si>
  <si>
    <t>IFTQfS-investment.csv</t>
  </si>
  <si>
    <t>IFTQfS-loans.csv</t>
  </si>
  <si>
    <t>IFTQfS-production.csv</t>
  </si>
  <si>
    <t>Indst Fuels Qualifying for Support.xlsx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</si>
  <si>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</si>
  <si>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</si>
  <si>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</si>
  <si>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</si>
  <si>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</si>
  <si>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</si>
  <si>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</si>
  <si>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</si>
  <si>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</si>
  <si>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</si>
  <si>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</si>
  <si>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</si>
  <si>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</si>
  <si>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</si>
  <si>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</si>
  <si>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</si>
  <si>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</si>
  <si>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</si>
  <si>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</si>
  <si>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</si>
  <si>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RPfFISCC</t>
  </si>
  <si>
    <t>RPfFISCC Repayment Period for Financed Indst Sector Capital Costs.xlsx</t>
  </si>
  <si>
    <t>RPfFISCC.csv</t>
  </si>
  <si>
    <t>SoFCTiBoSFbI</t>
  </si>
  <si>
    <t>Share of Fuel Cons that is Byproduct or Secondary Fuel by Indst.xlsx</t>
  </si>
  <si>
    <t>SoFCTiBoSFbI.csv</t>
  </si>
  <si>
    <t>SYIEUEFbIPaF</t>
  </si>
  <si>
    <t>Start Year Indst Eqpt Unit E Factor by Indst Proc and Fuel.xlsx</t>
  </si>
  <si>
    <t>SYIEUEFbIPaF.csv</t>
  </si>
  <si>
    <t>FoPITY.xlsx</t>
  </si>
  <si>
    <t>FFY.csv</t>
  </si>
  <si>
    <t>V</t>
  </si>
  <si>
    <t>CV.csv</t>
  </si>
  <si>
    <t>FV.csv</t>
  </si>
  <si>
    <t>PV.csv</t>
  </si>
  <si>
    <t>V.csv</t>
  </si>
  <si>
    <t>Vintage.xlsx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</si>
  <si>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</si>
  <si>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</si>
  <si>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</si>
  <si>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</si>
  <si>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</si>
  <si>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</si>
  <si>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</si>
  <si>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</si>
  <si>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</si>
  <si>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</si>
  <si>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</si>
  <si>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</si>
  <si>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</si>
  <si>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</si>
  <si>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</si>
  <si>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</si>
  <si>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</si>
  <si>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</si>
  <si>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</si>
  <si>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</si>
  <si>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</si>
  <si>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</si>
  <si>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</si>
  <si>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</si>
  <si>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</si>
  <si>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</si>
  <si>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</si>
  <si>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</si>
  <si>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</si>
  <si>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</si>
  <si>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BpTPEU-medium.csv</t>
  </si>
  <si>
    <t>NoH</t>
  </si>
  <si>
    <t>NoH.csv</t>
  </si>
  <si>
    <t>Number of Households.xlsx</t>
  </si>
  <si>
    <t>BDCL</t>
  </si>
  <si>
    <t>BAU Data Center Load.xlsx</t>
  </si>
  <si>
    <t>BDCL-high.csv</t>
  </si>
  <si>
    <t>BDCL-low.csv</t>
  </si>
  <si>
    <t>BDCL-mid.csv</t>
  </si>
  <si>
    <t>Change in Distribued Electricity Source Capacities This Year.xlsx</t>
  </si>
  <si>
    <t>NBICS</t>
  </si>
  <si>
    <t>NBICS.csv</t>
  </si>
  <si>
    <t>Non BAU Industry CCS Subsidy.xlsx</t>
  </si>
  <si>
    <t>DCLGA</t>
  </si>
  <si>
    <t>Data Center Load Growth Assumption.xlsx</t>
  </si>
  <si>
    <t>DCLGA.csv</t>
  </si>
  <si>
    <t>GRA-batconsubsidy.csv</t>
  </si>
  <si>
    <t>GRA-hydgnprodsubs.csv</t>
  </si>
  <si>
    <t>GRA-indstcleanheat.csv</t>
  </si>
  <si>
    <t>GRA-indstprocemiss.csv</t>
  </si>
  <si>
    <t>MRV</t>
  </si>
  <si>
    <t>Model Run Vintages.xlsx</t>
  </si>
  <si>
    <t>MRV.csv</t>
  </si>
  <si>
    <t>MV-historical.csv</t>
  </si>
  <si>
    <t>MV-run.csv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</si>
  <si>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</si>
  <si>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</si>
  <si>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</si>
  <si>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</si>
  <si>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</si>
  <si>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</si>
  <si>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NSDoDC</t>
  </si>
  <si>
    <t>Normalized Std Dev of Dispatch Costs.xlsx</t>
  </si>
  <si>
    <t>NSDoDC.csv</t>
  </si>
  <si>
    <t>SHELF-datacenters.csv</t>
  </si>
  <si>
    <t>TACFMfPBTY</t>
  </si>
  <si>
    <t>TACFMfPBTY.csv</t>
  </si>
  <si>
    <t>Time Adjusted Capacity Factor Multiplier for Plants Built This Year.xlsx</t>
  </si>
  <si>
    <t>BFPaT-SYPFP.csv</t>
  </si>
  <si>
    <t>BFPIaE-SYFE.csv</t>
  </si>
  <si>
    <t>BFPIaE-SYFP.csv</t>
  </si>
  <si>
    <t>BS-BSpUEOfEP.csv</t>
  </si>
  <si>
    <t>IMFPbFT-SYIMFPIE.csv</t>
  </si>
  <si>
    <t>BSfHPbP</t>
  </si>
  <si>
    <t>BAU Subsidy for Hydgn Prod by Pathway.xlsx</t>
  </si>
  <si>
    <t>BSfHPbP.csv</t>
  </si>
  <si>
    <t>FoHERbA</t>
  </si>
  <si>
    <t>FoHERbA.csv</t>
  </si>
  <si>
    <t>Frac of Hydgn Eqpt Retiring by Age.xlsx</t>
  </si>
  <si>
    <t>HPSD</t>
  </si>
  <si>
    <t>HPSD.csv</t>
  </si>
  <si>
    <t>Hydgn Prod Subsidy Duration.xlsx</t>
  </si>
  <si>
    <t>PHERP</t>
  </si>
  <si>
    <t>PHERP.csv</t>
  </si>
  <si>
    <t>Preexisting Hydgn Eqpt Retirement Profiles.xlsx</t>
  </si>
  <si>
    <t>WCoHPbP</t>
  </si>
  <si>
    <t>Water Consumption of Hydgn Prod by Pathway.xlsx</t>
  </si>
  <si>
    <t>WCoHPbP.csv</t>
  </si>
  <si>
    <t>BCHSR-investment.csv</t>
  </si>
  <si>
    <t>BCHSR-production.csv</t>
  </si>
  <si>
    <t>BDGPfPEP</t>
  </si>
  <si>
    <t>BDGPfPEP.csv</t>
  </si>
  <si>
    <t>Bool Does Govt Pay for Process Emissions Policies.xlsx</t>
  </si>
  <si>
    <t>BIFU-SYIFU.csv</t>
  </si>
  <si>
    <t>BIISRP</t>
  </si>
  <si>
    <t>BAU Individual Industrial Site Retirement Profiles.xlsx</t>
  </si>
  <si>
    <t>BIISRP-boolean.csv</t>
  </si>
  <si>
    <t>BIISRP.csv</t>
  </si>
  <si>
    <t>MECS_aggregator.py</t>
  </si>
  <si>
    <t>Table5_2.xlsx</t>
  </si>
  <si>
    <t>Table5_2_long.csv</t>
  </si>
  <si>
    <t>EoIEPwEEI</t>
  </si>
  <si>
    <t>Elasticity of Ind Eqpt Price wrt E Eff Improvements.xlsx</t>
  </si>
  <si>
    <t>EoIEPwEEI.csv</t>
  </si>
  <si>
    <t>IECCpUAEU-mobile.csv</t>
  </si>
  <si>
    <t>~$Indst Eqpt Cap Cost per Unit Ann E Use.xlsx</t>
  </si>
  <si>
    <t>Indst Eqpt Min Unit E Factor.xlsx</t>
  </si>
  <si>
    <t>~$Indst Eqpt Min Unit E Factor.xlsx</t>
  </si>
  <si>
    <t>IES-HVAC-biomass.csv</t>
  </si>
  <si>
    <t>IES-HVAC-coal.csv</t>
  </si>
  <si>
    <t>IES-HVAC-crudeoil.csv</t>
  </si>
  <si>
    <t>IES-HVAC-elec.csv</t>
  </si>
  <si>
    <t>IES-HVAC-green-hydgn.csv</t>
  </si>
  <si>
    <t>IES-HVAC-heat.csv</t>
  </si>
  <si>
    <t>IES-HVAC-heavyresidoil.csv</t>
  </si>
  <si>
    <t>IES-HVAC-hydrogen.csv</t>
  </si>
  <si>
    <t>IES-HVAC-lc-hydgn.csv</t>
  </si>
  <si>
    <t>IES-HVAC-lpgpropbut.csv</t>
  </si>
  <si>
    <t>IES-HVAC-natgas.csv</t>
  </si>
  <si>
    <t>IES-HVAC-petdiesel.csv</t>
  </si>
  <si>
    <t>IES-lighting-biomass.csv</t>
  </si>
  <si>
    <t>IES-lighting-coal.csv</t>
  </si>
  <si>
    <t>IES-lighting-crudeoil.csv</t>
  </si>
  <si>
    <t>IES-lighting-elec.csv</t>
  </si>
  <si>
    <t>IES-lighting-green-hydgn.csv</t>
  </si>
  <si>
    <t>IES-lighting-heat.csv</t>
  </si>
  <si>
    <t>IES-lighting-heavyresidoil.csv</t>
  </si>
  <si>
    <t>IES-lighting-hydrogen.csv</t>
  </si>
  <si>
    <t>IES-lighting-lc-hydgn.csv</t>
  </si>
  <si>
    <t>IES-lighting-lpgpropbut.csv</t>
  </si>
  <si>
    <t>IES-lighting-natgas.csv</t>
  </si>
  <si>
    <t>IES-lighting-petdiesel.csv</t>
  </si>
  <si>
    <t>IES-nonprocess-biomass.csv</t>
  </si>
  <si>
    <t>IES-nonprocess-coal.csv</t>
  </si>
  <si>
    <t>IES-nonprocess-crudeoil.csv</t>
  </si>
  <si>
    <t>IES-nonprocess-elec.csv</t>
  </si>
  <si>
    <t>IES-nonprocess-green-hydgn.csv</t>
  </si>
  <si>
    <t>IES-nonprocess-heat.csv</t>
  </si>
  <si>
    <t>IES-nonprocess-heavyresidoil.csv</t>
  </si>
  <si>
    <t>IES-nonprocess-hydrogen.csv</t>
  </si>
  <si>
    <t>IES-nonprocess-lc-hydgn.csv</t>
  </si>
  <si>
    <t>IES-nonprocess-lpgpropbut.csv</t>
  </si>
  <si>
    <t>IES-nonprocess-natgas.csv</t>
  </si>
  <si>
    <t>IES-nonprocess-petdiesel.csv</t>
  </si>
  <si>
    <t>IESD-FoPERNbA.csv</t>
  </si>
  <si>
    <t>IFStE</t>
  </si>
  <si>
    <t>IFStE.csv</t>
  </si>
  <si>
    <t>Indst Fuels Subject to Electrification.xlsx</t>
  </si>
  <si>
    <t>IFTQfEERP</t>
  </si>
  <si>
    <t>IFTQfEERP.csv</t>
  </si>
  <si>
    <t>Indst Fuel Types Qual for Early Eqpt Retirement Policy.xlsx</t>
  </si>
  <si>
    <t>NIEAFSM</t>
  </si>
  <si>
    <t>New Indst Eqpt Alt Fuel Shifting Matrix.xlsx</t>
  </si>
  <si>
    <t>NIEAFSM.csv</t>
  </si>
  <si>
    <t>~$BAU Employment by ISIC Code.xlsx</t>
  </si>
  <si>
    <t>SYObIC.csv</t>
  </si>
  <si>
    <t>~$BAU Output by ISIC Code.xlsx</t>
  </si>
  <si>
    <t>fix_block.py</t>
  </si>
  <si>
    <t>fix_block.txt</t>
  </si>
  <si>
    <t>FractionOfPolicyImplementedThisYearnew.py</t>
  </si>
  <si>
    <t>HV.csv</t>
  </si>
  <si>
    <t>ICwIwLF</t>
  </si>
  <si>
    <t>ICwIwLF.csv</t>
  </si>
  <si>
    <t>Indst Cat w Indst wide Load Factor.xlsx</t>
  </si>
  <si>
    <t>SHELF-indstcat-fall.csv</t>
  </si>
  <si>
    <t>SHELF-indstcat-spring.csv</t>
  </si>
  <si>
    <t>SHELF-indstcat-summer.csv</t>
  </si>
  <si>
    <t>SHELF-indstcat-summerpeak.csv</t>
  </si>
  <si>
    <t>SHELF-indstcat-winter.csv</t>
  </si>
  <si>
    <t>SHELF-indstcat-winterpeak.csv</t>
  </si>
  <si>
    <t>SHELF-indstCCS.csv</t>
  </si>
  <si>
    <t>SHELF-indstproc-fall.csv</t>
  </si>
  <si>
    <t>SHELF-indstproc-spring.csv</t>
  </si>
  <si>
    <t>SHELF-indstproc-summer.csv</t>
  </si>
  <si>
    <t>SHELF-indstproc-summerpeak.csv</t>
  </si>
  <si>
    <t>SHELF-indstproc-winter.csv</t>
  </si>
  <si>
    <t>SHELF-indstproc-winterpeak.csv</t>
  </si>
  <si>
    <t>~$Seasonal Hourly Equipment Load Factors by End Use.xlsx</t>
  </si>
  <si>
    <t>PoONEUTiMEbIC</t>
  </si>
  <si>
    <t>PoONEUTiMEbIC.csv</t>
  </si>
  <si>
    <t>HOV</t>
  </si>
  <si>
    <t>Health Outcome Valuation.xlsx</t>
  </si>
  <si>
    <t>HOV.csv</t>
  </si>
  <si>
    <t>~$BAU Distribued Electricity Source Capacities.xlsx</t>
  </si>
  <si>
    <t>~$Change in Distribued Electricity Source Capacities This Year.xlsx</t>
  </si>
  <si>
    <t>~$Elast of Component Price wrt E Use.xlsx</t>
  </si>
  <si>
    <t>BCS-electricity.csv</t>
  </si>
  <si>
    <t>BCS-industry.csv</t>
  </si>
  <si>
    <t>STfCCE</t>
  </si>
  <si>
    <t>STfCCE Smoothing Time for CCS Capital Expenditures.xlsx</t>
  </si>
  <si>
    <t>STfCCE.csv</t>
  </si>
  <si>
    <t>BEEEfEPS</t>
  </si>
  <si>
    <t>BEEEfEPS.csv</t>
  </si>
  <si>
    <t>Boolean Exclude Elec Exports from Elec Portfolio Stds.xlsx</t>
  </si>
  <si>
    <t>BUCLfCR</t>
  </si>
  <si>
    <t>BUCLfCR Bool Use Cap Life for Retirments.xlsx</t>
  </si>
  <si>
    <t>BUCLfCR.csv</t>
  </si>
  <si>
    <t>GRA-indsteffmeasures.csv</t>
  </si>
  <si>
    <t>YoFESHtFRV</t>
  </si>
  <si>
    <t>Years of Foresight Electricity Suppliers Have to Future RPS Values.xlsx</t>
  </si>
  <si>
    <t>YoFESHtFRV.csv</t>
  </si>
  <si>
    <t>~$BAU Ban New Power Plants This Year.xlsx</t>
  </si>
  <si>
    <t>BGCL</t>
  </si>
  <si>
    <t>BGCL BAU Gen Cap Lifetime.xlsx</t>
  </si>
  <si>
    <t>BGCL.csv</t>
  </si>
  <si>
    <t>BPMGBSA</t>
  </si>
  <si>
    <t>BAU Policy Mandated Grid Battery Storage Additions.xlsx</t>
  </si>
  <si>
    <t>BPMGBSA.csv</t>
  </si>
  <si>
    <t>BRPSDbS-CES-percentages.csv</t>
  </si>
  <si>
    <t>ELCCAfR</t>
  </si>
  <si>
    <t>ELCCAfR ELCC Adjustment for Reliability.xlsx</t>
  </si>
  <si>
    <t>ELCCAfR-biomass-CCS.csv</t>
  </si>
  <si>
    <t>ELCCAfR-biomass.csv</t>
  </si>
  <si>
    <t>ELCCAfR-combined-cycle-CCS.csv</t>
  </si>
  <si>
    <t>ELCCAfR-combined-cycle.csv</t>
  </si>
  <si>
    <t>ELCCAfR-crude-oil.csv</t>
  </si>
  <si>
    <t>ELCCAfR-demand-altering-techs.csv</t>
  </si>
  <si>
    <t>ELCCAfR-geothermal.csv</t>
  </si>
  <si>
    <t>ELCCAfR-hard-coal-CCS.csv</t>
  </si>
  <si>
    <t>ELCCAfR-hard-coal.csv</t>
  </si>
  <si>
    <t>ELCCAfR-heavy-or-residual-oil.csv</t>
  </si>
  <si>
    <t>ELCCAfR-hydro.csv</t>
  </si>
  <si>
    <t>ELCCAfR-hydrogen-CC.csv</t>
  </si>
  <si>
    <t>ELCCAfR-hydrogen-CT.csv</t>
  </si>
  <si>
    <t>ELCCAfR-lignite-CCS.csv</t>
  </si>
  <si>
    <t>ELCCAfR-lignite.csv</t>
  </si>
  <si>
    <t>ELCCAfR-MSW.csv</t>
  </si>
  <si>
    <t>ELCCAfR-natural-gas-peaker.csv</t>
  </si>
  <si>
    <t>ELCCAfR-nuclear.csv</t>
  </si>
  <si>
    <t>ELCCAfR-offshore-wind.csv</t>
  </si>
  <si>
    <t>ELCCAfR-onshore-wind.csv</t>
  </si>
  <si>
    <t>ELCCAfR-petroleum.csv</t>
  </si>
  <si>
    <t>ELCCAfR-SMR.csv</t>
  </si>
  <si>
    <t>ELCCAfR-solar-pv.csv</t>
  </si>
  <si>
    <t>ELCCAfR-solar-thermal.csv</t>
  </si>
  <si>
    <t>ELCCAfR-steam-turbine.csv</t>
  </si>
  <si>
    <t>HCFoTC</t>
  </si>
  <si>
    <t>Hard Cap Frac of Total Capacity.xlsx</t>
  </si>
  <si>
    <t>HCFoTC.csv</t>
  </si>
  <si>
    <t>PMGBSA</t>
  </si>
  <si>
    <t>PMGBSA.csv</t>
  </si>
  <si>
    <t>Policy Mandated Grid Battery Storage Additions.xlsx</t>
  </si>
  <si>
    <t>RQSD-CQSD.csv</t>
  </si>
  <si>
    <t>SCGF</t>
  </si>
  <si>
    <t>SCGF.csv</t>
  </si>
  <si>
    <t>Soft Cap Growth Fraction.xlsx</t>
  </si>
  <si>
    <t>SoEDtICoS</t>
  </si>
  <si>
    <t>Share of Electricity Demand that Is Cost of Service.xlsx</t>
  </si>
  <si>
    <t>SoEDtICoS.csv</t>
  </si>
  <si>
    <t>UFDfGBS</t>
  </si>
  <si>
    <t>UFDfGBS.csv</t>
  </si>
  <si>
    <t>Usage Factor Discount for Grid Battery Storage.xlsx</t>
  </si>
  <si>
    <t>IiFPfOaGL</t>
  </si>
  <si>
    <t>IiFPfOaGL.csv</t>
  </si>
  <si>
    <t>Increase in Fuel Production from Oil and Gas Leasing.xlsx</t>
  </si>
  <si>
    <t>BFoDACPA</t>
  </si>
  <si>
    <t>BAU Frac of Direct Air Capt Potl Achieved.xlsx</t>
  </si>
  <si>
    <t>BFoDACPA.csv</t>
  </si>
  <si>
    <t>BFoERWPA</t>
  </si>
  <si>
    <t>BAU Frac of Enh Rock Weather Potl Achieved.xlsx</t>
  </si>
  <si>
    <t>BFoERWPA.csv</t>
  </si>
  <si>
    <t>BHPSbP</t>
  </si>
  <si>
    <t>BAU Hydrogen Production Shr by Pathway.xlsx</t>
  </si>
  <si>
    <t>BHPSbP.csv</t>
  </si>
  <si>
    <t>BCoISC-FIRbI.csv</t>
  </si>
  <si>
    <t>~$BAU Process Emissions.xlsx</t>
  </si>
  <si>
    <t>Elasticity of Ind Eqpt Price wrt E Eff Improvements copy.xlsx</t>
  </si>
  <si>
    <t>IES-heat100to200-biomass.csv</t>
  </si>
  <si>
    <t>IES-heat100to200-coal.csv</t>
  </si>
  <si>
    <t>IES-heat100to200-crudeoil.csv</t>
  </si>
  <si>
    <t>IES-heat100to200-elec.csv</t>
  </si>
  <si>
    <t>IES-heat100to200-green-hydgn.csv</t>
  </si>
  <si>
    <t>IES-heat100to200-heat.csv</t>
  </si>
  <si>
    <t>IES-heat100to200-heavyresidoil.csv</t>
  </si>
  <si>
    <t>IES-heat100to200-hydrogen.csv</t>
  </si>
  <si>
    <t>IES-heat100to200-lc-hydgn.csv</t>
  </si>
  <si>
    <t>IES-heat100to200-lpgpropbut.csv</t>
  </si>
  <si>
    <t>IES-heat100to200-natgas.csv</t>
  </si>
  <si>
    <t>IES-heat100to200-petdiesel.csv</t>
  </si>
  <si>
    <t>IES-heat200to500-biomass.csv</t>
  </si>
  <si>
    <t>IES-heat200to500-coal.csv</t>
  </si>
  <si>
    <t>IES-heat200to500-crudeoil.csv</t>
  </si>
  <si>
    <t>IES-heat200to500-elec.csv</t>
  </si>
  <si>
    <t>IES-heat200to500-green-hydgn.csv</t>
  </si>
  <si>
    <t>IES-heat200to500-heat.csv</t>
  </si>
  <si>
    <t>IES-heat200to500-heavyresidoil.csv</t>
  </si>
  <si>
    <t>IES-heat200to500-hydrogen.csv</t>
  </si>
  <si>
    <t>IES-heat200to500-lc-hydgn.csv</t>
  </si>
  <si>
    <t>IES-heat200to500-lpgpropbut.csv</t>
  </si>
  <si>
    <t>IES-heat200to500-natgas.csv</t>
  </si>
  <si>
    <t>IES-heat200to500-petdiesel.csv</t>
  </si>
  <si>
    <t>IES-heat500to1000-biomass.csv</t>
  </si>
  <si>
    <t>IES-heat500to1000-coal.csv</t>
  </si>
  <si>
    <t>IES-heat500to1000-crudeoil.csv</t>
  </si>
  <si>
    <t>IES-heat500to1000-elec.csv</t>
  </si>
  <si>
    <t>IES-heat500to1000-green-hydgn.csv</t>
  </si>
  <si>
    <t>IES-heat500to1000-heat.csv</t>
  </si>
  <si>
    <t>IES-heat500to1000-heavyresidoil.csv</t>
  </si>
  <si>
    <t>IES-heat500to1000-hydrogen.csv</t>
  </si>
  <si>
    <t>IES-heat500to1000-lc-hydgn.csv</t>
  </si>
  <si>
    <t>IES-heat500to1000-lpgpropbut.csv</t>
  </si>
  <si>
    <t>IES-heat500to1000-natgas.csv</t>
  </si>
  <si>
    <t>IES-heat500to1000-petdiesel.csv</t>
  </si>
  <si>
    <t>IES-heatabove1000-biomass.csv</t>
  </si>
  <si>
    <t>IES-heatabove1000-coal.csv</t>
  </si>
  <si>
    <t>IES-heatabove1000-crudeoil.csv</t>
  </si>
  <si>
    <t>IES-heatabove1000-elec.csv</t>
  </si>
  <si>
    <t>IES-heatabove1000-green-hydgn.csv</t>
  </si>
  <si>
    <t>IES-heatabove1000-heat.csv</t>
  </si>
  <si>
    <t>IES-heatabove1000-heavyresidoil.csv</t>
  </si>
  <si>
    <t>IES-heatabove1000-hydrogen.csv</t>
  </si>
  <si>
    <t>IES-heatabove1000-lc-hydgn.csv</t>
  </si>
  <si>
    <t>IES-heatabove1000-lpgpropbut.csv</t>
  </si>
  <si>
    <t>IES-heatabove1000-natgas.csv</t>
  </si>
  <si>
    <t>IES-heatabove1000-petdiesel.csv</t>
  </si>
  <si>
    <t>IES-heatbelow100-biomass.csv</t>
  </si>
  <si>
    <t>IES-heatbelow100-coal.csv</t>
  </si>
  <si>
    <t>IES-heatbelow100-crudeoil.csv</t>
  </si>
  <si>
    <t>IES-heatbelow100-elec.csv</t>
  </si>
  <si>
    <t>IES-heatbelow100-green-hydgn.csv</t>
  </si>
  <si>
    <t>IES-heatbelow100-heat.csv</t>
  </si>
  <si>
    <t>IES-heatbelow100-heavyresidoil.csv</t>
  </si>
  <si>
    <t>IES-heatbelow100-hydrogen.csv</t>
  </si>
  <si>
    <t>IES-heatbelow100-lc-hydgn.csv</t>
  </si>
  <si>
    <t>IES-heatbelow100-lpgpropbut.csv</t>
  </si>
  <si>
    <t>IES-heatbelow100-natgas.csv</t>
  </si>
  <si>
    <t>IES-heatbelow100-petdiesel.csv</t>
  </si>
  <si>
    <t>PEaWHRP</t>
  </si>
  <si>
    <t>ExportPEaWHRP.py</t>
  </si>
  <si>
    <t>PEaWHRP-MCL-mult.csv</t>
  </si>
  <si>
    <t>PEaWHRP-MCL-share.csv</t>
  </si>
  <si>
    <t>PEaWHRP-MHRP.csv</t>
  </si>
  <si>
    <t>PEaWHRP-PM.csv</t>
  </si>
  <si>
    <t>PEaWHRP-PMD.csv</t>
  </si>
  <si>
    <t>PEaWHRP-SoCEMDSiaY.csv</t>
  </si>
  <si>
    <t>PEaWHRP-WM.csv</t>
  </si>
  <si>
    <t>PEaWHRP-WMD.csv</t>
  </si>
  <si>
    <t>PEaWHRP.xlsx</t>
  </si>
  <si>
    <t>Process Efficiency and Waste Heat Recovery Parameters.xlsx</t>
  </si>
  <si>
    <t>bucketer.py</t>
  </si>
  <si>
    <t>EU_summer.py</t>
  </si>
  <si>
    <t>macc_cleaner.py</t>
  </si>
  <si>
    <t>Perc of Other Nonproc Eqpt E Use That is Mobile Eqpt by Indst Cat.xlsx</t>
  </si>
  <si>
    <t>SoICETAF</t>
  </si>
  <si>
    <t>Share of Indst Cap Expenditures That Are Financed.xlsx</t>
  </si>
  <si>
    <t>SoICETAF.csv</t>
  </si>
  <si>
    <t>NBFYIbFP</t>
  </si>
  <si>
    <t>NBFYIbFP.csv</t>
  </si>
  <si>
    <t>Non BAU First Year Impacted by Future Policies.xlsx</t>
  </si>
  <si>
    <t>ANVCV</t>
  </si>
  <si>
    <t>Additional New Vehicles Calibration Variable.xlsx</t>
  </si>
  <si>
    <t>ANVCV-frgt.csv</t>
  </si>
  <si>
    <t>ANVCV-psgr.csv</t>
  </si>
  <si>
    <t>AVCC</t>
  </si>
  <si>
    <t>AVCC.csv</t>
  </si>
  <si>
    <t>Avg Vehicle Charger Capacity.xlsx</t>
  </si>
  <si>
    <t>AVIC-freight.csv</t>
  </si>
  <si>
    <t>AVIC-passenger.csv</t>
  </si>
  <si>
    <t>AVLRaPTC-frgt.csv</t>
  </si>
  <si>
    <t>AVLRaPTC-psgr.csv</t>
  </si>
  <si>
    <t>BCPSC</t>
  </si>
  <si>
    <t>BCPSC BAU Cons Pref Shadow Cost.xlsx</t>
  </si>
  <si>
    <t>BCPSC.csv</t>
  </si>
  <si>
    <t>BPM</t>
  </si>
  <si>
    <t>Battery Pack Markup.xlsx</t>
  </si>
  <si>
    <t>BPM.csv</t>
  </si>
  <si>
    <t>BPPM</t>
  </si>
  <si>
    <t>Battery Pack Price Multiplier.xlsx</t>
  </si>
  <si>
    <t>BPPM-frgt.csv</t>
  </si>
  <si>
    <t>BPPM-psgr.csv</t>
  </si>
  <si>
    <t>EVCIC</t>
  </si>
  <si>
    <t>EVCIC EV Charger Install Costs.xlsx</t>
  </si>
  <si>
    <t>EVCIC.csv</t>
  </si>
  <si>
    <t>NBMPoEFUbVT</t>
  </si>
  <si>
    <t>NBMPoEFUbVT-aircraft-frgt-batel.csv</t>
  </si>
  <si>
    <t>NBMPoEFUbVT-aircraft-frgt-dslve.csv</t>
  </si>
  <si>
    <t>NBMPoEFUbVT-aircraft-frgt-gasve.csv</t>
  </si>
  <si>
    <t>NBMPoEFUbVT-aircraft-frgt-hydgn.csv</t>
  </si>
  <si>
    <t>NBMPoEFUbVT-aircraft-frgt-natga.csv</t>
  </si>
  <si>
    <t>NBMPoEFUbVT-aircraft-psgr-batel.csv</t>
  </si>
  <si>
    <t>NBMPoEFUbVT-aircraft-psgr-dslve.csv</t>
  </si>
  <si>
    <t>NBMPoEFUbVT-aircraft-psgr-gasve.csv</t>
  </si>
  <si>
    <t>NBMPoEFUbVT-aircraft-psgr-hydgn.csv</t>
  </si>
  <si>
    <t>NBMPoEFUbVT-aircraft-psgr-natga.csv</t>
  </si>
  <si>
    <t>NBMPoEFUbVT-HDVs-frgt-batelc.csv</t>
  </si>
  <si>
    <t>NBMPoEFUbVT-HDVs-frgt-dslveh.csv</t>
  </si>
  <si>
    <t>NBMPoEFUbVT-HDVs-frgt-gasveh.csv</t>
  </si>
  <si>
    <t>NBMPoEFUbVT-HDVs-frgt-hydgn.csv</t>
  </si>
  <si>
    <t>NBMPoEFUbVT-HDVs-frgt-LPG.csv</t>
  </si>
  <si>
    <t>NBMPoEFUbVT-HDVs-frgt-natgas.csv</t>
  </si>
  <si>
    <t>NBMPoEFUbVT-HDVs-frgt-plghyb.csv</t>
  </si>
  <si>
    <t>NBMPoEFUbVT-HDVs-psgr-batelc.csv</t>
  </si>
  <si>
    <t>NBMPoEFUbVT-HDVs-psgr-dslveh.csv</t>
  </si>
  <si>
    <t>NBMPoEFUbVT-HDVs-psgr-gasveh.csv</t>
  </si>
  <si>
    <t>NBMPoEFUbVT-HDVs-psgr-hydgn.csv</t>
  </si>
  <si>
    <t>NBMPoEFUbVT-HDVs-psgr-LPG.csv</t>
  </si>
  <si>
    <t>NBMPoEFUbVT-HDVs-psgr-natgas.csv</t>
  </si>
  <si>
    <t>NBMPoEFUbVT-HDVs-psgr-plghyb.csv</t>
  </si>
  <si>
    <t>NBMPoEFUbVT-LDVs-frgt-batelc.csv</t>
  </si>
  <si>
    <t>NBMPoEFUbVT-LDVs-frgt-dslveh.csv</t>
  </si>
  <si>
    <t>NBMPoEFUbVT-LDVs-frgt-gasveh.csv</t>
  </si>
  <si>
    <t>NBMPoEFUbVT-LDVs-frgt-hydgn.csv</t>
  </si>
  <si>
    <t>NBMPoEFUbVT-LDVs-frgt-LPG.csv</t>
  </si>
  <si>
    <t>NBMPoEFUbVT-LDVs-frgt-natgas.csv</t>
  </si>
  <si>
    <t>NBMPoEFUbVT-LDVs-frgt-plghyb.csv</t>
  </si>
  <si>
    <t>NBMPoEFUbVT-LDVs-psgr-batelc.csv</t>
  </si>
  <si>
    <t>NBMPoEFUbVT-LDVs-psgr-dslveh.csv</t>
  </si>
  <si>
    <t>NBMPoEFUbVT-LDVs-psgr-gasveh.csv</t>
  </si>
  <si>
    <t>NBMPoEFUbVT-LDVs-psgr-hydgn.csv</t>
  </si>
  <si>
    <t>NBMPoEFUbVT-LDVs-psgr-LPG.csv</t>
  </si>
  <si>
    <t>NBMPoEFUbVT-LDVs-psgr-natgas.csv</t>
  </si>
  <si>
    <t>NBMPoEFUbVT-LDVs-psgr-plghyb.csv</t>
  </si>
  <si>
    <t>NBMPoEFUbVT-mtrbks-frgt-batelc.csv</t>
  </si>
  <si>
    <t>NBMPoEFUbVT-mtrbks-frgt-dslveh.csv</t>
  </si>
  <si>
    <t>NBMPoEFUbVT-mtrbks-frgt-gasveh.csv</t>
  </si>
  <si>
    <t>NBMPoEFUbVT-mtrbks-frgt-hydgn.csv</t>
  </si>
  <si>
    <t>NBMPoEFUbVT-mtrbks-frgt-LPG.csv</t>
  </si>
  <si>
    <t>NBMPoEFUbVT-mtrbks-frgt-natgas.csv</t>
  </si>
  <si>
    <t>NBMPoEFUbVT-mtrbks-frgt-plghyb.csv</t>
  </si>
  <si>
    <t>NBMPoEFUbVT-mtrbks-psgr-batelc.csv</t>
  </si>
  <si>
    <t>NBMPoEFUbVT-mtrbks-psgr-dslveh.csv</t>
  </si>
  <si>
    <t>NBMPoEFUbVT-mtrbks-psgr-gasveh.csv</t>
  </si>
  <si>
    <t>NBMPoEFUbVT-mtrbks-psgr-hydgn.csv</t>
  </si>
  <si>
    <t>NBMPoEFUbVT-mtrbks-psgr-LPG.csv</t>
  </si>
  <si>
    <t>NBMPoEFUbVT-mtrbks-psgr-natgas.csv</t>
  </si>
  <si>
    <t>NBMPoEFUbVT-mtrbks-psgr-plghyb.csv</t>
  </si>
  <si>
    <t>NBMPoEFUbVT-rail-frgt-batelc.csv</t>
  </si>
  <si>
    <t>NBMPoEFUbVT-rail-frgt-dslveh.csv</t>
  </si>
  <si>
    <t>NBMPoEFUbVT-rail-frgt-gasveh.csv</t>
  </si>
  <si>
    <t>NBMPoEFUbVT-rail-frgt-hydgn.csv</t>
  </si>
  <si>
    <t>NBMPoEFUbVT-rail-frgt-natgas.csv</t>
  </si>
  <si>
    <t>NBMPoEFUbVT-rail-psgr-batelc.csv</t>
  </si>
  <si>
    <t>NBMPoEFUbVT-rail-psgr-dslveh.csv</t>
  </si>
  <si>
    <t>NBMPoEFUbVT-rail-psgr-gasveh.csv</t>
  </si>
  <si>
    <t>NBMPoEFUbVT-rail-psgr-hydgn.csv</t>
  </si>
  <si>
    <t>NBMPoEFUbVT-rail-psgr-natgas.csv</t>
  </si>
  <si>
    <t>NBMPoEFUbVT-ships-frgt-batelc.csv</t>
  </si>
  <si>
    <t>NBMPoEFUbVT-ships-frgt-dslveh.csv</t>
  </si>
  <si>
    <t>NBMPoEFUbVT-ships-frgt-gasveh.csv</t>
  </si>
  <si>
    <t>NBMPoEFUbVT-ships-frgt-hydgn.csv</t>
  </si>
  <si>
    <t>NBMPoEFUbVT-ships-frgt-natgas.csv</t>
  </si>
  <si>
    <t>NBMPoEFUbVT-ships-psgr-batelc.csv</t>
  </si>
  <si>
    <t>NBMPoEFUbVT-ships-psgr-dslveh.csv</t>
  </si>
  <si>
    <t>NBMPoEFUbVT-ships-psgr-gasveh.csv</t>
  </si>
  <si>
    <t>NBMPoEFUbVT-ships-psgr-hydgn.csv</t>
  </si>
  <si>
    <t>NBMPoEFUbVT-ships-psgr-natgas.csv</t>
  </si>
  <si>
    <t>Non BAU Max Perc of Each Fuel Usable by Veh Tech.xlsx</t>
  </si>
  <si>
    <t>RoPCCtPCC</t>
  </si>
  <si>
    <t>RoPCCtPCC Ratio Pub Chrg Cost to Pvt Chrg Cost.xlsx</t>
  </si>
  <si>
    <t>RoPCCtPCC.csv</t>
  </si>
  <si>
    <t>SoVCaPC</t>
  </si>
  <si>
    <t>SoVCaPC Share of Veh Charging at Pvt Chargers.xlsx</t>
  </si>
  <si>
    <t>SoVCaPC-freight.csv</t>
  </si>
  <si>
    <t>SoVCaPC-passenger-LDV.csv</t>
  </si>
  <si>
    <t>SoVCaPC-passenger.csv</t>
  </si>
  <si>
    <t>calibration_export_vars.lst</t>
  </si>
  <si>
    <t>run_calibration_pipeline.py</t>
  </si>
  <si>
    <t>calibration</t>
  </si>
  <si>
    <t>calibration_parameters.csv</t>
  </si>
  <si>
    <t>calibration_parameters.xlsx</t>
  </si>
  <si>
    <t>calibration_parameters_shareweights.csv</t>
  </si>
  <si>
    <t>format.csv</t>
  </si>
  <si>
    <t>shareweights_formatted.csv</t>
  </si>
  <si>
    <t>transport_calibration.py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</si>
</sst>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 O'Brien" refreshedDate="46230.685718287037" createdVersion="6" refreshedVersion="8" minRefreshableVersion="3" recordCount="176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98">
        <m/>
        <s v="BDbDT"/>
        <s v="FoCaAPMbDT"/>
        <s v="FoIPMbDT"/>
        <s v="HOIpTP"/>
        <s v="HOV"/>
        <s v="NoH"/>
        <s v="QSfHO"/>
        <s v="SCoC"/>
        <s v="VoaSL"/>
        <s v="BASoBC"/>
        <s v="BCEU"/>
        <s v="BDCL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RPfFBSCC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aS"/>
        <s v="CECRCbI"/>
        <s v="CRDT"/>
        <s v="NBICS"/>
        <s v="SoCECRCSiaY"/>
        <s v="SoCTaSCbRIC"/>
        <s v="STfCCE"/>
        <s v="DR"/>
        <s v="QSfCF"/>
        <s v="QSfP"/>
        <s v="BAEPAbCiPC"/>
        <s v="BDCTBA"/>
        <s v="BDMFL"/>
        <s v="BEEEfEPS"/>
        <s v="BEPEfCT"/>
        <s v="BESHFoFRV"/>
        <s v="BIEfEE"/>
        <s v="BIEfIE"/>
        <s v="BRCToEP"/>
        <s v="BUCLfCR"/>
        <s v="BUCMfNCR"/>
        <s v="BUTYGV"/>
        <s v="DCLGA"/>
        <s v="EGGRA"/>
        <s v="EoSEUwGDPiR"/>
        <s v="FYIbFP"/>
        <s v="GRA"/>
        <s v="ICwIwLF"/>
        <s v="MRV"/>
        <s v="MV"/>
        <s v="YoFESHtFRV"/>
        <s v="BFoHfC"/>
        <s v="BFoHPbF"/>
        <s v="CECpUES"/>
        <s v="EoCtUH"/>
        <s v="HDL"/>
        <s v="RHFF"/>
        <s v="BBNPPTY"/>
        <s v="BBPPRTY"/>
        <s v="BCoESC"/>
        <s v="BCpUC"/>
        <s v="BCRbQ"/>
        <s v="BDTPTUMCF"/>
        <s v="BEVGB"/>
        <s v="BGCL"/>
        <s v="BGDPbES"/>
        <s v="BHRaSYC"/>
        <s v="BPHC"/>
        <s v="BPMCCS"/>
        <s v="BPMCRS"/>
        <s v="BPMGBSA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IaE"/>
        <s v="ELCCAfR"/>
        <s v="ESTRTE"/>
        <s v="ESUfRaLCD"/>
        <s v="FoGBPD"/>
        <s v="GBCGpUNR"/>
        <s v="GBSC"/>
        <s v="GDPbES"/>
        <s v="GHESLE"/>
        <s v="GHESS"/>
        <s v="HCFoTC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MGBSA"/>
        <s v="RACP"/>
        <s v="RAF"/>
        <s v="RM"/>
        <s v="RPfFESCC"/>
        <s v="RQSD"/>
        <s v="SCGF"/>
        <s v="SES"/>
        <s v="SHELF"/>
        <s v="SoCtMbCtbDP"/>
        <s v="SoEDtICoS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UFDfGBS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PTbCP"/>
        <s v="BS"/>
        <s v="ETRbF"/>
        <s v="FoICbCTBA"/>
        <s v="FoICStCT"/>
        <s v="FoPTaFbIC"/>
        <s v="FoVTStCT"/>
        <s v="FPIEBP"/>
        <s v="FSPbPPT"/>
        <s v="GbPbT"/>
        <s v="IiFPfOaGL"/>
        <s v="IMFPbFT"/>
        <s v="MPIiFE"/>
        <s v="MPIiFI"/>
        <s v="MPIiFP"/>
        <s v="PEI"/>
        <s v="PEIIR"/>
        <s v="PoFDCtAE"/>
        <s v="PTbCP"/>
        <s v="QSfE"/>
        <s v="BFoDACPA"/>
        <s v="BFoERWPA"/>
        <s v="DACD"/>
        <s v="ERWD"/>
        <s v="BCoHSC"/>
        <s v="BHPSbP"/>
        <s v="BSfHPbP"/>
        <s v="EHPpUC"/>
        <s v="FIoHP"/>
        <s v="FoHERbA"/>
        <s v="HPEC"/>
        <s v="HPLC"/>
        <s v="HPPECbP"/>
        <s v="HPS"/>
        <s v="HPSD"/>
        <s v="PHERP"/>
        <s v="RPfFHSCC"/>
        <s v="SoHDTiGaLCbS"/>
        <s v="SoHPCCbRIC"/>
        <s v="SYAHPC"/>
        <s v="WCoHPbP"/>
        <s v="BCHPD"/>
        <s v="BCHSR"/>
        <s v="BCoISC"/>
        <s v="BDGPfPEP"/>
        <s v="BIEEI"/>
        <s v="BIEURfPEI"/>
        <s v="BIFU"/>
        <s v="BIISRP"/>
        <s v="BPE"/>
        <s v="BPFUbIP"/>
        <s v="BSoAIGtAP"/>
        <s v="EoDfIP"/>
        <s v="EoIEECwEC"/>
        <s v="EoIEPwEEI"/>
        <s v="FLRbI"/>
        <s v="IECCpUAEU"/>
        <s v="IELC"/>
        <s v="IEMUEF"/>
        <s v="IES"/>
        <s v="IESD"/>
        <s v="IESE"/>
        <s v="IFSR"/>
        <s v="IFSRF"/>
        <s v="IFStE"/>
        <s v="IFTQfEERP"/>
        <s v="IFTQfS"/>
        <s v="MHV"/>
        <s v="NIEAFSM"/>
        <s v="PEAAC"/>
        <s v="PEaWHRP"/>
        <s v="PERAC"/>
        <s v="PIFURfE"/>
        <s v="PoONEUTiMEbIC"/>
        <s v="RoNEPtAPPpULA"/>
        <s v="RPfFISCC"/>
        <s v="SoCaOMSbRIC"/>
        <s v="SoCiIEPTtB"/>
        <s v="SoFCTiBoSFbI"/>
        <s v="SoICETAF"/>
        <s v="SoPEASbRIC"/>
        <s v="SYIEUEFbIPaF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NBFYIbFP"/>
        <s v="V"/>
        <s v="AIiBCbVT"/>
        <s v="ANVCV"/>
        <s v="AVCC"/>
        <s v="AVIC"/>
        <s v="AVL"/>
        <s v="AVLo"/>
        <s v="AVLRaPTC"/>
        <s v="AVMC"/>
        <s v="AVOP"/>
        <s v="AVPC"/>
        <s v="BAADTbVT"/>
        <s v="BCDTRtSY"/>
        <s v="BCPSC"/>
        <s v="BHNVFEAL"/>
        <s v="BLP"/>
        <s v="BNoEVC"/>
        <s v="BNoGP"/>
        <s v="BNVFE"/>
        <s v="BPM"/>
        <s v="BPoEFUbVT"/>
        <s v="BPP"/>
        <s v="BPPM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IC"/>
        <s v="EVCRSbRIC"/>
        <s v="FoSfBPPTtC"/>
        <s v="FoVBPD"/>
        <s v="FoVObE"/>
        <s v="FpUCD"/>
        <s v="GCApLC"/>
        <s v="ICtPSFfL"/>
        <s v="LCPC"/>
        <s v="MPoEFUbVT"/>
        <s v="NBMPoEFUbVT"/>
        <s v="NBPoNVP"/>
        <s v="PTFURfE"/>
        <s v="PVTStL"/>
        <s v="QSfV"/>
        <s v="RoPCCtPCC"/>
        <s v="RPEF"/>
        <s v="RTMF"/>
        <s v="RZSPbS"/>
        <s v="SoCDTtiNTY"/>
        <s v="SoVCaPC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BNoH" u="1"/>
        <s v="BENCEfCT" u="1"/>
        <s v="EA" u="1"/>
        <s v="APPL" u="1"/>
        <s v="CiPPOAPSE" u="1"/>
        <s v="EDWP" u="1"/>
        <s v="WHRCC" u="1"/>
        <s v="WHRPbI" u="1"/>
        <s v="PoOPEUTiMEbIC" u="1"/>
        <s v="NBICP" u="1"/>
        <s v="HESD" u="1"/>
        <s v="HPEbP" u="1"/>
        <s v="HPPQ" u="1"/>
        <s v="HPtFM" u="1"/>
        <s v="SoHPAtOMbA" u="1"/>
        <s v="IFStFS" u="1"/>
        <s v="FoHObDT" u="1"/>
        <s v="CCSTaSC" u="1"/>
        <s v="RHPF" u="1"/>
        <s v="BIFUbC" u="1"/>
        <s v="BPoIFUfE" u="1"/>
        <s v="CtIEPpUESoS" u="1"/>
        <s v="PPRiFUfERoIF" u="1"/>
        <s v="PPRiFUfICaWHR" u="1"/>
        <s v="PPRiFUfIIaIoE" u="1"/>
        <s v="EBFE" u="1"/>
        <s v="SoEIaEbH" u="1"/>
        <s v="DATAiRC" u="1"/>
        <s v="BDEQ" u="1"/>
        <s v="ARpUIiRC" u="1"/>
        <s v="BDPbES" u="1"/>
        <s v="BDSBaPCF" u="1"/>
        <s v="BECF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2364">
        <m/>
        <s v="BAU Deaths by Demographic Trait.xlsx"/>
        <s v="BDbDT-infant.csv"/>
        <s v="BDbDT-other.csv"/>
        <s v="FoCaAPMbDT-NOx-asian.csv"/>
        <s v="FoCaAPMbDT-NOx-black.csv"/>
        <s v="FoCaAPMbDT-NOx-female.csv"/>
        <s v="FoCaAPMbDT-NOx-hispanic.csv"/>
        <s v="FoCaAPMbDT-NOx-male.csv"/>
        <s v="FoCaAPMbDT-NOx-nonhispanic.csv"/>
        <s v="FoCaAPMbDT-NOx-otherrace.csv"/>
        <s v="FoCaAPMbDT-NOx-white.csv"/>
        <s v="FoCaAPMbDT-PM25-asian.csv"/>
        <s v="FoCaAPMbDT-PM25-black.csv"/>
        <s v="FoCaAPMbDT-PM25-female.csv"/>
        <s v="FoCaAPMbDT-PM25-hispanic.csv"/>
        <s v="FoCaAPMbDT-PM25-male.csv"/>
        <s v="FoCaAPMbDT-PM25-nonhispanic.csv"/>
        <s v="FoCaAPMbDT-PM25-otherrace.csv"/>
        <s v="FoCaAPMbDT-PM25-white.csv"/>
        <s v="FoCaAPMbDT-SOx-asian.csv"/>
        <s v="FoCaAPMbDT-SOx-black.csv"/>
        <s v="FoCaAPMbDT-SOx-female.csv"/>
        <s v="FoCaAPMbDT-SOx-hispanic.csv"/>
        <s v="FoCaAPMbDT-SOx-male.csv"/>
        <s v="FoCaAPMbDT-SOx-nonhispanic.csv"/>
        <s v="FoCaAPMbDT-SOx-otherrace.csv"/>
        <s v="FoCaAPMbDT-SOx-white.csv"/>
        <s v="Frac of Child and Adult Prem Mort by Demo Trait.xlsx"/>
        <s v="FoIPMbDT-NOx-asian.csv"/>
        <s v="FoIPMbDT-NOx-black.csv"/>
        <s v="FoIPMbDT-NOx-female.csv"/>
        <s v="FoIPMbDT-NOx-hispanic.csv"/>
        <s v="FoIPMbDT-NOx-male.csv"/>
        <s v="FoIPMbDT-NOx-nonhispanic.csv"/>
        <s v="FoIPMbDT-NOx-otherrace.csv"/>
        <s v="FoIPMbDT-NOx-white.csv"/>
        <s v="FoIPMbDT-PM25-asian.csv"/>
        <s v="FoIPMbDT-PM25-black.csv"/>
        <s v="FoIPMbDT-PM25-female.csv"/>
        <s v="FoIPMbDT-PM25-hispanic.csv"/>
        <s v="FoIPMbDT-PM25-male.csv"/>
        <s v="FoIPMbDT-PM25-nonhispanic.csv"/>
        <s v="FoIPMbDT-PM25-otherrace.csv"/>
        <s v="FoIPMbDT-PM25-white.csv"/>
        <s v="FoIPMbDT-SOx-asian.csv"/>
        <s v="FoIPMbDT-SOx-black.csv"/>
        <s v="FoIPMbDT-SOx-female.csv"/>
        <s v="FoIPMbDT-SOx-hispanic.csv"/>
        <s v="FoIPMbDT-SOx-male.csv"/>
        <s v="FoIPMbDT-SOx-nonhispanic.csv"/>
        <s v="FoIPMbDT-SOx-otherrace.csv"/>
        <s v="FoIPMbDT-SOx-white.csv"/>
        <s v="Frac of Infant Prem Mort by Demo Trait.xlsx"/>
        <s v="Generator.py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Health Outcome Valuation.xlsx"/>
        <s v="HOV.csv"/>
        <s v="NoH.csv"/>
        <s v="Number of Households.xlsx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ata Center Load.xlsx"/>
        <s v="BDCL-high.csv"/>
        <s v="BDCL-low.csv"/>
        <s v="BDCL-mid.csv"/>
        <s v="BAU Distribued Electricity Source Capacities.xlsx"/>
        <s v="BDESC-commercial.csv"/>
        <s v="BDESC-rural-residential.csv"/>
        <s v="BDESC-urban-residential.csv"/>
        <s v="~$BAU Distribued Electricity Source Capacities.xlsx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hange in Distributed Electricity Source Capacities This Year.xlsx"/>
        <s v="CiDESCTY-commercial.csv"/>
        <s v="CiDESCTY-rural-residential.csv"/>
        <s v="CiDESCTY-urban-residential.csv"/>
        <s v="~$Change in Distribued Electricity Source Capacities This Year.xlsx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~$Elast of Component Price wrt E Use.xlsx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RPfFBSCC.csv"/>
        <s v="RPfFESCC Repayment Period for Financed Buildings Sector Capital Costs.xlsx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CS-electricity.csv"/>
        <s v="BCS-industry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CS Transportation and Storage Costs and Subsidies.xlsx"/>
        <s v="CCSTaSCaS-costs.csv"/>
        <s v="CCSTaSCaS-subsidies.csv"/>
        <s v="CECRCbI-energy.csv"/>
        <s v="CECRCbI-process.csv"/>
        <s v="Cost Effective CCS Retrofit Capacity by Industry.xlsx"/>
        <s v="CCS Retrofit Detployment Time.xlsx"/>
        <s v="CRDT.csv"/>
        <s v="NBICS.csv"/>
        <s v="Non BAU Industry CCS Subsidy.xlsx"/>
        <s v="Share of Cost Effective CCS Retrofit Construction Started in a Year.xlsx"/>
        <s v="SoCECRCSiaY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EEfEPS.csv"/>
        <s v="Boolean Exclude Elec Exports from Elec Portfolio Stds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UCLfCR Bool Use Cap Life for Retirments.xlsx"/>
        <s v="BUCLfCR.csv"/>
        <s v="Boolean Use Capacity Market for New Capacity Revenue.xlsx"/>
        <s v="BUCMfNCR.csv"/>
        <s v="Boolean Use Twenty Year GWP Values.xlsx"/>
        <s v="BUTYGV.csv"/>
        <s v="Data Center Load Growth Assumption.xlsx"/>
        <s v="DCLGA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irst Year Impacted by Future Policies.xlsx"/>
        <s v="FYIbFP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hydgnprodsubs.csv"/>
        <s v="GRA-indstcleanheat.csv"/>
        <s v="GRA-indsteffmeasures.csv"/>
        <s v="GRA-indstprocemiss.csv"/>
        <s v="GRA-ntnldebtinterest.csv"/>
        <s v="GRA-remainder.csv"/>
        <s v="ICwIwLF.csv"/>
        <s v="Indst Cat w Indst wide Load Factor.xlsx"/>
        <s v="Model Run Vintages.xlsx"/>
        <s v="MRV.csv"/>
        <s v="FMV.csv"/>
        <s v="Modeled Vintages.xlsx"/>
        <s v="MV-current.csv"/>
        <s v="MV-historical.csv"/>
        <s v="MV-preceding.csv"/>
        <s v="MV-run.csv"/>
        <s v="MV.csv"/>
        <s v="Years of Foresight Electricity Suppliers Have to Future RPS Values.xlsx"/>
        <s v="YoFESHtFRV.csv"/>
        <s v="BAU Fraction of Heat from CHP.xlsx"/>
        <s v="BFoHfC.csv"/>
        <s v="BAU Frac of Heat Provided by Fuel.xlsx"/>
        <s v="BFoHPbF.csv"/>
        <s v="CECpUES.csv"/>
        <s v="CHP Eqpt Cost per Unit Energy Shifted.xlsx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~$BAU Ban New Power Plants This Year.xlsx"/>
        <s v="BAU Ban Power Plant Retrofits This Year.xlsx"/>
        <s v="BBPPRTY.csv"/>
        <s v="BAU Cost of Electricity Sector Capital.xlsx"/>
        <s v="BCoESC-dist-solar.csv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GCL BAU Gen Cap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olicy Mandated Grid Battery Storage Additions.xlsx"/>
        <s v="BPMGBSA.csv"/>
        <s v="BAU Pwr Plnt Elec Own Use Perc.xlsx"/>
        <s v="BPPEOUP.csv"/>
        <s v="BAU Subsidy per Unit Grid Battery Capacity Deployed.xlsx"/>
        <s v="BPSpUGBCD.csv"/>
        <s v="BAU RPS Data by Subregion.xlsx"/>
        <s v="BRPSDbS-CES-percentages.csv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CCAfR ELCC Adjustment for Reliability.xlsx"/>
        <s v="ELCCAfR-biomass-CCS.csv"/>
        <s v="ELCCAfR-biomass.csv"/>
        <s v="ELCCAfR-combined-cycle-CCS.csv"/>
        <s v="ELCCAfR-combined-cycle.csv"/>
        <s v="ELCCAfR-crude-oil.csv"/>
        <s v="ELCCAfR-demand-altering-techs.csv"/>
        <s v="ELCCAfR-geothermal.csv"/>
        <s v="ELCCAfR-hard-coal-CCS.csv"/>
        <s v="ELCCAfR-hard-coal.csv"/>
        <s v="ELCCAfR-heavy-or-residual-oil.csv"/>
        <s v="ELCCAfR-hydro.csv"/>
        <s v="ELCCAfR-hydrogen-CC.csv"/>
        <s v="ELCCAfR-hydrogen-CT.csv"/>
        <s v="ELCCAfR-lignite-CCS.csv"/>
        <s v="ELCCAfR-lignite.csv"/>
        <s v="ELCCAfR-MSW.csv"/>
        <s v="ELCCAfR-natural-gas-peaker.csv"/>
        <s v="ELCCAfR-nuclear.csv"/>
        <s v="ELCCAfR-offshore-wind.csv"/>
        <s v="ELCCAfR-onshore-wind.csv"/>
        <s v="ELCCAfR-petroleum.csv"/>
        <s v="ELCCAfR-SMR.csv"/>
        <s v="ELCCAfR-solar-pv.csv"/>
        <s v="ELCCAfR-solar-thermal.csv"/>
        <s v="ELCCAfR-steam-turbine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ard Cap Frac of Total Capacity.xlsx"/>
        <s v="HCFoTC.csv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d Dev of Dispatch Costs.xlsx"/>
        <s v="NSDoDC.csv"/>
        <s v="PMCCS.csv"/>
        <s v="Pol Mandated Cap Const Sched.xlsx"/>
        <s v="PMCRS.csv"/>
        <s v="Pol Mandated Cap Retro Sched.xlsx"/>
        <s v="PMGBSA.csv"/>
        <s v="Policy Mandated Grid Battery Storage Additions.xlsx"/>
        <s v="RACP-BRACP.csv"/>
        <s v="RACP-RACP.csv"/>
        <s v="RPS Alternative Compliance Payment.xlsx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CQSD.csv"/>
        <s v="RQSD-RQSD.csv"/>
        <s v="SCGF.csv"/>
        <s v="Soft Cap Growth Fraction.xlsx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tacenters.csv"/>
        <s v="SHELF-days-per-timeslice.csv"/>
        <s v="SHELF-district-heat-hydrogen.csv"/>
        <s v="SHELF-geoeng.csv"/>
        <s v="SHELF-HDVs.csv"/>
        <s v="SHELF-indstcat-fall.csv"/>
        <s v="SHELF-indstcat-spring.csv"/>
        <s v="SHELF-indstcat-summer.csv"/>
        <s v="SHELF-indstcat-summerpeak.csv"/>
        <s v="SHELF-indstcat-winter.csv"/>
        <s v="SHELF-indstcat-winterpeak.csv"/>
        <s v="SHELF-indstCCS.csv"/>
        <s v="SHELF-indstproc-fall.csv"/>
        <s v="SHELF-indstproc-spring.csv"/>
        <s v="SHELF-indstproc-summer.csv"/>
        <s v="SHELF-indstproc-summerpeak.csv"/>
        <s v="SHELF-indstproc-winter.csv"/>
        <s v="SHELF-indstproc-winterpeak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~$Seasonal Hourly Equipment Load Factors by End Use.xlsx"/>
        <s v="Shr of Costs that Must be Covered to be Deemed Profitable.xlsx"/>
        <s v="SoCtMbCtbDP.csv"/>
        <s v="Share of Electricity Demand that Is Cost of Service.xlsx"/>
        <s v="SoEDtICo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UFDfGBS.csv"/>
        <s v="Usage Factor Discount for Grid Battery Storage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FPaT-SYPFP.csv"/>
        <s v="BAU Fuel Production Imports and Exports.xlsx"/>
        <s v="BFPIaE-exports.csv"/>
        <s v="BFPIaE-imports.csv"/>
        <s v="BFPIaE-production.csv"/>
        <s v="BFPIaE-SYFE.csv"/>
        <s v="BFPIaE-SYFP.csv"/>
        <s v="BAU Pollutants Taxed by Carbon Pricing.xlsx"/>
        <s v="BPTbCP-buildings.csv"/>
        <s v="BPTbCP-districtheat.csv"/>
        <s v="BPTbCP-electricity.csv"/>
        <s v="BPTbCP-hydrogen.csv"/>
        <s v="BPTbCP-industry.csv"/>
        <s v="BPTbCP-transporta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BSpUEOfEP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iFPfOaGL.csv"/>
        <s v="Increase in Fuel Production from Oil and Gas Leasing.xlsx"/>
        <s v="IMFPbFT-SYIMFPIE.csv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Pollutants Taxed by Carbon Pricing.xlsx"/>
        <s v="PTbCP-buildings.csv"/>
        <s v="PTbCP-districtheat.csv"/>
        <s v="PTbCP-electricity.csv"/>
        <s v="PTbCP-hydrogen.csv"/>
        <s v="PTbCP-industry.csv"/>
        <s v="PTbCP-transportation.csv"/>
        <s v="QSfE.csv"/>
        <s v="Quantization Size for Energy.xlsx"/>
        <s v="BAU Frac of Direct Air Capt Potl Achieved.xlsx"/>
        <s v="BFoDACPA.csv"/>
        <s v="BAU Frac of Enh Rock Weather Potl Achieved.xlsx"/>
        <s v="BFoERWPA.csv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Cost of Hydrogen Sector Capital.xlsx"/>
        <s v="BCoHSC.csv"/>
        <s v="BAU Hydrogen Production Shr by Pathway.xlsx"/>
        <s v="BHPSbP.csv"/>
        <s v="BAU Subsidy for Hydgn Prod by Pathway.xlsx"/>
        <s v="BSfHPbP.csv"/>
        <s v="EHPpUC.csv"/>
        <s v="Electrolyzer Hydrogen Production per Unit Capacity.xlsx"/>
        <s v="FIoHP-biomass-gasification.csv"/>
        <s v="FIoHP-coal-gasification.csv"/>
        <s v="FIoHP-electrolysis.csv"/>
        <s v="FIoHP-green-electrolysis.csv"/>
        <s v="FIoHP-hydrocarbon-POx.csv"/>
        <s v="FIoHP-ng-reforming-CCS.csv"/>
        <s v="FIoHP-ng-reforming.csv"/>
        <s v="Fuel Intensity of Hydrogen Production.xlsx"/>
        <s v="FoHERbA.csv"/>
        <s v="Frac of Hydgn Eqpt Retiring by Age.xlsx"/>
        <s v="HPEC.csv"/>
        <s v="HPEO.csv"/>
        <s v="Hydrogen Production Eqpt Costs.xlsx"/>
        <s v="HPLC.csv"/>
        <s v="Hydrogen Production Logit Coefficient.xlsx"/>
        <s v="HPPECbP.csv"/>
        <s v="Hydgn Prod Perc Excess Cap by Pathway.xlsx"/>
        <s v="HPS.csv"/>
        <s v="Hydrogen Production Shareweights.xlsx"/>
        <s v="HPSD.csv"/>
        <s v="Hydgn Prod Subsidy Duration.xlsx"/>
        <s v="PHERP.csv"/>
        <s v="Preexisting Hydgn Eqpt Retirement Profiles.xlsx"/>
        <s v="RPfFHSCC Repayment Period for Financed Hydgn Sector Capital Costs.xlsx"/>
        <s v="RPfFHSCC.csv"/>
        <s v="Share of Hydgn Demand That is Green and Low Carbon by Sector.xlsx"/>
        <s v="SoHDTiGaLCbS-green.csv"/>
        <s v="SoHDTiGaLCbS-lowcarbon.csv"/>
        <s v="Share of Hydrogen Production Capital Costs by Recipient ISIC Code.xlsx"/>
        <s v="SoHPCCbRIC.csv"/>
        <s v="Start Year Annual Hydrogen Production Capacity.xlsx"/>
        <s v="SYAHPC.csv"/>
        <s v="Water Consumption of Hydgn Prod by Pathway.xlsx"/>
        <s v="WCoHPbP.csv"/>
        <s v="BAU Clean Heat PTC Duration.xlsx"/>
        <s v="BCHPD.csv"/>
        <s v="BAU Clean Heat Subsidy Rate.xlsx"/>
        <s v="BCHSR-investment.csv"/>
        <s v="BCHSR-production.csv"/>
        <s v="BAU Cost of Industry Sector Capital.xlsx"/>
        <s v="BCoISC-FIRbI.csv"/>
        <s v="BCoISC-RPfE.csv"/>
        <s v="BCoISC-WACCbI.csv"/>
        <s v="BDGPfPEP.csv"/>
        <s v="Bool Does Govt Pay for Process Emissions Policies.xlsx"/>
        <s v="BAU Industrial Equipment Efficiency Improvement.xlsx"/>
        <s v="BIEEI-elec.csv"/>
        <s v="BIEEI-other.csv"/>
        <s v="BAU Industrial Energy Use Reduction from Process Efficiency Improvements.xlsx"/>
        <s v="BIEURfPEI-biomass.csv"/>
        <s v="BIEURfPEI-coal.csv"/>
        <s v="BIEURfPEI-crude-oil.csv"/>
        <s v="BIEURfPEI-electricity.csv"/>
        <s v="BIEURfPEI-green-hydrogen.csv"/>
        <s v="BIEURfPEI-heat.csv"/>
        <s v="BIEURfPEI-heavy-or-residual-oil.csv"/>
        <s v="BIEURfPEI-hydrogen.csv"/>
        <s v="BIEURfPEI-lowcarbon-hydrogen.csv"/>
        <s v="BIEURfPEI-LPG-propane-or-butane.csv"/>
        <s v="BIEURfPEI-natural-gas.csv"/>
        <s v="BIEURfPEI-petroleum-diesel.csv"/>
        <s v="BAU Industrial Fuel Use.xlsx"/>
        <s v="BIFU-SYIFU.csv"/>
        <s v="BIFUaF-biomass.csv"/>
        <s v="BIFUaF-coal.csv"/>
        <s v="BIFUaF-crude-oil.csv"/>
        <s v="BIFUaF-electricity.csv"/>
        <s v="BIFUaF-green-hydrogen.csv"/>
        <s v="BIFUaF-heat.csv"/>
        <s v="BIFUaF-heavy-or-residual-oil.csv"/>
        <s v="BIFUaF-hydrogen.csv"/>
        <s v="BIFUaF-lowcarbon-hydrogen.csv"/>
        <s v="BIFUaF-LPG-propane-or-butane.csv"/>
        <s v="BIFUaF-natural-gas.csv"/>
        <s v="BIFUaF-petroleum-diesel.csv"/>
        <s v="BIFUfE-biomass.csv"/>
        <s v="BIFUfE-coal.csv"/>
        <s v="BIFUfE-crude-oil.csv"/>
        <s v="BIFUfE-electricity.csv"/>
        <s v="BIFUfE-green-hydrogen.csv"/>
        <s v="BIFUfE-heat.csv"/>
        <s v="BIFUfE-heavy-or-residual-oil.csv"/>
        <s v="BIFUfE-hydrogen.csv"/>
        <s v="BIFUfE-lowcarbon-hydrogen.csv"/>
        <s v="BIFUfE-LPG-propane-or-butane.csv"/>
        <s v="BIFUfE-natural-gas.csv"/>
        <s v="BIFUfE-petroleum-diesel.csv"/>
        <s v="BAU Individual Industrial Site Retirement Profiles.xlsx"/>
        <s v="BIISRP-boolean.csv"/>
        <s v="BIISRP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biomass.csv"/>
        <s v="BPFUbIP-crude-oil.csv"/>
        <s v="BPFUbIP-electricity.csv"/>
        <s v="BPFUbIP-fallback.csv"/>
        <s v="BPFUbIP-green-hydrogen.csv"/>
        <s v="BPFUbIP-hard-coal.csv"/>
        <s v="BPFUbIP-heat.csv"/>
        <s v="BPFUbIP-hvy-resid-fuel-oil.csv"/>
        <s v="BPFUbIP-hydrogen.csv"/>
        <s v="BPFUbIP-lowcarbon-hydrogen.csv"/>
        <s v="BPFUbIP-LPG.csv"/>
        <s v="BPFUbIP-natural-gas.csv"/>
        <s v="BPFUbIP-petroleum-diesel.csv"/>
        <s v="MECS_aggregator.py"/>
        <s v="Table5_2.xlsx"/>
        <s v="Table5_2_long.csv"/>
        <s v="BAU Shr of Ag Indst Going to Anml Prdcts.xlsx"/>
        <s v="BSoAIGtAP.csv"/>
        <s v="Elasticities of Demand for Industrial Products.xlsx"/>
        <s v="EoDfIP.csv"/>
        <s v="Elasticity of Ind Eqpt E Cons wrt E Cost.xlsx"/>
        <s v="EoIEECwEC.csv"/>
        <s v="Elasticity of Ind Eqpt Price wrt E Eff Improvements copy.xlsx"/>
        <s v="Elasticity of Ind Eqpt Price wrt E Eff Improvements.xlsx"/>
        <s v="EoIEPwEEI.csv"/>
        <s v="FLRbI.csv"/>
        <s v="Foreign Leakage Rate by Industry.xlsx"/>
        <s v="IECCpUAEU-mobile.csv"/>
        <s v="IECCpUAEU.csv"/>
        <s v="Indst Eqpt Cap Cost per Unit Ann E Use.xlsx"/>
        <s v="~$Indst Eqpt Cap Cost per Unit Ann E Use.xlsx"/>
        <s v="IELC.csv"/>
        <s v="Industrial Eqpt Logit Coefficient.xlsx"/>
        <s v="IEMUEF.csv"/>
        <s v="Indst Eqpt Min Unit E Factor.xlsx"/>
        <s v="~$Indst Eqpt Min Unit E Factor.xlsx"/>
        <s v="IES-cooling-biomass.csv"/>
        <s v="IES-cooling-coal.csv"/>
        <s v="IES-cooling-crudeoil.csv"/>
        <s v="IES-cooling-elec.csv"/>
        <s v="IES-cooling-green-hydgn.csv"/>
        <s v="IES-cooling-heat.csv"/>
        <s v="IES-cooling-heavyresidoil.csv"/>
        <s v="IES-cooling-hydrogen.csv"/>
        <s v="IES-cooling-lc-hydgn.csv"/>
        <s v="IES-cooling-lpgpropbut.csv"/>
        <s v="IES-cooling-natgas.csv"/>
        <s v="IES-cooling-petdiesel.csv"/>
        <s v="IES-heat100to200-biomass.csv"/>
        <s v="IES-heat100to200-coal.csv"/>
        <s v="IES-heat100to200-crudeoil.csv"/>
        <s v="IES-heat100to200-elec.csv"/>
        <s v="IES-heat100to200-green-hydgn.csv"/>
        <s v="IES-heat100to200-heat.csv"/>
        <s v="IES-heat100to200-heavyresidoil.csv"/>
        <s v="IES-heat100to200-hydrogen.csv"/>
        <s v="IES-heat100to200-lc-hydgn.csv"/>
        <s v="IES-heat100to200-lpgpropbut.csv"/>
        <s v="IES-heat100to200-natgas.csv"/>
        <s v="IES-heat100to200-petdiesel.csv"/>
        <s v="IES-heat200to500-biomass.csv"/>
        <s v="IES-heat200to500-coal.csv"/>
        <s v="IES-heat200to500-crudeoil.csv"/>
        <s v="IES-heat200to500-elec.csv"/>
        <s v="IES-heat200to500-green-hydgn.csv"/>
        <s v="IES-heat200to500-heat.csv"/>
        <s v="IES-heat200to500-heavyresidoil.csv"/>
        <s v="IES-heat200to500-hydrogen.csv"/>
        <s v="IES-heat200to500-lc-hydgn.csv"/>
        <s v="IES-heat200to500-lpgpropbut.csv"/>
        <s v="IES-heat200to500-natgas.csv"/>
        <s v="IES-heat200to500-petdiesel.csv"/>
        <s v="IES-heat500to1000-biomass.csv"/>
        <s v="IES-heat500to1000-coal.csv"/>
        <s v="IES-heat500to1000-crudeoil.csv"/>
        <s v="IES-heat500to1000-elec.csv"/>
        <s v="IES-heat500to1000-green-hydgn.csv"/>
        <s v="IES-heat500to1000-heat.csv"/>
        <s v="IES-heat500to1000-heavyresidoil.csv"/>
        <s v="IES-heat500to1000-hydrogen.csv"/>
        <s v="IES-heat500to1000-lc-hydgn.csv"/>
        <s v="IES-heat500to1000-lpgpropbut.csv"/>
        <s v="IES-heat500to1000-natgas.csv"/>
        <s v="IES-heat500to1000-petdiesel.csv"/>
        <s v="IES-heatabove1000-biomass.csv"/>
        <s v="IES-heatabove1000-coal.csv"/>
        <s v="IES-heatabove1000-crudeoil.csv"/>
        <s v="IES-heatabove1000-elec.csv"/>
        <s v="IES-heatabove1000-green-hydgn.csv"/>
        <s v="IES-heatabove1000-heat.csv"/>
        <s v="IES-heatabove1000-heavyresidoil.csv"/>
        <s v="IES-heatabove1000-hydrogen.csv"/>
        <s v="IES-heatabove1000-lc-hydgn.csv"/>
        <s v="IES-heatabove1000-lpgpropbut.csv"/>
        <s v="IES-heatabove1000-natgas.csv"/>
        <s v="IES-heatabove1000-petdiesel.csv"/>
        <s v="IES-heatbelow100-biomass.csv"/>
        <s v="IES-heatbelow100-coal.csv"/>
        <s v="IES-heatbelow100-crudeoil.csv"/>
        <s v="IES-heatbelow100-elec.csv"/>
        <s v="IES-heatbelow100-green-hydgn.csv"/>
        <s v="IES-heatbelow100-heat.csv"/>
        <s v="IES-heatbelow100-heavyresidoil.csv"/>
        <s v="IES-heatbelow100-hydrogen.csv"/>
        <s v="IES-heatbelow100-lc-hydgn.csv"/>
        <s v="IES-heatbelow100-lpgpropbut.csv"/>
        <s v="IES-heatbelow100-natgas.csv"/>
        <s v="IES-heatbelow100-petdiesel.csv"/>
        <s v="IES-HVAC-biomass.csv"/>
        <s v="IES-HVAC-coal.csv"/>
        <s v="IES-HVAC-crudeoil.csv"/>
        <s v="IES-HVAC-elec.csv"/>
        <s v="IES-HVAC-green-hydgn.csv"/>
        <s v="IES-HVAC-heat.csv"/>
        <s v="IES-HVAC-heavyresidoil.csv"/>
        <s v="IES-HVAC-hydrogen.csv"/>
        <s v="IES-HVAC-lc-hydgn.csv"/>
        <s v="IES-HVAC-lpgpropbut.csv"/>
        <s v="IES-HVAC-natgas.csv"/>
        <s v="IES-HVAC-petdiesel.csv"/>
        <s v="IES-lighting-biomass.csv"/>
        <s v="IES-lighting-coal.csv"/>
        <s v="IES-lighting-crudeoil.csv"/>
        <s v="IES-lighting-elec.csv"/>
        <s v="IES-lighting-green-hydgn.csv"/>
        <s v="IES-lighting-heat.csv"/>
        <s v="IES-lighting-heavyresidoil.csv"/>
        <s v="IES-lighting-hydrogen.csv"/>
        <s v="IES-lighting-lc-hydgn.csv"/>
        <s v="IES-lighting-lpgpropbut.csv"/>
        <s v="IES-lighting-natgas.csv"/>
        <s v="IES-lighting-petdiesel.csv"/>
        <s v="IES-machinedrive-biomass.csv"/>
        <s v="IES-machinedrive-coal.csv"/>
        <s v="IES-machinedrive-crudeoil.csv"/>
        <s v="IES-machinedrive-elec.csv"/>
        <s v="IES-machinedrive-green-hydgn.csv"/>
        <s v="IES-machinedrive-heat.csv"/>
        <s v="IES-machinedrive-heavyresidoil.csv"/>
        <s v="IES-machinedrive-hydrogen.csv"/>
        <s v="IES-machinedrive-lc-hydgn.csv"/>
        <s v="IES-machinedrive-lpgpropbut.csv"/>
        <s v="IES-machinedrive-natgas.csv"/>
        <s v="IES-machinedrive-petdiesel.csv"/>
        <s v="IES-nonprocess-biomass.csv"/>
        <s v="IES-nonprocess-coal.csv"/>
        <s v="IES-nonprocess-crudeoil.csv"/>
        <s v="IES-nonprocess-elec.csv"/>
        <s v="IES-nonprocess-green-hydgn.csv"/>
        <s v="IES-nonprocess-heat.csv"/>
        <s v="IES-nonprocess-heavyresidoil.csv"/>
        <s v="IES-nonprocess-hydrogen.csv"/>
        <s v="IES-nonprocess-lc-hydgn.csv"/>
        <s v="IES-nonprocess-lpgpropbut.csv"/>
        <s v="IES-nonprocess-natgas.csv"/>
        <s v="IES-nonprocess-petdiesel.csv"/>
        <s v="IES-other-biomass.csv"/>
        <s v="IES-other-coal.csv"/>
        <s v="IES-other-crudeoil.csv"/>
        <s v="IES-other-elec.csv"/>
        <s v="IES-other-green-hydgn.csv"/>
        <s v="IES-other-heat.csv"/>
        <s v="IES-other-heavyresidoil.csv"/>
        <s v="IES-other-hydrogen.csv"/>
        <s v="IES-other-lc-hydgn.csv"/>
        <s v="IES-other-lpgpropbut.csv"/>
        <s v="IES-other-natgas.csv"/>
        <s v="IES-other-petdiesel.csv"/>
        <s v="Industrial Equipment Shareweights.xlsm"/>
        <s v="Industrial Equipment Shareweights.xlsx"/>
        <s v="IESD-AAaWER.csv"/>
        <s v="IESD-FoIERbA.csv"/>
        <s v="IESD-FoPERNbA.csv"/>
        <s v="Industrial Equipment Survival Data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E.csv"/>
        <s v="Indst Fuels Subject to Electrification.xlsx"/>
        <s v="IFTQfEERP.csv"/>
        <s v="Indst Fuel Types Qual for Early Eqpt Retirement Policy.xlsx"/>
        <s v="IFTQfS-investment.csv"/>
        <s v="IFTQfS-loans.csv"/>
        <s v="IFTQfS-production.csv"/>
        <s v="Indst Fuels Qualifying for Support.xlsx"/>
        <s v="Methane Heating Value.xlsx"/>
        <s v="MHV.csv"/>
        <s v="New Indst Eqpt Alt Fuel Shifting Matrix.xlsx"/>
        <s v="NIEAFSM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ExportPEaWHRP.py"/>
        <s v="PEaWHRP-MCL-mult.csv"/>
        <s v="PEaWHRP-MCL-share.csv"/>
        <s v="PEaWHRP-MHRP.csv"/>
        <s v="PEaWHRP-PM.csv"/>
        <s v="PEaWHRP-PMD.csv"/>
        <s v="PEaWHRP-SoCEMDSiaY.csv"/>
        <s v="PEaWHRP-WM.csv"/>
        <s v="PEaWHRP-WMD.csv"/>
        <s v="PEaWHRP.xlsx"/>
        <s v="Process Efficiency and Waste Heat Recovery Parameters.xlsx"/>
        <s v="bucketer.py"/>
        <s v="EU_summer.py"/>
        <s v="macc_cleaner.py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erc of Other Nonproc Eqpt E Use That is Mobile Eqpt by Indst Cat.xlsx"/>
        <s v="PoONEUTiMEbIC.csv"/>
        <s v="Ratio of Nutr Eqiv Plant to Anim Products Prd per Unit Land Area.xlsx"/>
        <s v="RoNEPtAPPpULA.csv"/>
        <s v="RPfFISCC Repayment Period for Financed Indst Sector Capital Costs.xlsx"/>
        <s v="RPfFISCC.csv"/>
        <s v="Share of Capital and OM Spending by ISIC Code.xlsx"/>
        <s v="SoCaOMSbRIC.csv"/>
        <s v="Shr of Cng in Indst Expenses Passed Thr to Buyers.xlsx"/>
        <s v="SoCiIEPTtB.csv"/>
        <s v="Share of Fuel Cons that is Byproduct or Secondary Fuel by Indst.xlsx"/>
        <s v="SoFCTiBoSFbI.csv"/>
        <s v="Share of Indst Cap Expenditures That Are Financed.xlsx"/>
        <s v="SoICETAF.csv"/>
        <s v="Share of Process Emis Abatement Spending by ISIC Code.xlsx"/>
        <s v="SoPEASbRIC.csv"/>
        <s v="Start Year Indst Eqpt Unit E Factor by Indst Proc and Fuel.xlsx"/>
        <s v="SYIEUEFbIPaF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~$BAU Employment by ISIC Code.xlsx"/>
        <s v="BAU Employee Compensation by ISIC Code.xlsx"/>
        <s v="BECbIC.csv"/>
        <s v="BAU GDP.xlsx"/>
        <s v="BGDP.csv"/>
        <s v="BAU Output by ISIC Code.xlsx"/>
        <s v="BObIC.csv"/>
        <s v="SYObIC.csv"/>
        <s v="~$BAU Output by ISIC Code.xlsx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ix_block.py"/>
        <s v="fix_block.txt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FractionOfPolicyImplementedThisYearnew.py"/>
        <s v="Supporting Calculations for Policy Schedules.xlsx"/>
        <s v="Final Time.xlsx"/>
        <s v="FT.csv"/>
        <s v="FFY.csv"/>
        <s v="FY Future Years.xlsx"/>
        <s v="FY.csv"/>
        <s v="Initial Time.xlsx"/>
        <s v="IT.csv"/>
        <s v="NBFYIbFP.csv"/>
        <s v="Non BAU First Year Impacted by Future Policies.xlsx"/>
        <s v="CV.csv"/>
        <s v="FV.csv"/>
        <s v="HV.csv"/>
        <s v="PV.csv"/>
        <s v="V.csv"/>
        <s v="Vintage.xlsx"/>
        <s v="AIiBCbVT-freight-bev.csv"/>
        <s v="AIiBCbVT-freight-phev.csv"/>
        <s v="AIiBCbVT-passenger-bev.csv"/>
        <s v="AIiBCbVT-passenger-phev.csv"/>
        <s v="Ann Impvmt in Bat Cap by Veh Type.xlsx"/>
        <s v="Additional New Vehicles Calibration Variable.xlsx"/>
        <s v="ANVCV-frgt.csv"/>
        <s v="ANVCV-psgr.csv"/>
        <s v="AVCC.csv"/>
        <s v="Avg Vehicle Charger Capacity.xlsx"/>
        <s v="Annual Vehicle Insurance Cost.xlsx"/>
        <s v="AVIC-freight.csv"/>
        <s v="AVIC-passenger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-frgt.csv"/>
        <s v="AVLRaPTC-psgr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CPSC BAU Cons Pref Shadow Cost.xlsx"/>
        <s v="BCPSC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ttery Pack Markup.xlsx"/>
        <s v="BPM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ttery Pack Price Multiplier.xlsx"/>
        <s v="BPPM-frgt.csv"/>
        <s v="BPPM-psgr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CIC EV Charger Install Costs.xlsx"/>
        <s v="EVCI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MPoEFUbVT-aircraft-frgt-batel.csv"/>
        <s v="NBMPoEFUbVT-aircraft-frgt-dslve.csv"/>
        <s v="NBMPoEFUbVT-aircraft-frgt-gasve.csv"/>
        <s v="NBMPoEFUbVT-aircraft-frgt-hydgn.csv"/>
        <s v="NBMPoEFUbVT-aircraft-frgt-natga.csv"/>
        <s v="NBMPoEFUbVT-aircraft-psgr-batel.csv"/>
        <s v="NBMPoEFUbVT-aircraft-psgr-dslve.csv"/>
        <s v="NBMPoEFUbVT-aircraft-psgr-gasve.csv"/>
        <s v="NBMPoEFUbVT-aircraft-psgr-hydgn.csv"/>
        <s v="NBMPoEFUbVT-aircraft-psgr-natga.csv"/>
        <s v="NBMPoEFUbVT-HDVs-frgt-batelc.csv"/>
        <s v="NBMPoEFUbVT-HDVs-frgt-dslveh.csv"/>
        <s v="NBMPoEFUbVT-HDVs-frgt-gasveh.csv"/>
        <s v="NBMPoEFUbVT-HDVs-frgt-hydgn.csv"/>
        <s v="NBMPoEFUbVT-HDVs-frgt-LPG.csv"/>
        <s v="NBMPoEFUbVT-HDVs-frgt-natgas.csv"/>
        <s v="NBMPoEFUbVT-HDVs-frgt-plghyb.csv"/>
        <s v="NBMPoEFUbVT-HDVs-psgr-batelc.csv"/>
        <s v="NBMPoEFUbVT-HDVs-psgr-dslveh.csv"/>
        <s v="NBMPoEFUbVT-HDVs-psgr-gasveh.csv"/>
        <s v="NBMPoEFUbVT-HDVs-psgr-hydgn.csv"/>
        <s v="NBMPoEFUbVT-HDVs-psgr-LPG.csv"/>
        <s v="NBMPoEFUbVT-HDVs-psgr-natgas.csv"/>
        <s v="NBMPoEFUbVT-HDVs-psgr-plghyb.csv"/>
        <s v="NBMPoEFUbVT-LDVs-frgt-batelc.csv"/>
        <s v="NBMPoEFUbVT-LDVs-frgt-dslveh.csv"/>
        <s v="NBMPoEFUbVT-LDVs-frgt-gasveh.csv"/>
        <s v="NBMPoEFUbVT-LDVs-frgt-hydgn.csv"/>
        <s v="NBMPoEFUbVT-LDVs-frgt-LPG.csv"/>
        <s v="NBMPoEFUbVT-LDVs-frgt-natgas.csv"/>
        <s v="NBMPoEFUbVT-LDVs-frgt-plghyb.csv"/>
        <s v="NBMPoEFUbVT-LDVs-psgr-batelc.csv"/>
        <s v="NBMPoEFUbVT-LDVs-psgr-dslveh.csv"/>
        <s v="NBMPoEFUbVT-LDVs-psgr-gasveh.csv"/>
        <s v="NBMPoEFUbVT-LDVs-psgr-hydgn.csv"/>
        <s v="NBMPoEFUbVT-LDVs-psgr-LPG.csv"/>
        <s v="NBMPoEFUbVT-LDVs-psgr-natgas.csv"/>
        <s v="NBMPoEFUbVT-LDVs-psgr-plghyb.csv"/>
        <s v="NBMPoEFUbVT-mtrbks-frgt-batelc.csv"/>
        <s v="NBMPoEFUbVT-mtrbks-frgt-dslveh.csv"/>
        <s v="NBMPoEFUbVT-mtrbks-frgt-gasveh.csv"/>
        <s v="NBMPoEFUbVT-mtrbks-frgt-hydgn.csv"/>
        <s v="NBMPoEFUbVT-mtrbks-frgt-LPG.csv"/>
        <s v="NBMPoEFUbVT-mtrbks-frgt-natgas.csv"/>
        <s v="NBMPoEFUbVT-mtrbks-frgt-plghyb.csv"/>
        <s v="NBMPoEFUbVT-mtrbks-psgr-batelc.csv"/>
        <s v="NBMPoEFUbVT-mtrbks-psgr-dslveh.csv"/>
        <s v="NBMPoEFUbVT-mtrbks-psgr-gasveh.csv"/>
        <s v="NBMPoEFUbVT-mtrbks-psgr-hydgn.csv"/>
        <s v="NBMPoEFUbVT-mtrbks-psgr-LPG.csv"/>
        <s v="NBMPoEFUbVT-mtrbks-psgr-natgas.csv"/>
        <s v="NBMPoEFUbVT-mtrbks-psgr-plghyb.csv"/>
        <s v="NBMPoEFUbVT-rail-frgt-batelc.csv"/>
        <s v="NBMPoEFUbVT-rail-frgt-dslveh.csv"/>
        <s v="NBMPoEFUbVT-rail-frgt-gasveh.csv"/>
        <s v="NBMPoEFUbVT-rail-frgt-hydgn.csv"/>
        <s v="NBMPoEFUbVT-rail-frgt-natgas.csv"/>
        <s v="NBMPoEFUbVT-rail-psgr-batelc.csv"/>
        <s v="NBMPoEFUbVT-rail-psgr-dslveh.csv"/>
        <s v="NBMPoEFUbVT-rail-psgr-gasveh.csv"/>
        <s v="NBMPoEFUbVT-rail-psgr-hydgn.csv"/>
        <s v="NBMPoEFUbVT-rail-psgr-natgas.csv"/>
        <s v="NBMPoEFUbVT-ships-frgt-batelc.csv"/>
        <s v="NBMPoEFUbVT-ships-frgt-dslveh.csv"/>
        <s v="NBMPoEFUbVT-ships-frgt-gasveh.csv"/>
        <s v="NBMPoEFUbVT-ships-frgt-hydgn.csv"/>
        <s v="NBMPoEFUbVT-ships-frgt-natgas.csv"/>
        <s v="NBMPoEFUbVT-ships-psgr-batelc.csv"/>
        <s v="NBMPoEFUbVT-ships-psgr-dslveh.csv"/>
        <s v="NBMPoEFUbVT-ships-psgr-gasveh.csv"/>
        <s v="NBMPoEFUbVT-ships-psgr-hydgn.csv"/>
        <s v="NBMPoEFUbVT-ships-psgr-natgas.csv"/>
        <s v="Non BAU Max Perc of Each Fuel Usable by Veh Tech.xlsx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oPCCtPCC Ratio Pub Chrg Cost to Pvt Chrg Cost.xlsx"/>
        <s v="RoPCCtPCC.csv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oVCaPC Share of Veh Charging at Pvt Chargers.xlsx"/>
        <s v="SoVCaPC-freight.csv"/>
        <s v="SoVCaPC-passenger-LDV.csv"/>
        <s v="SoVCaPC-passenge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calibration_export_vars.lst"/>
        <s v="run_calibration_pipeline.py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calibration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medium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Number of Households.xlsx" u="1"/>
        <s v="BNoH.csv" u="1"/>
        <s v="BENCEfCT.csv" u="1"/>
        <s v="Boolean Exempt Non CO2 Emissions from Carbon Tax.xlsx" u="1"/>
        <s v="EA.csv" u="1"/>
        <s v="Equipment Age.xlsx" u="1"/>
        <s v="GRA-vehbatsubsidy.csv" u="1"/>
        <s v="APPL.csv" u="1"/>
        <s v="Average Power Plant Lifetime.xlsx" u="1"/>
        <s v="Change in Power Plant Output After Production Subsidy Expires.xlsx" u="1"/>
        <s v="CiPPOAPSE.csv" u="1"/>
        <s v="EDWP-ParameterA.csv" u="1"/>
        <s v="EDWP-ParameterB.csv" u="1"/>
        <s v="Electricity Dispatch Weibull Parameters.xlsx" u="1"/>
        <s v="RAF-capacity.csv" u="1"/>
        <s v="RQSD-BRQSD.csv" u="1"/>
        <s v="LHPEC.csv" u="1"/>
        <s v="LHPEO.csv" u="1"/>
        <s v="IES-boilers-biomass.csv" u="1"/>
        <s v="IES-boilers-coal.csv" u="1"/>
        <s v="IES-boilers-crudeoil.csv" u="1"/>
        <s v="IES-boilers-elec.csv" u="1"/>
        <s v="IES-boilers-green-hydgn.csv" u="1"/>
        <s v="IES-boilers-heat.csv" u="1"/>
        <s v="IES-boilers-heavyresidoil.csv" u="1"/>
        <s v="IES-boilers-hydrogen.csv" u="1"/>
        <s v="IES-boilers-lc-hydgn.csv" u="1"/>
        <s v="IES-boilers-lpgpropbut.csv" u="1"/>
        <s v="IES-boilers-natgas.csv" u="1"/>
        <s v="IES-boilers-petdiesel.csv" u="1"/>
        <s v="IES-nonboilerhigh-biomass.csv" u="1"/>
        <s v="IES-nonboilerhigh-coal.csv" u="1"/>
        <s v="IES-nonboilerhigh-crudeoil.csv" u="1"/>
        <s v="IES-nonboilerhigh-elec.csv" u="1"/>
        <s v="IES-nonboilerhigh-green-hydgn.csv" u="1"/>
        <s v="IES-nonboilerhigh-heat.csv" u="1"/>
        <s v="IES-nonboilerhigh-heavyresidoil.csv" u="1"/>
        <s v="IES-nonboilerhigh-hydrogen.csv" u="1"/>
        <s v="IES-nonboilerhigh-lc-hydgn.csv" u="1"/>
        <s v="IES-nonboilerhigh-lpgpropbut.csv" u="1"/>
        <s v="IES-nonboilerhigh-natgas.csv" u="1"/>
        <s v="IES-nonboilerhigh-petdiesel.csv" u="1"/>
        <s v="IES-nonboilerlow-biomass.csv" u="1"/>
        <s v="IES-nonboilerlow-coal.csv" u="1"/>
        <s v="IES-nonboilerlow-crudeoil.csv" u="1"/>
        <s v="IES-nonboilerlow-elec.csv" u="1"/>
        <s v="IES-nonboilerlow-green-hydgn.csv" u="1"/>
        <s v="IES-nonboilerlow-heat.csv" u="1"/>
        <s v="IES-nonboilerlow-heavyresidoil.csv" u="1"/>
        <s v="IES-nonboilerlow-hydrogen.csv" u="1"/>
        <s v="IES-nonboilerlow-lc-hydgn.csv" u="1"/>
        <s v="IES-nonboilerlow-lpgpropbut.csv" u="1"/>
        <s v="IES-nonboilerlow-natgas.csv" u="1"/>
        <s v="IES-nonboilerlow-petdiesel.csv" u="1"/>
        <s v="IES-nonboilermed-biomass.csv" u="1"/>
        <s v="IES-nonboilermed-coal.csv" u="1"/>
        <s v="IES-nonboilermed-crudeoil.csv" u="1"/>
        <s v="IES-nonboilermed-elec.csv" u="1"/>
        <s v="IES-nonboilermed-green-hydgn.csv" u="1"/>
        <s v="IES-nonboilermed-heat.csv" u="1"/>
        <s v="IES-nonboilermed-heavyresidoil.csv" u="1"/>
        <s v="IES-nonboilermed-hydrogen.csv" u="1"/>
        <s v="IES-nonboilermed-lc-hydgn.csv" u="1"/>
        <s v="IES-nonboilermed-lpgpropbut.csv" u="1"/>
        <s v="IES-nonboilermed-natgas.csv" u="1"/>
        <s v="IES-nonboilermed-petdiesel.csv" u="1"/>
        <s v="Perc of Other Proc Eqpt E Use That is Mobile Eqpt by Indst Cat.xlsx" u="1"/>
        <s v="~$BAU Perc Fuel Use by Industrial Process.xlsx" u="1"/>
        <s v="Waste Heat Recovery Capital Costs.xlsx" u="1"/>
        <s v="WHRCC.csv" u="1"/>
        <s v="Waste Heat Recovery Potl by Indst.xlsx" u="1"/>
        <s v="WHRPbI.csv" u="1"/>
        <s v="AVIC.csv" u="1"/>
        <s v="AVLRaPTC.csv" u="1"/>
        <s v="SHELF-industry.csv" u="1"/>
        <s v="PoOPEUTiMEbIC.csv" u="1"/>
        <s v="~$Industrial Equipment Shareweights.xlsm" u="1"/>
        <s v="CPPbI.csv" u="1"/>
        <s v="NBICP-CS.csv" u="1"/>
        <s v="NBICP-FoCPAbI-energyEmis.csv" u="1"/>
        <s v="NBICP-FoCPAbI-processEmis.csv" u="1"/>
        <s v="Non BAU Industry CCS Parameters.xlsx" u="1"/>
        <s v="HESD-FoHERbA.csv" u="1"/>
        <s v="HESD-SYSoHEbV.csv" u="1"/>
        <s v="Hydrogen Equipment Survival Data.xlsx" u="1"/>
        <s v="HPEbP.csv" u="1"/>
        <s v="Hydgn Production Eff by Pathway.xlsx" u="1"/>
        <s v="HPPQ-green.csv" u="1"/>
        <s v="HPPQ-lowcarbon.csv" u="1"/>
        <s v="Hydrogen Production Pathway Qualifications.xlsx" u="1"/>
        <s v="HPtFM.csv" u="1"/>
        <s v="Hydrogen Pathway to Fuel Mappings.xlsx" u="1"/>
        <s v="Share of Hydrogen Prodcution Available to Open Market by Age.xlsx" u="1"/>
        <s v="SoHPAtOMbA.csv" u="1"/>
        <s v="SYAHPC-green.csv" u="1"/>
        <s v="SYAHPC-lowcarbon.csv" u="1"/>
        <s v="SYAHPC-unspecified.csv" u="1"/>
        <s v="BCHSR.csv" u="1"/>
        <s v="Industrial Equipment Minimum Unit Energy Factor.xlsx" u="1"/>
        <s v="IES-electrochem-biomass.csv" u="1"/>
        <s v="IES-electrochem-coal.csv" u="1"/>
        <s v="IES-electrochem-crudeoil.csv" u="1"/>
        <s v="IES-electrochem-elec.csv" u="1"/>
        <s v="IES-electrochem-green-hydgn.csv" u="1"/>
        <s v="IES-electrochem-heat.csv" u="1"/>
        <s v="IES-electrochem-heavyresidoil.csv" u="1"/>
        <s v="IES-electrochem-hydrogen.csv" u="1"/>
        <s v="IES-electrochem-lc-hydgn.csv" u="1"/>
        <s v="IES-electrochem-lpgpropbut.csv" u="1"/>
        <s v="IES-electrochem-natgas.csv" u="1"/>
        <s v="IES-electrochem-petdiesel.csv" u="1"/>
        <s v="~$Industrial Equipment Shareweights.xlsx" u="1"/>
        <s v="IESD-SYSoIEbV.csv" u="1"/>
        <s v="IFStFS.csv" u="1"/>
        <s v="Indst Fuels Subject to Fuel Shifting.xlsx" u="1"/>
        <s v="~$Domestic Leontief Inverse Matrix.xlsx" u="1"/>
        <s v="BDbDT.csv" u="1"/>
        <s v="FoHObDT-NOx-asian.csv" u="1"/>
        <s v="FoHObDT-NOx-black.csv" u="1"/>
        <s v="FoHObDT-NOx-female.csv" u="1"/>
        <s v="FoHObDT-NOx-hispanic.csv" u="1"/>
        <s v="FoHObDT-NOx-male.csv" u="1"/>
        <s v="FoHObDT-NOx-nonhispanic.csv" u="1"/>
        <s v="FoHObDT-NOx-otherrace.csv" u="1"/>
        <s v="FoHObDT-NOx-white.csv" u="1"/>
        <s v="FoHObDT-PM25-asian.csv" u="1"/>
        <s v="FoHObDT-PM25-black.csv" u="1"/>
        <s v="FoHObDT-PM25-female.csv" u="1"/>
        <s v="FoHObDT-PM25-hispanic.csv" u="1"/>
        <s v="FoHObDT-PM25-male.csv" u="1"/>
        <s v="FoHObDT-PM25-nonhispanic.csv" u="1"/>
        <s v="FoHObDT-PM25-otherrace.csv" u="1"/>
        <s v="FoHObDT-PM25-white.csv" u="1"/>
        <s v="FoHObDT-SOx-asian.csv" u="1"/>
        <s v="FoHObDT-SOx-black.csv" u="1"/>
        <s v="FoHObDT-SOx-female.csv" u="1"/>
        <s v="FoHObDT-SOx-hispanic.csv" u="1"/>
        <s v="FoHObDT-SOx-male.csv" u="1"/>
        <s v="FoHObDT-SOx-nonhispanic.csv" u="1"/>
        <s v="FoHObDT-SOx-otherrace.csv" u="1"/>
        <s v="FoHObDT-SOx-white.csv" u="1"/>
        <s v="Frac of Health Outcomes by Demographic Trait.xlsx" u="1"/>
        <s v="CCS Transportation and Storage Cost.xlsx" u="1"/>
        <s v="CCSTaSC.csv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Recipient Hydrogen Pathway Fractions.xlsx" u="1"/>
        <s v="RHPF.csv" u="1"/>
        <s v="BAU Industrial Fuel Use before CCS.xlsx" u="1"/>
        <s v="BIFUbC-biomass.csv" u="1"/>
        <s v="BIFUbC-coal.csv" u="1"/>
        <s v="BIFUbC-crude-oil.csv" u="1"/>
        <s v="BIFUbC-electricity.csv" u="1"/>
        <s v="BIFUbC-heat.csv" u="1"/>
        <s v="BIFUbC-heavy-or-residual-oil.csv" u="1"/>
        <s v="BIFUbC-hydrogen.csv" u="1"/>
        <s v="BIFUbC-LPG-propane-or-butane.csv" u="1"/>
        <s v="BIFUbC-natural-gas.csv" u="1"/>
        <s v="BIFUbC-petroleum-diesel.csv" u="1"/>
        <s v="~$BAU Industrial Fuel Use before CCS.xlsx" u="1"/>
        <s v="BPFUbIP-thermal-fuels.csv" u="1"/>
        <s v="BAU Proportion of Industrial Fuel Used for Energy.xlsx" u="1"/>
        <s v="BPoIFUfE-biomass.csv" u="1"/>
        <s v="BPoIFUfE-coal.csv" u="1"/>
        <s v="BPoIFUfE-crude-oil.csv" u="1"/>
        <s v="BPoIFUfE-electricity.csv" u="1"/>
        <s v="BPoIFUfE-heat.csv" u="1"/>
        <s v="BPoIFUfE-heavy-or-residual-oil.csv" u="1"/>
        <s v="BPoIFUfE-hydrogen.csv" u="1"/>
        <s v="BPoIFUfE-LPG-propane-or-butane.csv" u="1"/>
        <s v="BPoIFUfE-natural-gas.csv" u="1"/>
        <s v="BPoIFUfE-petroleum-diesel.csv" u="1"/>
        <s v="Cost to Impl Eff Policy per Unit E Saved or Shifted.xlsx" u="1"/>
        <s v="CtIEPpUESoS.csv" u="1"/>
        <s v="Pot Perc Reduction in Fuel Use from Early Retirement.xlsx" u="1"/>
        <s v="PPRiFUfERoIF.csv" u="1"/>
        <s v="Pot Perc Red in Fuel Use fr Inc Cogen and WHR.xlsx" u="1"/>
        <s v="PPRiFUfICaWHR.csv" u="1"/>
        <s v="Pot Perc Red in Fuel Use fr Impr Inst and Integ of Eqpt.xlsx" u="1"/>
        <s v="PPRiFUfIIaIoE.csv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2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3"/>
    <x v="44"/>
  </r>
  <r>
    <x v="6"/>
    <x v="3"/>
    <x v="45"/>
  </r>
  <r>
    <x v="6"/>
    <x v="3"/>
    <x v="46"/>
  </r>
  <r>
    <x v="6"/>
    <x v="3"/>
    <x v="47"/>
  </r>
  <r>
    <x v="6"/>
    <x v="3"/>
    <x v="48"/>
  </r>
  <r>
    <x v="6"/>
    <x v="3"/>
    <x v="49"/>
  </r>
  <r>
    <x v="6"/>
    <x v="3"/>
    <x v="50"/>
  </r>
  <r>
    <x v="6"/>
    <x v="3"/>
    <x v="51"/>
  </r>
  <r>
    <x v="6"/>
    <x v="3"/>
    <x v="52"/>
  </r>
  <r>
    <x v="6"/>
    <x v="3"/>
    <x v="53"/>
  </r>
  <r>
    <x v="6"/>
    <x v="3"/>
    <x v="54"/>
  </r>
  <r>
    <x v="6"/>
    <x v="4"/>
    <x v="55"/>
  </r>
  <r>
    <x v="6"/>
    <x v="4"/>
    <x v="56"/>
  </r>
  <r>
    <x v="6"/>
    <x v="4"/>
    <x v="57"/>
  </r>
  <r>
    <x v="6"/>
    <x v="4"/>
    <x v="58"/>
  </r>
  <r>
    <x v="6"/>
    <x v="4"/>
    <x v="59"/>
  </r>
  <r>
    <x v="6"/>
    <x v="4"/>
    <x v="60"/>
  </r>
  <r>
    <x v="6"/>
    <x v="4"/>
    <x v="61"/>
  </r>
  <r>
    <x v="6"/>
    <x v="4"/>
    <x v="62"/>
  </r>
  <r>
    <x v="6"/>
    <x v="4"/>
    <x v="63"/>
  </r>
  <r>
    <x v="6"/>
    <x v="4"/>
    <x v="64"/>
  </r>
  <r>
    <x v="6"/>
    <x v="4"/>
    <x v="65"/>
  </r>
  <r>
    <x v="6"/>
    <x v="4"/>
    <x v="66"/>
  </r>
  <r>
    <x v="6"/>
    <x v="4"/>
    <x v="67"/>
  </r>
  <r>
    <x v="6"/>
    <x v="4"/>
    <x v="68"/>
  </r>
  <r>
    <x v="6"/>
    <x v="4"/>
    <x v="69"/>
  </r>
  <r>
    <x v="6"/>
    <x v="4"/>
    <x v="70"/>
  </r>
  <r>
    <x v="6"/>
    <x v="5"/>
    <x v="71"/>
  </r>
  <r>
    <x v="6"/>
    <x v="5"/>
    <x v="72"/>
  </r>
  <r>
    <x v="6"/>
    <x v="6"/>
    <x v="73"/>
  </r>
  <r>
    <x v="6"/>
    <x v="6"/>
    <x v="74"/>
  </r>
  <r>
    <x v="6"/>
    <x v="7"/>
    <x v="75"/>
  </r>
  <r>
    <x v="6"/>
    <x v="7"/>
    <x v="76"/>
  </r>
  <r>
    <x v="6"/>
    <x v="8"/>
    <x v="77"/>
  </r>
  <r>
    <x v="6"/>
    <x v="8"/>
    <x v="78"/>
  </r>
  <r>
    <x v="6"/>
    <x v="9"/>
    <x v="79"/>
  </r>
  <r>
    <x v="6"/>
    <x v="9"/>
    <x v="80"/>
  </r>
  <r>
    <x v="7"/>
    <x v="10"/>
    <x v="81"/>
  </r>
  <r>
    <x v="7"/>
    <x v="10"/>
    <x v="82"/>
  </r>
  <r>
    <x v="7"/>
    <x v="10"/>
    <x v="83"/>
  </r>
  <r>
    <x v="7"/>
    <x v="10"/>
    <x v="84"/>
  </r>
  <r>
    <x v="7"/>
    <x v="11"/>
    <x v="85"/>
  </r>
  <r>
    <x v="7"/>
    <x v="11"/>
    <x v="86"/>
  </r>
  <r>
    <x v="7"/>
    <x v="11"/>
    <x v="87"/>
  </r>
  <r>
    <x v="7"/>
    <x v="11"/>
    <x v="88"/>
  </r>
  <r>
    <x v="7"/>
    <x v="11"/>
    <x v="89"/>
  </r>
  <r>
    <x v="7"/>
    <x v="11"/>
    <x v="90"/>
  </r>
  <r>
    <x v="7"/>
    <x v="11"/>
    <x v="91"/>
  </r>
  <r>
    <x v="7"/>
    <x v="11"/>
    <x v="92"/>
  </r>
  <r>
    <x v="7"/>
    <x v="11"/>
    <x v="93"/>
  </r>
  <r>
    <x v="7"/>
    <x v="11"/>
    <x v="94"/>
  </r>
  <r>
    <x v="7"/>
    <x v="11"/>
    <x v="95"/>
  </r>
  <r>
    <x v="7"/>
    <x v="11"/>
    <x v="96"/>
  </r>
  <r>
    <x v="7"/>
    <x v="11"/>
    <x v="97"/>
  </r>
  <r>
    <x v="7"/>
    <x v="11"/>
    <x v="98"/>
  </r>
  <r>
    <x v="7"/>
    <x v="11"/>
    <x v="99"/>
  </r>
  <r>
    <x v="7"/>
    <x v="11"/>
    <x v="100"/>
  </r>
  <r>
    <x v="7"/>
    <x v="11"/>
    <x v="101"/>
  </r>
  <r>
    <x v="7"/>
    <x v="12"/>
    <x v="102"/>
  </r>
  <r>
    <x v="7"/>
    <x v="12"/>
    <x v="103"/>
  </r>
  <r>
    <x v="7"/>
    <x v="12"/>
    <x v="104"/>
  </r>
  <r>
    <x v="7"/>
    <x v="12"/>
    <x v="105"/>
  </r>
  <r>
    <x v="7"/>
    <x v="13"/>
    <x v="106"/>
  </r>
  <r>
    <x v="7"/>
    <x v="13"/>
    <x v="107"/>
  </r>
  <r>
    <x v="7"/>
    <x v="13"/>
    <x v="108"/>
  </r>
  <r>
    <x v="7"/>
    <x v="13"/>
    <x v="109"/>
  </r>
  <r>
    <x v="7"/>
    <x v="13"/>
    <x v="110"/>
  </r>
  <r>
    <x v="7"/>
    <x v="14"/>
    <x v="111"/>
  </r>
  <r>
    <x v="7"/>
    <x v="14"/>
    <x v="112"/>
  </r>
  <r>
    <x v="7"/>
    <x v="14"/>
    <x v="113"/>
  </r>
  <r>
    <x v="7"/>
    <x v="14"/>
    <x v="114"/>
  </r>
  <r>
    <x v="7"/>
    <x v="15"/>
    <x v="115"/>
  </r>
  <r>
    <x v="7"/>
    <x v="15"/>
    <x v="116"/>
  </r>
  <r>
    <x v="7"/>
    <x v="16"/>
    <x v="117"/>
  </r>
  <r>
    <x v="7"/>
    <x v="16"/>
    <x v="118"/>
  </r>
  <r>
    <x v="7"/>
    <x v="16"/>
    <x v="119"/>
  </r>
  <r>
    <x v="7"/>
    <x v="17"/>
    <x v="120"/>
  </r>
  <r>
    <x v="7"/>
    <x v="17"/>
    <x v="121"/>
  </r>
  <r>
    <x v="7"/>
    <x v="17"/>
    <x v="122"/>
  </r>
  <r>
    <x v="7"/>
    <x v="17"/>
    <x v="123"/>
  </r>
  <r>
    <x v="7"/>
    <x v="17"/>
    <x v="124"/>
  </r>
  <r>
    <x v="7"/>
    <x v="17"/>
    <x v="125"/>
  </r>
  <r>
    <x v="7"/>
    <x v="18"/>
    <x v="126"/>
  </r>
  <r>
    <x v="7"/>
    <x v="18"/>
    <x v="127"/>
  </r>
  <r>
    <x v="7"/>
    <x v="19"/>
    <x v="128"/>
  </r>
  <r>
    <x v="7"/>
    <x v="19"/>
    <x v="129"/>
  </r>
  <r>
    <x v="7"/>
    <x v="19"/>
    <x v="130"/>
  </r>
  <r>
    <x v="7"/>
    <x v="20"/>
    <x v="131"/>
  </r>
  <r>
    <x v="7"/>
    <x v="20"/>
    <x v="132"/>
  </r>
  <r>
    <x v="7"/>
    <x v="21"/>
    <x v="133"/>
  </r>
  <r>
    <x v="7"/>
    <x v="21"/>
    <x v="134"/>
  </r>
  <r>
    <x v="7"/>
    <x v="22"/>
    <x v="135"/>
  </r>
  <r>
    <x v="7"/>
    <x v="22"/>
    <x v="136"/>
  </r>
  <r>
    <x v="7"/>
    <x v="22"/>
    <x v="137"/>
  </r>
  <r>
    <x v="7"/>
    <x v="23"/>
    <x v="138"/>
  </r>
  <r>
    <x v="7"/>
    <x v="23"/>
    <x v="139"/>
  </r>
  <r>
    <x v="7"/>
    <x v="24"/>
    <x v="140"/>
  </r>
  <r>
    <x v="7"/>
    <x v="24"/>
    <x v="141"/>
  </r>
  <r>
    <x v="7"/>
    <x v="25"/>
    <x v="142"/>
  </r>
  <r>
    <x v="7"/>
    <x v="25"/>
    <x v="143"/>
  </r>
  <r>
    <x v="7"/>
    <x v="25"/>
    <x v="144"/>
  </r>
  <r>
    <x v="7"/>
    <x v="25"/>
    <x v="145"/>
  </r>
  <r>
    <x v="7"/>
    <x v="25"/>
    <x v="146"/>
  </r>
  <r>
    <x v="7"/>
    <x v="25"/>
    <x v="147"/>
  </r>
  <r>
    <x v="7"/>
    <x v="25"/>
    <x v="148"/>
  </r>
  <r>
    <x v="7"/>
    <x v="25"/>
    <x v="149"/>
  </r>
  <r>
    <x v="7"/>
    <x v="25"/>
    <x v="150"/>
  </r>
  <r>
    <x v="7"/>
    <x v="25"/>
    <x v="151"/>
  </r>
  <r>
    <x v="7"/>
    <x v="26"/>
    <x v="152"/>
  </r>
  <r>
    <x v="7"/>
    <x v="26"/>
    <x v="153"/>
  </r>
  <r>
    <x v="7"/>
    <x v="27"/>
    <x v="154"/>
  </r>
  <r>
    <x v="7"/>
    <x v="27"/>
    <x v="155"/>
  </r>
  <r>
    <x v="7"/>
    <x v="28"/>
    <x v="156"/>
  </r>
  <r>
    <x v="7"/>
    <x v="28"/>
    <x v="157"/>
  </r>
  <r>
    <x v="7"/>
    <x v="29"/>
    <x v="158"/>
  </r>
  <r>
    <x v="7"/>
    <x v="29"/>
    <x v="159"/>
  </r>
  <r>
    <x v="7"/>
    <x v="30"/>
    <x v="160"/>
  </r>
  <r>
    <x v="7"/>
    <x v="30"/>
    <x v="161"/>
  </r>
  <r>
    <x v="7"/>
    <x v="31"/>
    <x v="162"/>
  </r>
  <r>
    <x v="7"/>
    <x v="31"/>
    <x v="163"/>
  </r>
  <r>
    <x v="7"/>
    <x v="32"/>
    <x v="164"/>
  </r>
  <r>
    <x v="7"/>
    <x v="32"/>
    <x v="165"/>
  </r>
  <r>
    <x v="7"/>
    <x v="33"/>
    <x v="166"/>
  </r>
  <r>
    <x v="7"/>
    <x v="33"/>
    <x v="167"/>
  </r>
  <r>
    <x v="7"/>
    <x v="34"/>
    <x v="168"/>
  </r>
  <r>
    <x v="7"/>
    <x v="34"/>
    <x v="169"/>
  </r>
  <r>
    <x v="7"/>
    <x v="35"/>
    <x v="170"/>
  </r>
  <r>
    <x v="7"/>
    <x v="35"/>
    <x v="171"/>
  </r>
  <r>
    <x v="7"/>
    <x v="35"/>
    <x v="172"/>
  </r>
  <r>
    <x v="7"/>
    <x v="35"/>
    <x v="173"/>
  </r>
  <r>
    <x v="7"/>
    <x v="36"/>
    <x v="174"/>
  </r>
  <r>
    <x v="7"/>
    <x v="36"/>
    <x v="175"/>
  </r>
  <r>
    <x v="7"/>
    <x v="37"/>
    <x v="176"/>
  </r>
  <r>
    <x v="7"/>
    <x v="37"/>
    <x v="177"/>
  </r>
  <r>
    <x v="7"/>
    <x v="38"/>
    <x v="178"/>
  </r>
  <r>
    <x v="7"/>
    <x v="38"/>
    <x v="179"/>
  </r>
  <r>
    <x v="7"/>
    <x v="39"/>
    <x v="180"/>
  </r>
  <r>
    <x v="7"/>
    <x v="39"/>
    <x v="181"/>
  </r>
  <r>
    <x v="7"/>
    <x v="39"/>
    <x v="182"/>
  </r>
  <r>
    <x v="7"/>
    <x v="39"/>
    <x v="183"/>
  </r>
  <r>
    <x v="7"/>
    <x v="40"/>
    <x v="184"/>
  </r>
  <r>
    <x v="7"/>
    <x v="40"/>
    <x v="185"/>
  </r>
  <r>
    <x v="8"/>
    <x v="41"/>
    <x v="186"/>
  </r>
  <r>
    <x v="8"/>
    <x v="41"/>
    <x v="187"/>
  </r>
  <r>
    <x v="8"/>
    <x v="41"/>
    <x v="188"/>
  </r>
  <r>
    <x v="8"/>
    <x v="41"/>
    <x v="189"/>
  </r>
  <r>
    <x v="8"/>
    <x v="41"/>
    <x v="190"/>
  </r>
  <r>
    <x v="8"/>
    <x v="42"/>
    <x v="191"/>
  </r>
  <r>
    <x v="8"/>
    <x v="42"/>
    <x v="192"/>
  </r>
  <r>
    <x v="8"/>
    <x v="42"/>
    <x v="193"/>
  </r>
  <r>
    <x v="8"/>
    <x v="43"/>
    <x v="194"/>
  </r>
  <r>
    <x v="8"/>
    <x v="43"/>
    <x v="195"/>
  </r>
  <r>
    <x v="8"/>
    <x v="44"/>
    <x v="196"/>
  </r>
  <r>
    <x v="8"/>
    <x v="44"/>
    <x v="197"/>
  </r>
  <r>
    <x v="8"/>
    <x v="44"/>
    <x v="198"/>
  </r>
  <r>
    <x v="8"/>
    <x v="44"/>
    <x v="199"/>
  </r>
  <r>
    <x v="8"/>
    <x v="44"/>
    <x v="200"/>
  </r>
  <r>
    <x v="8"/>
    <x v="44"/>
    <x v="201"/>
  </r>
  <r>
    <x v="8"/>
    <x v="44"/>
    <x v="202"/>
  </r>
  <r>
    <x v="8"/>
    <x v="44"/>
    <x v="203"/>
  </r>
  <r>
    <x v="8"/>
    <x v="44"/>
    <x v="204"/>
  </r>
  <r>
    <x v="8"/>
    <x v="44"/>
    <x v="205"/>
  </r>
  <r>
    <x v="8"/>
    <x v="45"/>
    <x v="206"/>
  </r>
  <r>
    <x v="8"/>
    <x v="45"/>
    <x v="207"/>
  </r>
  <r>
    <x v="8"/>
    <x v="45"/>
    <x v="208"/>
  </r>
  <r>
    <x v="8"/>
    <x v="46"/>
    <x v="209"/>
  </r>
  <r>
    <x v="8"/>
    <x v="46"/>
    <x v="210"/>
  </r>
  <r>
    <x v="8"/>
    <x v="46"/>
    <x v="211"/>
  </r>
  <r>
    <x v="8"/>
    <x v="47"/>
    <x v="212"/>
  </r>
  <r>
    <x v="8"/>
    <x v="47"/>
    <x v="213"/>
  </r>
  <r>
    <x v="8"/>
    <x v="47"/>
    <x v="214"/>
  </r>
  <r>
    <x v="8"/>
    <x v="48"/>
    <x v="215"/>
  </r>
  <r>
    <x v="8"/>
    <x v="48"/>
    <x v="216"/>
  </r>
  <r>
    <x v="8"/>
    <x v="49"/>
    <x v="217"/>
  </r>
  <r>
    <x v="8"/>
    <x v="49"/>
    <x v="218"/>
  </r>
  <r>
    <x v="8"/>
    <x v="50"/>
    <x v="219"/>
  </r>
  <r>
    <x v="8"/>
    <x v="50"/>
    <x v="220"/>
  </r>
  <r>
    <x v="8"/>
    <x v="51"/>
    <x v="221"/>
  </r>
  <r>
    <x v="8"/>
    <x v="51"/>
    <x v="222"/>
  </r>
  <r>
    <x v="8"/>
    <x v="52"/>
    <x v="223"/>
  </r>
  <r>
    <x v="8"/>
    <x v="52"/>
    <x v="224"/>
  </r>
  <r>
    <x v="9"/>
    <x v="53"/>
    <x v="225"/>
  </r>
  <r>
    <x v="9"/>
    <x v="53"/>
    <x v="226"/>
  </r>
  <r>
    <x v="9"/>
    <x v="54"/>
    <x v="227"/>
  </r>
  <r>
    <x v="9"/>
    <x v="54"/>
    <x v="228"/>
  </r>
  <r>
    <x v="10"/>
    <x v="55"/>
    <x v="229"/>
  </r>
  <r>
    <x v="10"/>
    <x v="55"/>
    <x v="230"/>
  </r>
  <r>
    <x v="11"/>
    <x v="56"/>
    <x v="231"/>
  </r>
  <r>
    <x v="11"/>
    <x v="56"/>
    <x v="232"/>
  </r>
  <r>
    <x v="11"/>
    <x v="57"/>
    <x v="233"/>
  </r>
  <r>
    <x v="11"/>
    <x v="57"/>
    <x v="234"/>
  </r>
  <r>
    <x v="11"/>
    <x v="58"/>
    <x v="235"/>
  </r>
  <r>
    <x v="11"/>
    <x v="58"/>
    <x v="236"/>
  </r>
  <r>
    <x v="11"/>
    <x v="59"/>
    <x v="237"/>
  </r>
  <r>
    <x v="11"/>
    <x v="59"/>
    <x v="238"/>
  </r>
  <r>
    <x v="11"/>
    <x v="60"/>
    <x v="239"/>
  </r>
  <r>
    <x v="11"/>
    <x v="60"/>
    <x v="240"/>
  </r>
  <r>
    <x v="11"/>
    <x v="61"/>
    <x v="241"/>
  </r>
  <r>
    <x v="11"/>
    <x v="61"/>
    <x v="242"/>
  </r>
  <r>
    <x v="11"/>
    <x v="62"/>
    <x v="243"/>
  </r>
  <r>
    <x v="11"/>
    <x v="62"/>
    <x v="244"/>
  </r>
  <r>
    <x v="11"/>
    <x v="63"/>
    <x v="245"/>
  </r>
  <r>
    <x v="11"/>
    <x v="63"/>
    <x v="246"/>
  </r>
  <r>
    <x v="11"/>
    <x v="64"/>
    <x v="247"/>
  </r>
  <r>
    <x v="11"/>
    <x v="64"/>
    <x v="248"/>
  </r>
  <r>
    <x v="11"/>
    <x v="65"/>
    <x v="249"/>
  </r>
  <r>
    <x v="11"/>
    <x v="65"/>
    <x v="250"/>
  </r>
  <r>
    <x v="11"/>
    <x v="66"/>
    <x v="251"/>
  </r>
  <r>
    <x v="11"/>
    <x v="66"/>
    <x v="252"/>
  </r>
  <r>
    <x v="11"/>
    <x v="67"/>
    <x v="253"/>
  </r>
  <r>
    <x v="11"/>
    <x v="67"/>
    <x v="254"/>
  </r>
  <r>
    <x v="11"/>
    <x v="68"/>
    <x v="255"/>
  </r>
  <r>
    <x v="11"/>
    <x v="68"/>
    <x v="256"/>
  </r>
  <r>
    <x v="11"/>
    <x v="69"/>
    <x v="257"/>
  </r>
  <r>
    <x v="11"/>
    <x v="69"/>
    <x v="258"/>
  </r>
  <r>
    <x v="11"/>
    <x v="69"/>
    <x v="259"/>
  </r>
  <r>
    <x v="11"/>
    <x v="70"/>
    <x v="260"/>
  </r>
  <r>
    <x v="11"/>
    <x v="70"/>
    <x v="261"/>
  </r>
  <r>
    <x v="11"/>
    <x v="71"/>
    <x v="262"/>
  </r>
  <r>
    <x v="11"/>
    <x v="71"/>
    <x v="263"/>
  </r>
  <r>
    <x v="11"/>
    <x v="72"/>
    <x v="264"/>
  </r>
  <r>
    <x v="11"/>
    <x v="72"/>
    <x v="265"/>
  </r>
  <r>
    <x v="11"/>
    <x v="72"/>
    <x v="266"/>
  </r>
  <r>
    <x v="11"/>
    <x v="72"/>
    <x v="267"/>
  </r>
  <r>
    <x v="11"/>
    <x v="72"/>
    <x v="268"/>
  </r>
  <r>
    <x v="11"/>
    <x v="72"/>
    <x v="269"/>
  </r>
  <r>
    <x v="11"/>
    <x v="72"/>
    <x v="270"/>
  </r>
  <r>
    <x v="11"/>
    <x v="72"/>
    <x v="271"/>
  </r>
  <r>
    <x v="11"/>
    <x v="72"/>
    <x v="272"/>
  </r>
  <r>
    <x v="11"/>
    <x v="72"/>
    <x v="273"/>
  </r>
  <r>
    <x v="11"/>
    <x v="72"/>
    <x v="274"/>
  </r>
  <r>
    <x v="11"/>
    <x v="72"/>
    <x v="275"/>
  </r>
  <r>
    <x v="11"/>
    <x v="72"/>
    <x v="276"/>
  </r>
  <r>
    <x v="11"/>
    <x v="72"/>
    <x v="277"/>
  </r>
  <r>
    <x v="11"/>
    <x v="72"/>
    <x v="278"/>
  </r>
  <r>
    <x v="11"/>
    <x v="72"/>
    <x v="279"/>
  </r>
  <r>
    <x v="11"/>
    <x v="73"/>
    <x v="280"/>
  </r>
  <r>
    <x v="11"/>
    <x v="73"/>
    <x v="281"/>
  </r>
  <r>
    <x v="11"/>
    <x v="74"/>
    <x v="282"/>
  </r>
  <r>
    <x v="11"/>
    <x v="74"/>
    <x v="283"/>
  </r>
  <r>
    <x v="11"/>
    <x v="75"/>
    <x v="284"/>
  </r>
  <r>
    <x v="11"/>
    <x v="75"/>
    <x v="285"/>
  </r>
  <r>
    <x v="11"/>
    <x v="75"/>
    <x v="286"/>
  </r>
  <r>
    <x v="11"/>
    <x v="75"/>
    <x v="287"/>
  </r>
  <r>
    <x v="11"/>
    <x v="75"/>
    <x v="288"/>
  </r>
  <r>
    <x v="11"/>
    <x v="75"/>
    <x v="289"/>
  </r>
  <r>
    <x v="11"/>
    <x v="75"/>
    <x v="290"/>
  </r>
  <r>
    <x v="11"/>
    <x v="76"/>
    <x v="291"/>
  </r>
  <r>
    <x v="11"/>
    <x v="76"/>
    <x v="292"/>
  </r>
  <r>
    <x v="12"/>
    <x v="77"/>
    <x v="293"/>
  </r>
  <r>
    <x v="12"/>
    <x v="77"/>
    <x v="294"/>
  </r>
  <r>
    <x v="12"/>
    <x v="78"/>
    <x v="295"/>
  </r>
  <r>
    <x v="12"/>
    <x v="78"/>
    <x v="296"/>
  </r>
  <r>
    <x v="12"/>
    <x v="79"/>
    <x v="297"/>
  </r>
  <r>
    <x v="12"/>
    <x v="79"/>
    <x v="298"/>
  </r>
  <r>
    <x v="12"/>
    <x v="80"/>
    <x v="299"/>
  </r>
  <r>
    <x v="12"/>
    <x v="80"/>
    <x v="300"/>
  </r>
  <r>
    <x v="12"/>
    <x v="81"/>
    <x v="301"/>
  </r>
  <r>
    <x v="12"/>
    <x v="81"/>
    <x v="302"/>
  </r>
  <r>
    <x v="12"/>
    <x v="82"/>
    <x v="303"/>
  </r>
  <r>
    <x v="12"/>
    <x v="82"/>
    <x v="304"/>
  </r>
  <r>
    <x v="13"/>
    <x v="83"/>
    <x v="305"/>
  </r>
  <r>
    <x v="13"/>
    <x v="83"/>
    <x v="306"/>
  </r>
  <r>
    <x v="13"/>
    <x v="83"/>
    <x v="307"/>
  </r>
  <r>
    <x v="13"/>
    <x v="84"/>
    <x v="308"/>
  </r>
  <r>
    <x v="13"/>
    <x v="84"/>
    <x v="309"/>
  </r>
  <r>
    <x v="13"/>
    <x v="85"/>
    <x v="310"/>
  </r>
  <r>
    <x v="13"/>
    <x v="85"/>
    <x v="311"/>
  </r>
  <r>
    <x v="13"/>
    <x v="85"/>
    <x v="312"/>
  </r>
  <r>
    <x v="13"/>
    <x v="85"/>
    <x v="313"/>
  </r>
  <r>
    <x v="13"/>
    <x v="86"/>
    <x v="314"/>
  </r>
  <r>
    <x v="13"/>
    <x v="86"/>
    <x v="315"/>
  </r>
  <r>
    <x v="13"/>
    <x v="86"/>
    <x v="316"/>
  </r>
  <r>
    <x v="13"/>
    <x v="86"/>
    <x v="317"/>
  </r>
  <r>
    <x v="13"/>
    <x v="87"/>
    <x v="318"/>
  </r>
  <r>
    <x v="13"/>
    <x v="87"/>
    <x v="319"/>
  </r>
  <r>
    <x v="13"/>
    <x v="88"/>
    <x v="320"/>
  </r>
  <r>
    <x v="13"/>
    <x v="88"/>
    <x v="321"/>
  </r>
  <r>
    <x v="13"/>
    <x v="89"/>
    <x v="322"/>
  </r>
  <r>
    <x v="13"/>
    <x v="89"/>
    <x v="323"/>
  </r>
  <r>
    <x v="13"/>
    <x v="89"/>
    <x v="324"/>
  </r>
  <r>
    <x v="13"/>
    <x v="90"/>
    <x v="325"/>
  </r>
  <r>
    <x v="13"/>
    <x v="90"/>
    <x v="326"/>
  </r>
  <r>
    <x v="13"/>
    <x v="91"/>
    <x v="327"/>
  </r>
  <r>
    <x v="13"/>
    <x v="91"/>
    <x v="328"/>
  </r>
  <r>
    <x v="13"/>
    <x v="92"/>
    <x v="329"/>
  </r>
  <r>
    <x v="13"/>
    <x v="92"/>
    <x v="330"/>
  </r>
  <r>
    <x v="13"/>
    <x v="92"/>
    <x v="331"/>
  </r>
  <r>
    <x v="13"/>
    <x v="93"/>
    <x v="332"/>
  </r>
  <r>
    <x v="13"/>
    <x v="93"/>
    <x v="333"/>
  </r>
  <r>
    <x v="13"/>
    <x v="94"/>
    <x v="334"/>
  </r>
  <r>
    <x v="13"/>
    <x v="94"/>
    <x v="335"/>
  </r>
  <r>
    <x v="13"/>
    <x v="95"/>
    <x v="336"/>
  </r>
  <r>
    <x v="13"/>
    <x v="95"/>
    <x v="337"/>
  </r>
  <r>
    <x v="13"/>
    <x v="96"/>
    <x v="338"/>
  </r>
  <r>
    <x v="13"/>
    <x v="96"/>
    <x v="339"/>
  </r>
  <r>
    <x v="13"/>
    <x v="97"/>
    <x v="340"/>
  </r>
  <r>
    <x v="13"/>
    <x v="97"/>
    <x v="341"/>
  </r>
  <r>
    <x v="13"/>
    <x v="98"/>
    <x v="342"/>
  </r>
  <r>
    <x v="13"/>
    <x v="98"/>
    <x v="343"/>
  </r>
  <r>
    <x v="13"/>
    <x v="99"/>
    <x v="344"/>
  </r>
  <r>
    <x v="13"/>
    <x v="99"/>
    <x v="345"/>
  </r>
  <r>
    <x v="13"/>
    <x v="99"/>
    <x v="346"/>
  </r>
  <r>
    <x v="13"/>
    <x v="99"/>
    <x v="347"/>
  </r>
  <r>
    <x v="13"/>
    <x v="100"/>
    <x v="348"/>
  </r>
  <r>
    <x v="13"/>
    <x v="100"/>
    <x v="349"/>
  </r>
  <r>
    <x v="13"/>
    <x v="101"/>
    <x v="350"/>
  </r>
  <r>
    <x v="13"/>
    <x v="101"/>
    <x v="351"/>
  </r>
  <r>
    <x v="13"/>
    <x v="102"/>
    <x v="352"/>
  </r>
  <r>
    <x v="13"/>
    <x v="102"/>
    <x v="353"/>
  </r>
  <r>
    <x v="13"/>
    <x v="103"/>
    <x v="354"/>
  </r>
  <r>
    <x v="13"/>
    <x v="103"/>
    <x v="355"/>
  </r>
  <r>
    <x v="13"/>
    <x v="104"/>
    <x v="356"/>
  </r>
  <r>
    <x v="13"/>
    <x v="104"/>
    <x v="357"/>
  </r>
  <r>
    <x v="13"/>
    <x v="104"/>
    <x v="358"/>
  </r>
  <r>
    <x v="13"/>
    <x v="104"/>
    <x v="359"/>
  </r>
  <r>
    <x v="13"/>
    <x v="104"/>
    <x v="360"/>
  </r>
  <r>
    <x v="13"/>
    <x v="104"/>
    <x v="361"/>
  </r>
  <r>
    <x v="13"/>
    <x v="104"/>
    <x v="362"/>
  </r>
  <r>
    <x v="13"/>
    <x v="104"/>
    <x v="363"/>
  </r>
  <r>
    <x v="13"/>
    <x v="105"/>
    <x v="364"/>
  </r>
  <r>
    <x v="13"/>
    <x v="105"/>
    <x v="365"/>
  </r>
  <r>
    <x v="13"/>
    <x v="106"/>
    <x v="366"/>
  </r>
  <r>
    <x v="13"/>
    <x v="106"/>
    <x v="367"/>
  </r>
  <r>
    <x v="13"/>
    <x v="107"/>
    <x v="368"/>
  </r>
  <r>
    <x v="13"/>
    <x v="107"/>
    <x v="369"/>
  </r>
  <r>
    <x v="13"/>
    <x v="108"/>
    <x v="370"/>
  </r>
  <r>
    <x v="13"/>
    <x v="108"/>
    <x v="371"/>
  </r>
  <r>
    <x v="13"/>
    <x v="108"/>
    <x v="372"/>
  </r>
  <r>
    <x v="13"/>
    <x v="108"/>
    <x v="373"/>
  </r>
  <r>
    <x v="13"/>
    <x v="109"/>
    <x v="374"/>
  </r>
  <r>
    <x v="13"/>
    <x v="109"/>
    <x v="375"/>
  </r>
  <r>
    <x v="13"/>
    <x v="110"/>
    <x v="376"/>
  </r>
  <r>
    <x v="13"/>
    <x v="110"/>
    <x v="377"/>
  </r>
  <r>
    <x v="13"/>
    <x v="111"/>
    <x v="378"/>
  </r>
  <r>
    <x v="13"/>
    <x v="111"/>
    <x v="379"/>
  </r>
  <r>
    <x v="13"/>
    <x v="112"/>
    <x v="380"/>
  </r>
  <r>
    <x v="13"/>
    <x v="112"/>
    <x v="381"/>
  </r>
  <r>
    <x v="13"/>
    <x v="112"/>
    <x v="382"/>
  </r>
  <r>
    <x v="13"/>
    <x v="112"/>
    <x v="383"/>
  </r>
  <r>
    <x v="13"/>
    <x v="113"/>
    <x v="384"/>
  </r>
  <r>
    <x v="13"/>
    <x v="113"/>
    <x v="385"/>
  </r>
  <r>
    <x v="13"/>
    <x v="113"/>
    <x v="386"/>
  </r>
  <r>
    <x v="13"/>
    <x v="114"/>
    <x v="387"/>
  </r>
  <r>
    <x v="13"/>
    <x v="114"/>
    <x v="388"/>
  </r>
  <r>
    <x v="13"/>
    <x v="114"/>
    <x v="389"/>
  </r>
  <r>
    <x v="13"/>
    <x v="114"/>
    <x v="390"/>
  </r>
  <r>
    <x v="13"/>
    <x v="114"/>
    <x v="391"/>
  </r>
  <r>
    <x v="13"/>
    <x v="115"/>
    <x v="392"/>
  </r>
  <r>
    <x v="13"/>
    <x v="115"/>
    <x v="393"/>
  </r>
  <r>
    <x v="13"/>
    <x v="115"/>
    <x v="394"/>
  </r>
  <r>
    <x v="13"/>
    <x v="115"/>
    <x v="395"/>
  </r>
  <r>
    <x v="13"/>
    <x v="115"/>
    <x v="396"/>
  </r>
  <r>
    <x v="13"/>
    <x v="115"/>
    <x v="397"/>
  </r>
  <r>
    <x v="13"/>
    <x v="115"/>
    <x v="398"/>
  </r>
  <r>
    <x v="13"/>
    <x v="115"/>
    <x v="399"/>
  </r>
  <r>
    <x v="13"/>
    <x v="115"/>
    <x v="400"/>
  </r>
  <r>
    <x v="13"/>
    <x v="115"/>
    <x v="401"/>
  </r>
  <r>
    <x v="13"/>
    <x v="115"/>
    <x v="402"/>
  </r>
  <r>
    <x v="13"/>
    <x v="115"/>
    <x v="403"/>
  </r>
  <r>
    <x v="13"/>
    <x v="115"/>
    <x v="404"/>
  </r>
  <r>
    <x v="13"/>
    <x v="115"/>
    <x v="405"/>
  </r>
  <r>
    <x v="13"/>
    <x v="115"/>
    <x v="406"/>
  </r>
  <r>
    <x v="13"/>
    <x v="115"/>
    <x v="407"/>
  </r>
  <r>
    <x v="13"/>
    <x v="115"/>
    <x v="408"/>
  </r>
  <r>
    <x v="13"/>
    <x v="115"/>
    <x v="409"/>
  </r>
  <r>
    <x v="13"/>
    <x v="115"/>
    <x v="410"/>
  </r>
  <r>
    <x v="13"/>
    <x v="115"/>
    <x v="411"/>
  </r>
  <r>
    <x v="13"/>
    <x v="115"/>
    <x v="412"/>
  </r>
  <r>
    <x v="13"/>
    <x v="115"/>
    <x v="413"/>
  </r>
  <r>
    <x v="13"/>
    <x v="115"/>
    <x v="414"/>
  </r>
  <r>
    <x v="13"/>
    <x v="115"/>
    <x v="415"/>
  </r>
  <r>
    <x v="13"/>
    <x v="115"/>
    <x v="416"/>
  </r>
  <r>
    <x v="13"/>
    <x v="115"/>
    <x v="417"/>
  </r>
  <r>
    <x v="13"/>
    <x v="116"/>
    <x v="418"/>
  </r>
  <r>
    <x v="13"/>
    <x v="116"/>
    <x v="419"/>
  </r>
  <r>
    <x v="13"/>
    <x v="116"/>
    <x v="420"/>
  </r>
  <r>
    <x v="13"/>
    <x v="117"/>
    <x v="421"/>
  </r>
  <r>
    <x v="13"/>
    <x v="117"/>
    <x v="422"/>
  </r>
  <r>
    <x v="13"/>
    <x v="117"/>
    <x v="423"/>
  </r>
  <r>
    <x v="13"/>
    <x v="118"/>
    <x v="424"/>
  </r>
  <r>
    <x v="13"/>
    <x v="118"/>
    <x v="425"/>
  </r>
  <r>
    <x v="13"/>
    <x v="119"/>
    <x v="426"/>
  </r>
  <r>
    <x v="13"/>
    <x v="119"/>
    <x v="427"/>
  </r>
  <r>
    <x v="13"/>
    <x v="120"/>
    <x v="428"/>
  </r>
  <r>
    <x v="13"/>
    <x v="120"/>
    <x v="429"/>
  </r>
  <r>
    <x v="13"/>
    <x v="120"/>
    <x v="430"/>
  </r>
  <r>
    <x v="13"/>
    <x v="121"/>
    <x v="431"/>
  </r>
  <r>
    <x v="13"/>
    <x v="121"/>
    <x v="432"/>
  </r>
  <r>
    <x v="13"/>
    <x v="122"/>
    <x v="433"/>
  </r>
  <r>
    <x v="13"/>
    <x v="122"/>
    <x v="434"/>
  </r>
  <r>
    <x v="13"/>
    <x v="123"/>
    <x v="435"/>
  </r>
  <r>
    <x v="13"/>
    <x v="123"/>
    <x v="436"/>
  </r>
  <r>
    <x v="13"/>
    <x v="124"/>
    <x v="437"/>
  </r>
  <r>
    <x v="13"/>
    <x v="124"/>
    <x v="438"/>
  </r>
  <r>
    <x v="13"/>
    <x v="125"/>
    <x v="439"/>
  </r>
  <r>
    <x v="13"/>
    <x v="125"/>
    <x v="440"/>
  </r>
  <r>
    <x v="13"/>
    <x v="126"/>
    <x v="441"/>
  </r>
  <r>
    <x v="13"/>
    <x v="126"/>
    <x v="442"/>
  </r>
  <r>
    <x v="13"/>
    <x v="127"/>
    <x v="443"/>
  </r>
  <r>
    <x v="13"/>
    <x v="127"/>
    <x v="444"/>
  </r>
  <r>
    <x v="13"/>
    <x v="128"/>
    <x v="445"/>
  </r>
  <r>
    <x v="13"/>
    <x v="128"/>
    <x v="446"/>
  </r>
  <r>
    <x v="13"/>
    <x v="129"/>
    <x v="447"/>
  </r>
  <r>
    <x v="13"/>
    <x v="129"/>
    <x v="448"/>
  </r>
  <r>
    <x v="13"/>
    <x v="129"/>
    <x v="449"/>
  </r>
  <r>
    <x v="13"/>
    <x v="130"/>
    <x v="450"/>
  </r>
  <r>
    <x v="13"/>
    <x v="130"/>
    <x v="451"/>
  </r>
  <r>
    <x v="13"/>
    <x v="131"/>
    <x v="452"/>
  </r>
  <r>
    <x v="13"/>
    <x v="131"/>
    <x v="453"/>
  </r>
  <r>
    <x v="13"/>
    <x v="132"/>
    <x v="454"/>
  </r>
  <r>
    <x v="13"/>
    <x v="132"/>
    <x v="455"/>
  </r>
  <r>
    <x v="13"/>
    <x v="133"/>
    <x v="456"/>
  </r>
  <r>
    <x v="13"/>
    <x v="133"/>
    <x v="457"/>
  </r>
  <r>
    <x v="13"/>
    <x v="134"/>
    <x v="458"/>
  </r>
  <r>
    <x v="13"/>
    <x v="134"/>
    <x v="459"/>
  </r>
  <r>
    <x v="13"/>
    <x v="135"/>
    <x v="460"/>
  </r>
  <r>
    <x v="13"/>
    <x v="135"/>
    <x v="461"/>
  </r>
  <r>
    <x v="13"/>
    <x v="136"/>
    <x v="462"/>
  </r>
  <r>
    <x v="13"/>
    <x v="136"/>
    <x v="463"/>
  </r>
  <r>
    <x v="13"/>
    <x v="137"/>
    <x v="464"/>
  </r>
  <r>
    <x v="13"/>
    <x v="137"/>
    <x v="465"/>
  </r>
  <r>
    <x v="13"/>
    <x v="138"/>
    <x v="466"/>
  </r>
  <r>
    <x v="13"/>
    <x v="138"/>
    <x v="467"/>
  </r>
  <r>
    <x v="13"/>
    <x v="138"/>
    <x v="468"/>
  </r>
  <r>
    <x v="13"/>
    <x v="139"/>
    <x v="469"/>
  </r>
  <r>
    <x v="13"/>
    <x v="139"/>
    <x v="470"/>
  </r>
  <r>
    <x v="13"/>
    <x v="139"/>
    <x v="471"/>
  </r>
  <r>
    <x v="13"/>
    <x v="140"/>
    <x v="472"/>
  </r>
  <r>
    <x v="13"/>
    <x v="140"/>
    <x v="473"/>
  </r>
  <r>
    <x v="13"/>
    <x v="141"/>
    <x v="474"/>
  </r>
  <r>
    <x v="13"/>
    <x v="141"/>
    <x v="475"/>
  </r>
  <r>
    <x v="13"/>
    <x v="142"/>
    <x v="476"/>
  </r>
  <r>
    <x v="13"/>
    <x v="142"/>
    <x v="477"/>
  </r>
  <r>
    <x v="13"/>
    <x v="142"/>
    <x v="478"/>
  </r>
  <r>
    <x v="13"/>
    <x v="143"/>
    <x v="479"/>
  </r>
  <r>
    <x v="13"/>
    <x v="143"/>
    <x v="480"/>
  </r>
  <r>
    <x v="13"/>
    <x v="144"/>
    <x v="481"/>
  </r>
  <r>
    <x v="13"/>
    <x v="144"/>
    <x v="482"/>
  </r>
  <r>
    <x v="13"/>
    <x v="144"/>
    <x v="483"/>
  </r>
  <r>
    <x v="13"/>
    <x v="144"/>
    <x v="484"/>
  </r>
  <r>
    <x v="13"/>
    <x v="145"/>
    <x v="485"/>
  </r>
  <r>
    <x v="13"/>
    <x v="145"/>
    <x v="486"/>
  </r>
  <r>
    <x v="13"/>
    <x v="145"/>
    <x v="487"/>
  </r>
  <r>
    <x v="13"/>
    <x v="145"/>
    <x v="488"/>
  </r>
  <r>
    <x v="13"/>
    <x v="145"/>
    <x v="489"/>
  </r>
  <r>
    <x v="13"/>
    <x v="145"/>
    <x v="490"/>
  </r>
  <r>
    <x v="13"/>
    <x v="145"/>
    <x v="491"/>
  </r>
  <r>
    <x v="13"/>
    <x v="145"/>
    <x v="492"/>
  </r>
  <r>
    <x v="13"/>
    <x v="145"/>
    <x v="493"/>
  </r>
  <r>
    <x v="13"/>
    <x v="145"/>
    <x v="494"/>
  </r>
  <r>
    <x v="13"/>
    <x v="145"/>
    <x v="495"/>
  </r>
  <r>
    <x v="13"/>
    <x v="145"/>
    <x v="496"/>
  </r>
  <r>
    <x v="13"/>
    <x v="145"/>
    <x v="497"/>
  </r>
  <r>
    <x v="13"/>
    <x v="145"/>
    <x v="498"/>
  </r>
  <r>
    <x v="13"/>
    <x v="145"/>
    <x v="499"/>
  </r>
  <r>
    <x v="13"/>
    <x v="145"/>
    <x v="500"/>
  </r>
  <r>
    <x v="13"/>
    <x v="145"/>
    <x v="501"/>
  </r>
  <r>
    <x v="13"/>
    <x v="145"/>
    <x v="502"/>
  </r>
  <r>
    <x v="13"/>
    <x v="145"/>
    <x v="503"/>
  </r>
  <r>
    <x v="13"/>
    <x v="145"/>
    <x v="504"/>
  </r>
  <r>
    <x v="13"/>
    <x v="145"/>
    <x v="505"/>
  </r>
  <r>
    <x v="13"/>
    <x v="145"/>
    <x v="506"/>
  </r>
  <r>
    <x v="13"/>
    <x v="145"/>
    <x v="507"/>
  </r>
  <r>
    <x v="13"/>
    <x v="145"/>
    <x v="508"/>
  </r>
  <r>
    <x v="13"/>
    <x v="145"/>
    <x v="509"/>
  </r>
  <r>
    <x v="13"/>
    <x v="145"/>
    <x v="510"/>
  </r>
  <r>
    <x v="13"/>
    <x v="145"/>
    <x v="511"/>
  </r>
  <r>
    <x v="13"/>
    <x v="145"/>
    <x v="512"/>
  </r>
  <r>
    <x v="13"/>
    <x v="145"/>
    <x v="513"/>
  </r>
  <r>
    <x v="13"/>
    <x v="145"/>
    <x v="514"/>
  </r>
  <r>
    <x v="13"/>
    <x v="145"/>
    <x v="515"/>
  </r>
  <r>
    <x v="13"/>
    <x v="145"/>
    <x v="516"/>
  </r>
  <r>
    <x v="13"/>
    <x v="145"/>
    <x v="517"/>
  </r>
  <r>
    <x v="13"/>
    <x v="145"/>
    <x v="518"/>
  </r>
  <r>
    <x v="13"/>
    <x v="145"/>
    <x v="519"/>
  </r>
  <r>
    <x v="13"/>
    <x v="145"/>
    <x v="520"/>
  </r>
  <r>
    <x v="13"/>
    <x v="145"/>
    <x v="521"/>
  </r>
  <r>
    <x v="13"/>
    <x v="146"/>
    <x v="522"/>
  </r>
  <r>
    <x v="13"/>
    <x v="146"/>
    <x v="523"/>
  </r>
  <r>
    <x v="13"/>
    <x v="147"/>
    <x v="524"/>
  </r>
  <r>
    <x v="13"/>
    <x v="147"/>
    <x v="525"/>
  </r>
  <r>
    <x v="13"/>
    <x v="148"/>
    <x v="526"/>
  </r>
  <r>
    <x v="13"/>
    <x v="148"/>
    <x v="527"/>
  </r>
  <r>
    <x v="13"/>
    <x v="148"/>
    <x v="528"/>
  </r>
  <r>
    <x v="13"/>
    <x v="148"/>
    <x v="529"/>
  </r>
  <r>
    <x v="13"/>
    <x v="149"/>
    <x v="530"/>
  </r>
  <r>
    <x v="13"/>
    <x v="149"/>
    <x v="531"/>
  </r>
  <r>
    <x v="13"/>
    <x v="150"/>
    <x v="532"/>
  </r>
  <r>
    <x v="13"/>
    <x v="150"/>
    <x v="533"/>
  </r>
  <r>
    <x v="13"/>
    <x v="151"/>
    <x v="534"/>
  </r>
  <r>
    <x v="13"/>
    <x v="151"/>
    <x v="535"/>
  </r>
  <r>
    <x v="13"/>
    <x v="152"/>
    <x v="536"/>
  </r>
  <r>
    <x v="13"/>
    <x v="152"/>
    <x v="537"/>
  </r>
  <r>
    <x v="13"/>
    <x v="153"/>
    <x v="538"/>
  </r>
  <r>
    <x v="13"/>
    <x v="153"/>
    <x v="539"/>
  </r>
  <r>
    <x v="13"/>
    <x v="154"/>
    <x v="540"/>
  </r>
  <r>
    <x v="13"/>
    <x v="154"/>
    <x v="541"/>
  </r>
  <r>
    <x v="13"/>
    <x v="154"/>
    <x v="542"/>
  </r>
  <r>
    <x v="13"/>
    <x v="154"/>
    <x v="543"/>
  </r>
  <r>
    <x v="13"/>
    <x v="154"/>
    <x v="544"/>
  </r>
  <r>
    <x v="13"/>
    <x v="154"/>
    <x v="545"/>
  </r>
  <r>
    <x v="13"/>
    <x v="154"/>
    <x v="546"/>
  </r>
  <r>
    <x v="13"/>
    <x v="154"/>
    <x v="547"/>
  </r>
  <r>
    <x v="13"/>
    <x v="154"/>
    <x v="548"/>
  </r>
  <r>
    <x v="13"/>
    <x v="154"/>
    <x v="549"/>
  </r>
  <r>
    <x v="13"/>
    <x v="154"/>
    <x v="550"/>
  </r>
  <r>
    <x v="13"/>
    <x v="154"/>
    <x v="551"/>
  </r>
  <r>
    <x v="13"/>
    <x v="154"/>
    <x v="552"/>
  </r>
  <r>
    <x v="13"/>
    <x v="154"/>
    <x v="553"/>
  </r>
  <r>
    <x v="13"/>
    <x v="154"/>
    <x v="554"/>
  </r>
  <r>
    <x v="13"/>
    <x v="154"/>
    <x v="555"/>
  </r>
  <r>
    <x v="13"/>
    <x v="154"/>
    <x v="556"/>
  </r>
  <r>
    <x v="13"/>
    <x v="154"/>
    <x v="557"/>
  </r>
  <r>
    <x v="13"/>
    <x v="154"/>
    <x v="558"/>
  </r>
  <r>
    <x v="13"/>
    <x v="154"/>
    <x v="559"/>
  </r>
  <r>
    <x v="13"/>
    <x v="154"/>
    <x v="560"/>
  </r>
  <r>
    <x v="13"/>
    <x v="154"/>
    <x v="561"/>
  </r>
  <r>
    <x v="13"/>
    <x v="154"/>
    <x v="562"/>
  </r>
  <r>
    <x v="13"/>
    <x v="154"/>
    <x v="563"/>
  </r>
  <r>
    <x v="13"/>
    <x v="154"/>
    <x v="564"/>
  </r>
  <r>
    <x v="13"/>
    <x v="154"/>
    <x v="565"/>
  </r>
  <r>
    <x v="13"/>
    <x v="154"/>
    <x v="566"/>
  </r>
  <r>
    <x v="13"/>
    <x v="155"/>
    <x v="567"/>
  </r>
  <r>
    <x v="13"/>
    <x v="155"/>
    <x v="568"/>
  </r>
  <r>
    <x v="13"/>
    <x v="155"/>
    <x v="569"/>
  </r>
  <r>
    <x v="13"/>
    <x v="155"/>
    <x v="570"/>
  </r>
  <r>
    <x v="13"/>
    <x v="155"/>
    <x v="571"/>
  </r>
  <r>
    <x v="13"/>
    <x v="156"/>
    <x v="572"/>
  </r>
  <r>
    <x v="13"/>
    <x v="156"/>
    <x v="573"/>
  </r>
  <r>
    <x v="13"/>
    <x v="157"/>
    <x v="574"/>
  </r>
  <r>
    <x v="13"/>
    <x v="157"/>
    <x v="575"/>
  </r>
  <r>
    <x v="13"/>
    <x v="158"/>
    <x v="576"/>
  </r>
  <r>
    <x v="13"/>
    <x v="158"/>
    <x v="577"/>
  </r>
  <r>
    <x v="13"/>
    <x v="159"/>
    <x v="578"/>
  </r>
  <r>
    <x v="13"/>
    <x v="159"/>
    <x v="579"/>
  </r>
  <r>
    <x v="13"/>
    <x v="159"/>
    <x v="580"/>
  </r>
  <r>
    <x v="14"/>
    <x v="160"/>
    <x v="581"/>
  </r>
  <r>
    <x v="14"/>
    <x v="160"/>
    <x v="582"/>
  </r>
  <r>
    <x v="14"/>
    <x v="160"/>
    <x v="583"/>
  </r>
  <r>
    <x v="14"/>
    <x v="161"/>
    <x v="584"/>
  </r>
  <r>
    <x v="14"/>
    <x v="161"/>
    <x v="585"/>
  </r>
  <r>
    <x v="14"/>
    <x v="161"/>
    <x v="430"/>
  </r>
  <r>
    <x v="14"/>
    <x v="162"/>
    <x v="586"/>
  </r>
  <r>
    <x v="14"/>
    <x v="162"/>
    <x v="587"/>
  </r>
  <r>
    <x v="14"/>
    <x v="162"/>
    <x v="588"/>
  </r>
  <r>
    <x v="14"/>
    <x v="163"/>
    <x v="589"/>
  </r>
  <r>
    <x v="14"/>
    <x v="163"/>
    <x v="590"/>
  </r>
  <r>
    <x v="14"/>
    <x v="164"/>
    <x v="591"/>
  </r>
  <r>
    <x v="14"/>
    <x v="164"/>
    <x v="592"/>
  </r>
  <r>
    <x v="14"/>
    <x v="165"/>
    <x v="593"/>
  </r>
  <r>
    <x v="14"/>
    <x v="165"/>
    <x v="594"/>
  </r>
  <r>
    <x v="14"/>
    <x v="166"/>
    <x v="595"/>
  </r>
  <r>
    <x v="14"/>
    <x v="166"/>
    <x v="596"/>
  </r>
  <r>
    <x v="15"/>
    <x v="167"/>
    <x v="597"/>
  </r>
  <r>
    <x v="15"/>
    <x v="167"/>
    <x v="598"/>
  </r>
  <r>
    <x v="15"/>
    <x v="168"/>
    <x v="599"/>
  </r>
  <r>
    <x v="15"/>
    <x v="168"/>
    <x v="600"/>
  </r>
  <r>
    <x v="15"/>
    <x v="169"/>
    <x v="601"/>
  </r>
  <r>
    <x v="15"/>
    <x v="169"/>
    <x v="602"/>
  </r>
  <r>
    <x v="15"/>
    <x v="170"/>
    <x v="603"/>
  </r>
  <r>
    <x v="15"/>
    <x v="170"/>
    <x v="604"/>
  </r>
  <r>
    <x v="15"/>
    <x v="171"/>
    <x v="605"/>
  </r>
  <r>
    <x v="15"/>
    <x v="171"/>
    <x v="606"/>
  </r>
  <r>
    <x v="15"/>
    <x v="171"/>
    <x v="607"/>
  </r>
  <r>
    <x v="15"/>
    <x v="171"/>
    <x v="608"/>
  </r>
  <r>
    <x v="15"/>
    <x v="171"/>
    <x v="609"/>
  </r>
  <r>
    <x v="15"/>
    <x v="171"/>
    <x v="610"/>
  </r>
  <r>
    <x v="15"/>
    <x v="171"/>
    <x v="611"/>
  </r>
  <r>
    <x v="15"/>
    <x v="171"/>
    <x v="612"/>
  </r>
  <r>
    <x v="15"/>
    <x v="171"/>
    <x v="613"/>
  </r>
  <r>
    <x v="15"/>
    <x v="171"/>
    <x v="614"/>
  </r>
  <r>
    <x v="15"/>
    <x v="171"/>
    <x v="615"/>
  </r>
  <r>
    <x v="15"/>
    <x v="171"/>
    <x v="616"/>
  </r>
  <r>
    <x v="15"/>
    <x v="171"/>
    <x v="617"/>
  </r>
  <r>
    <x v="15"/>
    <x v="171"/>
    <x v="618"/>
  </r>
  <r>
    <x v="15"/>
    <x v="171"/>
    <x v="619"/>
  </r>
  <r>
    <x v="15"/>
    <x v="171"/>
    <x v="620"/>
  </r>
  <r>
    <x v="15"/>
    <x v="171"/>
    <x v="621"/>
  </r>
  <r>
    <x v="15"/>
    <x v="171"/>
    <x v="622"/>
  </r>
  <r>
    <x v="15"/>
    <x v="171"/>
    <x v="623"/>
  </r>
  <r>
    <x v="15"/>
    <x v="171"/>
    <x v="624"/>
  </r>
  <r>
    <x v="15"/>
    <x v="171"/>
    <x v="625"/>
  </r>
  <r>
    <x v="15"/>
    <x v="171"/>
    <x v="626"/>
  </r>
  <r>
    <x v="15"/>
    <x v="171"/>
    <x v="627"/>
  </r>
  <r>
    <x v="15"/>
    <x v="171"/>
    <x v="628"/>
  </r>
  <r>
    <x v="15"/>
    <x v="171"/>
    <x v="629"/>
  </r>
  <r>
    <x v="15"/>
    <x v="171"/>
    <x v="630"/>
  </r>
  <r>
    <x v="15"/>
    <x v="171"/>
    <x v="631"/>
  </r>
  <r>
    <x v="15"/>
    <x v="171"/>
    <x v="632"/>
  </r>
  <r>
    <x v="15"/>
    <x v="171"/>
    <x v="633"/>
  </r>
  <r>
    <x v="15"/>
    <x v="171"/>
    <x v="634"/>
  </r>
  <r>
    <x v="15"/>
    <x v="171"/>
    <x v="635"/>
  </r>
  <r>
    <x v="15"/>
    <x v="171"/>
    <x v="636"/>
  </r>
  <r>
    <x v="15"/>
    <x v="171"/>
    <x v="637"/>
  </r>
  <r>
    <x v="15"/>
    <x v="171"/>
    <x v="638"/>
  </r>
  <r>
    <x v="15"/>
    <x v="171"/>
    <x v="639"/>
  </r>
  <r>
    <x v="15"/>
    <x v="171"/>
    <x v="640"/>
  </r>
  <r>
    <x v="15"/>
    <x v="171"/>
    <x v="641"/>
  </r>
  <r>
    <x v="15"/>
    <x v="171"/>
    <x v="642"/>
  </r>
  <r>
    <x v="15"/>
    <x v="171"/>
    <x v="643"/>
  </r>
  <r>
    <x v="15"/>
    <x v="171"/>
    <x v="644"/>
  </r>
  <r>
    <x v="15"/>
    <x v="171"/>
    <x v="645"/>
  </r>
  <r>
    <x v="15"/>
    <x v="171"/>
    <x v="646"/>
  </r>
  <r>
    <x v="15"/>
    <x v="171"/>
    <x v="647"/>
  </r>
  <r>
    <x v="15"/>
    <x v="171"/>
    <x v="648"/>
  </r>
  <r>
    <x v="15"/>
    <x v="172"/>
    <x v="649"/>
  </r>
  <r>
    <x v="15"/>
    <x v="172"/>
    <x v="650"/>
  </r>
  <r>
    <x v="15"/>
    <x v="172"/>
    <x v="651"/>
  </r>
  <r>
    <x v="15"/>
    <x v="172"/>
    <x v="652"/>
  </r>
  <r>
    <x v="15"/>
    <x v="172"/>
    <x v="653"/>
  </r>
  <r>
    <x v="15"/>
    <x v="172"/>
    <x v="654"/>
  </r>
  <r>
    <x v="15"/>
    <x v="173"/>
    <x v="655"/>
  </r>
  <r>
    <x v="15"/>
    <x v="173"/>
    <x v="656"/>
  </r>
  <r>
    <x v="15"/>
    <x v="173"/>
    <x v="657"/>
  </r>
  <r>
    <x v="15"/>
    <x v="173"/>
    <x v="658"/>
  </r>
  <r>
    <x v="15"/>
    <x v="173"/>
    <x v="659"/>
  </r>
  <r>
    <x v="15"/>
    <x v="173"/>
    <x v="660"/>
  </r>
  <r>
    <x v="15"/>
    <x v="173"/>
    <x v="661"/>
  </r>
  <r>
    <x v="15"/>
    <x v="174"/>
    <x v="662"/>
  </r>
  <r>
    <x v="15"/>
    <x v="174"/>
    <x v="663"/>
  </r>
  <r>
    <x v="15"/>
    <x v="174"/>
    <x v="664"/>
  </r>
  <r>
    <x v="15"/>
    <x v="174"/>
    <x v="665"/>
  </r>
  <r>
    <x v="15"/>
    <x v="174"/>
    <x v="666"/>
  </r>
  <r>
    <x v="15"/>
    <x v="174"/>
    <x v="667"/>
  </r>
  <r>
    <x v="15"/>
    <x v="174"/>
    <x v="668"/>
  </r>
  <r>
    <x v="15"/>
    <x v="174"/>
    <x v="669"/>
  </r>
  <r>
    <x v="15"/>
    <x v="174"/>
    <x v="670"/>
  </r>
  <r>
    <x v="15"/>
    <x v="174"/>
    <x v="671"/>
  </r>
  <r>
    <x v="15"/>
    <x v="174"/>
    <x v="672"/>
  </r>
  <r>
    <x v="15"/>
    <x v="174"/>
    <x v="673"/>
  </r>
  <r>
    <x v="15"/>
    <x v="175"/>
    <x v="674"/>
  </r>
  <r>
    <x v="15"/>
    <x v="175"/>
    <x v="675"/>
  </r>
  <r>
    <x v="15"/>
    <x v="176"/>
    <x v="676"/>
  </r>
  <r>
    <x v="15"/>
    <x v="176"/>
    <x v="677"/>
  </r>
  <r>
    <x v="15"/>
    <x v="177"/>
    <x v="678"/>
  </r>
  <r>
    <x v="15"/>
    <x v="177"/>
    <x v="679"/>
  </r>
  <r>
    <x v="15"/>
    <x v="178"/>
    <x v="680"/>
  </r>
  <r>
    <x v="15"/>
    <x v="178"/>
    <x v="681"/>
  </r>
  <r>
    <x v="15"/>
    <x v="179"/>
    <x v="682"/>
  </r>
  <r>
    <x v="15"/>
    <x v="179"/>
    <x v="683"/>
  </r>
  <r>
    <x v="15"/>
    <x v="180"/>
    <x v="684"/>
  </r>
  <r>
    <x v="15"/>
    <x v="180"/>
    <x v="685"/>
  </r>
  <r>
    <x v="15"/>
    <x v="181"/>
    <x v="686"/>
  </r>
  <r>
    <x v="15"/>
    <x v="181"/>
    <x v="687"/>
  </r>
  <r>
    <x v="15"/>
    <x v="182"/>
    <x v="688"/>
  </r>
  <r>
    <x v="15"/>
    <x v="182"/>
    <x v="689"/>
  </r>
  <r>
    <x v="15"/>
    <x v="183"/>
    <x v="690"/>
  </r>
  <r>
    <x v="15"/>
    <x v="183"/>
    <x v="691"/>
  </r>
  <r>
    <x v="15"/>
    <x v="184"/>
    <x v="692"/>
  </r>
  <r>
    <x v="15"/>
    <x v="184"/>
    <x v="693"/>
  </r>
  <r>
    <x v="15"/>
    <x v="184"/>
    <x v="694"/>
  </r>
  <r>
    <x v="15"/>
    <x v="185"/>
    <x v="695"/>
  </r>
  <r>
    <x v="15"/>
    <x v="185"/>
    <x v="696"/>
  </r>
  <r>
    <x v="15"/>
    <x v="186"/>
    <x v="697"/>
  </r>
  <r>
    <x v="15"/>
    <x v="186"/>
    <x v="698"/>
  </r>
  <r>
    <x v="15"/>
    <x v="187"/>
    <x v="699"/>
  </r>
  <r>
    <x v="15"/>
    <x v="187"/>
    <x v="700"/>
  </r>
  <r>
    <x v="15"/>
    <x v="188"/>
    <x v="701"/>
  </r>
  <r>
    <x v="15"/>
    <x v="188"/>
    <x v="702"/>
  </r>
  <r>
    <x v="15"/>
    <x v="188"/>
    <x v="703"/>
  </r>
  <r>
    <x v="15"/>
    <x v="188"/>
    <x v="704"/>
  </r>
  <r>
    <x v="15"/>
    <x v="188"/>
    <x v="705"/>
  </r>
  <r>
    <x v="15"/>
    <x v="188"/>
    <x v="706"/>
  </r>
  <r>
    <x v="15"/>
    <x v="188"/>
    <x v="707"/>
  </r>
  <r>
    <x v="15"/>
    <x v="188"/>
    <x v="708"/>
  </r>
  <r>
    <x v="15"/>
    <x v="188"/>
    <x v="709"/>
  </r>
  <r>
    <x v="15"/>
    <x v="188"/>
    <x v="710"/>
  </r>
  <r>
    <x v="15"/>
    <x v="189"/>
    <x v="711"/>
  </r>
  <r>
    <x v="15"/>
    <x v="189"/>
    <x v="712"/>
  </r>
  <r>
    <x v="15"/>
    <x v="189"/>
    <x v="713"/>
  </r>
  <r>
    <x v="15"/>
    <x v="189"/>
    <x v="714"/>
  </r>
  <r>
    <x v="15"/>
    <x v="189"/>
    <x v="715"/>
  </r>
  <r>
    <x v="15"/>
    <x v="189"/>
    <x v="716"/>
  </r>
  <r>
    <x v="15"/>
    <x v="189"/>
    <x v="717"/>
  </r>
  <r>
    <x v="15"/>
    <x v="189"/>
    <x v="718"/>
  </r>
  <r>
    <x v="15"/>
    <x v="189"/>
    <x v="719"/>
  </r>
  <r>
    <x v="15"/>
    <x v="189"/>
    <x v="720"/>
  </r>
  <r>
    <x v="15"/>
    <x v="190"/>
    <x v="721"/>
  </r>
  <r>
    <x v="15"/>
    <x v="190"/>
    <x v="722"/>
  </r>
  <r>
    <x v="15"/>
    <x v="191"/>
    <x v="723"/>
  </r>
  <r>
    <x v="15"/>
    <x v="191"/>
    <x v="724"/>
  </r>
  <r>
    <x v="15"/>
    <x v="191"/>
    <x v="725"/>
  </r>
  <r>
    <x v="15"/>
    <x v="191"/>
    <x v="726"/>
  </r>
  <r>
    <x v="15"/>
    <x v="191"/>
    <x v="727"/>
  </r>
  <r>
    <x v="15"/>
    <x v="191"/>
    <x v="728"/>
  </r>
  <r>
    <x v="15"/>
    <x v="191"/>
    <x v="729"/>
  </r>
  <r>
    <x v="15"/>
    <x v="192"/>
    <x v="730"/>
  </r>
  <r>
    <x v="15"/>
    <x v="192"/>
    <x v="731"/>
  </r>
  <r>
    <x v="16"/>
    <x v="193"/>
    <x v="732"/>
  </r>
  <r>
    <x v="16"/>
    <x v="193"/>
    <x v="733"/>
  </r>
  <r>
    <x v="16"/>
    <x v="194"/>
    <x v="734"/>
  </r>
  <r>
    <x v="16"/>
    <x v="194"/>
    <x v="735"/>
  </r>
  <r>
    <x v="16"/>
    <x v="195"/>
    <x v="736"/>
  </r>
  <r>
    <x v="16"/>
    <x v="195"/>
    <x v="737"/>
  </r>
  <r>
    <x v="16"/>
    <x v="195"/>
    <x v="738"/>
  </r>
  <r>
    <x v="16"/>
    <x v="195"/>
    <x v="739"/>
  </r>
  <r>
    <x v="16"/>
    <x v="196"/>
    <x v="740"/>
  </r>
  <r>
    <x v="16"/>
    <x v="196"/>
    <x v="741"/>
  </r>
  <r>
    <x v="16"/>
    <x v="196"/>
    <x v="742"/>
  </r>
  <r>
    <x v="16"/>
    <x v="196"/>
    <x v="743"/>
  </r>
  <r>
    <x v="17"/>
    <x v="197"/>
    <x v="744"/>
  </r>
  <r>
    <x v="17"/>
    <x v="197"/>
    <x v="745"/>
  </r>
  <r>
    <x v="17"/>
    <x v="198"/>
    <x v="746"/>
  </r>
  <r>
    <x v="17"/>
    <x v="198"/>
    <x v="747"/>
  </r>
  <r>
    <x v="17"/>
    <x v="199"/>
    <x v="748"/>
  </r>
  <r>
    <x v="17"/>
    <x v="199"/>
    <x v="749"/>
  </r>
  <r>
    <x v="17"/>
    <x v="200"/>
    <x v="750"/>
  </r>
  <r>
    <x v="17"/>
    <x v="200"/>
    <x v="751"/>
  </r>
  <r>
    <x v="17"/>
    <x v="201"/>
    <x v="752"/>
  </r>
  <r>
    <x v="17"/>
    <x v="201"/>
    <x v="753"/>
  </r>
  <r>
    <x v="17"/>
    <x v="201"/>
    <x v="754"/>
  </r>
  <r>
    <x v="17"/>
    <x v="201"/>
    <x v="755"/>
  </r>
  <r>
    <x v="17"/>
    <x v="201"/>
    <x v="756"/>
  </r>
  <r>
    <x v="17"/>
    <x v="201"/>
    <x v="757"/>
  </r>
  <r>
    <x v="17"/>
    <x v="201"/>
    <x v="758"/>
  </r>
  <r>
    <x v="17"/>
    <x v="201"/>
    <x v="759"/>
  </r>
  <r>
    <x v="17"/>
    <x v="202"/>
    <x v="760"/>
  </r>
  <r>
    <x v="17"/>
    <x v="202"/>
    <x v="761"/>
  </r>
  <r>
    <x v="17"/>
    <x v="203"/>
    <x v="762"/>
  </r>
  <r>
    <x v="17"/>
    <x v="203"/>
    <x v="763"/>
  </r>
  <r>
    <x v="17"/>
    <x v="203"/>
    <x v="764"/>
  </r>
  <r>
    <x v="17"/>
    <x v="204"/>
    <x v="765"/>
  </r>
  <r>
    <x v="17"/>
    <x v="204"/>
    <x v="766"/>
  </r>
  <r>
    <x v="17"/>
    <x v="205"/>
    <x v="767"/>
  </r>
  <r>
    <x v="17"/>
    <x v="205"/>
    <x v="768"/>
  </r>
  <r>
    <x v="17"/>
    <x v="206"/>
    <x v="769"/>
  </r>
  <r>
    <x v="17"/>
    <x v="206"/>
    <x v="770"/>
  </r>
  <r>
    <x v="17"/>
    <x v="207"/>
    <x v="771"/>
  </r>
  <r>
    <x v="17"/>
    <x v="207"/>
    <x v="772"/>
  </r>
  <r>
    <x v="17"/>
    <x v="208"/>
    <x v="773"/>
  </r>
  <r>
    <x v="17"/>
    <x v="208"/>
    <x v="774"/>
  </r>
  <r>
    <x v="17"/>
    <x v="209"/>
    <x v="775"/>
  </r>
  <r>
    <x v="17"/>
    <x v="209"/>
    <x v="776"/>
  </r>
  <r>
    <x v="17"/>
    <x v="210"/>
    <x v="777"/>
  </r>
  <r>
    <x v="17"/>
    <x v="210"/>
    <x v="778"/>
  </r>
  <r>
    <x v="17"/>
    <x v="210"/>
    <x v="779"/>
  </r>
  <r>
    <x v="17"/>
    <x v="211"/>
    <x v="780"/>
  </r>
  <r>
    <x v="17"/>
    <x v="211"/>
    <x v="781"/>
  </r>
  <r>
    <x v="17"/>
    <x v="212"/>
    <x v="782"/>
  </r>
  <r>
    <x v="17"/>
    <x v="212"/>
    <x v="783"/>
  </r>
  <r>
    <x v="17"/>
    <x v="213"/>
    <x v="784"/>
  </r>
  <r>
    <x v="17"/>
    <x v="213"/>
    <x v="785"/>
  </r>
  <r>
    <x v="18"/>
    <x v="214"/>
    <x v="786"/>
  </r>
  <r>
    <x v="18"/>
    <x v="214"/>
    <x v="787"/>
  </r>
  <r>
    <x v="18"/>
    <x v="215"/>
    <x v="788"/>
  </r>
  <r>
    <x v="18"/>
    <x v="215"/>
    <x v="789"/>
  </r>
  <r>
    <x v="18"/>
    <x v="215"/>
    <x v="790"/>
  </r>
  <r>
    <x v="18"/>
    <x v="216"/>
    <x v="791"/>
  </r>
  <r>
    <x v="18"/>
    <x v="216"/>
    <x v="792"/>
  </r>
  <r>
    <x v="18"/>
    <x v="216"/>
    <x v="793"/>
  </r>
  <r>
    <x v="18"/>
    <x v="216"/>
    <x v="794"/>
  </r>
  <r>
    <x v="18"/>
    <x v="217"/>
    <x v="795"/>
  </r>
  <r>
    <x v="18"/>
    <x v="217"/>
    <x v="796"/>
  </r>
  <r>
    <x v="18"/>
    <x v="218"/>
    <x v="797"/>
  </r>
  <r>
    <x v="18"/>
    <x v="218"/>
    <x v="798"/>
  </r>
  <r>
    <x v="18"/>
    <x v="218"/>
    <x v="799"/>
  </r>
  <r>
    <x v="18"/>
    <x v="219"/>
    <x v="800"/>
  </r>
  <r>
    <x v="18"/>
    <x v="219"/>
    <x v="801"/>
  </r>
  <r>
    <x v="18"/>
    <x v="219"/>
    <x v="802"/>
  </r>
  <r>
    <x v="18"/>
    <x v="219"/>
    <x v="803"/>
  </r>
  <r>
    <x v="18"/>
    <x v="219"/>
    <x v="804"/>
  </r>
  <r>
    <x v="18"/>
    <x v="219"/>
    <x v="805"/>
  </r>
  <r>
    <x v="18"/>
    <x v="219"/>
    <x v="806"/>
  </r>
  <r>
    <x v="18"/>
    <x v="219"/>
    <x v="807"/>
  </r>
  <r>
    <x v="18"/>
    <x v="219"/>
    <x v="808"/>
  </r>
  <r>
    <x v="18"/>
    <x v="219"/>
    <x v="809"/>
  </r>
  <r>
    <x v="18"/>
    <x v="219"/>
    <x v="810"/>
  </r>
  <r>
    <x v="18"/>
    <x v="219"/>
    <x v="811"/>
  </r>
  <r>
    <x v="18"/>
    <x v="219"/>
    <x v="812"/>
  </r>
  <r>
    <x v="18"/>
    <x v="220"/>
    <x v="813"/>
  </r>
  <r>
    <x v="18"/>
    <x v="220"/>
    <x v="814"/>
  </r>
  <r>
    <x v="18"/>
    <x v="220"/>
    <x v="815"/>
  </r>
  <r>
    <x v="18"/>
    <x v="220"/>
    <x v="816"/>
  </r>
  <r>
    <x v="18"/>
    <x v="220"/>
    <x v="817"/>
  </r>
  <r>
    <x v="18"/>
    <x v="220"/>
    <x v="818"/>
  </r>
  <r>
    <x v="18"/>
    <x v="220"/>
    <x v="819"/>
  </r>
  <r>
    <x v="18"/>
    <x v="220"/>
    <x v="820"/>
  </r>
  <r>
    <x v="18"/>
    <x v="220"/>
    <x v="821"/>
  </r>
  <r>
    <x v="18"/>
    <x v="220"/>
    <x v="822"/>
  </r>
  <r>
    <x v="18"/>
    <x v="220"/>
    <x v="823"/>
  </r>
  <r>
    <x v="18"/>
    <x v="220"/>
    <x v="824"/>
  </r>
  <r>
    <x v="18"/>
    <x v="220"/>
    <x v="825"/>
  </r>
  <r>
    <x v="18"/>
    <x v="220"/>
    <x v="826"/>
  </r>
  <r>
    <x v="18"/>
    <x v="220"/>
    <x v="827"/>
  </r>
  <r>
    <x v="18"/>
    <x v="220"/>
    <x v="828"/>
  </r>
  <r>
    <x v="18"/>
    <x v="220"/>
    <x v="829"/>
  </r>
  <r>
    <x v="18"/>
    <x v="220"/>
    <x v="830"/>
  </r>
  <r>
    <x v="18"/>
    <x v="220"/>
    <x v="831"/>
  </r>
  <r>
    <x v="18"/>
    <x v="220"/>
    <x v="832"/>
  </r>
  <r>
    <x v="18"/>
    <x v="220"/>
    <x v="833"/>
  </r>
  <r>
    <x v="18"/>
    <x v="220"/>
    <x v="834"/>
  </r>
  <r>
    <x v="18"/>
    <x v="220"/>
    <x v="835"/>
  </r>
  <r>
    <x v="18"/>
    <x v="220"/>
    <x v="836"/>
  </r>
  <r>
    <x v="18"/>
    <x v="220"/>
    <x v="837"/>
  </r>
  <r>
    <x v="18"/>
    <x v="220"/>
    <x v="838"/>
  </r>
  <r>
    <x v="18"/>
    <x v="221"/>
    <x v="839"/>
  </r>
  <r>
    <x v="18"/>
    <x v="221"/>
    <x v="840"/>
  </r>
  <r>
    <x v="18"/>
    <x v="221"/>
    <x v="841"/>
  </r>
  <r>
    <x v="18"/>
    <x v="222"/>
    <x v="842"/>
  </r>
  <r>
    <x v="18"/>
    <x v="222"/>
    <x v="843"/>
  </r>
  <r>
    <x v="18"/>
    <x v="222"/>
    <x v="844"/>
  </r>
  <r>
    <x v="18"/>
    <x v="222"/>
    <x v="845"/>
  </r>
  <r>
    <x v="18"/>
    <x v="222"/>
    <x v="846"/>
  </r>
  <r>
    <x v="18"/>
    <x v="222"/>
    <x v="847"/>
  </r>
  <r>
    <x v="18"/>
    <x v="222"/>
    <x v="848"/>
  </r>
  <r>
    <x v="18"/>
    <x v="222"/>
    <x v="849"/>
  </r>
  <r>
    <x v="18"/>
    <x v="222"/>
    <x v="850"/>
  </r>
  <r>
    <x v="18"/>
    <x v="222"/>
    <x v="851"/>
  </r>
  <r>
    <x v="18"/>
    <x v="222"/>
    <x v="852"/>
  </r>
  <r>
    <x v="18"/>
    <x v="222"/>
    <x v="853"/>
  </r>
  <r>
    <x v="18"/>
    <x v="222"/>
    <x v="854"/>
  </r>
  <r>
    <x v="18"/>
    <x v="222"/>
    <x v="855"/>
  </r>
  <r>
    <x v="18"/>
    <x v="222"/>
    <x v="856"/>
  </r>
  <r>
    <x v="18"/>
    <x v="223"/>
    <x v="857"/>
  </r>
  <r>
    <x v="18"/>
    <x v="223"/>
    <x v="858"/>
  </r>
  <r>
    <x v="18"/>
    <x v="223"/>
    <x v="859"/>
  </r>
  <r>
    <x v="18"/>
    <x v="223"/>
    <x v="860"/>
  </r>
  <r>
    <x v="18"/>
    <x v="223"/>
    <x v="861"/>
  </r>
  <r>
    <x v="18"/>
    <x v="223"/>
    <x v="862"/>
  </r>
  <r>
    <x v="18"/>
    <x v="223"/>
    <x v="863"/>
  </r>
  <r>
    <x v="18"/>
    <x v="223"/>
    <x v="864"/>
  </r>
  <r>
    <x v="18"/>
    <x v="223"/>
    <x v="865"/>
  </r>
  <r>
    <x v="18"/>
    <x v="223"/>
    <x v="866"/>
  </r>
  <r>
    <x v="18"/>
    <x v="223"/>
    <x v="867"/>
  </r>
  <r>
    <x v="18"/>
    <x v="223"/>
    <x v="868"/>
  </r>
  <r>
    <x v="18"/>
    <x v="223"/>
    <x v="869"/>
  </r>
  <r>
    <x v="18"/>
    <x v="223"/>
    <x v="870"/>
  </r>
  <r>
    <x v="18"/>
    <x v="223"/>
    <x v="871"/>
  </r>
  <r>
    <x v="18"/>
    <x v="223"/>
    <x v="872"/>
  </r>
  <r>
    <x v="18"/>
    <x v="223"/>
    <x v="873"/>
  </r>
  <r>
    <x v="18"/>
    <x v="224"/>
    <x v="874"/>
  </r>
  <r>
    <x v="18"/>
    <x v="224"/>
    <x v="875"/>
  </r>
  <r>
    <x v="18"/>
    <x v="225"/>
    <x v="876"/>
  </r>
  <r>
    <x v="18"/>
    <x v="225"/>
    <x v="877"/>
  </r>
  <r>
    <x v="18"/>
    <x v="226"/>
    <x v="878"/>
  </r>
  <r>
    <x v="18"/>
    <x v="226"/>
    <x v="879"/>
  </r>
  <r>
    <x v="18"/>
    <x v="227"/>
    <x v="880"/>
  </r>
  <r>
    <x v="18"/>
    <x v="227"/>
    <x v="881"/>
  </r>
  <r>
    <x v="18"/>
    <x v="227"/>
    <x v="882"/>
  </r>
  <r>
    <x v="18"/>
    <x v="228"/>
    <x v="883"/>
  </r>
  <r>
    <x v="18"/>
    <x v="228"/>
    <x v="884"/>
  </r>
  <r>
    <x v="18"/>
    <x v="229"/>
    <x v="885"/>
  </r>
  <r>
    <x v="18"/>
    <x v="229"/>
    <x v="886"/>
  </r>
  <r>
    <x v="18"/>
    <x v="229"/>
    <x v="887"/>
  </r>
  <r>
    <x v="18"/>
    <x v="229"/>
    <x v="888"/>
  </r>
  <r>
    <x v="18"/>
    <x v="230"/>
    <x v="889"/>
  </r>
  <r>
    <x v="18"/>
    <x v="230"/>
    <x v="890"/>
  </r>
  <r>
    <x v="18"/>
    <x v="231"/>
    <x v="891"/>
  </r>
  <r>
    <x v="18"/>
    <x v="231"/>
    <x v="892"/>
  </r>
  <r>
    <x v="18"/>
    <x v="231"/>
    <x v="893"/>
  </r>
  <r>
    <x v="18"/>
    <x v="232"/>
    <x v="894"/>
  </r>
  <r>
    <x v="18"/>
    <x v="232"/>
    <x v="895"/>
  </r>
  <r>
    <x v="18"/>
    <x v="232"/>
    <x v="896"/>
  </r>
  <r>
    <x v="18"/>
    <x v="232"/>
    <x v="897"/>
  </r>
  <r>
    <x v="18"/>
    <x v="232"/>
    <x v="898"/>
  </r>
  <r>
    <x v="18"/>
    <x v="232"/>
    <x v="899"/>
  </r>
  <r>
    <x v="18"/>
    <x v="232"/>
    <x v="900"/>
  </r>
  <r>
    <x v="18"/>
    <x v="232"/>
    <x v="901"/>
  </r>
  <r>
    <x v="18"/>
    <x v="232"/>
    <x v="902"/>
  </r>
  <r>
    <x v="18"/>
    <x v="232"/>
    <x v="903"/>
  </r>
  <r>
    <x v="18"/>
    <x v="232"/>
    <x v="904"/>
  </r>
  <r>
    <x v="18"/>
    <x v="232"/>
    <x v="905"/>
  </r>
  <r>
    <x v="18"/>
    <x v="232"/>
    <x v="906"/>
  </r>
  <r>
    <x v="18"/>
    <x v="232"/>
    <x v="907"/>
  </r>
  <r>
    <x v="18"/>
    <x v="232"/>
    <x v="908"/>
  </r>
  <r>
    <x v="18"/>
    <x v="232"/>
    <x v="909"/>
  </r>
  <r>
    <x v="18"/>
    <x v="232"/>
    <x v="910"/>
  </r>
  <r>
    <x v="18"/>
    <x v="232"/>
    <x v="911"/>
  </r>
  <r>
    <x v="18"/>
    <x v="232"/>
    <x v="912"/>
  </r>
  <r>
    <x v="18"/>
    <x v="232"/>
    <x v="913"/>
  </r>
  <r>
    <x v="18"/>
    <x v="232"/>
    <x v="914"/>
  </r>
  <r>
    <x v="18"/>
    <x v="232"/>
    <x v="915"/>
  </r>
  <r>
    <x v="18"/>
    <x v="232"/>
    <x v="916"/>
  </r>
  <r>
    <x v="18"/>
    <x v="232"/>
    <x v="917"/>
  </r>
  <r>
    <x v="18"/>
    <x v="232"/>
    <x v="918"/>
  </r>
  <r>
    <x v="18"/>
    <x v="232"/>
    <x v="919"/>
  </r>
  <r>
    <x v="18"/>
    <x v="232"/>
    <x v="920"/>
  </r>
  <r>
    <x v="18"/>
    <x v="232"/>
    <x v="921"/>
  </r>
  <r>
    <x v="18"/>
    <x v="232"/>
    <x v="922"/>
  </r>
  <r>
    <x v="18"/>
    <x v="232"/>
    <x v="923"/>
  </r>
  <r>
    <x v="18"/>
    <x v="232"/>
    <x v="924"/>
  </r>
  <r>
    <x v="18"/>
    <x v="232"/>
    <x v="925"/>
  </r>
  <r>
    <x v="18"/>
    <x v="232"/>
    <x v="926"/>
  </r>
  <r>
    <x v="18"/>
    <x v="232"/>
    <x v="927"/>
  </r>
  <r>
    <x v="18"/>
    <x v="232"/>
    <x v="928"/>
  </r>
  <r>
    <x v="18"/>
    <x v="232"/>
    <x v="929"/>
  </r>
  <r>
    <x v="18"/>
    <x v="232"/>
    <x v="930"/>
  </r>
  <r>
    <x v="18"/>
    <x v="232"/>
    <x v="931"/>
  </r>
  <r>
    <x v="18"/>
    <x v="232"/>
    <x v="932"/>
  </r>
  <r>
    <x v="18"/>
    <x v="232"/>
    <x v="933"/>
  </r>
  <r>
    <x v="18"/>
    <x v="232"/>
    <x v="934"/>
  </r>
  <r>
    <x v="18"/>
    <x v="232"/>
    <x v="935"/>
  </r>
  <r>
    <x v="18"/>
    <x v="232"/>
    <x v="936"/>
  </r>
  <r>
    <x v="18"/>
    <x v="232"/>
    <x v="937"/>
  </r>
  <r>
    <x v="18"/>
    <x v="232"/>
    <x v="938"/>
  </r>
  <r>
    <x v="18"/>
    <x v="232"/>
    <x v="939"/>
  </r>
  <r>
    <x v="18"/>
    <x v="232"/>
    <x v="940"/>
  </r>
  <r>
    <x v="18"/>
    <x v="232"/>
    <x v="941"/>
  </r>
  <r>
    <x v="18"/>
    <x v="232"/>
    <x v="942"/>
  </r>
  <r>
    <x v="18"/>
    <x v="232"/>
    <x v="943"/>
  </r>
  <r>
    <x v="18"/>
    <x v="232"/>
    <x v="944"/>
  </r>
  <r>
    <x v="18"/>
    <x v="232"/>
    <x v="945"/>
  </r>
  <r>
    <x v="18"/>
    <x v="232"/>
    <x v="946"/>
  </r>
  <r>
    <x v="18"/>
    <x v="232"/>
    <x v="947"/>
  </r>
  <r>
    <x v="18"/>
    <x v="232"/>
    <x v="948"/>
  </r>
  <r>
    <x v="18"/>
    <x v="232"/>
    <x v="949"/>
  </r>
  <r>
    <x v="18"/>
    <x v="232"/>
    <x v="950"/>
  </r>
  <r>
    <x v="18"/>
    <x v="232"/>
    <x v="951"/>
  </r>
  <r>
    <x v="18"/>
    <x v="232"/>
    <x v="952"/>
  </r>
  <r>
    <x v="18"/>
    <x v="232"/>
    <x v="953"/>
  </r>
  <r>
    <x v="18"/>
    <x v="232"/>
    <x v="954"/>
  </r>
  <r>
    <x v="18"/>
    <x v="232"/>
    <x v="955"/>
  </r>
  <r>
    <x v="18"/>
    <x v="232"/>
    <x v="956"/>
  </r>
  <r>
    <x v="18"/>
    <x v="232"/>
    <x v="957"/>
  </r>
  <r>
    <x v="18"/>
    <x v="232"/>
    <x v="958"/>
  </r>
  <r>
    <x v="18"/>
    <x v="232"/>
    <x v="959"/>
  </r>
  <r>
    <x v="18"/>
    <x v="232"/>
    <x v="960"/>
  </r>
  <r>
    <x v="18"/>
    <x v="232"/>
    <x v="961"/>
  </r>
  <r>
    <x v="18"/>
    <x v="232"/>
    <x v="962"/>
  </r>
  <r>
    <x v="18"/>
    <x v="232"/>
    <x v="963"/>
  </r>
  <r>
    <x v="18"/>
    <x v="232"/>
    <x v="964"/>
  </r>
  <r>
    <x v="18"/>
    <x v="232"/>
    <x v="965"/>
  </r>
  <r>
    <x v="18"/>
    <x v="232"/>
    <x v="966"/>
  </r>
  <r>
    <x v="18"/>
    <x v="232"/>
    <x v="967"/>
  </r>
  <r>
    <x v="18"/>
    <x v="232"/>
    <x v="968"/>
  </r>
  <r>
    <x v="18"/>
    <x v="232"/>
    <x v="969"/>
  </r>
  <r>
    <x v="18"/>
    <x v="232"/>
    <x v="970"/>
  </r>
  <r>
    <x v="18"/>
    <x v="232"/>
    <x v="971"/>
  </r>
  <r>
    <x v="18"/>
    <x v="232"/>
    <x v="972"/>
  </r>
  <r>
    <x v="18"/>
    <x v="232"/>
    <x v="973"/>
  </r>
  <r>
    <x v="18"/>
    <x v="232"/>
    <x v="974"/>
  </r>
  <r>
    <x v="18"/>
    <x v="232"/>
    <x v="975"/>
  </r>
  <r>
    <x v="18"/>
    <x v="232"/>
    <x v="976"/>
  </r>
  <r>
    <x v="18"/>
    <x v="232"/>
    <x v="977"/>
  </r>
  <r>
    <x v="18"/>
    <x v="232"/>
    <x v="978"/>
  </r>
  <r>
    <x v="18"/>
    <x v="232"/>
    <x v="979"/>
  </r>
  <r>
    <x v="18"/>
    <x v="232"/>
    <x v="980"/>
  </r>
  <r>
    <x v="18"/>
    <x v="232"/>
    <x v="981"/>
  </r>
  <r>
    <x v="18"/>
    <x v="232"/>
    <x v="982"/>
  </r>
  <r>
    <x v="18"/>
    <x v="232"/>
    <x v="983"/>
  </r>
  <r>
    <x v="18"/>
    <x v="232"/>
    <x v="984"/>
  </r>
  <r>
    <x v="18"/>
    <x v="232"/>
    <x v="985"/>
  </r>
  <r>
    <x v="18"/>
    <x v="232"/>
    <x v="986"/>
  </r>
  <r>
    <x v="18"/>
    <x v="232"/>
    <x v="987"/>
  </r>
  <r>
    <x v="18"/>
    <x v="232"/>
    <x v="988"/>
  </r>
  <r>
    <x v="18"/>
    <x v="232"/>
    <x v="989"/>
  </r>
  <r>
    <x v="18"/>
    <x v="232"/>
    <x v="990"/>
  </r>
  <r>
    <x v="18"/>
    <x v="232"/>
    <x v="991"/>
  </r>
  <r>
    <x v="18"/>
    <x v="232"/>
    <x v="992"/>
  </r>
  <r>
    <x v="18"/>
    <x v="232"/>
    <x v="993"/>
  </r>
  <r>
    <x v="18"/>
    <x v="232"/>
    <x v="994"/>
  </r>
  <r>
    <x v="18"/>
    <x v="232"/>
    <x v="995"/>
  </r>
  <r>
    <x v="18"/>
    <x v="232"/>
    <x v="996"/>
  </r>
  <r>
    <x v="18"/>
    <x v="232"/>
    <x v="997"/>
  </r>
  <r>
    <x v="18"/>
    <x v="232"/>
    <x v="998"/>
  </r>
  <r>
    <x v="18"/>
    <x v="232"/>
    <x v="999"/>
  </r>
  <r>
    <x v="18"/>
    <x v="232"/>
    <x v="1000"/>
  </r>
  <r>
    <x v="18"/>
    <x v="232"/>
    <x v="1001"/>
  </r>
  <r>
    <x v="18"/>
    <x v="232"/>
    <x v="1002"/>
  </r>
  <r>
    <x v="18"/>
    <x v="232"/>
    <x v="1003"/>
  </r>
  <r>
    <x v="18"/>
    <x v="232"/>
    <x v="1004"/>
  </r>
  <r>
    <x v="18"/>
    <x v="232"/>
    <x v="1005"/>
  </r>
  <r>
    <x v="18"/>
    <x v="232"/>
    <x v="1006"/>
  </r>
  <r>
    <x v="18"/>
    <x v="232"/>
    <x v="1007"/>
  </r>
  <r>
    <x v="18"/>
    <x v="232"/>
    <x v="1008"/>
  </r>
  <r>
    <x v="18"/>
    <x v="232"/>
    <x v="1009"/>
  </r>
  <r>
    <x v="18"/>
    <x v="232"/>
    <x v="1010"/>
  </r>
  <r>
    <x v="18"/>
    <x v="232"/>
    <x v="1011"/>
  </r>
  <r>
    <x v="18"/>
    <x v="232"/>
    <x v="1012"/>
  </r>
  <r>
    <x v="18"/>
    <x v="232"/>
    <x v="1013"/>
  </r>
  <r>
    <x v="18"/>
    <x v="232"/>
    <x v="1014"/>
  </r>
  <r>
    <x v="18"/>
    <x v="232"/>
    <x v="1015"/>
  </r>
  <r>
    <x v="18"/>
    <x v="232"/>
    <x v="1016"/>
  </r>
  <r>
    <x v="18"/>
    <x v="232"/>
    <x v="1017"/>
  </r>
  <r>
    <x v="18"/>
    <x v="232"/>
    <x v="1018"/>
  </r>
  <r>
    <x v="18"/>
    <x v="232"/>
    <x v="1019"/>
  </r>
  <r>
    <x v="18"/>
    <x v="232"/>
    <x v="1020"/>
  </r>
  <r>
    <x v="18"/>
    <x v="232"/>
    <x v="1021"/>
  </r>
  <r>
    <x v="18"/>
    <x v="232"/>
    <x v="1022"/>
  </r>
  <r>
    <x v="18"/>
    <x v="232"/>
    <x v="1023"/>
  </r>
  <r>
    <x v="18"/>
    <x v="232"/>
    <x v="1024"/>
  </r>
  <r>
    <x v="18"/>
    <x v="232"/>
    <x v="1025"/>
  </r>
  <r>
    <x v="18"/>
    <x v="232"/>
    <x v="1026"/>
  </r>
  <r>
    <x v="18"/>
    <x v="232"/>
    <x v="1027"/>
  </r>
  <r>
    <x v="18"/>
    <x v="233"/>
    <x v="1028"/>
  </r>
  <r>
    <x v="18"/>
    <x v="233"/>
    <x v="1029"/>
  </r>
  <r>
    <x v="18"/>
    <x v="233"/>
    <x v="1030"/>
  </r>
  <r>
    <x v="18"/>
    <x v="233"/>
    <x v="1031"/>
  </r>
  <r>
    <x v="18"/>
    <x v="234"/>
    <x v="1032"/>
  </r>
  <r>
    <x v="18"/>
    <x v="234"/>
    <x v="1033"/>
  </r>
  <r>
    <x v="18"/>
    <x v="235"/>
    <x v="1034"/>
  </r>
  <r>
    <x v="18"/>
    <x v="235"/>
    <x v="1035"/>
  </r>
  <r>
    <x v="18"/>
    <x v="235"/>
    <x v="1036"/>
  </r>
  <r>
    <x v="18"/>
    <x v="236"/>
    <x v="1037"/>
  </r>
  <r>
    <x v="18"/>
    <x v="236"/>
    <x v="1038"/>
  </r>
  <r>
    <x v="18"/>
    <x v="237"/>
    <x v="1039"/>
  </r>
  <r>
    <x v="18"/>
    <x v="237"/>
    <x v="1040"/>
  </r>
  <r>
    <x v="18"/>
    <x v="238"/>
    <x v="1041"/>
  </r>
  <r>
    <x v="18"/>
    <x v="238"/>
    <x v="1042"/>
  </r>
  <r>
    <x v="18"/>
    <x v="239"/>
    <x v="1043"/>
  </r>
  <r>
    <x v="18"/>
    <x v="239"/>
    <x v="1044"/>
  </r>
  <r>
    <x v="18"/>
    <x v="239"/>
    <x v="1045"/>
  </r>
  <r>
    <x v="18"/>
    <x v="239"/>
    <x v="1046"/>
  </r>
  <r>
    <x v="18"/>
    <x v="240"/>
    <x v="1047"/>
  </r>
  <r>
    <x v="18"/>
    <x v="240"/>
    <x v="1048"/>
  </r>
  <r>
    <x v="18"/>
    <x v="241"/>
    <x v="1049"/>
  </r>
  <r>
    <x v="18"/>
    <x v="241"/>
    <x v="1050"/>
  </r>
  <r>
    <x v="18"/>
    <x v="242"/>
    <x v="1051"/>
  </r>
  <r>
    <x v="18"/>
    <x v="242"/>
    <x v="1052"/>
  </r>
  <r>
    <x v="18"/>
    <x v="242"/>
    <x v="1053"/>
  </r>
  <r>
    <x v="18"/>
    <x v="242"/>
    <x v="1054"/>
  </r>
  <r>
    <x v="18"/>
    <x v="242"/>
    <x v="1055"/>
  </r>
  <r>
    <x v="18"/>
    <x v="242"/>
    <x v="1056"/>
  </r>
  <r>
    <x v="18"/>
    <x v="242"/>
    <x v="1057"/>
  </r>
  <r>
    <x v="18"/>
    <x v="242"/>
    <x v="1058"/>
  </r>
  <r>
    <x v="18"/>
    <x v="242"/>
    <x v="1059"/>
  </r>
  <r>
    <x v="18"/>
    <x v="242"/>
    <x v="1060"/>
  </r>
  <r>
    <x v="18"/>
    <x v="242"/>
    <x v="1061"/>
  </r>
  <r>
    <x v="18"/>
    <x v="242"/>
    <x v="1062"/>
  </r>
  <r>
    <x v="18"/>
    <x v="242"/>
    <x v="1063"/>
  </r>
  <r>
    <x v="18"/>
    <x v="242"/>
    <x v="1064"/>
  </r>
  <r>
    <x v="18"/>
    <x v="242"/>
    <x v="1065"/>
  </r>
  <r>
    <x v="18"/>
    <x v="242"/>
    <x v="1066"/>
  </r>
  <r>
    <x v="18"/>
    <x v="242"/>
    <x v="1067"/>
  </r>
  <r>
    <x v="18"/>
    <x v="242"/>
    <x v="1068"/>
  </r>
  <r>
    <x v="18"/>
    <x v="242"/>
    <x v="1069"/>
  </r>
  <r>
    <x v="18"/>
    <x v="243"/>
    <x v="1070"/>
  </r>
  <r>
    <x v="18"/>
    <x v="243"/>
    <x v="1071"/>
  </r>
  <r>
    <x v="18"/>
    <x v="243"/>
    <x v="1072"/>
  </r>
  <r>
    <x v="18"/>
    <x v="243"/>
    <x v="1073"/>
  </r>
  <r>
    <x v="18"/>
    <x v="243"/>
    <x v="1074"/>
  </r>
  <r>
    <x v="18"/>
    <x v="243"/>
    <x v="1075"/>
  </r>
  <r>
    <x v="18"/>
    <x v="243"/>
    <x v="1076"/>
  </r>
  <r>
    <x v="18"/>
    <x v="243"/>
    <x v="1077"/>
  </r>
  <r>
    <x v="18"/>
    <x v="243"/>
    <x v="1078"/>
  </r>
  <r>
    <x v="18"/>
    <x v="243"/>
    <x v="1079"/>
  </r>
  <r>
    <x v="18"/>
    <x v="243"/>
    <x v="1080"/>
  </r>
  <r>
    <x v="18"/>
    <x v="244"/>
    <x v="1081"/>
  </r>
  <r>
    <x v="18"/>
    <x v="244"/>
    <x v="1082"/>
  </r>
  <r>
    <x v="18"/>
    <x v="244"/>
    <x v="1083"/>
  </r>
  <r>
    <x v="18"/>
    <x v="244"/>
    <x v="1084"/>
  </r>
  <r>
    <x v="18"/>
    <x v="244"/>
    <x v="1085"/>
  </r>
  <r>
    <x v="18"/>
    <x v="244"/>
    <x v="1086"/>
  </r>
  <r>
    <x v="18"/>
    <x v="244"/>
    <x v="1087"/>
  </r>
  <r>
    <x v="18"/>
    <x v="244"/>
    <x v="1088"/>
  </r>
  <r>
    <x v="18"/>
    <x v="244"/>
    <x v="1089"/>
  </r>
  <r>
    <x v="18"/>
    <x v="244"/>
    <x v="1090"/>
  </r>
  <r>
    <x v="18"/>
    <x v="244"/>
    <x v="1091"/>
  </r>
  <r>
    <x v="18"/>
    <x v="244"/>
    <x v="1092"/>
  </r>
  <r>
    <x v="18"/>
    <x v="244"/>
    <x v="1093"/>
  </r>
  <r>
    <x v="18"/>
    <x v="244"/>
    <x v="1094"/>
  </r>
  <r>
    <x v="18"/>
    <x v="244"/>
    <x v="1095"/>
  </r>
  <r>
    <x v="18"/>
    <x v="244"/>
    <x v="1096"/>
  </r>
  <r>
    <x v="18"/>
    <x v="244"/>
    <x v="1097"/>
  </r>
  <r>
    <x v="18"/>
    <x v="244"/>
    <x v="1098"/>
  </r>
  <r>
    <x v="18"/>
    <x v="244"/>
    <x v="1099"/>
  </r>
  <r>
    <x v="18"/>
    <x v="244"/>
    <x v="1100"/>
  </r>
  <r>
    <x v="18"/>
    <x v="244"/>
    <x v="1101"/>
  </r>
  <r>
    <x v="18"/>
    <x v="244"/>
    <x v="1102"/>
  </r>
  <r>
    <x v="18"/>
    <x v="244"/>
    <x v="1103"/>
  </r>
  <r>
    <x v="18"/>
    <x v="245"/>
    <x v="1104"/>
  </r>
  <r>
    <x v="18"/>
    <x v="245"/>
    <x v="1105"/>
  </r>
  <r>
    <x v="18"/>
    <x v="246"/>
    <x v="1106"/>
  </r>
  <r>
    <x v="18"/>
    <x v="246"/>
    <x v="1107"/>
  </r>
  <r>
    <x v="18"/>
    <x v="247"/>
    <x v="1108"/>
  </r>
  <r>
    <x v="18"/>
    <x v="247"/>
    <x v="1109"/>
  </r>
  <r>
    <x v="18"/>
    <x v="248"/>
    <x v="1110"/>
  </r>
  <r>
    <x v="18"/>
    <x v="248"/>
    <x v="1111"/>
  </r>
  <r>
    <x v="18"/>
    <x v="249"/>
    <x v="1112"/>
  </r>
  <r>
    <x v="18"/>
    <x v="249"/>
    <x v="1113"/>
  </r>
  <r>
    <x v="18"/>
    <x v="250"/>
    <x v="1114"/>
  </r>
  <r>
    <x v="18"/>
    <x v="250"/>
    <x v="1115"/>
  </r>
  <r>
    <x v="18"/>
    <x v="251"/>
    <x v="1116"/>
  </r>
  <r>
    <x v="18"/>
    <x v="251"/>
    <x v="1117"/>
  </r>
  <r>
    <x v="18"/>
    <x v="252"/>
    <x v="1118"/>
  </r>
  <r>
    <x v="18"/>
    <x v="252"/>
    <x v="1119"/>
  </r>
  <r>
    <x v="18"/>
    <x v="253"/>
    <x v="1120"/>
  </r>
  <r>
    <x v="18"/>
    <x v="253"/>
    <x v="1121"/>
  </r>
  <r>
    <x v="18"/>
    <x v="254"/>
    <x v="1122"/>
  </r>
  <r>
    <x v="18"/>
    <x v="254"/>
    <x v="1123"/>
  </r>
  <r>
    <x v="19"/>
    <x v="255"/>
    <x v="1124"/>
  </r>
  <r>
    <x v="19"/>
    <x v="255"/>
    <x v="1125"/>
  </r>
  <r>
    <x v="19"/>
    <x v="256"/>
    <x v="1126"/>
  </r>
  <r>
    <x v="19"/>
    <x v="256"/>
    <x v="1127"/>
  </r>
  <r>
    <x v="19"/>
    <x v="256"/>
    <x v="1128"/>
  </r>
  <r>
    <x v="19"/>
    <x v="257"/>
    <x v="1129"/>
  </r>
  <r>
    <x v="19"/>
    <x v="257"/>
    <x v="1130"/>
  </r>
  <r>
    <x v="19"/>
    <x v="257"/>
    <x v="1131"/>
  </r>
  <r>
    <x v="19"/>
    <x v="258"/>
    <x v="1132"/>
  </r>
  <r>
    <x v="19"/>
    <x v="258"/>
    <x v="1133"/>
  </r>
  <r>
    <x v="19"/>
    <x v="258"/>
    <x v="1134"/>
  </r>
  <r>
    <x v="19"/>
    <x v="259"/>
    <x v="1135"/>
  </r>
  <r>
    <x v="19"/>
    <x v="259"/>
    <x v="1136"/>
  </r>
  <r>
    <x v="19"/>
    <x v="260"/>
    <x v="1137"/>
  </r>
  <r>
    <x v="19"/>
    <x v="260"/>
    <x v="1138"/>
  </r>
  <r>
    <x v="19"/>
    <x v="261"/>
    <x v="1139"/>
  </r>
  <r>
    <x v="19"/>
    <x v="261"/>
    <x v="1140"/>
  </r>
  <r>
    <x v="19"/>
    <x v="261"/>
    <x v="1141"/>
  </r>
  <r>
    <x v="19"/>
    <x v="261"/>
    <x v="1142"/>
  </r>
  <r>
    <x v="19"/>
    <x v="262"/>
    <x v="1143"/>
  </r>
  <r>
    <x v="19"/>
    <x v="262"/>
    <x v="1144"/>
  </r>
  <r>
    <x v="19"/>
    <x v="262"/>
    <x v="1145"/>
  </r>
  <r>
    <x v="19"/>
    <x v="263"/>
    <x v="1146"/>
  </r>
  <r>
    <x v="19"/>
    <x v="263"/>
    <x v="1147"/>
  </r>
  <r>
    <x v="19"/>
    <x v="264"/>
    <x v="1148"/>
  </r>
  <r>
    <x v="19"/>
    <x v="264"/>
    <x v="1149"/>
  </r>
  <r>
    <x v="19"/>
    <x v="265"/>
    <x v="1150"/>
  </r>
  <r>
    <x v="19"/>
    <x v="265"/>
    <x v="1151"/>
  </r>
  <r>
    <x v="19"/>
    <x v="265"/>
    <x v="1152"/>
  </r>
  <r>
    <x v="19"/>
    <x v="265"/>
    <x v="1153"/>
  </r>
  <r>
    <x v="19"/>
    <x v="265"/>
    <x v="1154"/>
  </r>
  <r>
    <x v="19"/>
    <x v="265"/>
    <x v="1155"/>
  </r>
  <r>
    <x v="19"/>
    <x v="265"/>
    <x v="1156"/>
  </r>
  <r>
    <x v="19"/>
    <x v="265"/>
    <x v="1157"/>
  </r>
  <r>
    <x v="19"/>
    <x v="265"/>
    <x v="1158"/>
  </r>
  <r>
    <x v="19"/>
    <x v="265"/>
    <x v="1159"/>
  </r>
  <r>
    <x v="19"/>
    <x v="265"/>
    <x v="1160"/>
  </r>
  <r>
    <x v="19"/>
    <x v="265"/>
    <x v="1161"/>
  </r>
  <r>
    <x v="19"/>
    <x v="265"/>
    <x v="1162"/>
  </r>
  <r>
    <x v="19"/>
    <x v="265"/>
    <x v="1163"/>
  </r>
  <r>
    <x v="19"/>
    <x v="265"/>
    <x v="1164"/>
  </r>
  <r>
    <x v="19"/>
    <x v="265"/>
    <x v="1165"/>
  </r>
  <r>
    <x v="19"/>
    <x v="266"/>
    <x v="1166"/>
  </r>
  <r>
    <x v="19"/>
    <x v="266"/>
    <x v="1167"/>
  </r>
  <r>
    <x v="19"/>
    <x v="266"/>
    <x v="1168"/>
  </r>
  <r>
    <x v="19"/>
    <x v="267"/>
    <x v="1169"/>
  </r>
  <r>
    <x v="19"/>
    <x v="267"/>
    <x v="1170"/>
  </r>
  <r>
    <x v="19"/>
    <x v="268"/>
    <x v="1171"/>
  </r>
  <r>
    <x v="19"/>
    <x v="268"/>
    <x v="1172"/>
  </r>
  <r>
    <x v="19"/>
    <x v="268"/>
    <x v="1173"/>
  </r>
  <r>
    <x v="19"/>
    <x v="269"/>
    <x v="1174"/>
  </r>
  <r>
    <x v="19"/>
    <x v="269"/>
    <x v="1175"/>
  </r>
  <r>
    <x v="19"/>
    <x v="270"/>
    <x v="1176"/>
  </r>
  <r>
    <x v="19"/>
    <x v="270"/>
    <x v="1177"/>
  </r>
  <r>
    <x v="19"/>
    <x v="271"/>
    <x v="1178"/>
  </r>
  <r>
    <x v="19"/>
    <x v="271"/>
    <x v="1179"/>
  </r>
  <r>
    <x v="19"/>
    <x v="272"/>
    <x v="1180"/>
  </r>
  <r>
    <x v="19"/>
    <x v="272"/>
    <x v="1181"/>
  </r>
  <r>
    <x v="19"/>
    <x v="273"/>
    <x v="1182"/>
  </r>
  <r>
    <x v="19"/>
    <x v="273"/>
    <x v="1183"/>
  </r>
  <r>
    <x v="19"/>
    <x v="274"/>
    <x v="1184"/>
  </r>
  <r>
    <x v="19"/>
    <x v="274"/>
    <x v="1185"/>
  </r>
  <r>
    <x v="19"/>
    <x v="275"/>
    <x v="1186"/>
  </r>
  <r>
    <x v="19"/>
    <x v="275"/>
    <x v="1187"/>
  </r>
  <r>
    <x v="19"/>
    <x v="276"/>
    <x v="1188"/>
  </r>
  <r>
    <x v="19"/>
    <x v="276"/>
    <x v="1189"/>
  </r>
  <r>
    <x v="20"/>
    <x v="277"/>
    <x v="1190"/>
  </r>
  <r>
    <x v="20"/>
    <x v="277"/>
    <x v="1191"/>
  </r>
  <r>
    <x v="20"/>
    <x v="278"/>
    <x v="1192"/>
  </r>
  <r>
    <x v="20"/>
    <x v="278"/>
    <x v="1193"/>
  </r>
  <r>
    <x v="20"/>
    <x v="279"/>
    <x v="1194"/>
  </r>
  <r>
    <x v="20"/>
    <x v="279"/>
    <x v="1195"/>
  </r>
  <r>
    <x v="20"/>
    <x v="280"/>
    <x v="1196"/>
  </r>
  <r>
    <x v="20"/>
    <x v="280"/>
    <x v="1197"/>
  </r>
  <r>
    <x v="20"/>
    <x v="281"/>
    <x v="1198"/>
  </r>
  <r>
    <x v="20"/>
    <x v="281"/>
    <x v="1199"/>
  </r>
  <r>
    <x v="20"/>
    <x v="282"/>
    <x v="1200"/>
  </r>
  <r>
    <x v="20"/>
    <x v="282"/>
    <x v="1201"/>
  </r>
  <r>
    <x v="20"/>
    <x v="283"/>
    <x v="1202"/>
  </r>
  <r>
    <x v="20"/>
    <x v="283"/>
    <x v="1203"/>
  </r>
  <r>
    <x v="20"/>
    <x v="284"/>
    <x v="1204"/>
  </r>
  <r>
    <x v="20"/>
    <x v="284"/>
    <x v="1205"/>
  </r>
  <r>
    <x v="20"/>
    <x v="285"/>
    <x v="1206"/>
  </r>
  <r>
    <x v="20"/>
    <x v="285"/>
    <x v="1207"/>
  </r>
  <r>
    <x v="21"/>
    <x v="286"/>
    <x v="1208"/>
  </r>
  <r>
    <x v="21"/>
    <x v="286"/>
    <x v="1209"/>
  </r>
  <r>
    <x v="21"/>
    <x v="286"/>
    <x v="1210"/>
  </r>
  <r>
    <x v="21"/>
    <x v="286"/>
    <x v="1211"/>
  </r>
  <r>
    <x v="21"/>
    <x v="286"/>
    <x v="1212"/>
  </r>
  <r>
    <x v="21"/>
    <x v="286"/>
    <x v="1213"/>
  </r>
  <r>
    <x v="21"/>
    <x v="286"/>
    <x v="1214"/>
  </r>
  <r>
    <x v="21"/>
    <x v="286"/>
    <x v="1215"/>
  </r>
  <r>
    <x v="21"/>
    <x v="286"/>
    <x v="1216"/>
  </r>
  <r>
    <x v="21"/>
    <x v="286"/>
    <x v="1217"/>
  </r>
  <r>
    <x v="21"/>
    <x v="286"/>
    <x v="1218"/>
  </r>
  <r>
    <x v="21"/>
    <x v="286"/>
    <x v="1219"/>
  </r>
  <r>
    <x v="21"/>
    <x v="286"/>
    <x v="1220"/>
  </r>
  <r>
    <x v="21"/>
    <x v="286"/>
    <x v="1221"/>
  </r>
  <r>
    <x v="21"/>
    <x v="286"/>
    <x v="1222"/>
  </r>
  <r>
    <x v="21"/>
    <x v="286"/>
    <x v="1223"/>
  </r>
  <r>
    <x v="21"/>
    <x v="286"/>
    <x v="1224"/>
  </r>
  <r>
    <x v="21"/>
    <x v="286"/>
    <x v="1225"/>
  </r>
  <r>
    <x v="21"/>
    <x v="286"/>
    <x v="1226"/>
  </r>
  <r>
    <x v="21"/>
    <x v="286"/>
    <x v="1227"/>
  </r>
  <r>
    <x v="21"/>
    <x v="286"/>
    <x v="1228"/>
  </r>
  <r>
    <x v="21"/>
    <x v="286"/>
    <x v="1229"/>
  </r>
  <r>
    <x v="21"/>
    <x v="286"/>
    <x v="1230"/>
  </r>
  <r>
    <x v="21"/>
    <x v="286"/>
    <x v="1231"/>
  </r>
  <r>
    <x v="21"/>
    <x v="286"/>
    <x v="1232"/>
  </r>
  <r>
    <x v="21"/>
    <x v="286"/>
    <x v="1233"/>
  </r>
  <r>
    <x v="21"/>
    <x v="287"/>
    <x v="1234"/>
  </r>
  <r>
    <x v="21"/>
    <x v="287"/>
    <x v="1235"/>
  </r>
  <r>
    <x v="21"/>
    <x v="288"/>
    <x v="1236"/>
  </r>
  <r>
    <x v="21"/>
    <x v="288"/>
    <x v="1237"/>
  </r>
  <r>
    <x v="21"/>
    <x v="288"/>
    <x v="1238"/>
  </r>
  <r>
    <x v="21"/>
    <x v="71"/>
    <x v="262"/>
  </r>
  <r>
    <x v="21"/>
    <x v="71"/>
    <x v="263"/>
  </r>
  <r>
    <x v="21"/>
    <x v="289"/>
    <x v="1239"/>
  </r>
  <r>
    <x v="21"/>
    <x v="289"/>
    <x v="1240"/>
  </r>
  <r>
    <x v="21"/>
    <x v="290"/>
    <x v="1241"/>
  </r>
  <r>
    <x v="21"/>
    <x v="290"/>
    <x v="1242"/>
  </r>
  <r>
    <x v="21"/>
    <x v="291"/>
    <x v="1243"/>
  </r>
  <r>
    <x v="21"/>
    <x v="291"/>
    <x v="1244"/>
  </r>
  <r>
    <x v="21"/>
    <x v="291"/>
    <x v="1245"/>
  </r>
  <r>
    <x v="21"/>
    <x v="291"/>
    <x v="1246"/>
  </r>
  <r>
    <x v="21"/>
    <x v="291"/>
    <x v="1247"/>
  </r>
  <r>
    <x v="21"/>
    <x v="291"/>
    <x v="1248"/>
  </r>
  <r>
    <x v="22"/>
    <x v="292"/>
    <x v="1249"/>
  </r>
  <r>
    <x v="22"/>
    <x v="292"/>
    <x v="1250"/>
  </r>
  <r>
    <x v="22"/>
    <x v="292"/>
    <x v="1251"/>
  </r>
  <r>
    <x v="22"/>
    <x v="292"/>
    <x v="1252"/>
  </r>
  <r>
    <x v="22"/>
    <x v="292"/>
    <x v="1253"/>
  </r>
  <r>
    <x v="22"/>
    <x v="293"/>
    <x v="1254"/>
  </r>
  <r>
    <x v="22"/>
    <x v="293"/>
    <x v="1255"/>
  </r>
  <r>
    <x v="22"/>
    <x v="293"/>
    <x v="1256"/>
  </r>
  <r>
    <x v="22"/>
    <x v="294"/>
    <x v="1257"/>
  </r>
  <r>
    <x v="22"/>
    <x v="294"/>
    <x v="1258"/>
  </r>
  <r>
    <x v="22"/>
    <x v="295"/>
    <x v="1259"/>
  </r>
  <r>
    <x v="22"/>
    <x v="295"/>
    <x v="1260"/>
  </r>
  <r>
    <x v="22"/>
    <x v="295"/>
    <x v="1261"/>
  </r>
  <r>
    <x v="22"/>
    <x v="296"/>
    <x v="1262"/>
  </r>
  <r>
    <x v="22"/>
    <x v="296"/>
    <x v="1263"/>
  </r>
  <r>
    <x v="22"/>
    <x v="297"/>
    <x v="1264"/>
  </r>
  <r>
    <x v="22"/>
    <x v="297"/>
    <x v="1265"/>
  </r>
  <r>
    <x v="22"/>
    <x v="297"/>
    <x v="1266"/>
  </r>
  <r>
    <x v="22"/>
    <x v="297"/>
    <x v="1267"/>
  </r>
  <r>
    <x v="22"/>
    <x v="297"/>
    <x v="1268"/>
  </r>
  <r>
    <x v="22"/>
    <x v="298"/>
    <x v="1269"/>
  </r>
  <r>
    <x v="22"/>
    <x v="298"/>
    <x v="1270"/>
  </r>
  <r>
    <x v="22"/>
    <x v="298"/>
    <x v="1271"/>
  </r>
  <r>
    <x v="22"/>
    <x v="299"/>
    <x v="1272"/>
  </r>
  <r>
    <x v="22"/>
    <x v="299"/>
    <x v="1273"/>
  </r>
  <r>
    <x v="22"/>
    <x v="299"/>
    <x v="1274"/>
  </r>
  <r>
    <x v="22"/>
    <x v="300"/>
    <x v="1275"/>
  </r>
  <r>
    <x v="22"/>
    <x v="300"/>
    <x v="1276"/>
  </r>
  <r>
    <x v="22"/>
    <x v="301"/>
    <x v="1277"/>
  </r>
  <r>
    <x v="22"/>
    <x v="301"/>
    <x v="1278"/>
  </r>
  <r>
    <x v="22"/>
    <x v="302"/>
    <x v="1279"/>
  </r>
  <r>
    <x v="22"/>
    <x v="302"/>
    <x v="1280"/>
  </r>
  <r>
    <x v="22"/>
    <x v="302"/>
    <x v="1281"/>
  </r>
  <r>
    <x v="22"/>
    <x v="302"/>
    <x v="1282"/>
  </r>
  <r>
    <x v="22"/>
    <x v="302"/>
    <x v="1283"/>
  </r>
  <r>
    <x v="22"/>
    <x v="303"/>
    <x v="1284"/>
  </r>
  <r>
    <x v="22"/>
    <x v="303"/>
    <x v="1285"/>
  </r>
  <r>
    <x v="22"/>
    <x v="303"/>
    <x v="1286"/>
  </r>
  <r>
    <x v="22"/>
    <x v="304"/>
    <x v="1287"/>
  </r>
  <r>
    <x v="22"/>
    <x v="304"/>
    <x v="1288"/>
  </r>
  <r>
    <x v="22"/>
    <x v="305"/>
    <x v="1289"/>
  </r>
  <r>
    <x v="22"/>
    <x v="305"/>
    <x v="1290"/>
  </r>
  <r>
    <x v="22"/>
    <x v="305"/>
    <x v="1291"/>
  </r>
  <r>
    <x v="22"/>
    <x v="305"/>
    <x v="1292"/>
  </r>
  <r>
    <x v="22"/>
    <x v="305"/>
    <x v="1293"/>
  </r>
  <r>
    <x v="22"/>
    <x v="305"/>
    <x v="1294"/>
  </r>
  <r>
    <x v="22"/>
    <x v="305"/>
    <x v="1295"/>
  </r>
  <r>
    <x v="22"/>
    <x v="305"/>
    <x v="1296"/>
  </r>
  <r>
    <x v="22"/>
    <x v="305"/>
    <x v="1297"/>
  </r>
  <r>
    <x v="22"/>
    <x v="305"/>
    <x v="1298"/>
  </r>
  <r>
    <x v="22"/>
    <x v="305"/>
    <x v="1299"/>
  </r>
  <r>
    <x v="22"/>
    <x v="305"/>
    <x v="1300"/>
  </r>
  <r>
    <x v="22"/>
    <x v="305"/>
    <x v="1301"/>
  </r>
  <r>
    <x v="22"/>
    <x v="306"/>
    <x v="1302"/>
  </r>
  <r>
    <x v="22"/>
    <x v="306"/>
    <x v="1303"/>
  </r>
  <r>
    <x v="22"/>
    <x v="307"/>
    <x v="1304"/>
  </r>
  <r>
    <x v="22"/>
    <x v="307"/>
    <x v="1305"/>
  </r>
  <r>
    <x v="22"/>
    <x v="308"/>
    <x v="1306"/>
  </r>
  <r>
    <x v="22"/>
    <x v="308"/>
    <x v="1307"/>
  </r>
  <r>
    <x v="22"/>
    <x v="309"/>
    <x v="1308"/>
  </r>
  <r>
    <x v="22"/>
    <x v="309"/>
    <x v="1309"/>
  </r>
  <r>
    <x v="22"/>
    <x v="309"/>
    <x v="1310"/>
  </r>
  <r>
    <x v="22"/>
    <x v="309"/>
    <x v="1311"/>
  </r>
  <r>
    <x v="22"/>
    <x v="309"/>
    <x v="1312"/>
  </r>
  <r>
    <x v="22"/>
    <x v="309"/>
    <x v="1313"/>
  </r>
  <r>
    <x v="22"/>
    <x v="309"/>
    <x v="1314"/>
  </r>
  <r>
    <x v="22"/>
    <x v="309"/>
    <x v="1315"/>
  </r>
  <r>
    <x v="22"/>
    <x v="309"/>
    <x v="1316"/>
  </r>
  <r>
    <x v="22"/>
    <x v="309"/>
    <x v="1317"/>
  </r>
  <r>
    <x v="22"/>
    <x v="309"/>
    <x v="1318"/>
  </r>
  <r>
    <x v="22"/>
    <x v="309"/>
    <x v="1319"/>
  </r>
  <r>
    <x v="22"/>
    <x v="309"/>
    <x v="1320"/>
  </r>
  <r>
    <x v="22"/>
    <x v="310"/>
    <x v="1321"/>
  </r>
  <r>
    <x v="22"/>
    <x v="310"/>
    <x v="1322"/>
  </r>
  <r>
    <x v="22"/>
    <x v="311"/>
    <x v="1323"/>
  </r>
  <r>
    <x v="22"/>
    <x v="311"/>
    <x v="1324"/>
  </r>
  <r>
    <x v="22"/>
    <x v="311"/>
    <x v="1325"/>
  </r>
  <r>
    <x v="22"/>
    <x v="311"/>
    <x v="1326"/>
  </r>
  <r>
    <x v="22"/>
    <x v="311"/>
    <x v="1327"/>
  </r>
  <r>
    <x v="22"/>
    <x v="311"/>
    <x v="1328"/>
  </r>
  <r>
    <x v="22"/>
    <x v="311"/>
    <x v="1329"/>
  </r>
  <r>
    <x v="22"/>
    <x v="311"/>
    <x v="1330"/>
  </r>
  <r>
    <x v="22"/>
    <x v="311"/>
    <x v="1331"/>
  </r>
  <r>
    <x v="22"/>
    <x v="311"/>
    <x v="1332"/>
  </r>
  <r>
    <x v="22"/>
    <x v="311"/>
    <x v="1333"/>
  </r>
  <r>
    <x v="22"/>
    <x v="311"/>
    <x v="1334"/>
  </r>
  <r>
    <x v="22"/>
    <x v="311"/>
    <x v="1335"/>
  </r>
  <r>
    <x v="22"/>
    <x v="311"/>
    <x v="1336"/>
  </r>
  <r>
    <x v="22"/>
    <x v="311"/>
    <x v="1337"/>
  </r>
  <r>
    <x v="22"/>
    <x v="311"/>
    <x v="1338"/>
  </r>
  <r>
    <x v="22"/>
    <x v="311"/>
    <x v="1339"/>
  </r>
  <r>
    <x v="22"/>
    <x v="311"/>
    <x v="1340"/>
  </r>
  <r>
    <x v="22"/>
    <x v="311"/>
    <x v="1341"/>
  </r>
  <r>
    <x v="22"/>
    <x v="311"/>
    <x v="1342"/>
  </r>
  <r>
    <x v="22"/>
    <x v="311"/>
    <x v="1343"/>
  </r>
  <r>
    <x v="22"/>
    <x v="311"/>
    <x v="1344"/>
  </r>
  <r>
    <x v="22"/>
    <x v="311"/>
    <x v="1345"/>
  </r>
  <r>
    <x v="22"/>
    <x v="311"/>
    <x v="1346"/>
  </r>
  <r>
    <x v="22"/>
    <x v="311"/>
    <x v="1347"/>
  </r>
  <r>
    <x v="22"/>
    <x v="311"/>
    <x v="1348"/>
  </r>
  <r>
    <x v="22"/>
    <x v="311"/>
    <x v="1349"/>
  </r>
  <r>
    <x v="22"/>
    <x v="311"/>
    <x v="1350"/>
  </r>
  <r>
    <x v="22"/>
    <x v="311"/>
    <x v="1351"/>
  </r>
  <r>
    <x v="22"/>
    <x v="311"/>
    <x v="1352"/>
  </r>
  <r>
    <x v="22"/>
    <x v="311"/>
    <x v="1353"/>
  </r>
  <r>
    <x v="22"/>
    <x v="311"/>
    <x v="1354"/>
  </r>
  <r>
    <x v="22"/>
    <x v="311"/>
    <x v="1355"/>
  </r>
  <r>
    <x v="22"/>
    <x v="311"/>
    <x v="1356"/>
  </r>
  <r>
    <x v="22"/>
    <x v="311"/>
    <x v="1357"/>
  </r>
  <r>
    <x v="22"/>
    <x v="311"/>
    <x v="1358"/>
  </r>
  <r>
    <x v="22"/>
    <x v="311"/>
    <x v="1359"/>
  </r>
  <r>
    <x v="22"/>
    <x v="311"/>
    <x v="1360"/>
  </r>
  <r>
    <x v="22"/>
    <x v="311"/>
    <x v="1361"/>
  </r>
  <r>
    <x v="22"/>
    <x v="311"/>
    <x v="1362"/>
  </r>
  <r>
    <x v="22"/>
    <x v="311"/>
    <x v="1363"/>
  </r>
  <r>
    <x v="22"/>
    <x v="311"/>
    <x v="1364"/>
  </r>
  <r>
    <x v="22"/>
    <x v="311"/>
    <x v="1365"/>
  </r>
  <r>
    <x v="22"/>
    <x v="311"/>
    <x v="1366"/>
  </r>
  <r>
    <x v="22"/>
    <x v="311"/>
    <x v="1367"/>
  </r>
  <r>
    <x v="22"/>
    <x v="311"/>
    <x v="1368"/>
  </r>
  <r>
    <x v="22"/>
    <x v="311"/>
    <x v="1369"/>
  </r>
  <r>
    <x v="22"/>
    <x v="311"/>
    <x v="1370"/>
  </r>
  <r>
    <x v="22"/>
    <x v="311"/>
    <x v="1371"/>
  </r>
  <r>
    <x v="22"/>
    <x v="311"/>
    <x v="1372"/>
  </r>
  <r>
    <x v="22"/>
    <x v="311"/>
    <x v="1373"/>
  </r>
  <r>
    <x v="22"/>
    <x v="311"/>
    <x v="1374"/>
  </r>
  <r>
    <x v="22"/>
    <x v="311"/>
    <x v="1375"/>
  </r>
  <r>
    <x v="22"/>
    <x v="311"/>
    <x v="1376"/>
  </r>
  <r>
    <x v="22"/>
    <x v="311"/>
    <x v="1377"/>
  </r>
  <r>
    <x v="22"/>
    <x v="311"/>
    <x v="1378"/>
  </r>
  <r>
    <x v="22"/>
    <x v="311"/>
    <x v="1379"/>
  </r>
  <r>
    <x v="22"/>
    <x v="311"/>
    <x v="1380"/>
  </r>
  <r>
    <x v="22"/>
    <x v="311"/>
    <x v="1381"/>
  </r>
  <r>
    <x v="22"/>
    <x v="311"/>
    <x v="1382"/>
  </r>
  <r>
    <x v="22"/>
    <x v="311"/>
    <x v="1383"/>
  </r>
  <r>
    <x v="22"/>
    <x v="311"/>
    <x v="1384"/>
  </r>
  <r>
    <x v="22"/>
    <x v="311"/>
    <x v="1385"/>
  </r>
  <r>
    <x v="22"/>
    <x v="311"/>
    <x v="1386"/>
  </r>
  <r>
    <x v="22"/>
    <x v="311"/>
    <x v="1387"/>
  </r>
  <r>
    <x v="22"/>
    <x v="311"/>
    <x v="1388"/>
  </r>
  <r>
    <x v="22"/>
    <x v="311"/>
    <x v="1389"/>
  </r>
  <r>
    <x v="22"/>
    <x v="311"/>
    <x v="1390"/>
  </r>
  <r>
    <x v="22"/>
    <x v="311"/>
    <x v="1391"/>
  </r>
  <r>
    <x v="22"/>
    <x v="311"/>
    <x v="1392"/>
  </r>
  <r>
    <x v="22"/>
    <x v="311"/>
    <x v="1393"/>
  </r>
  <r>
    <x v="22"/>
    <x v="311"/>
    <x v="1394"/>
  </r>
  <r>
    <x v="22"/>
    <x v="311"/>
    <x v="1395"/>
  </r>
  <r>
    <x v="22"/>
    <x v="312"/>
    <x v="1396"/>
  </r>
  <r>
    <x v="22"/>
    <x v="312"/>
    <x v="1397"/>
  </r>
  <r>
    <x v="22"/>
    <x v="312"/>
    <x v="1398"/>
  </r>
  <r>
    <x v="22"/>
    <x v="313"/>
    <x v="1399"/>
  </r>
  <r>
    <x v="22"/>
    <x v="313"/>
    <x v="1400"/>
  </r>
  <r>
    <x v="22"/>
    <x v="313"/>
    <x v="1401"/>
  </r>
  <r>
    <x v="22"/>
    <x v="314"/>
    <x v="1402"/>
  </r>
  <r>
    <x v="22"/>
    <x v="314"/>
    <x v="1403"/>
  </r>
  <r>
    <x v="22"/>
    <x v="315"/>
    <x v="1404"/>
  </r>
  <r>
    <x v="22"/>
    <x v="315"/>
    <x v="1405"/>
  </r>
  <r>
    <x v="22"/>
    <x v="315"/>
    <x v="1406"/>
  </r>
  <r>
    <x v="22"/>
    <x v="316"/>
    <x v="1407"/>
  </r>
  <r>
    <x v="22"/>
    <x v="316"/>
    <x v="1408"/>
  </r>
  <r>
    <x v="22"/>
    <x v="316"/>
    <x v="1409"/>
  </r>
  <r>
    <x v="22"/>
    <x v="316"/>
    <x v="1410"/>
  </r>
  <r>
    <x v="22"/>
    <x v="316"/>
    <x v="1411"/>
  </r>
  <r>
    <x v="22"/>
    <x v="316"/>
    <x v="1412"/>
  </r>
  <r>
    <x v="22"/>
    <x v="316"/>
    <x v="1413"/>
  </r>
  <r>
    <x v="22"/>
    <x v="316"/>
    <x v="1414"/>
  </r>
  <r>
    <x v="22"/>
    <x v="316"/>
    <x v="1415"/>
  </r>
  <r>
    <x v="22"/>
    <x v="316"/>
    <x v="1416"/>
  </r>
  <r>
    <x v="22"/>
    <x v="316"/>
    <x v="1417"/>
  </r>
  <r>
    <x v="22"/>
    <x v="316"/>
    <x v="1418"/>
  </r>
  <r>
    <x v="22"/>
    <x v="316"/>
    <x v="1419"/>
  </r>
  <r>
    <x v="22"/>
    <x v="317"/>
    <x v="1420"/>
  </r>
  <r>
    <x v="22"/>
    <x v="317"/>
    <x v="1421"/>
  </r>
  <r>
    <x v="22"/>
    <x v="318"/>
    <x v="1422"/>
  </r>
  <r>
    <x v="22"/>
    <x v="318"/>
    <x v="1423"/>
  </r>
  <r>
    <x v="22"/>
    <x v="318"/>
    <x v="1424"/>
  </r>
  <r>
    <x v="22"/>
    <x v="318"/>
    <x v="1425"/>
  </r>
  <r>
    <x v="22"/>
    <x v="318"/>
    <x v="1426"/>
  </r>
  <r>
    <x v="22"/>
    <x v="318"/>
    <x v="1427"/>
  </r>
  <r>
    <x v="22"/>
    <x v="318"/>
    <x v="1428"/>
  </r>
  <r>
    <x v="22"/>
    <x v="318"/>
    <x v="1429"/>
  </r>
  <r>
    <x v="22"/>
    <x v="318"/>
    <x v="1430"/>
  </r>
  <r>
    <x v="22"/>
    <x v="318"/>
    <x v="1431"/>
  </r>
  <r>
    <x v="22"/>
    <x v="318"/>
    <x v="1432"/>
  </r>
  <r>
    <x v="22"/>
    <x v="318"/>
    <x v="1433"/>
  </r>
  <r>
    <x v="22"/>
    <x v="318"/>
    <x v="1434"/>
  </r>
  <r>
    <x v="22"/>
    <x v="319"/>
    <x v="1435"/>
  </r>
  <r>
    <x v="22"/>
    <x v="319"/>
    <x v="1436"/>
  </r>
  <r>
    <x v="22"/>
    <x v="319"/>
    <x v="1437"/>
  </r>
  <r>
    <x v="22"/>
    <x v="319"/>
    <x v="1438"/>
  </r>
  <r>
    <x v="22"/>
    <x v="319"/>
    <x v="1439"/>
  </r>
  <r>
    <x v="22"/>
    <x v="319"/>
    <x v="1440"/>
  </r>
  <r>
    <x v="22"/>
    <x v="319"/>
    <x v="1441"/>
  </r>
  <r>
    <x v="22"/>
    <x v="320"/>
    <x v="1442"/>
  </r>
  <r>
    <x v="22"/>
    <x v="320"/>
    <x v="1443"/>
  </r>
  <r>
    <x v="22"/>
    <x v="321"/>
    <x v="1444"/>
  </r>
  <r>
    <x v="22"/>
    <x v="321"/>
    <x v="1445"/>
  </r>
  <r>
    <x v="22"/>
    <x v="322"/>
    <x v="1446"/>
  </r>
  <r>
    <x v="22"/>
    <x v="322"/>
    <x v="1447"/>
  </r>
  <r>
    <x v="22"/>
    <x v="323"/>
    <x v="1448"/>
  </r>
  <r>
    <x v="22"/>
    <x v="323"/>
    <x v="1449"/>
  </r>
  <r>
    <x v="22"/>
    <x v="324"/>
    <x v="1450"/>
  </r>
  <r>
    <x v="22"/>
    <x v="324"/>
    <x v="1451"/>
  </r>
  <r>
    <x v="22"/>
    <x v="324"/>
    <x v="1452"/>
  </r>
  <r>
    <x v="22"/>
    <x v="324"/>
    <x v="1453"/>
  </r>
  <r>
    <x v="22"/>
    <x v="324"/>
    <x v="1454"/>
  </r>
  <r>
    <x v="22"/>
    <x v="324"/>
    <x v="1455"/>
  </r>
  <r>
    <x v="22"/>
    <x v="324"/>
    <x v="1456"/>
  </r>
  <r>
    <x v="22"/>
    <x v="325"/>
    <x v="1457"/>
  </r>
  <r>
    <x v="22"/>
    <x v="325"/>
    <x v="1458"/>
  </r>
  <r>
    <x v="22"/>
    <x v="326"/>
    <x v="1459"/>
  </r>
  <r>
    <x v="22"/>
    <x v="326"/>
    <x v="1460"/>
  </r>
  <r>
    <x v="22"/>
    <x v="326"/>
    <x v="1461"/>
  </r>
  <r>
    <x v="22"/>
    <x v="327"/>
    <x v="1462"/>
  </r>
  <r>
    <x v="22"/>
    <x v="327"/>
    <x v="1463"/>
  </r>
  <r>
    <x v="22"/>
    <x v="328"/>
    <x v="1464"/>
  </r>
  <r>
    <x v="22"/>
    <x v="328"/>
    <x v="1465"/>
  </r>
  <r>
    <x v="22"/>
    <x v="329"/>
    <x v="1466"/>
  </r>
  <r>
    <x v="22"/>
    <x v="329"/>
    <x v="1467"/>
  </r>
  <r>
    <x v="22"/>
    <x v="330"/>
    <x v="1468"/>
  </r>
  <r>
    <x v="22"/>
    <x v="330"/>
    <x v="1469"/>
  </r>
  <r>
    <x v="22"/>
    <x v="331"/>
    <x v="1470"/>
  </r>
  <r>
    <x v="22"/>
    <x v="331"/>
    <x v="1471"/>
  </r>
  <r>
    <x v="22"/>
    <x v="332"/>
    <x v="1472"/>
  </r>
  <r>
    <x v="22"/>
    <x v="332"/>
    <x v="1473"/>
  </r>
  <r>
    <x v="22"/>
    <x v="332"/>
    <x v="1474"/>
  </r>
  <r>
    <x v="22"/>
    <x v="333"/>
    <x v="1475"/>
  </r>
  <r>
    <x v="22"/>
    <x v="333"/>
    <x v="1476"/>
  </r>
  <r>
    <x v="22"/>
    <x v="333"/>
    <x v="1477"/>
  </r>
  <r>
    <x v="22"/>
    <x v="334"/>
    <x v="1478"/>
  </r>
  <r>
    <x v="22"/>
    <x v="334"/>
    <x v="1479"/>
  </r>
  <r>
    <x v="22"/>
    <x v="335"/>
    <x v="1480"/>
  </r>
  <r>
    <x v="22"/>
    <x v="335"/>
    <x v="1481"/>
  </r>
  <r>
    <x v="22"/>
    <x v="336"/>
    <x v="1482"/>
  </r>
  <r>
    <x v="22"/>
    <x v="336"/>
    <x v="1483"/>
  </r>
  <r>
    <x v="22"/>
    <x v="337"/>
    <x v="1484"/>
  </r>
  <r>
    <x v="22"/>
    <x v="337"/>
    <x v="1485"/>
  </r>
  <r>
    <x v="22"/>
    <x v="337"/>
    <x v="1486"/>
  </r>
  <r>
    <x v="22"/>
    <x v="337"/>
    <x v="1487"/>
  </r>
  <r>
    <x v="22"/>
    <x v="337"/>
    <x v="1488"/>
  </r>
  <r>
    <x v="22"/>
    <x v="337"/>
    <x v="1489"/>
  </r>
  <r>
    <x v="22"/>
    <x v="337"/>
    <x v="1490"/>
  </r>
  <r>
    <x v="22"/>
    <x v="337"/>
    <x v="1491"/>
  </r>
  <r>
    <x v="22"/>
    <x v="337"/>
    <x v="1492"/>
  </r>
  <r>
    <x v="22"/>
    <x v="337"/>
    <x v="1493"/>
  </r>
  <r>
    <x v="22"/>
    <x v="337"/>
    <x v="1494"/>
  </r>
  <r>
    <x v="22"/>
    <x v="337"/>
    <x v="1495"/>
  </r>
  <r>
    <x v="22"/>
    <x v="337"/>
    <x v="1496"/>
  </r>
  <r>
    <x v="22"/>
    <x v="337"/>
    <x v="1497"/>
  </r>
  <r>
    <x v="22"/>
    <x v="337"/>
    <x v="1498"/>
  </r>
  <r>
    <x v="22"/>
    <x v="337"/>
    <x v="1499"/>
  </r>
  <r>
    <x v="22"/>
    <x v="337"/>
    <x v="1500"/>
  </r>
  <r>
    <x v="22"/>
    <x v="337"/>
    <x v="1501"/>
  </r>
  <r>
    <x v="22"/>
    <x v="337"/>
    <x v="1502"/>
  </r>
  <r>
    <x v="22"/>
    <x v="337"/>
    <x v="1503"/>
  </r>
  <r>
    <x v="22"/>
    <x v="337"/>
    <x v="1504"/>
  </r>
  <r>
    <x v="22"/>
    <x v="337"/>
    <x v="1505"/>
  </r>
  <r>
    <x v="22"/>
    <x v="337"/>
    <x v="1506"/>
  </r>
  <r>
    <x v="22"/>
    <x v="337"/>
    <x v="1507"/>
  </r>
  <r>
    <x v="22"/>
    <x v="337"/>
    <x v="1508"/>
  </r>
  <r>
    <x v="22"/>
    <x v="337"/>
    <x v="1509"/>
  </r>
  <r>
    <x v="22"/>
    <x v="337"/>
    <x v="1510"/>
  </r>
  <r>
    <x v="22"/>
    <x v="337"/>
    <x v="1511"/>
  </r>
  <r>
    <x v="22"/>
    <x v="337"/>
    <x v="1512"/>
  </r>
  <r>
    <x v="22"/>
    <x v="337"/>
    <x v="1513"/>
  </r>
  <r>
    <x v="22"/>
    <x v="337"/>
    <x v="1514"/>
  </r>
  <r>
    <x v="22"/>
    <x v="337"/>
    <x v="1515"/>
  </r>
  <r>
    <x v="22"/>
    <x v="337"/>
    <x v="1516"/>
  </r>
  <r>
    <x v="22"/>
    <x v="337"/>
    <x v="1517"/>
  </r>
  <r>
    <x v="22"/>
    <x v="337"/>
    <x v="1518"/>
  </r>
  <r>
    <x v="22"/>
    <x v="337"/>
    <x v="1519"/>
  </r>
  <r>
    <x v="22"/>
    <x v="337"/>
    <x v="1520"/>
  </r>
  <r>
    <x v="22"/>
    <x v="337"/>
    <x v="1521"/>
  </r>
  <r>
    <x v="22"/>
    <x v="337"/>
    <x v="1522"/>
  </r>
  <r>
    <x v="22"/>
    <x v="337"/>
    <x v="1523"/>
  </r>
  <r>
    <x v="22"/>
    <x v="337"/>
    <x v="1524"/>
  </r>
  <r>
    <x v="22"/>
    <x v="337"/>
    <x v="1525"/>
  </r>
  <r>
    <x v="22"/>
    <x v="337"/>
    <x v="1526"/>
  </r>
  <r>
    <x v="22"/>
    <x v="337"/>
    <x v="1527"/>
  </r>
  <r>
    <x v="22"/>
    <x v="337"/>
    <x v="1528"/>
  </r>
  <r>
    <x v="22"/>
    <x v="337"/>
    <x v="1529"/>
  </r>
  <r>
    <x v="22"/>
    <x v="337"/>
    <x v="1530"/>
  </r>
  <r>
    <x v="22"/>
    <x v="337"/>
    <x v="1531"/>
  </r>
  <r>
    <x v="22"/>
    <x v="337"/>
    <x v="1532"/>
  </r>
  <r>
    <x v="22"/>
    <x v="337"/>
    <x v="1533"/>
  </r>
  <r>
    <x v="22"/>
    <x v="337"/>
    <x v="1534"/>
  </r>
  <r>
    <x v="22"/>
    <x v="337"/>
    <x v="1535"/>
  </r>
  <r>
    <x v="22"/>
    <x v="337"/>
    <x v="1536"/>
  </r>
  <r>
    <x v="22"/>
    <x v="337"/>
    <x v="1537"/>
  </r>
  <r>
    <x v="22"/>
    <x v="337"/>
    <x v="1538"/>
  </r>
  <r>
    <x v="22"/>
    <x v="337"/>
    <x v="1539"/>
  </r>
  <r>
    <x v="22"/>
    <x v="337"/>
    <x v="1540"/>
  </r>
  <r>
    <x v="22"/>
    <x v="337"/>
    <x v="1541"/>
  </r>
  <r>
    <x v="22"/>
    <x v="337"/>
    <x v="1542"/>
  </r>
  <r>
    <x v="22"/>
    <x v="337"/>
    <x v="1543"/>
  </r>
  <r>
    <x v="22"/>
    <x v="337"/>
    <x v="1544"/>
  </r>
  <r>
    <x v="22"/>
    <x v="337"/>
    <x v="1545"/>
  </r>
  <r>
    <x v="22"/>
    <x v="337"/>
    <x v="1546"/>
  </r>
  <r>
    <x v="22"/>
    <x v="337"/>
    <x v="1547"/>
  </r>
  <r>
    <x v="22"/>
    <x v="337"/>
    <x v="1548"/>
  </r>
  <r>
    <x v="22"/>
    <x v="337"/>
    <x v="1549"/>
  </r>
  <r>
    <x v="22"/>
    <x v="337"/>
    <x v="1550"/>
  </r>
  <r>
    <x v="22"/>
    <x v="337"/>
    <x v="1551"/>
  </r>
  <r>
    <x v="22"/>
    <x v="337"/>
    <x v="1552"/>
  </r>
  <r>
    <x v="22"/>
    <x v="337"/>
    <x v="1553"/>
  </r>
  <r>
    <x v="22"/>
    <x v="337"/>
    <x v="1554"/>
  </r>
  <r>
    <x v="22"/>
    <x v="337"/>
    <x v="1555"/>
  </r>
  <r>
    <x v="22"/>
    <x v="337"/>
    <x v="1556"/>
  </r>
  <r>
    <x v="22"/>
    <x v="338"/>
    <x v="1557"/>
  </r>
  <r>
    <x v="22"/>
    <x v="338"/>
    <x v="1558"/>
  </r>
  <r>
    <x v="22"/>
    <x v="338"/>
    <x v="1559"/>
  </r>
  <r>
    <x v="22"/>
    <x v="338"/>
    <x v="1560"/>
  </r>
  <r>
    <x v="22"/>
    <x v="338"/>
    <x v="1561"/>
  </r>
  <r>
    <x v="22"/>
    <x v="338"/>
    <x v="1562"/>
  </r>
  <r>
    <x v="22"/>
    <x v="338"/>
    <x v="1563"/>
  </r>
  <r>
    <x v="22"/>
    <x v="338"/>
    <x v="1564"/>
  </r>
  <r>
    <x v="22"/>
    <x v="338"/>
    <x v="1565"/>
  </r>
  <r>
    <x v="22"/>
    <x v="338"/>
    <x v="1566"/>
  </r>
  <r>
    <x v="22"/>
    <x v="338"/>
    <x v="1567"/>
  </r>
  <r>
    <x v="22"/>
    <x v="338"/>
    <x v="1568"/>
  </r>
  <r>
    <x v="22"/>
    <x v="338"/>
    <x v="1569"/>
  </r>
  <r>
    <x v="22"/>
    <x v="338"/>
    <x v="1570"/>
  </r>
  <r>
    <x v="22"/>
    <x v="338"/>
    <x v="1571"/>
  </r>
  <r>
    <x v="22"/>
    <x v="338"/>
    <x v="1572"/>
  </r>
  <r>
    <x v="22"/>
    <x v="338"/>
    <x v="1573"/>
  </r>
  <r>
    <x v="22"/>
    <x v="338"/>
    <x v="1574"/>
  </r>
  <r>
    <x v="22"/>
    <x v="338"/>
    <x v="1575"/>
  </r>
  <r>
    <x v="22"/>
    <x v="338"/>
    <x v="1576"/>
  </r>
  <r>
    <x v="22"/>
    <x v="338"/>
    <x v="1577"/>
  </r>
  <r>
    <x v="22"/>
    <x v="338"/>
    <x v="1578"/>
  </r>
  <r>
    <x v="22"/>
    <x v="338"/>
    <x v="1579"/>
  </r>
  <r>
    <x v="22"/>
    <x v="338"/>
    <x v="1580"/>
  </r>
  <r>
    <x v="22"/>
    <x v="338"/>
    <x v="1581"/>
  </r>
  <r>
    <x v="22"/>
    <x v="338"/>
    <x v="1582"/>
  </r>
  <r>
    <x v="22"/>
    <x v="338"/>
    <x v="1583"/>
  </r>
  <r>
    <x v="22"/>
    <x v="338"/>
    <x v="1584"/>
  </r>
  <r>
    <x v="22"/>
    <x v="338"/>
    <x v="1585"/>
  </r>
  <r>
    <x v="22"/>
    <x v="338"/>
    <x v="1586"/>
  </r>
  <r>
    <x v="22"/>
    <x v="338"/>
    <x v="1587"/>
  </r>
  <r>
    <x v="22"/>
    <x v="338"/>
    <x v="1588"/>
  </r>
  <r>
    <x v="22"/>
    <x v="338"/>
    <x v="1589"/>
  </r>
  <r>
    <x v="22"/>
    <x v="338"/>
    <x v="1590"/>
  </r>
  <r>
    <x v="22"/>
    <x v="338"/>
    <x v="1591"/>
  </r>
  <r>
    <x v="22"/>
    <x v="338"/>
    <x v="1592"/>
  </r>
  <r>
    <x v="22"/>
    <x v="338"/>
    <x v="1593"/>
  </r>
  <r>
    <x v="22"/>
    <x v="338"/>
    <x v="1594"/>
  </r>
  <r>
    <x v="22"/>
    <x v="338"/>
    <x v="1595"/>
  </r>
  <r>
    <x v="22"/>
    <x v="338"/>
    <x v="1596"/>
  </r>
  <r>
    <x v="22"/>
    <x v="338"/>
    <x v="1597"/>
  </r>
  <r>
    <x v="22"/>
    <x v="338"/>
    <x v="1598"/>
  </r>
  <r>
    <x v="22"/>
    <x v="338"/>
    <x v="1599"/>
  </r>
  <r>
    <x v="22"/>
    <x v="338"/>
    <x v="1600"/>
  </r>
  <r>
    <x v="22"/>
    <x v="338"/>
    <x v="1601"/>
  </r>
  <r>
    <x v="22"/>
    <x v="338"/>
    <x v="1602"/>
  </r>
  <r>
    <x v="22"/>
    <x v="338"/>
    <x v="1603"/>
  </r>
  <r>
    <x v="22"/>
    <x v="338"/>
    <x v="1604"/>
  </r>
  <r>
    <x v="22"/>
    <x v="338"/>
    <x v="1605"/>
  </r>
  <r>
    <x v="22"/>
    <x v="338"/>
    <x v="1606"/>
  </r>
  <r>
    <x v="22"/>
    <x v="338"/>
    <x v="1607"/>
  </r>
  <r>
    <x v="22"/>
    <x v="338"/>
    <x v="1608"/>
  </r>
  <r>
    <x v="22"/>
    <x v="338"/>
    <x v="1609"/>
  </r>
  <r>
    <x v="22"/>
    <x v="338"/>
    <x v="1610"/>
  </r>
  <r>
    <x v="22"/>
    <x v="338"/>
    <x v="1611"/>
  </r>
  <r>
    <x v="22"/>
    <x v="338"/>
    <x v="1612"/>
  </r>
  <r>
    <x v="22"/>
    <x v="338"/>
    <x v="1613"/>
  </r>
  <r>
    <x v="22"/>
    <x v="338"/>
    <x v="1614"/>
  </r>
  <r>
    <x v="22"/>
    <x v="338"/>
    <x v="1615"/>
  </r>
  <r>
    <x v="22"/>
    <x v="338"/>
    <x v="1616"/>
  </r>
  <r>
    <x v="22"/>
    <x v="338"/>
    <x v="1617"/>
  </r>
  <r>
    <x v="22"/>
    <x v="338"/>
    <x v="1618"/>
  </r>
  <r>
    <x v="22"/>
    <x v="338"/>
    <x v="1619"/>
  </r>
  <r>
    <x v="22"/>
    <x v="338"/>
    <x v="1620"/>
  </r>
  <r>
    <x v="22"/>
    <x v="338"/>
    <x v="1621"/>
  </r>
  <r>
    <x v="22"/>
    <x v="338"/>
    <x v="1622"/>
  </r>
  <r>
    <x v="22"/>
    <x v="338"/>
    <x v="1623"/>
  </r>
  <r>
    <x v="22"/>
    <x v="338"/>
    <x v="1624"/>
  </r>
  <r>
    <x v="22"/>
    <x v="338"/>
    <x v="1625"/>
  </r>
  <r>
    <x v="22"/>
    <x v="338"/>
    <x v="1626"/>
  </r>
  <r>
    <x v="22"/>
    <x v="338"/>
    <x v="1627"/>
  </r>
  <r>
    <x v="22"/>
    <x v="338"/>
    <x v="1628"/>
  </r>
  <r>
    <x v="22"/>
    <x v="338"/>
    <x v="1629"/>
  </r>
  <r>
    <x v="22"/>
    <x v="339"/>
    <x v="1630"/>
  </r>
  <r>
    <x v="22"/>
    <x v="339"/>
    <x v="1631"/>
  </r>
  <r>
    <x v="22"/>
    <x v="339"/>
    <x v="1632"/>
  </r>
  <r>
    <x v="22"/>
    <x v="339"/>
    <x v="1633"/>
  </r>
  <r>
    <x v="22"/>
    <x v="339"/>
    <x v="1634"/>
  </r>
  <r>
    <x v="22"/>
    <x v="339"/>
    <x v="1635"/>
  </r>
  <r>
    <x v="22"/>
    <x v="339"/>
    <x v="1636"/>
  </r>
  <r>
    <x v="22"/>
    <x v="339"/>
    <x v="1637"/>
  </r>
  <r>
    <x v="22"/>
    <x v="339"/>
    <x v="1638"/>
  </r>
  <r>
    <x v="22"/>
    <x v="339"/>
    <x v="1639"/>
  </r>
  <r>
    <x v="22"/>
    <x v="339"/>
    <x v="1640"/>
  </r>
  <r>
    <x v="22"/>
    <x v="339"/>
    <x v="1641"/>
  </r>
  <r>
    <x v="22"/>
    <x v="339"/>
    <x v="1642"/>
  </r>
  <r>
    <x v="22"/>
    <x v="340"/>
    <x v="1643"/>
  </r>
  <r>
    <x v="22"/>
    <x v="340"/>
    <x v="1644"/>
  </r>
  <r>
    <x v="22"/>
    <x v="341"/>
    <x v="1645"/>
  </r>
  <r>
    <x v="22"/>
    <x v="341"/>
    <x v="1646"/>
  </r>
  <r>
    <x v="22"/>
    <x v="342"/>
    <x v="1647"/>
  </r>
  <r>
    <x v="22"/>
    <x v="342"/>
    <x v="1648"/>
  </r>
  <r>
    <x v="22"/>
    <x v="343"/>
    <x v="1649"/>
  </r>
  <r>
    <x v="22"/>
    <x v="343"/>
    <x v="1650"/>
  </r>
  <r>
    <x v="22"/>
    <x v="344"/>
    <x v="1651"/>
  </r>
  <r>
    <x v="22"/>
    <x v="344"/>
    <x v="1652"/>
  </r>
  <r>
    <x v="22"/>
    <x v="345"/>
    <x v="1653"/>
  </r>
  <r>
    <x v="22"/>
    <x v="345"/>
    <x v="1654"/>
  </r>
  <r>
    <x v="22"/>
    <x v="345"/>
    <x v="1655"/>
  </r>
  <r>
    <x v="22"/>
    <x v="346"/>
    <x v="1656"/>
  </r>
  <r>
    <x v="22"/>
    <x v="346"/>
    <x v="1657"/>
  </r>
  <r>
    <x v="22"/>
    <x v="346"/>
    <x v="1658"/>
  </r>
  <r>
    <x v="22"/>
    <x v="346"/>
    <x v="1659"/>
  </r>
  <r>
    <x v="22"/>
    <x v="346"/>
    <x v="1660"/>
  </r>
  <r>
    <x v="22"/>
    <x v="346"/>
    <x v="1661"/>
  </r>
  <r>
    <x v="22"/>
    <x v="346"/>
    <x v="1662"/>
  </r>
  <r>
    <x v="22"/>
    <x v="346"/>
    <x v="1663"/>
  </r>
  <r>
    <x v="22"/>
    <x v="346"/>
    <x v="1664"/>
  </r>
  <r>
    <x v="22"/>
    <x v="346"/>
    <x v="1665"/>
  </r>
  <r>
    <x v="22"/>
    <x v="346"/>
    <x v="1666"/>
  </r>
  <r>
    <x v="22"/>
    <x v="346"/>
    <x v="1667"/>
  </r>
  <r>
    <x v="22"/>
    <x v="346"/>
    <x v="1668"/>
  </r>
  <r>
    <x v="22"/>
    <x v="347"/>
    <x v="1669"/>
  </r>
  <r>
    <x v="22"/>
    <x v="347"/>
    <x v="1670"/>
  </r>
  <r>
    <x v="22"/>
    <x v="347"/>
    <x v="1671"/>
  </r>
  <r>
    <x v="22"/>
    <x v="348"/>
    <x v="1672"/>
  </r>
  <r>
    <x v="22"/>
    <x v="348"/>
    <x v="1673"/>
  </r>
  <r>
    <x v="22"/>
    <x v="348"/>
    <x v="1674"/>
  </r>
  <r>
    <x v="22"/>
    <x v="348"/>
    <x v="1675"/>
  </r>
  <r>
    <x v="22"/>
    <x v="349"/>
    <x v="1676"/>
  </r>
  <r>
    <x v="22"/>
    <x v="349"/>
    <x v="1677"/>
  </r>
  <r>
    <x v="22"/>
    <x v="350"/>
    <x v="1678"/>
  </r>
  <r>
    <x v="22"/>
    <x v="350"/>
    <x v="1679"/>
  </r>
  <r>
    <x v="22"/>
    <x v="350"/>
    <x v="1680"/>
  </r>
  <r>
    <x v="22"/>
    <x v="351"/>
    <x v="1681"/>
  </r>
  <r>
    <x v="22"/>
    <x v="351"/>
    <x v="1682"/>
  </r>
  <r>
    <x v="22"/>
    <x v="351"/>
    <x v="1683"/>
  </r>
  <r>
    <x v="22"/>
    <x v="352"/>
    <x v="1684"/>
  </r>
  <r>
    <x v="22"/>
    <x v="352"/>
    <x v="1685"/>
  </r>
  <r>
    <x v="22"/>
    <x v="353"/>
    <x v="1686"/>
  </r>
  <r>
    <x v="22"/>
    <x v="353"/>
    <x v="1687"/>
  </r>
  <r>
    <x v="22"/>
    <x v="353"/>
    <x v="1688"/>
  </r>
  <r>
    <x v="22"/>
    <x v="354"/>
    <x v="1689"/>
  </r>
  <r>
    <x v="22"/>
    <x v="354"/>
    <x v="1690"/>
  </r>
  <r>
    <x v="22"/>
    <x v="355"/>
    <x v="1691"/>
  </r>
  <r>
    <x v="22"/>
    <x v="355"/>
    <x v="1692"/>
  </r>
  <r>
    <x v="22"/>
    <x v="355"/>
    <x v="1693"/>
  </r>
  <r>
    <x v="22"/>
    <x v="355"/>
    <x v="1694"/>
  </r>
  <r>
    <x v="22"/>
    <x v="355"/>
    <x v="1695"/>
  </r>
  <r>
    <x v="22"/>
    <x v="355"/>
    <x v="1696"/>
  </r>
  <r>
    <x v="22"/>
    <x v="355"/>
    <x v="1697"/>
  </r>
  <r>
    <x v="22"/>
    <x v="355"/>
    <x v="1698"/>
  </r>
  <r>
    <x v="22"/>
    <x v="355"/>
    <x v="1699"/>
  </r>
  <r>
    <x v="22"/>
    <x v="355"/>
    <x v="1700"/>
  </r>
  <r>
    <x v="22"/>
    <x v="355"/>
    <x v="1701"/>
  </r>
  <r>
    <x v="22"/>
    <x v="355"/>
    <x v="1702"/>
  </r>
  <r>
    <x v="22"/>
    <x v="355"/>
    <x v="1703"/>
  </r>
  <r>
    <x v="22"/>
    <x v="355"/>
    <x v="1704"/>
  </r>
  <r>
    <x v="22"/>
    <x v="355"/>
    <x v="1705"/>
  </r>
  <r>
    <x v="22"/>
    <x v="355"/>
    <x v="1706"/>
  </r>
  <r>
    <x v="22"/>
    <x v="355"/>
    <x v="1706"/>
  </r>
  <r>
    <x v="22"/>
    <x v="355"/>
    <x v="1706"/>
  </r>
  <r>
    <x v="22"/>
    <x v="355"/>
    <x v="1706"/>
  </r>
  <r>
    <x v="22"/>
    <x v="355"/>
    <x v="1706"/>
  </r>
  <r>
    <x v="22"/>
    <x v="355"/>
    <x v="1706"/>
  </r>
  <r>
    <x v="22"/>
    <x v="356"/>
    <x v="1707"/>
  </r>
  <r>
    <x v="22"/>
    <x v="356"/>
    <x v="1708"/>
  </r>
  <r>
    <x v="22"/>
    <x v="357"/>
    <x v="1709"/>
  </r>
  <r>
    <x v="22"/>
    <x v="357"/>
    <x v="1710"/>
  </r>
  <r>
    <x v="22"/>
    <x v="358"/>
    <x v="1711"/>
  </r>
  <r>
    <x v="22"/>
    <x v="358"/>
    <x v="1712"/>
  </r>
  <r>
    <x v="22"/>
    <x v="358"/>
    <x v="1713"/>
  </r>
  <r>
    <x v="22"/>
    <x v="359"/>
    <x v="1714"/>
  </r>
  <r>
    <x v="22"/>
    <x v="359"/>
    <x v="1715"/>
  </r>
  <r>
    <x v="22"/>
    <x v="359"/>
    <x v="1716"/>
  </r>
  <r>
    <x v="22"/>
    <x v="359"/>
    <x v="1717"/>
  </r>
  <r>
    <x v="22"/>
    <x v="359"/>
    <x v="1718"/>
  </r>
  <r>
    <x v="22"/>
    <x v="359"/>
    <x v="1719"/>
  </r>
  <r>
    <x v="22"/>
    <x v="359"/>
    <x v="1720"/>
  </r>
  <r>
    <x v="22"/>
    <x v="360"/>
    <x v="1721"/>
  </r>
  <r>
    <x v="22"/>
    <x v="360"/>
    <x v="1722"/>
  </r>
  <r>
    <x v="23"/>
    <x v="361"/>
    <x v="1723"/>
  </r>
  <r>
    <x v="23"/>
    <x v="361"/>
    <x v="1724"/>
  </r>
  <r>
    <x v="23"/>
    <x v="361"/>
    <x v="1725"/>
  </r>
  <r>
    <x v="23"/>
    <x v="361"/>
    <x v="1726"/>
  </r>
  <r>
    <x v="23"/>
    <x v="361"/>
    <x v="1727"/>
  </r>
  <r>
    <x v="23"/>
    <x v="361"/>
    <x v="1728"/>
  </r>
  <r>
    <x v="23"/>
    <x v="362"/>
    <x v="1729"/>
  </r>
  <r>
    <x v="23"/>
    <x v="362"/>
    <x v="1730"/>
  </r>
  <r>
    <x v="23"/>
    <x v="362"/>
    <x v="1731"/>
  </r>
  <r>
    <x v="23"/>
    <x v="362"/>
    <x v="1732"/>
  </r>
  <r>
    <x v="23"/>
    <x v="363"/>
    <x v="1733"/>
  </r>
  <r>
    <x v="23"/>
    <x v="363"/>
    <x v="1734"/>
  </r>
  <r>
    <x v="23"/>
    <x v="363"/>
    <x v="1735"/>
  </r>
  <r>
    <x v="23"/>
    <x v="364"/>
    <x v="1736"/>
  </r>
  <r>
    <x v="23"/>
    <x v="365"/>
    <x v="1737"/>
  </r>
  <r>
    <x v="23"/>
    <x v="365"/>
    <x v="1738"/>
  </r>
  <r>
    <x v="23"/>
    <x v="366"/>
    <x v="1739"/>
  </r>
  <r>
    <x v="23"/>
    <x v="366"/>
    <x v="1740"/>
  </r>
  <r>
    <x v="23"/>
    <x v="366"/>
    <x v="1741"/>
  </r>
  <r>
    <x v="23"/>
    <x v="367"/>
    <x v="1742"/>
  </r>
  <r>
    <x v="23"/>
    <x v="367"/>
    <x v="1743"/>
  </r>
  <r>
    <x v="23"/>
    <x v="367"/>
    <x v="1744"/>
  </r>
  <r>
    <x v="23"/>
    <x v="367"/>
    <x v="174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4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98">
        <item x="255"/>
        <item m="1" x="468"/>
        <item x="292"/>
        <item x="293"/>
        <item x="277"/>
        <item m="1" x="371"/>
        <item m="1" x="397"/>
        <item x="294"/>
        <item x="295"/>
        <item x="296"/>
        <item x="297"/>
        <item x="298"/>
        <item x="299"/>
        <item x="300"/>
        <item x="301"/>
        <item x="302"/>
        <item x="56"/>
        <item x="10"/>
        <item x="83"/>
        <item x="84"/>
        <item m="1" x="426"/>
        <item m="1" x="438"/>
        <item x="303"/>
        <item x="11"/>
        <item x="361"/>
        <item x="214"/>
        <item x="215"/>
        <item x="85"/>
        <item x="197"/>
        <item x="216"/>
        <item x="304"/>
        <item x="86"/>
        <item x="87"/>
        <item x="41"/>
        <item x="160"/>
        <item x="167"/>
        <item x="1"/>
        <item x="12"/>
        <item x="256"/>
        <item m="1" x="490"/>
        <item x="57"/>
        <item m="1" x="396"/>
        <item x="13"/>
        <item x="217"/>
        <item x="58"/>
        <item m="1" x="398"/>
        <item m="1" x="399"/>
        <item x="88"/>
        <item x="257"/>
        <item x="258"/>
        <item x="259"/>
        <item m="1" x="400"/>
        <item x="59"/>
        <item m="1" x="369"/>
        <item x="60"/>
        <item x="61"/>
        <item m="1" x="427"/>
        <item x="89"/>
        <item m="1" x="495"/>
        <item x="42"/>
        <item m="1" x="432"/>
        <item x="14"/>
        <item x="193"/>
        <item x="194"/>
        <item x="77"/>
        <item x="78"/>
        <item x="168"/>
        <item x="169"/>
        <item x="170"/>
        <item x="171"/>
        <item x="172"/>
        <item x="161"/>
        <item x="90"/>
        <item x="260"/>
        <item x="91"/>
        <item m="1" x="456"/>
        <item x="162"/>
        <item x="305"/>
        <item x="198"/>
        <item x="92"/>
        <item m="1" x="485"/>
        <item x="218"/>
        <item x="62"/>
        <item x="63"/>
        <item x="219"/>
        <item x="220"/>
        <item m="1" x="387"/>
        <item x="221"/>
        <item x="278"/>
        <item x="306"/>
        <item m="1" x="452"/>
        <item x="307"/>
        <item x="308"/>
        <item m="1" x="368"/>
        <item m="1" x="496"/>
        <item x="309"/>
        <item m="1" x="428"/>
        <item x="261"/>
        <item m="1" x="465"/>
        <item x="262"/>
        <item m="1" x="473"/>
        <item x="222"/>
        <item m="1" x="425"/>
        <item m="1" x="469"/>
        <item x="223"/>
        <item x="93"/>
        <item x="310"/>
        <item x="94"/>
        <item x="95"/>
        <item x="96"/>
        <item x="311"/>
        <item m="1" x="388"/>
        <item x="312"/>
        <item x="97"/>
        <item x="313"/>
        <item x="15"/>
        <item x="98"/>
        <item x="173"/>
        <item m="1" x="401"/>
        <item x="362"/>
        <item m="1" x="466"/>
        <item x="314"/>
        <item x="64"/>
        <item x="16"/>
        <item x="99"/>
        <item m="1" x="433"/>
        <item x="315"/>
        <item x="316"/>
        <item x="174"/>
        <item x="100"/>
        <item x="199"/>
        <item x="317"/>
        <item x="224"/>
        <item m="1" x="448"/>
        <item x="101"/>
        <item x="102"/>
        <item m="1" x="402"/>
        <item m="1" x="463"/>
        <item x="65"/>
        <item x="66"/>
        <item x="67"/>
        <item x="263"/>
        <item x="318"/>
        <item x="319"/>
        <item x="320"/>
        <item x="43"/>
        <item x="103"/>
        <item x="279"/>
        <item x="44"/>
        <item x="104"/>
        <item x="45"/>
        <item m="1" x="385"/>
        <item x="46"/>
        <item x="363"/>
        <item x="105"/>
        <item x="79"/>
        <item x="47"/>
        <item m="1" x="497"/>
        <item m="1" x="492"/>
        <item x="364"/>
        <item x="17"/>
        <item x="280"/>
        <item m="1" x="372"/>
        <item x="321"/>
        <item x="18"/>
        <item m="1" x="445"/>
        <item m="1" x="478"/>
        <item m="1" x="493"/>
        <item x="19"/>
        <item x="106"/>
        <item x="48"/>
        <item x="107"/>
        <item m="1" x="403"/>
        <item m="1" x="461"/>
        <item x="108"/>
        <item x="281"/>
        <item m="1" x="389"/>
        <item x="195"/>
        <item m="1" x="395"/>
        <item x="109"/>
        <item x="68"/>
        <item x="110"/>
        <item m="1" x="460"/>
        <item x="264"/>
        <item x="265"/>
        <item x="111"/>
        <item x="53"/>
        <item x="112"/>
        <item m="1" x="404"/>
        <item x="113"/>
        <item m="1" x="431"/>
        <item m="1" x="494"/>
        <item m="1" x="370"/>
        <item m="1" x="393"/>
        <item m="1" x="436"/>
        <item m="1" x="451"/>
        <item m="1" x="373"/>
        <item x="69"/>
        <item x="200"/>
        <item x="114"/>
        <item x="115"/>
        <item m="1" x="405"/>
        <item x="20"/>
        <item x="21"/>
        <item x="22"/>
        <item m="1" x="429"/>
        <item x="80"/>
        <item x="225"/>
        <item x="322"/>
        <item x="23"/>
        <item x="323"/>
        <item x="226"/>
        <item x="227"/>
        <item x="324"/>
        <item m="1" x="464"/>
        <item m="1" x="406"/>
        <item x="70"/>
        <item m="1" x="489"/>
        <item x="325"/>
        <item m="1" x="435"/>
        <item x="196"/>
        <item x="116"/>
        <item x="117"/>
        <item m="1" x="407"/>
        <item m="1" x="408"/>
        <item x="175"/>
        <item m="1" x="409"/>
        <item x="326"/>
        <item x="327"/>
        <item m="1" x="457"/>
        <item x="328"/>
        <item m="1" x="477"/>
        <item x="329"/>
        <item m="1" x="434"/>
        <item x="201"/>
        <item x="228"/>
        <item x="24"/>
        <item x="2"/>
        <item m="1" x="467"/>
        <item x="282"/>
        <item x="118"/>
        <item x="266"/>
        <item x="202"/>
        <item m="1" x="384"/>
        <item m="1" x="410"/>
        <item x="176"/>
        <item x="177"/>
        <item x="3"/>
        <item m="1" x="437"/>
        <item m="1" x="439"/>
        <item m="1" x="480"/>
        <item x="286"/>
        <item m="1" x="411"/>
        <item x="178"/>
        <item x="330"/>
        <item m="1" x="412"/>
        <item m="1" x="413"/>
        <item x="163"/>
        <item x="331"/>
        <item x="332"/>
        <item x="179"/>
        <item m="1" x="450"/>
        <item m="1" x="474"/>
        <item x="180"/>
        <item x="333"/>
        <item m="1" x="414"/>
        <item x="181"/>
        <item x="287"/>
        <item x="267"/>
        <item x="288"/>
        <item x="71"/>
        <item x="268"/>
        <item x="119"/>
        <item m="1" x="424"/>
        <item x="182"/>
        <item x="120"/>
        <item x="334"/>
        <item x="121"/>
        <item m="1" x="455"/>
        <item m="1" x="459"/>
        <item x="122"/>
        <item x="123"/>
        <item x="72"/>
        <item x="124"/>
        <item x="81"/>
        <item m="1" x="491"/>
        <item x="125"/>
        <item m="1" x="378"/>
        <item x="126"/>
        <item x="4"/>
        <item x="5"/>
        <item m="1" x="379"/>
        <item x="203"/>
        <item x="204"/>
        <item x="205"/>
        <item m="1" x="380"/>
        <item x="206"/>
        <item x="207"/>
        <item m="1" x="381"/>
        <item x="269"/>
        <item x="283"/>
        <item x="25"/>
        <item x="335"/>
        <item x="73"/>
        <item x="229"/>
        <item x="230"/>
        <item x="231"/>
        <item x="232"/>
        <item x="233"/>
        <item x="234"/>
        <item x="235"/>
        <item x="236"/>
        <item x="237"/>
        <item m="1" x="383"/>
        <item x="238"/>
        <item x="239"/>
        <item m="1" x="446"/>
        <item x="127"/>
        <item x="183"/>
        <item m="1" x="430"/>
        <item x="184"/>
        <item x="270"/>
        <item x="289"/>
        <item m="1" x="441"/>
        <item x="336"/>
        <item x="128"/>
        <item x="271"/>
        <item x="365"/>
        <item x="129"/>
        <item x="130"/>
        <item m="1" x="453"/>
        <item x="26"/>
        <item x="240"/>
        <item x="131"/>
        <item x="366"/>
        <item x="132"/>
        <item x="185"/>
        <item x="186"/>
        <item x="187"/>
        <item m="1" x="488"/>
        <item x="337"/>
        <item x="133"/>
        <item x="74"/>
        <item x="27"/>
        <item x="75"/>
        <item x="290"/>
        <item m="1" x="377"/>
        <item x="49"/>
        <item x="338"/>
        <item x="339"/>
        <item m="1" x="482"/>
        <item x="241"/>
        <item x="6"/>
        <item x="134"/>
        <item m="1" x="483"/>
        <item x="367"/>
        <item m="1" x="471"/>
        <item x="28"/>
        <item m="1" x="486"/>
        <item x="164"/>
        <item x="165"/>
        <item x="166"/>
        <item x="242"/>
        <item x="243"/>
        <item x="188"/>
        <item x="189"/>
        <item x="244"/>
        <item x="29"/>
        <item x="208"/>
        <item x="245"/>
        <item x="284"/>
        <item x="135"/>
        <item x="136"/>
        <item x="137"/>
        <item x="190"/>
        <item x="272"/>
        <item x="246"/>
        <item m="1" x="376"/>
        <item x="30"/>
        <item x="31"/>
        <item m="1" x="390"/>
        <item m="1" x="391"/>
        <item m="1" x="392"/>
        <item m="1" x="472"/>
        <item x="191"/>
        <item m="1" x="415"/>
        <item x="340"/>
        <item m="1" x="416"/>
        <item m="1" x="417"/>
        <item x="341"/>
        <item x="54"/>
        <item x="192"/>
        <item x="7"/>
        <item x="55"/>
        <item x="342"/>
        <item x="138"/>
        <item x="139"/>
        <item x="32"/>
        <item x="82"/>
        <item m="1" x="386"/>
        <item m="1" x="484"/>
        <item x="140"/>
        <item x="247"/>
        <item x="343"/>
        <item m="1" x="449"/>
        <item x="33"/>
        <item x="344"/>
        <item x="285"/>
        <item x="34"/>
        <item x="141"/>
        <item x="209"/>
        <item x="248"/>
        <item x="142"/>
        <item x="345"/>
        <item x="346"/>
        <item x="143"/>
        <item x="8"/>
        <item m="1" x="479"/>
        <item m="1" x="462"/>
        <item x="144"/>
        <item x="145"/>
        <item m="1" x="470"/>
        <item m="1" x="487"/>
        <item x="35"/>
        <item x="36"/>
        <item x="249"/>
        <item x="347"/>
        <item x="50"/>
        <item x="37"/>
        <item x="250"/>
        <item x="51"/>
        <item x="146"/>
        <item x="38"/>
        <item x="147"/>
        <item m="1" x="394"/>
        <item x="148"/>
        <item m="1" x="418"/>
        <item x="251"/>
        <item x="149"/>
        <item x="210"/>
        <item m="1" x="382"/>
        <item x="211"/>
        <item x="252"/>
        <item m="1" x="419"/>
        <item x="253"/>
        <item x="150"/>
        <item x="151"/>
        <item m="1" x="476"/>
        <item x="348"/>
        <item x="349"/>
        <item x="52"/>
        <item m="1" x="447"/>
        <item x="152"/>
        <item m="1" x="420"/>
        <item x="212"/>
        <item x="350"/>
        <item m="1" x="443"/>
        <item m="1" x="440"/>
        <item x="39"/>
        <item x="40"/>
        <item x="351"/>
        <item m="1" x="458"/>
        <item x="254"/>
        <item x="352"/>
        <item x="153"/>
        <item x="154"/>
        <item m="1" x="454"/>
        <item x="155"/>
        <item m="1" x="421"/>
        <item x="353"/>
        <item x="156"/>
        <item m="1" x="422"/>
        <item m="1" x="442"/>
        <item x="157"/>
        <item m="1" x="423"/>
        <item x="273"/>
        <item m="1" x="444"/>
        <item x="354"/>
        <item x="355"/>
        <item x="158"/>
        <item x="274"/>
        <item x="291"/>
        <item x="356"/>
        <item x="9"/>
        <item x="275"/>
        <item m="1" x="475"/>
        <item m="1" x="481"/>
        <item x="357"/>
        <item x="358"/>
        <item x="359"/>
        <item x="360"/>
        <item x="213"/>
        <item m="1" x="374"/>
        <item m="1" x="375"/>
        <item x="276"/>
        <item x="159"/>
        <item x="7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2364">
        <item m="1" x="1951"/>
        <item x="1190"/>
        <item x="1191"/>
        <item m="1" x="1952"/>
        <item x="1262"/>
        <item x="1264"/>
        <item x="1263"/>
        <item x="1265"/>
        <item x="1266"/>
        <item x="1279"/>
        <item x="1280"/>
        <item x="231"/>
        <item x="81"/>
        <item x="82"/>
        <item x="83"/>
        <item m="1" x="2117"/>
        <item x="314"/>
        <item x="84"/>
        <item x="1281"/>
        <item x="318"/>
        <item x="1284"/>
        <item x="581"/>
        <item x="85"/>
        <item m="1" x="1955"/>
        <item m="1" x="1941"/>
        <item m="1" x="2030"/>
        <item m="1" x="1959"/>
        <item x="111"/>
        <item x="295"/>
        <item x="293"/>
        <item m="1" x="2109"/>
        <item x="649"/>
        <item m="1" x="1961"/>
        <item x="584"/>
        <item x="586"/>
        <item m="1" x="2209"/>
        <item x="327"/>
        <item m="1" x="2331"/>
        <item x="1289"/>
        <item x="746"/>
        <item m="1" x="1899"/>
        <item x="1302"/>
        <item x="1192"/>
        <item m="1" x="2092"/>
        <item x="1308"/>
        <item m="1" x="2031"/>
        <item x="1323"/>
        <item x="334"/>
        <item m="1" x="2215"/>
        <item m="1" x="1912"/>
        <item x="332"/>
        <item m="1" x="2187"/>
        <item m="1" x="2057"/>
        <item m="1" x="2164"/>
        <item x="874"/>
        <item x="662"/>
        <item x="352"/>
        <item m="1" x="1965"/>
        <item m="1" x="2345"/>
        <item m="1" x="2076"/>
        <item x="1285"/>
        <item x="12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723"/>
        <item x="1724"/>
        <item x="1726"/>
        <item x="1727"/>
        <item m="1" x="1954"/>
        <item x="319"/>
        <item x="582"/>
        <item m="1" x="1942"/>
        <item m="1" x="1943"/>
        <item m="1" x="1944"/>
        <item m="1" x="1945"/>
        <item m="1" x="1946"/>
        <item m="1" x="1947"/>
        <item m="1" x="1956"/>
        <item m="1" x="1957"/>
        <item m="1" x="2077"/>
        <item m="1" x="2278"/>
        <item m="1" x="2143"/>
        <item m="1" x="1748"/>
        <item x="239"/>
        <item m="1" x="2242"/>
        <item m="1" x="2343"/>
        <item m="1" x="2262"/>
        <item m="1" x="2289"/>
        <item m="1" x="2162"/>
        <item m="1" x="2208"/>
        <item m="1" x="2273"/>
        <item m="1" x="2361"/>
        <item m="1" x="2079"/>
        <item m="1" x="2329"/>
        <item m="1" x="2225"/>
        <item m="1" x="2130"/>
        <item m="1" x="2304"/>
        <item m="1" x="2356"/>
        <item m="1" x="2233"/>
        <item m="1" x="2282"/>
        <item m="1" x="2067"/>
        <item m="1" x="2263"/>
        <item m="1" x="2144"/>
        <item m="1" x="2334"/>
        <item m="1" x="2066"/>
        <item m="1" x="2318"/>
        <item m="1" x="2154"/>
        <item x="112"/>
        <item x="113"/>
        <item x="114"/>
        <item x="294"/>
        <item x="296"/>
        <item x="650"/>
        <item x="651"/>
        <item x="652"/>
        <item x="585"/>
        <item x="326"/>
        <item x="328"/>
        <item m="1" x="2315"/>
        <item x="587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747"/>
        <item m="1" x="2166"/>
        <item x="245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x="1193"/>
        <item x="117"/>
        <item x="1303"/>
        <item m="1" x="2122"/>
        <item m="1" x="2355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x="232"/>
        <item m="1" x="1958"/>
        <item m="1" x="1749"/>
        <item x="240"/>
        <item x="246"/>
        <item m="1" x="2147"/>
        <item x="253"/>
        <item x="1442"/>
        <item m="1" x="2126"/>
        <item m="1" x="2332"/>
        <item m="1" x="2165"/>
        <item m="1" x="2274"/>
        <item m="1" x="2219"/>
        <item m="1" x="2302"/>
        <item m="1" x="2089"/>
        <item x="333"/>
        <item x="335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m="1" x="2216"/>
        <item m="1" x="2115"/>
        <item m="1" x="2101"/>
        <item x="118"/>
        <item x="119"/>
        <item m="1" x="2058"/>
        <item m="1" x="1895"/>
        <item x="670"/>
        <item x="671"/>
        <item x="875"/>
        <item m="1" x="2294"/>
        <item x="353"/>
        <item m="1" x="1966"/>
        <item x="1728"/>
        <item x="1732"/>
        <item x="254"/>
        <item x="1443"/>
        <item x="356"/>
        <item m="1" x="2177"/>
        <item x="1194"/>
        <item x="1444"/>
        <item m="1" x="2201"/>
        <item x="1733"/>
        <item m="1" x="2155"/>
        <item x="358"/>
        <item x="359"/>
        <item x="363"/>
        <item m="1" x="1948"/>
        <item m="1" x="1949"/>
        <item m="1" x="2360"/>
        <item m="1" x="2085"/>
        <item m="1" x="1950"/>
        <item x="1734"/>
        <item x="1735"/>
        <item m="1" x="2253"/>
        <item m="1" x="2135"/>
        <item x="1196"/>
        <item x="1197"/>
        <item x="1445"/>
        <item x="126"/>
        <item x="1195"/>
        <item x="1198"/>
        <item x="127"/>
        <item x="128"/>
        <item m="1" x="1923"/>
        <item m="1" x="2124"/>
        <item m="1" x="2123"/>
        <item m="1" x="2347"/>
        <item m="1" x="2248"/>
        <item m="1" x="2363"/>
        <item m="1" x="2128"/>
        <item x="1199"/>
        <item m="1" x="1924"/>
        <item x="376"/>
        <item x="377"/>
        <item x="380"/>
        <item x="384"/>
        <item x="225"/>
        <item x="378"/>
        <item m="1" x="2051"/>
        <item x="379"/>
        <item x="226"/>
        <item x="382"/>
        <item x="385"/>
        <item x="386"/>
        <item x="383"/>
        <item m="1" x="2052"/>
        <item m="1" x="2068"/>
        <item m="1" x="2070"/>
        <item m="1" x="2321"/>
        <item m="1" x="2044"/>
        <item x="1448"/>
        <item x="299"/>
        <item x="750"/>
        <item x="387"/>
        <item x="389"/>
        <item x="131"/>
        <item x="133"/>
        <item x="135"/>
        <item x="1446"/>
        <item x="1450"/>
        <item m="1" x="2096"/>
        <item x="138"/>
        <item x="1457"/>
        <item x="391"/>
        <item x="751"/>
        <item m="1" x="2323"/>
        <item m="1" x="2084"/>
        <item m="1" x="2071"/>
        <item x="132"/>
        <item x="134"/>
        <item x="136"/>
        <item m="1" x="2045"/>
        <item x="300"/>
        <item x="1447"/>
        <item x="139"/>
        <item x="1449"/>
        <item x="1451"/>
        <item x="1452"/>
        <item x="1453"/>
        <item x="1454"/>
        <item x="1455"/>
        <item x="1456"/>
        <item m="1" x="2231"/>
        <item m="1" x="2322"/>
        <item x="1458"/>
        <item m="1" x="2207"/>
        <item x="674"/>
        <item m="1" x="2200"/>
        <item m="1" x="2184"/>
        <item m="1" x="2086"/>
        <item m="1" x="2159"/>
        <item x="675"/>
        <item x="1234"/>
        <item m="1" x="2351"/>
        <item m="1" x="2306"/>
        <item x="883"/>
        <item x="140"/>
        <item m="1" x="2211"/>
        <item x="1200"/>
        <item m="1" x="2116"/>
        <item m="1" x="2362"/>
        <item m="1" x="2243"/>
        <item m="1" x="2163"/>
        <item x="1212"/>
        <item x="1211"/>
        <item x="1214"/>
        <item x="1213"/>
        <item x="1216"/>
        <item x="1218"/>
        <item x="1220"/>
        <item x="1222"/>
        <item x="1224"/>
        <item x="1226"/>
        <item x="1228"/>
        <item x="884"/>
        <item m="1" x="1994"/>
        <item x="1472"/>
        <item x="1473"/>
        <item m="1" x="2151"/>
        <item m="1" x="2357"/>
        <item m="1" x="2108"/>
        <item m="1" x="2210"/>
        <item m="1" x="2069"/>
        <item m="1" x="2350"/>
        <item m="1" x="2083"/>
        <item m="1" x="2113"/>
        <item m="1" x="2141"/>
        <item m="1" x="2316"/>
        <item m="1" x="2319"/>
        <item m="1" x="2100"/>
        <item m="1" x="2103"/>
        <item x="141"/>
        <item m="1" x="2121"/>
        <item m="1" x="2149"/>
        <item m="1" x="2148"/>
        <item m="1" x="2291"/>
        <item m="1" x="1995"/>
        <item x="1201"/>
        <item m="1" x="2269"/>
        <item m="1" x="2298"/>
        <item x="1474"/>
        <item x="1235"/>
        <item m="1" x="2020"/>
        <item x="688"/>
        <item x="1478"/>
        <item x="431"/>
        <item x="1479"/>
        <item m="1" x="2021"/>
        <item x="432"/>
        <item x="689"/>
        <item m="1" x="1831"/>
        <item x="762"/>
        <item x="763"/>
        <item x="767"/>
        <item m="1" x="1836"/>
        <item x="768"/>
        <item m="1" x="1832"/>
        <item m="1" x="1837"/>
        <item x="764"/>
        <item x="1202"/>
        <item x="1480"/>
        <item x="693"/>
        <item x="1203"/>
        <item x="1481"/>
        <item x="1239"/>
        <item x="694"/>
        <item x="1240"/>
        <item x="1482"/>
        <item x="1483"/>
        <item x="1737"/>
        <item x="1738"/>
        <item x="154"/>
        <item m="1" x="2176"/>
        <item x="695"/>
        <item x="697"/>
        <item x="699"/>
        <item m="1" x="2174"/>
        <item x="1484"/>
        <item x="454"/>
        <item m="1" x="2065"/>
        <item x="1047"/>
        <item x="1048"/>
        <item x="456"/>
        <item x="455"/>
        <item x="696"/>
        <item x="698"/>
        <item x="700"/>
        <item m="1" x="2281"/>
        <item m="1" x="2349"/>
        <item m="1" x="2193"/>
        <item m="1" x="2212"/>
        <item m="1" x="2194"/>
        <item m="1" x="2213"/>
        <item m="1" x="2168"/>
        <item m="1" x="2072"/>
        <item m="1" x="2195"/>
        <item m="1" x="2214"/>
        <item m="1" x="2183"/>
        <item m="1" x="2317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457"/>
        <item x="155"/>
        <item m="1" x="2150"/>
        <item m="1" x="2348"/>
        <item m="1" x="2338"/>
        <item m="1" x="1999"/>
        <item x="459"/>
        <item m="1" x="2305"/>
        <item x="1742"/>
        <item x="1743"/>
        <item x="1744"/>
        <item x="1745"/>
        <item m="1" x="2341"/>
        <item x="156"/>
        <item m="1" x="2300"/>
        <item x="591"/>
        <item x="593"/>
        <item x="595"/>
        <item m="1" x="2001"/>
        <item x="701"/>
        <item x="702"/>
        <item m="1" x="2118"/>
        <item m="1" x="2339"/>
        <item m="1" x="2255"/>
        <item m="1" x="2087"/>
        <item m="1" x="2203"/>
        <item m="1" x="2346"/>
        <item m="1" x="2359"/>
        <item m="1" x="2133"/>
        <item x="711"/>
        <item x="712"/>
        <item m="1" x="2107"/>
        <item m="1" x="2131"/>
        <item m="1" x="2105"/>
        <item m="1" x="2280"/>
        <item m="1" x="2145"/>
        <item m="1" x="2267"/>
        <item m="1" x="2153"/>
        <item m="1" x="2139"/>
        <item x="714"/>
        <item x="715"/>
        <item x="716"/>
        <item x="717"/>
        <item x="718"/>
        <item x="719"/>
        <item x="704"/>
        <item x="705"/>
        <item x="706"/>
        <item x="707"/>
        <item x="708"/>
        <item x="709"/>
        <item m="1" x="2097"/>
        <item m="1" x="2132"/>
        <item m="1" x="2342"/>
        <item m="1" x="2353"/>
        <item m="1" x="2293"/>
        <item m="1" x="2137"/>
        <item m="1" x="2142"/>
        <item m="1" x="2192"/>
        <item m="1" x="2241"/>
        <item m="1" x="2179"/>
        <item m="1" x="2217"/>
        <item m="1" x="2169"/>
        <item m="1" x="2299"/>
        <item m="1" x="2158"/>
        <item m="1" x="2314"/>
        <item x="157"/>
        <item x="592"/>
        <item x="594"/>
        <item x="596"/>
        <item x="158"/>
        <item x="1104"/>
        <item x="721"/>
        <item x="1643"/>
        <item x="159"/>
        <item x="1105"/>
        <item x="1204"/>
        <item x="460"/>
        <item x="722"/>
        <item x="461"/>
        <item x="710"/>
        <item x="720"/>
        <item m="1" x="2333"/>
        <item x="160"/>
        <item m="1" x="1929"/>
        <item m="1" x="1927"/>
        <item m="1" x="1925"/>
        <item x="1205"/>
        <item x="162"/>
        <item x="161"/>
        <item x="163"/>
        <item m="1" x="1926"/>
        <item m="1" x="1928"/>
        <item m="1" x="1930"/>
        <item m="1" x="2002"/>
        <item x="1644"/>
        <item m="1" x="2173"/>
        <item x="164"/>
        <item x="1206"/>
        <item x="165"/>
        <item x="303"/>
        <item m="1" x="1897"/>
        <item m="1" x="2146"/>
        <item x="472"/>
        <item x="304"/>
        <item m="1" x="1898"/>
        <item m="1" x="2272"/>
        <item m="1" x="2247"/>
        <item m="1" x="2288"/>
        <item m="1" x="2266"/>
        <item m="1" x="2074"/>
        <item m="1" x="2232"/>
        <item m="1" x="2290"/>
        <item m="1" x="2254"/>
        <item x="473"/>
        <item m="1" x="2129"/>
        <item x="1207"/>
        <item x="476"/>
        <item m="1" x="1761"/>
        <item x="478"/>
        <item x="77"/>
        <item m="1" x="2303"/>
        <item m="1" x="2310"/>
        <item m="1" x="2228"/>
        <item m="1" x="2106"/>
        <item m="1" x="2175"/>
        <item m="1" x="2178"/>
        <item m="1" x="2188"/>
        <item x="1676"/>
        <item x="1669"/>
        <item x="176"/>
        <item m="1" x="2172"/>
        <item m="1" x="2230"/>
        <item x="177"/>
        <item x="78"/>
        <item m="1" x="2191"/>
        <item x="1677"/>
        <item m="1" x="2167"/>
        <item m="1" x="2098"/>
        <item x="1681"/>
        <item x="1686"/>
        <item m="1" x="2082"/>
        <item m="1" x="2301"/>
        <item m="1" x="2114"/>
        <item m="1" x="2119"/>
        <item m="1" x="2260"/>
        <item m="1" x="2204"/>
        <item m="1" x="2238"/>
        <item x="1682"/>
        <item x="1683"/>
        <item m="1" x="2152"/>
        <item m="1" x="2161"/>
        <item x="1687"/>
        <item x="1688"/>
        <item m="1" x="2016"/>
        <item m="1" x="2090"/>
        <item m="1" x="2292"/>
        <item m="1" x="2307"/>
        <item m="1" x="2017"/>
        <item m="1" x="2344"/>
        <item x="79"/>
        <item x="1707"/>
        <item x="1708"/>
        <item x="1721"/>
        <item m="1" x="2277"/>
        <item x="80"/>
        <item m="1" x="2111"/>
        <item x="1722"/>
        <item x="578"/>
        <item x="1188"/>
        <item x="1189"/>
        <item x="579"/>
        <item x="580"/>
        <item x="0"/>
        <item m="1" x="2256"/>
        <item m="1" x="2110"/>
        <item m="1" x="2185"/>
        <item x="1215"/>
        <item n="Frac of Pol Impl This Yr - 2 - NDC.xlsx" m="1" x="2235"/>
        <item m="1" x="2198"/>
        <item x="1137"/>
        <item x="1138"/>
        <item m="1" x="2205"/>
        <item m="1" x="2095"/>
        <item m="1" x="1979"/>
        <item m="1" x="1980"/>
        <item m="1" x="1996"/>
        <item m="1" x="1997"/>
        <item x="736"/>
        <item x="737"/>
        <item x="738"/>
        <item x="739"/>
        <item x="1085"/>
        <item x="1088"/>
        <item x="1089"/>
        <item x="1090"/>
        <item x="1091"/>
        <item x="1092"/>
        <item x="1093"/>
        <item m="1" x="2102"/>
        <item x="1094"/>
        <item x="1095"/>
        <item m="1" x="2120"/>
        <item m="1" x="2295"/>
        <item x="1101"/>
        <item x="1102"/>
        <item x="1103"/>
        <item x="1670"/>
        <item x="1671"/>
        <item x="1729"/>
        <item x="1731"/>
        <item m="1" x="2053"/>
        <item m="1" x="2091"/>
        <item x="206"/>
        <item x="207"/>
        <item m="1" x="1823"/>
        <item x="260"/>
        <item x="261"/>
        <item m="1" x="2181"/>
        <item m="1" x="2190"/>
        <item m="1" x="2264"/>
        <item m="1" x="2202"/>
        <item m="1" x="2064"/>
        <item x="1272"/>
        <item x="1273"/>
        <item x="1274"/>
        <item m="1" x="2112"/>
        <item m="1" x="2134"/>
        <item m="1" x="2218"/>
        <item m="1" x="2099"/>
        <item m="1" x="2352"/>
        <item m="1" x="2088"/>
        <item m="1" x="2296"/>
        <item m="1" x="2279"/>
        <item m="1" x="2196"/>
        <item m="1" x="2156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66"/>
        <item x="167"/>
        <item x="170"/>
        <item x="171"/>
        <item x="172"/>
        <item x="173"/>
        <item x="180"/>
        <item x="181"/>
        <item x="182"/>
        <item x="183"/>
        <item x="184"/>
        <item x="185"/>
        <item x="205"/>
        <item x="227"/>
        <item x="228"/>
        <item x="235"/>
        <item x="236"/>
        <item x="229"/>
        <item x="230"/>
        <item m="1" x="1953"/>
        <item x="388"/>
        <item x="390"/>
        <item x="526"/>
        <item x="527"/>
        <item x="528"/>
        <item x="529"/>
        <item m="1" x="2127"/>
        <item x="430"/>
        <item x="589"/>
        <item x="590"/>
        <item x="730"/>
        <item x="731"/>
        <item m="1" x="2308"/>
        <item m="1" x="2285"/>
        <item m="1" x="2312"/>
        <item m="1" x="2180"/>
        <item m="1" x="2270"/>
        <item x="1132"/>
        <item x="1133"/>
        <item x="1135"/>
        <item x="1136"/>
        <item x="1139"/>
        <item x="1140"/>
        <item m="1" x="2245"/>
        <item m="1" x="2257"/>
        <item x="1146"/>
        <item x="1147"/>
        <item m="1" x="2078"/>
        <item m="1" x="2197"/>
        <item x="1148"/>
        <item x="1149"/>
        <item m="1" x="2336"/>
        <item m="1" x="2094"/>
        <item m="1" x="2093"/>
        <item m="1" x="2189"/>
        <item m="1" x="2236"/>
        <item m="1" x="2358"/>
        <item x="1178"/>
        <item x="1179"/>
        <item x="1182"/>
        <item x="1183"/>
        <item x="1184"/>
        <item x="1185"/>
        <item x="1462"/>
        <item x="1463"/>
        <item x="1647"/>
        <item x="1648"/>
        <item x="86"/>
        <item x="129"/>
        <item x="130"/>
        <item x="264"/>
        <item m="1" x="2261"/>
        <item m="1" x="2170"/>
        <item m="1" x="2226"/>
        <item m="1" x="2286"/>
        <item m="1" x="2171"/>
        <item x="361"/>
        <item m="1" x="1974"/>
        <item m="1" x="1975"/>
        <item m="1" x="1976"/>
        <item m="1" x="1977"/>
        <item m="1" x="1978"/>
        <item x="597"/>
        <item x="598"/>
        <item x="605"/>
        <item m="1" x="2313"/>
        <item m="1" x="2125"/>
        <item m="1" x="2023"/>
        <item m="1" x="2024"/>
        <item m="1" x="2025"/>
        <item m="1" x="2026"/>
        <item x="1176"/>
        <item x="1177"/>
        <item x="1180"/>
        <item x="1181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142"/>
        <item m="1" x="2075"/>
        <item x="143"/>
        <item m="1" x="2199"/>
        <item x="144"/>
        <item x="145"/>
        <item m="1" x="2275"/>
        <item x="146"/>
        <item m="1" x="2250"/>
        <item x="147"/>
        <item x="148"/>
        <item m="1" x="2276"/>
        <item x="149"/>
        <item m="1" x="2251"/>
        <item x="150"/>
        <item x="151"/>
        <item x="266"/>
        <item x="268"/>
        <item x="269"/>
        <item x="270"/>
        <item x="271"/>
        <item x="272"/>
        <item x="273"/>
        <item x="278"/>
        <item x="279"/>
        <item x="1112"/>
        <item x="1113"/>
        <item x="1166"/>
        <item x="1167"/>
        <item m="1" x="2229"/>
        <item x="1466"/>
        <item x="1467"/>
        <item x="178"/>
        <item x="179"/>
        <item x="429"/>
        <item m="1" x="1998"/>
        <item x="780"/>
        <item x="781"/>
        <item m="1" x="2311"/>
        <item m="1" x="2252"/>
        <item m="1" x="2080"/>
        <item m="1" x="2246"/>
        <item x="876"/>
        <item x="877"/>
        <item x="1114"/>
        <item x="1115"/>
        <item x="1120"/>
        <item x="1121"/>
        <item x="1174"/>
        <item x="1175"/>
        <item x="1168"/>
        <item x="1171"/>
        <item x="1172"/>
        <item x="1173"/>
        <item m="1" x="2284"/>
        <item x="174"/>
        <item x="175"/>
        <item m="1" x="2054"/>
        <item m="1" x="2140"/>
        <item x="243"/>
        <item x="244"/>
        <item m="1" x="2239"/>
        <item m="1" x="2326"/>
        <item m="1" x="2104"/>
        <item m="1" x="2271"/>
        <item m="1" x="2354"/>
        <item m="1" x="2335"/>
        <item x="366"/>
        <item x="367"/>
        <item m="1" x="2186"/>
        <item m="1" x="2249"/>
        <item m="1" x="2136"/>
        <item m="1" x="2063"/>
        <item m="1" x="2073"/>
        <item m="1" x="2330"/>
        <item m="1" x="2222"/>
        <item m="1" x="2081"/>
        <item x="1142"/>
        <item m="1" x="2328"/>
        <item m="1" x="2240"/>
        <item m="1" x="2157"/>
        <item x="1229"/>
        <item n="Frac of Pol Impl This Yr - 3 - Example Scenario.xlsx" m="1" x="2182"/>
        <item m="1" x="2220"/>
        <item x="1653"/>
        <item x="1654"/>
        <item x="1655"/>
        <item m="1" x="1983"/>
        <item m="1" x="2138"/>
        <item m="1" x="1986"/>
        <item m="1" x="1987"/>
        <item x="680"/>
        <item x="681"/>
        <item x="703"/>
        <item x="713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859"/>
        <item m="1" x="1860"/>
        <item x="1096"/>
        <item x="1097"/>
        <item x="1098"/>
        <item x="1099"/>
        <item x="1169"/>
        <item x="1170"/>
        <item m="1" x="2259"/>
        <item m="1" x="2206"/>
        <item x="1689"/>
        <item x="1690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x="301"/>
        <item x="302"/>
        <item x="684"/>
        <item x="685"/>
        <item x="1087"/>
        <item m="1" x="2327"/>
        <item x="1127"/>
        <item m="1" x="2320"/>
        <item x="1145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n="Frac of Pol Impl This Yr - 2 - NDC.xlsx2" m="1" x="2234"/>
        <item n="Frac of Pol Impl This Yr - 3 - Example Scenario.xlsx2" m="1" x="2224"/>
        <item m="1" x="2027"/>
        <item m="1" x="2297"/>
        <item m="1" x="2160"/>
        <item m="1" x="2055"/>
        <item m="1" x="2056"/>
        <item x="233"/>
        <item x="234"/>
        <item x="247"/>
        <item x="248"/>
        <item m="1" x="2221"/>
        <item m="1" x="2337"/>
        <item m="1" x="2324"/>
        <item m="1" x="1972"/>
        <item m="1" x="1973"/>
        <item m="1" x="2340"/>
        <item m="1" x="2258"/>
        <item m="1" x="2268"/>
        <item x="536"/>
        <item x="537"/>
        <item m="1" x="2287"/>
        <item m="1" x="2237"/>
        <item m="1" x="2227"/>
        <item m="1" x="2223"/>
        <item x="856"/>
        <item x="1032"/>
        <item x="1033"/>
        <item m="1" x="2325"/>
        <item m="1" x="2283"/>
        <item x="1084"/>
        <item x="1086"/>
        <item x="1100"/>
        <item m="1" x="2265"/>
        <item x="1108"/>
        <item x="1109"/>
        <item x="1126"/>
        <item x="1128"/>
        <item x="1186"/>
        <item x="1187"/>
        <item x="1217"/>
        <item x="1219"/>
        <item x="1221"/>
        <item x="1223"/>
        <item x="1225"/>
        <item x="1227"/>
        <item x="1231"/>
        <item x="1233"/>
        <item x="1259"/>
        <item m="1" x="1818"/>
        <item x="1269"/>
        <item m="1" x="1819"/>
        <item x="1277"/>
        <item x="1278"/>
        <item m="1" x="2028"/>
        <item m="1" x="2029"/>
        <item x="1475"/>
        <item x="1476"/>
        <item x="1477"/>
        <item x="1739"/>
        <item x="1740"/>
        <item x="1741"/>
        <item x="75"/>
        <item x="76"/>
        <item x="257"/>
        <item x="258"/>
        <item x="259"/>
        <item m="1" x="2309"/>
        <item m="1" x="2244"/>
        <item x="474"/>
        <item x="475"/>
        <item x="1407"/>
        <item x="1409"/>
        <item x="1410"/>
        <item x="1411"/>
        <item x="1415"/>
        <item x="1416"/>
        <item x="1417"/>
        <item x="1435"/>
        <item m="1" x="1932"/>
        <item x="1711"/>
        <item x="1712"/>
        <item x="1713"/>
        <item x="1714"/>
        <item m="1" x="1934"/>
        <item x="115"/>
        <item x="116"/>
        <item x="186"/>
        <item m="1" x="1935"/>
        <item x="241"/>
        <item x="242"/>
        <item x="678"/>
        <item x="679"/>
        <item x="267"/>
        <item m="1" x="1752"/>
        <item x="310"/>
        <item x="312"/>
        <item x="313"/>
        <item x="320"/>
        <item x="321"/>
        <item m="1" x="1960"/>
        <item x="329"/>
        <item x="330"/>
        <item x="331"/>
        <item m="1" x="1962"/>
        <item m="1" x="1963"/>
        <item m="1" x="1964"/>
        <item x="354"/>
        <item x="355"/>
        <item x="357"/>
        <item x="362"/>
        <item m="1" x="1967"/>
        <item m="1" x="1969"/>
        <item m="1" x="1970"/>
        <item x="374"/>
        <item x="375"/>
        <item x="381"/>
        <item m="1" x="1971"/>
        <item m="1" x="1757"/>
        <item m="1" x="1758"/>
        <item m="1" x="1759"/>
        <item m="1" x="1984"/>
        <item m="1" x="1985"/>
        <item m="1" x="2059"/>
        <item m="1" x="2060"/>
        <item m="1" x="2061"/>
        <item m="1" x="1990"/>
        <item m="1" x="1991"/>
        <item m="1" x="1992"/>
        <item m="1" x="1993"/>
        <item x="428"/>
        <item x="443"/>
        <item x="444"/>
        <item x="445"/>
        <item x="446"/>
        <item x="450"/>
        <item x="451"/>
        <item x="452"/>
        <item x="453"/>
        <item m="1" x="2003"/>
        <item m="1" x="2004"/>
        <item m="1" x="2005"/>
        <item m="1" x="2006"/>
        <item x="485"/>
        <item x="486"/>
        <item x="487"/>
        <item x="488"/>
        <item x="489"/>
        <item x="490"/>
        <item x="491"/>
        <item x="492"/>
        <item x="494"/>
        <item x="495"/>
        <item x="496"/>
        <item x="497"/>
        <item m="1" x="1820"/>
        <item x="511"/>
        <item x="512"/>
        <item x="513"/>
        <item x="514"/>
        <item x="515"/>
        <item x="516"/>
        <item x="517"/>
        <item x="518"/>
        <item x="519"/>
        <item x="520"/>
        <item m="1" x="2007"/>
        <item m="1" x="2008"/>
        <item x="532"/>
        <item x="533"/>
        <item x="534"/>
        <item x="535"/>
        <item m="1" x="2011"/>
        <item m="1" x="2012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m="1" x="2062"/>
        <item x="553"/>
        <item x="554"/>
        <item x="555"/>
        <item x="556"/>
        <item x="557"/>
        <item x="558"/>
        <item x="559"/>
        <item x="560"/>
        <item x="562"/>
        <item x="564"/>
        <item x="565"/>
        <item x="566"/>
        <item m="1" x="2013"/>
        <item m="1" x="2014"/>
        <item m="1" x="2015"/>
        <item m="1" x="2018"/>
        <item m="1" x="2019"/>
        <item x="588"/>
        <item x="686"/>
        <item x="687"/>
        <item x="857"/>
        <item x="860"/>
        <item m="1" x="1911"/>
        <item x="1143"/>
        <item x="1144"/>
        <item x="1208"/>
        <item x="1249"/>
        <item x="1250"/>
        <item x="1251"/>
        <item x="1252"/>
        <item x="1253"/>
        <item x="1304"/>
        <item x="1305"/>
        <item x="1306"/>
        <item x="1307"/>
        <item x="1396"/>
        <item x="1397"/>
        <item x="1398"/>
        <item x="1402"/>
        <item x="1403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59"/>
        <item x="1460"/>
        <item x="1461"/>
        <item x="1468"/>
        <item x="1469"/>
        <item x="1470"/>
        <item x="1471"/>
        <item m="1" x="2046"/>
        <item m="1" x="2047"/>
        <item m="1" x="2048"/>
        <item m="1" x="2049"/>
        <item m="1" x="2050"/>
        <item x="1651"/>
        <item x="1652"/>
        <item x="1678"/>
        <item x="1679"/>
        <item x="1680"/>
        <item x="1684"/>
        <item x="1685"/>
        <item x="1709"/>
        <item x="1710"/>
        <item x="191"/>
        <item x="192"/>
        <item x="193"/>
        <item x="194"/>
        <item x="195"/>
        <item x="322"/>
        <item x="323"/>
        <item x="324"/>
        <item x="342"/>
        <item x="343"/>
        <item x="344"/>
        <item x="346"/>
        <item x="347"/>
        <item x="350"/>
        <item x="351"/>
        <item x="360"/>
        <item m="1" x="1888"/>
        <item m="1" x="1889"/>
        <item m="1" x="1968"/>
        <item m="1" x="1939"/>
        <item m="1" x="1940"/>
        <item x="418"/>
        <item x="419"/>
        <item x="420"/>
        <item m="1" x="1981"/>
        <item m="1" x="1982"/>
        <item m="1" x="1988"/>
        <item m="1" x="1989"/>
        <item m="1" x="2000"/>
        <item x="469"/>
        <item x="470"/>
        <item x="471"/>
        <item x="481"/>
        <item x="482"/>
        <item x="483"/>
        <item x="484"/>
        <item x="522"/>
        <item x="523"/>
        <item x="530"/>
        <item x="531"/>
        <item m="1" x="2009"/>
        <item m="1" x="2010"/>
        <item x="551"/>
        <item x="552"/>
        <item x="563"/>
        <item m="1" x="2022"/>
        <item x="1275"/>
        <item x="1276"/>
        <item x="106"/>
        <item x="107"/>
        <item x="108"/>
        <item x="109"/>
        <item x="196"/>
        <item x="197"/>
        <item x="198"/>
        <item x="199"/>
        <item x="200"/>
        <item x="201"/>
        <item x="202"/>
        <item x="203"/>
        <item x="204"/>
        <item x="208"/>
        <item x="221"/>
        <item x="222"/>
        <item x="223"/>
        <item x="224"/>
        <item x="676"/>
        <item x="677"/>
        <item x="682"/>
        <item x="683"/>
        <item m="1" x="1890"/>
        <item x="468"/>
        <item x="315"/>
        <item x="316"/>
        <item x="317"/>
        <item x="364"/>
        <item x="365"/>
        <item x="368"/>
        <item x="369"/>
        <item x="370"/>
        <item x="371"/>
        <item x="372"/>
        <item x="373"/>
        <item x="421"/>
        <item x="422"/>
        <item x="423"/>
        <item x="426"/>
        <item x="427"/>
        <item x="439"/>
        <item x="440"/>
        <item x="441"/>
        <item x="442"/>
        <item m="1" x="1760"/>
        <item m="1" x="1936"/>
        <item m="1" x="1937"/>
        <item m="1" x="1938"/>
        <item x="561"/>
        <item x="567"/>
        <item x="568"/>
        <item x="569"/>
        <item x="570"/>
        <item x="571"/>
        <item x="574"/>
        <item x="575"/>
        <item x="583"/>
        <item x="1129"/>
        <item x="1130"/>
        <item x="1131"/>
        <item x="1237"/>
        <item x="1238"/>
        <item x="1267"/>
        <item x="1268"/>
        <item x="1282"/>
        <item x="1283"/>
        <item x="1408"/>
        <item x="1412"/>
        <item x="1413"/>
        <item x="1414"/>
        <item x="1418"/>
        <item x="1419"/>
        <item m="1" x="1933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5"/>
        <item x="1646"/>
        <item x="1725"/>
        <item x="187"/>
        <item x="188"/>
        <item x="305"/>
        <item x="306"/>
        <item x="308"/>
        <item x="309"/>
        <item m="1" x="1891"/>
        <item x="336"/>
        <item x="337"/>
        <item m="1" x="1892"/>
        <item x="447"/>
        <item x="448"/>
        <item x="449"/>
        <item x="462"/>
        <item x="463"/>
        <item m="1" x="1893"/>
        <item m="1" x="1894"/>
        <item x="599"/>
        <item x="600"/>
        <item x="601"/>
        <item x="602"/>
        <item x="603"/>
        <item x="604"/>
        <item x="673"/>
        <item x="740"/>
        <item x="741"/>
        <item x="742"/>
        <item x="743"/>
        <item m="1" x="1896"/>
        <item m="1" x="1910"/>
        <item x="1124"/>
        <item x="1125"/>
        <item m="1" x="1931"/>
        <item x="173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121"/>
        <item x="122"/>
        <item x="123"/>
        <item x="124"/>
        <item x="152"/>
        <item x="153"/>
        <item x="168"/>
        <item x="169"/>
        <item x="209"/>
        <item x="210"/>
        <item x="211"/>
        <item x="212"/>
        <item x="213"/>
        <item x="214"/>
        <item x="215"/>
        <item x="216"/>
        <item m="1" x="1824"/>
        <item m="1" x="1825"/>
        <item m="1" x="1826"/>
        <item m="1" x="1827"/>
        <item x="219"/>
        <item x="220"/>
        <item m="1" x="1746"/>
        <item m="1" x="1747"/>
        <item x="251"/>
        <item x="252"/>
        <item m="1" x="1750"/>
        <item m="1" x="1751"/>
        <item x="262"/>
        <item x="263"/>
        <item x="284"/>
        <item x="285"/>
        <item x="286"/>
        <item x="288"/>
        <item x="290"/>
        <item x="297"/>
        <item x="298"/>
        <item m="1" x="1753"/>
        <item m="1" x="1754"/>
        <item x="311"/>
        <item x="340"/>
        <item x="341"/>
        <item m="1" x="1755"/>
        <item m="1" x="1756"/>
        <item x="433"/>
        <item x="434"/>
        <item x="435"/>
        <item x="436"/>
        <item x="466"/>
        <item x="467"/>
        <item x="655"/>
        <item x="656"/>
        <item x="657"/>
        <item x="658"/>
        <item x="659"/>
        <item x="660"/>
        <item x="661"/>
        <item x="663"/>
        <item x="664"/>
        <item x="665"/>
        <item x="666"/>
        <item x="667"/>
        <item x="668"/>
        <item x="669"/>
        <item x="723"/>
        <item x="724"/>
        <item x="725"/>
        <item x="726"/>
        <item x="727"/>
        <item x="728"/>
        <item x="729"/>
        <item x="744"/>
        <item x="745"/>
        <item x="752"/>
        <item x="753"/>
        <item x="754"/>
        <item x="755"/>
        <item x="756"/>
        <item x="757"/>
        <item x="758"/>
        <item x="759"/>
        <item m="1" x="1828"/>
        <item m="1" x="1829"/>
        <item m="1" x="1830"/>
        <item x="765"/>
        <item x="766"/>
        <item m="1" x="1833"/>
        <item m="1" x="1834"/>
        <item m="1" x="1835"/>
        <item x="769"/>
        <item x="770"/>
        <item x="775"/>
        <item x="776"/>
        <item x="777"/>
        <item x="778"/>
        <item x="779"/>
        <item m="1" x="1838"/>
        <item m="1" x="1839"/>
        <item x="782"/>
        <item m="1" x="1840"/>
        <item m="1" x="1841"/>
        <item m="1" x="1842"/>
        <item x="783"/>
        <item x="786"/>
        <item x="787"/>
        <item x="788"/>
        <item m="1" x="1843"/>
        <item x="791"/>
        <item x="793"/>
        <item x="794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58"/>
        <item x="859"/>
        <item x="861"/>
        <item x="862"/>
        <item x="863"/>
        <item x="864"/>
        <item x="865"/>
        <item x="866"/>
        <item x="867"/>
        <item x="868"/>
        <item x="869"/>
        <item x="870"/>
        <item x="878"/>
        <item x="879"/>
        <item x="886"/>
        <item x="887"/>
        <item x="889"/>
        <item x="890"/>
        <item x="891"/>
        <item m="1" x="1844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m="1" x="1857"/>
        <item x="1028"/>
        <item x="1029"/>
        <item m="1" x="1858"/>
        <item x="1031"/>
        <item x="1034"/>
        <item x="1035"/>
        <item x="1036"/>
        <item x="1037"/>
        <item x="1038"/>
        <item x="1043"/>
        <item x="1044"/>
        <item x="1045"/>
        <item x="1046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110"/>
        <item x="1111"/>
        <item x="1116"/>
        <item x="1117"/>
        <item x="1122"/>
        <item x="1123"/>
        <item m="1" x="1861"/>
        <item x="1230"/>
        <item x="1236"/>
        <item x="1243"/>
        <item x="1244"/>
        <item x="1246"/>
        <item x="1247"/>
        <item x="1248"/>
        <item x="1404"/>
        <item x="1405"/>
        <item x="1406"/>
        <item x="1436"/>
        <item x="1437"/>
        <item x="1438"/>
        <item x="1439"/>
        <item x="1440"/>
        <item x="1441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715"/>
        <item x="1716"/>
        <item x="1717"/>
        <item x="1718"/>
        <item x="1719"/>
        <item x="1720"/>
        <item x="1730"/>
        <item x="73"/>
        <item x="74"/>
        <item x="102"/>
        <item x="103"/>
        <item x="104"/>
        <item x="105"/>
        <item x="120"/>
        <item x="217"/>
        <item x="218"/>
        <item x="255"/>
        <item x="256"/>
        <item x="265"/>
        <item x="274"/>
        <item x="275"/>
        <item x="277"/>
        <item x="282"/>
        <item x="283"/>
        <item x="287"/>
        <item x="289"/>
        <item x="348"/>
        <item x="349"/>
        <item x="424"/>
        <item x="425"/>
        <item x="458"/>
        <item x="493"/>
        <item x="572"/>
        <item x="573"/>
        <item x="648"/>
        <item x="653"/>
        <item x="654"/>
        <item x="672"/>
        <item x="692"/>
        <item x="748"/>
        <item x="749"/>
        <item x="760"/>
        <item x="761"/>
        <item m="1" x="1762"/>
        <item m="1" x="1763"/>
        <item x="771"/>
        <item x="772"/>
        <item x="773"/>
        <item x="774"/>
        <item x="784"/>
        <item x="785"/>
        <item x="789"/>
        <item x="790"/>
        <item x="795"/>
        <item x="796"/>
        <item x="814"/>
        <item x="839"/>
        <item x="840"/>
        <item x="841"/>
        <item x="871"/>
        <item x="872"/>
        <item x="873"/>
        <item x="881"/>
        <item x="882"/>
        <item x="885"/>
        <item x="888"/>
        <item x="892"/>
        <item x="893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m="1" x="1822"/>
        <item x="1030"/>
        <item x="1039"/>
        <item x="1040"/>
        <item x="1041"/>
        <item x="1042"/>
        <item x="1049"/>
        <item x="1050"/>
        <item m="1" x="1812"/>
        <item m="1" x="1821"/>
        <item m="1" x="1813"/>
        <item m="1" x="1814"/>
        <item m="1" x="1815"/>
        <item m="1" x="1816"/>
        <item m="1" x="1817"/>
        <item x="1134"/>
        <item x="1141"/>
        <item x="1209"/>
        <item x="1210"/>
        <item x="1232"/>
        <item x="1245"/>
        <item x="280"/>
        <item x="281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21"/>
        <item x="1107"/>
        <item x="71"/>
        <item x="72"/>
        <item x="110"/>
        <item x="125"/>
        <item x="137"/>
        <item x="189"/>
        <item x="190"/>
        <item x="237"/>
        <item x="238"/>
        <item x="249"/>
        <item x="250"/>
        <item x="276"/>
        <item x="291"/>
        <item x="292"/>
        <item x="307"/>
        <item x="325"/>
        <item x="338"/>
        <item x="339"/>
        <item x="345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37"/>
        <item x="438"/>
        <item x="464"/>
        <item x="465"/>
        <item x="477"/>
        <item x="479"/>
        <item x="480"/>
        <item x="524"/>
        <item x="525"/>
        <item x="576"/>
        <item x="577"/>
        <item x="690"/>
        <item x="691"/>
        <item x="732"/>
        <item x="733"/>
        <item x="734"/>
        <item x="735"/>
        <item x="792"/>
        <item x="880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106"/>
        <item x="1118"/>
        <item x="1119"/>
        <item x="1241"/>
        <item x="1242"/>
        <item x="1254"/>
        <item x="1255"/>
        <item x="1256"/>
        <item x="1257"/>
        <item x="1258"/>
        <item x="1260"/>
        <item x="1261"/>
        <item x="1270"/>
        <item x="1271"/>
        <item x="1287"/>
        <item x="1288"/>
        <item x="1321"/>
        <item x="1322"/>
        <item x="1399"/>
        <item x="1400"/>
        <item x="1401"/>
        <item x="1464"/>
        <item x="1465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49"/>
        <item x="1650"/>
        <item x="1672"/>
        <item x="1673"/>
        <item x="1674"/>
        <item x="1675"/>
        <item x="1691"/>
        <item x="1692"/>
        <item x="170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401">
    <i>
      <x v="3"/>
      <x v="36"/>
      <x v="1101"/>
    </i>
    <i r="1">
      <x v="237"/>
      <x v="1614"/>
    </i>
    <i r="1">
      <x v="247"/>
      <x v="1639"/>
    </i>
    <i r="2">
      <x v="1640"/>
    </i>
    <i r="1">
      <x v="289"/>
      <x v="804"/>
    </i>
    <i r="1">
      <x v="290"/>
      <x v="2121"/>
    </i>
    <i r="1">
      <x v="352"/>
      <x v="1987"/>
    </i>
    <i r="1">
      <x v="392"/>
      <x v="1216"/>
    </i>
    <i r="1">
      <x v="416"/>
      <x v="702"/>
    </i>
    <i r="1">
      <x v="483"/>
      <x v="728"/>
    </i>
    <i>
      <x v="4"/>
      <x v="17"/>
      <x v="17"/>
    </i>
    <i r="1">
      <x v="23"/>
      <x v="22"/>
    </i>
    <i r="1">
      <x v="37"/>
      <x v="1988"/>
    </i>
    <i r="1">
      <x v="42"/>
      <x v="1465"/>
    </i>
    <i r="2">
      <x v="2123"/>
    </i>
    <i r="1">
      <x v="61"/>
      <x v="27"/>
    </i>
    <i r="1">
      <x v="115"/>
      <x v="1238"/>
    </i>
    <i r="1">
      <x v="123"/>
      <x v="159"/>
    </i>
    <i r="1">
      <x v="160"/>
      <x v="1641"/>
    </i>
    <i r="2">
      <x v="1992"/>
    </i>
    <i r="2">
      <x v="2124"/>
    </i>
    <i r="1">
      <x v="164"/>
      <x v="318"/>
    </i>
    <i r="1">
      <x v="168"/>
      <x v="319"/>
    </i>
    <i r="1">
      <x v="202"/>
      <x v="352"/>
    </i>
    <i r="1">
      <x v="203"/>
      <x v="353"/>
    </i>
    <i r="1">
      <x v="204"/>
      <x v="354"/>
    </i>
    <i r="2">
      <x v="2125"/>
    </i>
    <i r="1">
      <x v="209"/>
      <x v="358"/>
    </i>
    <i r="1">
      <x v="236"/>
      <x v="428"/>
    </i>
    <i r="1">
      <x v="301"/>
      <x v="972"/>
    </i>
    <i r="1">
      <x v="331"/>
      <x v="1645"/>
    </i>
    <i r="1">
      <x v="343"/>
      <x v="468"/>
    </i>
    <i r="1">
      <x v="357"/>
      <x v="634"/>
    </i>
    <i r="1">
      <x v="367"/>
      <x v="638"/>
    </i>
    <i r="1">
      <x v="378"/>
      <x v="651"/>
    </i>
    <i r="1">
      <x v="379"/>
      <x v="656"/>
    </i>
    <i r="1">
      <x v="397"/>
      <x v="667"/>
    </i>
    <i r="1">
      <x v="405"/>
      <x v="820"/>
    </i>
    <i r="1">
      <x v="408"/>
      <x v="1648"/>
    </i>
    <i r="1">
      <x v="423"/>
      <x v="822"/>
    </i>
    <i r="1">
      <x v="424"/>
      <x v="1012"/>
    </i>
    <i r="1">
      <x v="428"/>
      <x v="698"/>
    </i>
    <i r="1">
      <x v="432"/>
      <x v="989"/>
    </i>
    <i r="1">
      <x v="458"/>
      <x v="826"/>
    </i>
    <i r="1">
      <x v="459"/>
      <x v="830"/>
    </i>
    <i>
      <x v="5"/>
      <x v="33"/>
      <x v="1240"/>
    </i>
    <i r="1">
      <x v="59"/>
      <x v="1417"/>
    </i>
    <i r="1">
      <x v="145"/>
      <x v="1420"/>
    </i>
    <i r="1">
      <x v="148"/>
      <x v="832"/>
    </i>
    <i r="1">
      <x v="150"/>
      <x v="781"/>
    </i>
    <i r="1">
      <x v="152"/>
      <x v="1649"/>
    </i>
    <i r="1">
      <x v="156"/>
      <x v="1654"/>
    </i>
    <i r="1">
      <x v="170"/>
      <x v="1655"/>
    </i>
    <i r="1">
      <x v="347"/>
      <x v="1994"/>
    </i>
    <i r="1">
      <x v="427"/>
      <x v="1661"/>
    </i>
    <i r="1">
      <x v="430"/>
      <x v="1479"/>
    </i>
    <i r="1">
      <x v="450"/>
      <x v="1481"/>
    </i>
    <i>
      <x v="6"/>
      <x v="186"/>
      <x v="333"/>
    </i>
    <i r="1">
      <x v="390"/>
      <x v="834"/>
    </i>
    <i>
      <x v="8"/>
      <x v="393"/>
      <x v="838"/>
    </i>
    <i>
      <x v="11"/>
      <x v="16"/>
      <x v="187"/>
    </i>
    <i r="1">
      <x v="40"/>
      <x v="1161"/>
    </i>
    <i r="1">
      <x v="44"/>
      <x v="836"/>
    </i>
    <i r="1">
      <x v="52"/>
      <x v="2129"/>
    </i>
    <i r="1">
      <x v="54"/>
      <x v="190"/>
    </i>
    <i r="1">
      <x v="55"/>
      <x v="1243"/>
    </i>
    <i r="1">
      <x v="82"/>
      <x v="1017"/>
    </i>
    <i r="1">
      <x v="83"/>
      <x v="191"/>
    </i>
    <i r="1">
      <x v="122"/>
      <x v="1162"/>
    </i>
    <i r="1">
      <x v="138"/>
      <x v="2130"/>
    </i>
    <i r="1">
      <x v="139"/>
      <x v="1665"/>
    </i>
    <i r="1">
      <x v="140"/>
      <x v="193"/>
    </i>
    <i r="1">
      <x v="180"/>
      <x v="1995"/>
    </i>
    <i r="1">
      <x v="197"/>
      <x v="1219"/>
    </i>
    <i r="1">
      <x v="216"/>
      <x v="784"/>
    </i>
    <i r="1">
      <x v="270"/>
      <x v="1669"/>
    </i>
    <i r="1">
      <x v="282"/>
      <x v="890"/>
    </i>
    <i r="1">
      <x v="303"/>
      <x v="2105"/>
    </i>
    <i r="1">
      <x v="342"/>
      <x v="2001"/>
    </i>
    <i r="1">
      <x v="344"/>
      <x v="1672"/>
    </i>
    <i r="1">
      <x v="496"/>
      <x v="2133"/>
    </i>
    <i>
      <x v="13"/>
      <x v="64"/>
      <x v="29"/>
    </i>
    <i r="1">
      <x v="65"/>
      <x v="28"/>
    </i>
    <i r="1">
      <x v="155"/>
      <x v="1677"/>
    </i>
    <i r="1">
      <x v="206"/>
      <x v="348"/>
    </i>
    <i r="1">
      <x v="284"/>
      <x v="1129"/>
    </i>
    <i r="1">
      <x v="398"/>
      <x v="668"/>
    </i>
    <i>
      <x v="14"/>
      <x v="18"/>
      <x v="1556"/>
    </i>
    <i r="2">
      <x v="2135"/>
    </i>
    <i r="1">
      <x v="19"/>
      <x v="1558"/>
    </i>
    <i r="1">
      <x v="27"/>
      <x v="1248"/>
    </i>
    <i r="1">
      <x v="31"/>
      <x v="16"/>
    </i>
    <i r="1">
      <x v="32"/>
      <x v="19"/>
    </i>
    <i r="1">
      <x v="47"/>
      <x v="1252"/>
    </i>
    <i r="1">
      <x v="57"/>
      <x v="1422"/>
    </i>
    <i r="1">
      <x v="72"/>
      <x v="2136"/>
    </i>
    <i r="1">
      <x v="74"/>
      <x v="36"/>
    </i>
    <i r="1">
      <x v="79"/>
      <x v="1254"/>
    </i>
    <i r="1">
      <x v="105"/>
      <x v="50"/>
    </i>
    <i r="1">
      <x v="107"/>
      <x v="47"/>
    </i>
    <i r="1">
      <x v="108"/>
      <x v="1561"/>
    </i>
    <i r="1">
      <x v="109"/>
      <x v="2137"/>
    </i>
    <i r="1">
      <x v="113"/>
      <x v="1681"/>
    </i>
    <i r="1">
      <x v="116"/>
      <x v="1425"/>
    </i>
    <i r="1">
      <x v="124"/>
      <x v="1427"/>
    </i>
    <i r="1">
      <x v="129"/>
      <x v="2005"/>
    </i>
    <i r="1">
      <x v="134"/>
      <x v="1430"/>
    </i>
    <i r="1">
      <x v="135"/>
      <x v="56"/>
    </i>
    <i r="1">
      <x v="146"/>
      <x v="1260"/>
    </i>
    <i r="1">
      <x v="149"/>
      <x v="293"/>
    </i>
    <i r="1">
      <x v="154"/>
      <x v="1493"/>
    </i>
    <i r="1">
      <x v="169"/>
      <x v="1024"/>
    </i>
    <i r="1">
      <x v="171"/>
      <x v="1494"/>
    </i>
    <i r="1">
      <x v="174"/>
      <x v="1496"/>
    </i>
    <i r="1">
      <x v="179"/>
      <x v="1268"/>
    </i>
    <i r="1">
      <x v="181"/>
      <x v="330"/>
    </i>
    <i r="1">
      <x v="185"/>
      <x v="334"/>
    </i>
    <i r="1">
      <x v="187"/>
      <x v="331"/>
    </i>
    <i r="1">
      <x v="189"/>
      <x v="332"/>
    </i>
    <i r="1">
      <x v="199"/>
      <x v="360"/>
    </i>
    <i r="1">
      <x v="200"/>
      <x v="2140"/>
    </i>
    <i r="1">
      <x v="221"/>
      <x v="1438"/>
    </i>
    <i r="1">
      <x v="222"/>
      <x v="1500"/>
    </i>
    <i r="1">
      <x v="240"/>
      <x v="2008"/>
    </i>
    <i r="1">
      <x v="272"/>
      <x v="1504"/>
    </i>
    <i r="1">
      <x v="275"/>
      <x v="991"/>
    </i>
    <i r="1">
      <x v="277"/>
      <x v="445"/>
    </i>
    <i r="1">
      <x v="280"/>
      <x v="1686"/>
    </i>
    <i r="1">
      <x v="281"/>
      <x v="1688"/>
    </i>
    <i r="1">
      <x v="283"/>
      <x v="2166"/>
    </i>
    <i r="1">
      <x v="286"/>
      <x v="1506"/>
    </i>
    <i r="1">
      <x v="288"/>
      <x v="1507"/>
    </i>
    <i r="1">
      <x v="317"/>
      <x v="1285"/>
    </i>
    <i r="1">
      <x v="325"/>
      <x v="1287"/>
    </i>
    <i r="1">
      <x v="328"/>
      <x v="1566"/>
    </i>
    <i r="1">
      <x v="329"/>
      <x v="1288"/>
    </i>
    <i r="1">
      <x v="333"/>
      <x v="1290"/>
    </i>
    <i r="1">
      <x v="335"/>
      <x v="475"/>
    </i>
    <i r="1">
      <x v="341"/>
      <x v="479"/>
    </i>
    <i r="1">
      <x v="353"/>
      <x v="2009"/>
    </i>
    <i r="1">
      <x v="371"/>
      <x v="647"/>
    </i>
    <i r="1">
      <x v="372"/>
      <x v="1568"/>
    </i>
    <i r="1">
      <x v="373"/>
      <x v="2169"/>
    </i>
    <i r="1">
      <x v="395"/>
      <x v="1488"/>
    </i>
    <i r="1">
      <x v="396"/>
      <x v="1448"/>
    </i>
    <i r="1">
      <x v="401"/>
      <x v="671"/>
    </i>
    <i r="1">
      <x v="409"/>
      <x v="1222"/>
    </i>
    <i r="1">
      <x v="412"/>
      <x v="685"/>
    </i>
    <i r="1">
      <x v="415"/>
      <x v="2172"/>
    </i>
    <i r="1">
      <x v="419"/>
      <x v="1449"/>
    </i>
    <i r="1">
      <x v="420"/>
      <x v="1296"/>
    </i>
    <i r="2">
      <x v="2119"/>
    </i>
    <i r="1">
      <x v="431"/>
      <x v="1453"/>
    </i>
    <i r="1">
      <x v="433"/>
      <x v="2173"/>
    </i>
    <i r="1">
      <x v="435"/>
      <x v="842"/>
    </i>
    <i r="1">
      <x v="438"/>
      <x v="1455"/>
    </i>
    <i r="1">
      <x v="445"/>
      <x v="1321"/>
    </i>
    <i r="1">
      <x v="446"/>
      <x v="1323"/>
    </i>
    <i r="1">
      <x v="452"/>
      <x v="1172"/>
    </i>
    <i r="1">
      <x v="464"/>
      <x v="1327"/>
    </i>
    <i r="1">
      <x v="465"/>
      <x v="1329"/>
    </i>
    <i r="1">
      <x v="467"/>
      <x v="1514"/>
    </i>
    <i r="1">
      <x v="470"/>
      <x v="2012"/>
    </i>
    <i r="1">
      <x v="473"/>
      <x v="1520"/>
    </i>
    <i r="1">
      <x v="479"/>
      <x v="2176"/>
    </i>
    <i r="1">
      <x v="495"/>
      <x v="736"/>
    </i>
    <i>
      <x v="15"/>
      <x v="34"/>
      <x v="21"/>
    </i>
    <i r="1">
      <x v="71"/>
      <x v="33"/>
    </i>
    <i r="1">
      <x v="76"/>
      <x v="34"/>
    </i>
    <i r="1">
      <x v="257"/>
      <x v="849"/>
    </i>
    <i r="1">
      <x v="359"/>
      <x v="635"/>
    </i>
    <i r="1">
      <x v="360"/>
      <x v="636"/>
    </i>
    <i r="1">
      <x v="361"/>
      <x v="637"/>
    </i>
    <i>
      <x v="16"/>
      <x v="497"/>
      <x v="741"/>
    </i>
    <i>
      <x v="18"/>
      <x v="35"/>
      <x v="902"/>
    </i>
    <i r="1">
      <x v="66"/>
      <x v="1571"/>
    </i>
    <i r="1">
      <x v="67"/>
      <x v="1573"/>
    </i>
    <i r="1">
      <x v="68"/>
      <x v="1575"/>
    </i>
    <i r="1">
      <x v="69"/>
      <x v="904"/>
    </i>
    <i r="1">
      <x v="70"/>
      <x v="31"/>
    </i>
    <i r="1">
      <x v="117"/>
      <x v="1691"/>
    </i>
    <i r="1">
      <x v="128"/>
      <x v="55"/>
    </i>
    <i r="1">
      <x v="225"/>
      <x v="388"/>
    </i>
    <i r="1">
      <x v="245"/>
      <x v="1484"/>
    </i>
    <i r="1">
      <x v="246"/>
      <x v="1245"/>
    </i>
    <i r="1">
      <x v="253"/>
      <x v="1049"/>
    </i>
    <i r="1">
      <x v="260"/>
      <x v="1486"/>
    </i>
    <i r="1">
      <x v="263"/>
      <x v="1131"/>
    </i>
    <i r="1">
      <x v="266"/>
      <x v="1360"/>
    </i>
    <i r="1">
      <x v="274"/>
      <x v="446"/>
    </i>
    <i r="1">
      <x v="318"/>
      <x v="2178"/>
    </i>
    <i r="1">
      <x v="320"/>
      <x v="462"/>
    </i>
    <i r="1">
      <x v="336"/>
      <x v="470"/>
    </i>
    <i r="1">
      <x v="337"/>
      <x v="471"/>
    </i>
    <i r="1">
      <x v="338"/>
      <x v="472"/>
    </i>
    <i r="1">
      <x v="364"/>
      <x v="648"/>
    </i>
    <i r="1">
      <x v="365"/>
      <x v="649"/>
    </i>
    <i r="1">
      <x v="374"/>
      <x v="640"/>
    </i>
    <i r="1">
      <x v="384"/>
      <x v="1705"/>
    </i>
    <i r="1">
      <x v="391"/>
      <x v="851"/>
    </i>
    <i>
      <x v="19"/>
      <x v="62"/>
      <x v="2179"/>
    </i>
    <i r="1">
      <x v="63"/>
      <x v="2181"/>
    </i>
    <i r="1">
      <x v="177"/>
      <x v="759"/>
    </i>
    <i r="1">
      <x v="220"/>
      <x v="1578"/>
    </i>
    <i>
      <x v="20"/>
      <x v="28"/>
      <x v="1712"/>
    </i>
    <i r="1">
      <x v="78"/>
      <x v="39"/>
    </i>
    <i r="1">
      <x v="130"/>
      <x v="2018"/>
    </i>
    <i r="1">
      <x v="198"/>
      <x v="361"/>
    </i>
    <i r="1">
      <x v="234"/>
      <x v="1721"/>
    </i>
    <i r="1">
      <x v="242"/>
      <x v="2021"/>
    </i>
    <i r="1">
      <x v="292"/>
      <x v="455"/>
    </i>
    <i r="1">
      <x v="293"/>
      <x v="1726"/>
    </i>
    <i r="1">
      <x v="294"/>
      <x v="452"/>
    </i>
    <i r="1">
      <x v="296"/>
      <x v="1731"/>
    </i>
    <i r="1">
      <x v="297"/>
      <x v="2025"/>
    </i>
    <i r="1">
      <x v="368"/>
      <x v="2027"/>
    </i>
    <i r="1">
      <x v="410"/>
      <x v="1732"/>
    </i>
    <i r="1">
      <x v="439"/>
      <x v="1734"/>
    </i>
    <i r="1">
      <x v="441"/>
      <x v="993"/>
    </i>
    <i r="1">
      <x v="454"/>
      <x v="1739"/>
    </i>
    <i r="1">
      <x v="491"/>
      <x v="2028"/>
    </i>
    <i>
      <x v="21"/>
      <x v="25"/>
      <x v="1744"/>
    </i>
    <i r="1">
      <x v="26"/>
      <x v="1746"/>
    </i>
    <i r="1">
      <x v="29"/>
      <x v="1748"/>
    </i>
    <i r="1">
      <x v="43"/>
      <x v="2033"/>
    </i>
    <i r="1">
      <x v="81"/>
      <x v="1751"/>
    </i>
    <i r="1">
      <x v="84"/>
      <x v="1754"/>
    </i>
    <i r="1">
      <x v="85"/>
      <x v="1767"/>
    </i>
    <i r="1">
      <x v="87"/>
      <x v="2035"/>
    </i>
    <i r="1">
      <x v="101"/>
      <x v="1052"/>
    </i>
    <i r="2">
      <x v="1178"/>
    </i>
    <i r="1">
      <x v="104"/>
      <x v="1361"/>
    </i>
    <i r="2">
      <x v="2038"/>
    </i>
    <i r="2">
      <x v="2039"/>
    </i>
    <i r="1">
      <x v="132"/>
      <x v="54"/>
    </i>
    <i r="1">
      <x v="207"/>
      <x v="999"/>
    </i>
    <i r="1">
      <x v="211"/>
      <x v="1804"/>
    </i>
    <i r="1">
      <x v="212"/>
      <x v="2041"/>
    </i>
    <i r="2">
      <x v="2184"/>
    </i>
    <i r="1">
      <x v="235"/>
      <x v="411"/>
    </i>
    <i r="1">
      <x v="304"/>
      <x v="1807"/>
    </i>
    <i r="2">
      <x v="2044"/>
    </i>
    <i r="1">
      <x v="305"/>
      <x v="1809"/>
    </i>
    <i r="1">
      <x v="306"/>
      <x v="2045"/>
    </i>
    <i r="2">
      <x v="2046"/>
    </i>
    <i r="1">
      <x v="307"/>
      <x v="1908"/>
    </i>
    <i r="2">
      <x v="1909"/>
    </i>
    <i r="1">
      <x v="308"/>
      <x v="1914"/>
    </i>
    <i r="1">
      <x v="309"/>
      <x v="1179"/>
    </i>
    <i r="1">
      <x v="310"/>
      <x v="1917"/>
    </i>
    <i r="1">
      <x v="311"/>
      <x v="1919"/>
    </i>
    <i r="1">
      <x v="312"/>
      <x v="2086"/>
    </i>
    <i r="1">
      <x v="314"/>
      <x v="2088"/>
    </i>
    <i r="1">
      <x v="315"/>
      <x v="1923"/>
    </i>
    <i r="1">
      <x v="332"/>
      <x v="477"/>
    </i>
    <i r="1">
      <x v="351"/>
      <x v="2089"/>
    </i>
    <i r="1">
      <x v="362"/>
      <x v="1942"/>
    </i>
    <i r="1">
      <x v="363"/>
      <x v="2245"/>
    </i>
    <i r="2">
      <x v="2254"/>
    </i>
    <i r="2">
      <x v="2255"/>
    </i>
    <i r="1">
      <x v="366"/>
      <x v="774"/>
    </i>
    <i r="2">
      <x v="2256"/>
    </i>
    <i r="2">
      <x v="2257"/>
    </i>
    <i r="2">
      <x v="2258"/>
    </i>
    <i r="1">
      <x v="369"/>
      <x v="639"/>
    </i>
    <i r="1">
      <x v="376"/>
      <x v="2259"/>
    </i>
    <i r="1">
      <x v="402"/>
      <x v="1187"/>
    </i>
    <i r="1">
      <x v="411"/>
      <x v="1943"/>
    </i>
    <i r="1">
      <x v="425"/>
      <x v="982"/>
    </i>
    <i r="1">
      <x v="429"/>
      <x v="1001"/>
    </i>
    <i r="1">
      <x v="437"/>
      <x v="1945"/>
    </i>
    <i r="1">
      <x v="442"/>
      <x v="2260"/>
    </i>
    <i r="1">
      <x v="444"/>
      <x v="1003"/>
    </i>
    <i r="1">
      <x v="462"/>
      <x v="1947"/>
    </i>
    <i>
      <x v="22"/>
      <x/>
      <x v="1585"/>
    </i>
    <i r="1">
      <x v="38"/>
      <x v="1189"/>
    </i>
    <i r="1">
      <x v="48"/>
      <x v="1522"/>
    </i>
    <i r="1">
      <x v="49"/>
      <x v="857"/>
    </i>
    <i r="2">
      <x v="2098"/>
    </i>
    <i r="1">
      <x v="50"/>
      <x v="859"/>
    </i>
    <i r="1">
      <x v="73"/>
      <x v="748"/>
    </i>
    <i r="1">
      <x v="97"/>
      <x v="861"/>
    </i>
    <i r="2">
      <x v="1034"/>
    </i>
    <i r="1">
      <x v="99"/>
      <x v="1364"/>
    </i>
    <i r="1">
      <x v="141"/>
      <x v="865"/>
    </i>
    <i r="1">
      <x v="183"/>
      <x v="870"/>
    </i>
    <i r="1">
      <x v="184"/>
      <x v="1137"/>
    </i>
    <i r="1">
      <x v="241"/>
      <x v="1007"/>
    </i>
    <i r="1">
      <x v="268"/>
      <x v="1083"/>
    </i>
    <i r="1">
      <x v="271"/>
      <x v="1010"/>
    </i>
    <i r="1">
      <x v="299"/>
      <x v="1005"/>
    </i>
    <i r="1">
      <x v="321"/>
      <x v="911"/>
    </i>
    <i r="1">
      <x v="326"/>
      <x v="877"/>
    </i>
    <i r="1">
      <x v="375"/>
      <x v="913"/>
    </i>
    <i r="1">
      <x v="475"/>
      <x v="880"/>
    </i>
    <i r="1">
      <x v="480"/>
      <x v="881"/>
    </i>
    <i r="1">
      <x v="484"/>
      <x v="1191"/>
    </i>
    <i r="1">
      <x v="494"/>
      <x v="738"/>
    </i>
    <i>
      <x v="23"/>
      <x v="4"/>
      <x v="1"/>
    </i>
    <i r="1">
      <x v="88"/>
      <x v="42"/>
    </i>
    <i r="1">
      <x v="147"/>
      <x v="316"/>
    </i>
    <i r="1">
      <x v="161"/>
      <x v="312"/>
    </i>
    <i r="1">
      <x v="175"/>
      <x v="317"/>
    </i>
    <i r="1">
      <x v="239"/>
      <x v="434"/>
    </i>
    <i r="1">
      <x v="300"/>
      <x v="459"/>
    </i>
    <i r="1">
      <x v="370"/>
      <x v="655"/>
    </i>
    <i r="1">
      <x v="407"/>
      <x v="666"/>
    </i>
    <i>
      <x v="26"/>
      <x v="251"/>
      <x v="1199"/>
    </i>
    <i r="2">
      <x v="1200"/>
    </i>
    <i r="2">
      <x v="1366"/>
    </i>
    <i r="2">
      <x v="1950"/>
    </i>
    <i r="2">
      <x v="2100"/>
    </i>
    <i r="2">
      <x v="2101"/>
    </i>
    <i r="2">
      <x v="2102"/>
    </i>
    <i r="1">
      <x v="267"/>
      <x v="389"/>
    </i>
    <i r="1">
      <x v="269"/>
      <x v="1525"/>
    </i>
    <i r="1">
      <x v="270"/>
      <x v="1669"/>
    </i>
    <i r="1">
      <x v="322"/>
      <x v="461"/>
    </i>
    <i r="1">
      <x v="345"/>
      <x v="2263"/>
    </i>
    <i r="1">
      <x v="481"/>
      <x v="1956"/>
    </i>
    <i>
      <x v="27"/>
      <x v="2"/>
      <x v="1371"/>
    </i>
    <i r="1">
      <x v="3"/>
      <x v="2264"/>
    </i>
    <i r="1">
      <x v="7"/>
      <x v="2268"/>
    </i>
    <i r="1">
      <x v="8"/>
      <x v="1201"/>
    </i>
    <i r="1">
      <x v="9"/>
      <x v="4"/>
    </i>
    <i r="1">
      <x v="10"/>
      <x v="5"/>
    </i>
    <i r="1">
      <x v="11"/>
      <x v="1203"/>
    </i>
    <i r="1">
      <x v="12"/>
      <x v="791"/>
    </i>
    <i r="1">
      <x v="13"/>
      <x v="1463"/>
    </i>
    <i r="1">
      <x v="14"/>
      <x v="1205"/>
    </i>
    <i r="1">
      <x v="15"/>
      <x v="18"/>
    </i>
    <i r="1">
      <x v="22"/>
      <x v="20"/>
    </i>
    <i r="1">
      <x v="30"/>
      <x v="2273"/>
    </i>
    <i r="1">
      <x v="77"/>
      <x v="38"/>
    </i>
    <i r="1">
      <x v="89"/>
      <x v="41"/>
    </i>
    <i r="1">
      <x v="91"/>
      <x v="1372"/>
    </i>
    <i r="1">
      <x v="92"/>
      <x v="1374"/>
    </i>
    <i r="1">
      <x v="95"/>
      <x v="44"/>
    </i>
    <i r="1">
      <x v="106"/>
      <x v="2275"/>
    </i>
    <i r="1">
      <x v="110"/>
      <x v="46"/>
    </i>
    <i r="1">
      <x v="112"/>
      <x v="1376"/>
    </i>
    <i r="1">
      <x v="114"/>
      <x v="2277"/>
    </i>
    <i r="1">
      <x v="121"/>
      <x v="1379"/>
    </i>
    <i r="1">
      <x v="126"/>
      <x v="1957"/>
    </i>
    <i r="1">
      <x v="127"/>
      <x v="1224"/>
    </i>
    <i r="1">
      <x v="131"/>
      <x v="1381"/>
    </i>
    <i r="1">
      <x v="142"/>
      <x v="1383"/>
    </i>
    <i r="1">
      <x v="143"/>
      <x v="1231"/>
    </i>
    <i r="1">
      <x v="144"/>
      <x v="194"/>
    </i>
    <i r="1">
      <x v="163"/>
      <x v="296"/>
    </i>
    <i r="1">
      <x v="208"/>
      <x v="355"/>
    </i>
    <i r="1">
      <x v="210"/>
      <x v="347"/>
    </i>
    <i r="1">
      <x v="213"/>
      <x v="356"/>
    </i>
    <i r="1">
      <x v="218"/>
      <x v="359"/>
    </i>
    <i r="1">
      <x v="227"/>
      <x v="1396"/>
    </i>
    <i r="1">
      <x v="228"/>
      <x v="883"/>
    </i>
    <i r="1">
      <x v="230"/>
      <x v="2280"/>
    </i>
    <i r="1">
      <x v="232"/>
      <x v="987"/>
    </i>
    <i r="1">
      <x v="254"/>
      <x v="1400"/>
    </i>
    <i r="1">
      <x v="258"/>
      <x v="1402"/>
    </i>
    <i r="1">
      <x v="259"/>
      <x v="437"/>
    </i>
    <i r="1">
      <x v="264"/>
      <x v="1209"/>
    </i>
    <i r="1">
      <x v="276"/>
      <x v="443"/>
    </i>
    <i r="1">
      <x v="302"/>
      <x v="460"/>
    </i>
    <i r="1">
      <x v="324"/>
      <x v="464"/>
    </i>
    <i r="1">
      <x v="340"/>
      <x v="474"/>
    </i>
    <i r="1">
      <x v="348"/>
      <x v="2354"/>
    </i>
    <i r="1">
      <x v="349"/>
      <x v="1550"/>
    </i>
    <i r="1">
      <x v="386"/>
      <x v="641"/>
    </i>
    <i r="1">
      <x v="389"/>
      <x v="1551"/>
    </i>
    <i r="1">
      <x v="394"/>
      <x v="886"/>
    </i>
    <i r="1">
      <x v="403"/>
      <x v="2355"/>
    </i>
    <i r="1">
      <x v="406"/>
      <x v="1408"/>
    </i>
    <i r="1">
      <x v="413"/>
      <x v="1041"/>
    </i>
    <i r="1">
      <x v="414"/>
      <x v="1966"/>
    </i>
    <i r="1">
      <x v="426"/>
      <x v="697"/>
    </i>
    <i r="1">
      <x v="448"/>
      <x v="2357"/>
    </i>
    <i r="1">
      <x v="449"/>
      <x v="696"/>
    </i>
    <i r="1">
      <x v="455"/>
      <x v="1410"/>
    </i>
    <i r="1">
      <x v="460"/>
      <x v="707"/>
    </i>
    <i r="1">
      <x v="463"/>
      <x v="1413"/>
    </i>
    <i r="1">
      <x v="469"/>
      <x v="708"/>
    </i>
    <i r="1">
      <x v="477"/>
      <x v="1086"/>
    </i>
    <i r="1">
      <x v="478"/>
      <x v="1088"/>
    </i>
    <i r="2">
      <x v="2361"/>
    </i>
    <i r="2">
      <x v="2362"/>
    </i>
    <i r="2">
      <x v="2363"/>
    </i>
    <i r="1">
      <x v="482"/>
      <x v="730"/>
    </i>
    <i r="1">
      <x v="487"/>
      <x v="1415"/>
    </i>
    <i r="1">
      <x v="488"/>
      <x v="1233"/>
    </i>
    <i r="1">
      <x v="489"/>
      <x v="1236"/>
    </i>
    <i r="1">
      <x v="490"/>
      <x v="731"/>
    </i>
    <i>
      <x v="28"/>
      <x v="497"/>
      <x v="741"/>
    </i>
    <i>
      <x v="29"/>
      <x v="24"/>
      <x v="289"/>
    </i>
    <i r="1">
      <x v="119"/>
      <x v="290"/>
    </i>
    <i r="1">
      <x v="153"/>
      <x v="298"/>
    </i>
    <i r="1">
      <x v="159"/>
      <x v="1587"/>
    </i>
    <i r="1">
      <x v="327"/>
      <x v="466"/>
    </i>
    <i r="1">
      <x v="334"/>
      <x v="1212"/>
    </i>
    <i r="1">
      <x v="355"/>
      <x v="579"/>
    </i>
    <i>
      <x v="30"/>
      <x v="49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6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51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51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51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51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6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6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6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51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51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6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6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40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680566A-9774-421A-BCE0-502B8D50354F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860cf19f-4337-4f13-ac8c-0147ade1e83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425"/>
  <sheetViews>
    <sheetView tabSelected="1" topLeftCell="A148" zoomScale="66" workbookViewId="0">
      <selection activeCell="D176" sqref="D176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79.08984375" bestFit="1" customWidth="1"/>
    <col min="4" max="4" width="16.26953125" customWidth="1"/>
  </cols>
  <sheetData>
    <row r="1" spans="1:1" x14ac:dyDescent="0.35">
      <c r="A1" s="2" t="s">
        <v>585</v>
      </c>
    </row>
    <row r="3" spans="1:1" x14ac:dyDescent="0.35">
      <c r="A3" s="2" t="s">
        <v>595</v>
      </c>
    </row>
    <row r="4" spans="1:1" x14ac:dyDescent="0.35">
      <c r="A4" t="s">
        <v>589</v>
      </c>
    </row>
    <row r="5" spans="1:1" x14ac:dyDescent="0.35">
      <c r="A5" t="s">
        <v>628</v>
      </c>
    </row>
    <row r="7" spans="1:1" x14ac:dyDescent="0.35">
      <c r="A7" t="s">
        <v>586</v>
      </c>
    </row>
    <row r="8" spans="1:1" x14ac:dyDescent="0.35">
      <c r="A8" t="s">
        <v>587</v>
      </c>
    </row>
    <row r="9" spans="1:1" x14ac:dyDescent="0.35">
      <c r="A9" t="s">
        <v>594</v>
      </c>
    </row>
    <row r="11" spans="1:1" x14ac:dyDescent="0.35">
      <c r="A11" t="s">
        <v>597</v>
      </c>
    </row>
    <row r="12" spans="1:1" x14ac:dyDescent="0.35">
      <c r="A12" t="s">
        <v>588</v>
      </c>
    </row>
    <row r="14" spans="1:1" x14ac:dyDescent="0.35">
      <c r="A14" s="2" t="s">
        <v>596</v>
      </c>
    </row>
    <row r="15" spans="1:1" x14ac:dyDescent="0.35">
      <c r="A15" t="s">
        <v>590</v>
      </c>
    </row>
    <row r="16" spans="1:1" x14ac:dyDescent="0.35">
      <c r="A16" t="s">
        <v>591</v>
      </c>
    </row>
    <row r="17" spans="1:4" x14ac:dyDescent="0.35">
      <c r="A17" t="s">
        <v>592</v>
      </c>
    </row>
    <row r="18" spans="1:4" x14ac:dyDescent="0.35">
      <c r="A18" t="s">
        <v>593</v>
      </c>
    </row>
    <row r="20" spans="1:4" x14ac:dyDescent="0.35">
      <c r="A20" t="s">
        <v>627</v>
      </c>
    </row>
    <row r="21" spans="1:4" x14ac:dyDescent="0.35">
      <c r="A21" t="s">
        <v>626</v>
      </c>
    </row>
    <row r="24" spans="1:4" x14ac:dyDescent="0.35">
      <c r="A24" s="1" t="s">
        <v>580</v>
      </c>
      <c r="B24" s="1" t="s">
        <v>581</v>
      </c>
      <c r="C24" s="1" t="s">
        <v>582</v>
      </c>
      <c r="D24" s="4" t="s">
        <v>583</v>
      </c>
    </row>
    <row r="25" spans="1:4" x14ac:dyDescent="0.35">
      <c r="A25" t="s">
        <v>2</v>
      </c>
      <c r="B25" t="s">
        <v>900</v>
      </c>
      <c r="C25" t="s">
        <v>901</v>
      </c>
      <c r="D25">
        <v>0</v>
      </c>
    </row>
    <row r="26" spans="1:4" x14ac:dyDescent="0.35">
      <c r="A26" t="s">
        <v>2</v>
      </c>
      <c r="B26" t="s">
        <v>1378</v>
      </c>
      <c r="C26" t="s">
        <v>1403</v>
      </c>
      <c r="D26">
        <v>0</v>
      </c>
    </row>
    <row r="27" spans="1:4" x14ac:dyDescent="0.35">
      <c r="A27" t="s">
        <v>2</v>
      </c>
      <c r="B27" t="s">
        <v>1404</v>
      </c>
      <c r="C27" t="s">
        <v>1429</v>
      </c>
      <c r="D27">
        <v>0</v>
      </c>
    </row>
    <row r="28" spans="1:4" x14ac:dyDescent="0.35">
      <c r="A28" t="s">
        <v>2</v>
      </c>
      <c r="B28" t="s">
        <v>1404</v>
      </c>
      <c r="C28" t="s">
        <v>1430</v>
      </c>
      <c r="D28">
        <v>0</v>
      </c>
    </row>
    <row r="29" spans="1:4" x14ac:dyDescent="0.35">
      <c r="A29" t="s">
        <v>2</v>
      </c>
      <c r="B29" t="s">
        <v>644</v>
      </c>
      <c r="C29" t="s">
        <v>645</v>
      </c>
      <c r="D29">
        <v>0</v>
      </c>
    </row>
    <row r="30" spans="1:4" x14ac:dyDescent="0.35">
      <c r="A30" t="s">
        <v>2</v>
      </c>
      <c r="B30" t="s">
        <v>1882</v>
      </c>
      <c r="C30" t="s">
        <v>1883</v>
      </c>
      <c r="D30">
        <v>0</v>
      </c>
    </row>
    <row r="31" spans="1:4" x14ac:dyDescent="0.35">
      <c r="A31" t="s">
        <v>2</v>
      </c>
      <c r="B31" t="s">
        <v>1733</v>
      </c>
      <c r="C31" t="s">
        <v>1735</v>
      </c>
      <c r="D31">
        <v>0</v>
      </c>
    </row>
    <row r="32" spans="1:4" x14ac:dyDescent="0.35">
      <c r="A32" t="s">
        <v>2</v>
      </c>
      <c r="B32" t="s">
        <v>970</v>
      </c>
      <c r="C32" t="s">
        <v>972</v>
      </c>
      <c r="D32">
        <v>0</v>
      </c>
    </row>
    <row r="33" spans="1:4" x14ac:dyDescent="0.35">
      <c r="A33" t="s">
        <v>2</v>
      </c>
      <c r="B33" t="s">
        <v>3</v>
      </c>
      <c r="C33" t="s">
        <v>5</v>
      </c>
      <c r="D33">
        <v>0</v>
      </c>
    </row>
    <row r="34" spans="1:4" x14ac:dyDescent="0.35">
      <c r="A34" t="s">
        <v>2</v>
      </c>
      <c r="B34" t="s">
        <v>6</v>
      </c>
      <c r="C34" t="s">
        <v>7</v>
      </c>
      <c r="D34">
        <v>0</v>
      </c>
    </row>
    <row r="35" spans="1:4" x14ac:dyDescent="0.35">
      <c r="A35" t="s">
        <v>9</v>
      </c>
      <c r="B35" t="s">
        <v>10</v>
      </c>
      <c r="C35" t="s">
        <v>14</v>
      </c>
      <c r="D35">
        <v>0</v>
      </c>
    </row>
    <row r="36" spans="1:4" x14ac:dyDescent="0.35">
      <c r="A36" t="s">
        <v>9</v>
      </c>
      <c r="B36" t="s">
        <v>15</v>
      </c>
      <c r="C36" t="s">
        <v>16</v>
      </c>
      <c r="D36">
        <v>0</v>
      </c>
    </row>
    <row r="37" spans="1:4" x14ac:dyDescent="0.35">
      <c r="A37" t="s">
        <v>9</v>
      </c>
      <c r="B37" t="s">
        <v>1736</v>
      </c>
      <c r="C37" t="s">
        <v>1737</v>
      </c>
      <c r="D37">
        <v>0</v>
      </c>
    </row>
    <row r="38" spans="1:4" x14ac:dyDescent="0.35">
      <c r="A38" t="s">
        <v>9</v>
      </c>
      <c r="B38" t="s">
        <v>1237</v>
      </c>
      <c r="C38" t="s">
        <v>1238</v>
      </c>
      <c r="D38">
        <v>0</v>
      </c>
    </row>
    <row r="39" spans="1:4" x14ac:dyDescent="0.35">
      <c r="A39" t="s">
        <v>9</v>
      </c>
      <c r="B39" t="s">
        <v>1237</v>
      </c>
      <c r="C39" t="s">
        <v>1885</v>
      </c>
      <c r="D39">
        <v>0</v>
      </c>
    </row>
    <row r="40" spans="1:4" x14ac:dyDescent="0.35">
      <c r="A40" t="s">
        <v>9</v>
      </c>
      <c r="B40" t="s">
        <v>32</v>
      </c>
      <c r="C40" t="s">
        <v>33</v>
      </c>
      <c r="D40">
        <v>0</v>
      </c>
    </row>
    <row r="41" spans="1:4" x14ac:dyDescent="0.35">
      <c r="A41" t="s">
        <v>9</v>
      </c>
      <c r="B41" t="s">
        <v>1018</v>
      </c>
      <c r="C41" t="s">
        <v>1019</v>
      </c>
      <c r="D41">
        <v>0</v>
      </c>
    </row>
    <row r="42" spans="1:4" x14ac:dyDescent="0.35">
      <c r="A42" t="s">
        <v>9</v>
      </c>
      <c r="B42" t="s">
        <v>37</v>
      </c>
      <c r="C42" t="s">
        <v>38</v>
      </c>
      <c r="D42">
        <v>0</v>
      </c>
    </row>
    <row r="43" spans="1:4" x14ac:dyDescent="0.35">
      <c r="A43" t="s">
        <v>9</v>
      </c>
      <c r="B43" t="s">
        <v>1431</v>
      </c>
      <c r="C43" t="s">
        <v>1432</v>
      </c>
      <c r="D43">
        <v>0</v>
      </c>
    </row>
    <row r="44" spans="1:4" x14ac:dyDescent="0.35">
      <c r="A44" t="s">
        <v>9</v>
      </c>
      <c r="B44" t="s">
        <v>1431</v>
      </c>
      <c r="C44" t="s">
        <v>1741</v>
      </c>
      <c r="D44">
        <v>0</v>
      </c>
    </row>
    <row r="45" spans="1:4" x14ac:dyDescent="0.35">
      <c r="A45" t="s">
        <v>9</v>
      </c>
      <c r="B45" t="s">
        <v>1431</v>
      </c>
      <c r="C45" t="s">
        <v>1886</v>
      </c>
      <c r="D45">
        <v>0</v>
      </c>
    </row>
    <row r="46" spans="1:4" x14ac:dyDescent="0.35">
      <c r="A46" t="s">
        <v>9</v>
      </c>
      <c r="B46" t="s">
        <v>41</v>
      </c>
      <c r="C46" t="s">
        <v>43</v>
      </c>
      <c r="D46">
        <v>0</v>
      </c>
    </row>
    <row r="47" spans="1:4" x14ac:dyDescent="0.35">
      <c r="A47" t="s">
        <v>9</v>
      </c>
      <c r="B47" t="s">
        <v>44</v>
      </c>
      <c r="C47" t="s">
        <v>45</v>
      </c>
      <c r="D47">
        <v>0</v>
      </c>
    </row>
    <row r="48" spans="1:4" x14ac:dyDescent="0.35">
      <c r="A48" t="s">
        <v>9</v>
      </c>
      <c r="B48" t="s">
        <v>46</v>
      </c>
      <c r="C48" t="s">
        <v>47</v>
      </c>
      <c r="D48">
        <v>0</v>
      </c>
    </row>
    <row r="49" spans="1:4" x14ac:dyDescent="0.35">
      <c r="A49" t="s">
        <v>9</v>
      </c>
      <c r="B49" t="s">
        <v>49</v>
      </c>
      <c r="C49" t="s">
        <v>50</v>
      </c>
      <c r="D49">
        <v>0</v>
      </c>
    </row>
    <row r="50" spans="1:4" x14ac:dyDescent="0.35">
      <c r="A50" t="s">
        <v>9</v>
      </c>
      <c r="B50" t="s">
        <v>52</v>
      </c>
      <c r="C50" t="s">
        <v>53</v>
      </c>
      <c r="D50">
        <v>0</v>
      </c>
    </row>
    <row r="51" spans="1:4" x14ac:dyDescent="0.35">
      <c r="A51" t="s">
        <v>9</v>
      </c>
      <c r="B51" t="s">
        <v>52</v>
      </c>
      <c r="C51" t="s">
        <v>1887</v>
      </c>
      <c r="D51">
        <v>0</v>
      </c>
    </row>
    <row r="52" spans="1:4" x14ac:dyDescent="0.35">
      <c r="A52" t="s">
        <v>9</v>
      </c>
      <c r="B52" t="s">
        <v>55</v>
      </c>
      <c r="C52" t="s">
        <v>56</v>
      </c>
      <c r="D52">
        <v>0</v>
      </c>
    </row>
    <row r="53" spans="1:4" x14ac:dyDescent="0.35">
      <c r="A53" t="s">
        <v>9</v>
      </c>
      <c r="B53" t="s">
        <v>58</v>
      </c>
      <c r="C53" t="s">
        <v>60</v>
      </c>
      <c r="D53">
        <v>0</v>
      </c>
    </row>
    <row r="54" spans="1:4" x14ac:dyDescent="0.35">
      <c r="A54" t="s">
        <v>9</v>
      </c>
      <c r="B54" t="s">
        <v>788</v>
      </c>
      <c r="C54" t="s">
        <v>798</v>
      </c>
      <c r="D54">
        <v>0</v>
      </c>
    </row>
    <row r="55" spans="1:4" x14ac:dyDescent="0.35">
      <c r="A55" t="s">
        <v>9</v>
      </c>
      <c r="B55" t="s">
        <v>1436</v>
      </c>
      <c r="C55" t="s">
        <v>1437</v>
      </c>
      <c r="D55">
        <v>0</v>
      </c>
    </row>
    <row r="56" spans="1:4" x14ac:dyDescent="0.35">
      <c r="A56" t="s">
        <v>9</v>
      </c>
      <c r="B56" t="s">
        <v>61</v>
      </c>
      <c r="C56" t="s">
        <v>62</v>
      </c>
      <c r="D56">
        <v>0</v>
      </c>
    </row>
    <row r="57" spans="1:4" x14ac:dyDescent="0.35">
      <c r="A57" t="s">
        <v>9</v>
      </c>
      <c r="B57" t="s">
        <v>64</v>
      </c>
      <c r="C57" t="s">
        <v>66</v>
      </c>
      <c r="D57">
        <v>0</v>
      </c>
    </row>
    <row r="58" spans="1:4" x14ac:dyDescent="0.35">
      <c r="A58" t="s">
        <v>9</v>
      </c>
      <c r="B58" t="s">
        <v>67</v>
      </c>
      <c r="C58" t="s">
        <v>68</v>
      </c>
      <c r="D58">
        <v>0</v>
      </c>
    </row>
    <row r="59" spans="1:4" x14ac:dyDescent="0.35">
      <c r="A59" t="s">
        <v>9</v>
      </c>
      <c r="B59" t="s">
        <v>70</v>
      </c>
      <c r="C59" t="s">
        <v>71</v>
      </c>
      <c r="D59">
        <v>0</v>
      </c>
    </row>
    <row r="60" spans="1:4" x14ac:dyDescent="0.35">
      <c r="A60" t="s">
        <v>9</v>
      </c>
      <c r="B60" t="s">
        <v>73</v>
      </c>
      <c r="C60" t="s">
        <v>74</v>
      </c>
      <c r="D60">
        <v>0</v>
      </c>
    </row>
    <row r="61" spans="1:4" x14ac:dyDescent="0.35">
      <c r="A61" t="s">
        <v>9</v>
      </c>
      <c r="B61" t="s">
        <v>76</v>
      </c>
      <c r="C61" t="s">
        <v>78</v>
      </c>
      <c r="D61">
        <v>0</v>
      </c>
    </row>
    <row r="62" spans="1:4" x14ac:dyDescent="0.35">
      <c r="A62" t="s">
        <v>9</v>
      </c>
      <c r="B62" t="s">
        <v>661</v>
      </c>
      <c r="C62" t="s">
        <v>662</v>
      </c>
      <c r="D62">
        <v>0</v>
      </c>
    </row>
    <row r="63" spans="1:4" x14ac:dyDescent="0.35">
      <c r="A63" t="s">
        <v>9</v>
      </c>
      <c r="B63" t="s">
        <v>1439</v>
      </c>
      <c r="C63" t="s">
        <v>1441</v>
      </c>
      <c r="D63">
        <v>0</v>
      </c>
    </row>
    <row r="64" spans="1:4" x14ac:dyDescent="0.35">
      <c r="A64" t="s">
        <v>9</v>
      </c>
      <c r="B64" t="s">
        <v>664</v>
      </c>
      <c r="C64" t="s">
        <v>665</v>
      </c>
      <c r="D64">
        <v>0</v>
      </c>
    </row>
    <row r="65" spans="1:4" x14ac:dyDescent="0.35">
      <c r="A65" t="s">
        <v>9</v>
      </c>
      <c r="B65" t="s">
        <v>843</v>
      </c>
      <c r="C65" t="s">
        <v>844</v>
      </c>
      <c r="D65">
        <v>0</v>
      </c>
    </row>
    <row r="66" spans="1:4" x14ac:dyDescent="0.35">
      <c r="A66" t="s">
        <v>9</v>
      </c>
      <c r="B66" t="s">
        <v>79</v>
      </c>
      <c r="C66" t="s">
        <v>80</v>
      </c>
      <c r="D66">
        <v>0</v>
      </c>
    </row>
    <row r="67" spans="1:4" x14ac:dyDescent="0.35">
      <c r="A67" t="s">
        <v>9</v>
      </c>
      <c r="B67" t="s">
        <v>818</v>
      </c>
      <c r="C67" t="s">
        <v>819</v>
      </c>
      <c r="D67">
        <v>0</v>
      </c>
    </row>
    <row r="68" spans="1:4" x14ac:dyDescent="0.35">
      <c r="A68" t="s">
        <v>9</v>
      </c>
      <c r="B68" t="s">
        <v>669</v>
      </c>
      <c r="C68" t="s">
        <v>670</v>
      </c>
      <c r="D68">
        <v>0</v>
      </c>
    </row>
    <row r="69" spans="1:4" x14ac:dyDescent="0.35">
      <c r="A69" t="s">
        <v>9</v>
      </c>
      <c r="B69" t="s">
        <v>674</v>
      </c>
      <c r="C69" t="s">
        <v>675</v>
      </c>
      <c r="D69">
        <v>0</v>
      </c>
    </row>
    <row r="70" spans="1:4" x14ac:dyDescent="0.35">
      <c r="A70" t="s">
        <v>82</v>
      </c>
      <c r="B70" t="s">
        <v>1021</v>
      </c>
      <c r="C70" t="s">
        <v>1022</v>
      </c>
      <c r="D70">
        <v>0</v>
      </c>
    </row>
    <row r="71" spans="1:4" x14ac:dyDescent="0.35">
      <c r="A71" t="s">
        <v>82</v>
      </c>
      <c r="B71" t="s">
        <v>1191</v>
      </c>
      <c r="C71" t="s">
        <v>1192</v>
      </c>
      <c r="D71">
        <v>0</v>
      </c>
    </row>
    <row r="72" spans="1:4" x14ac:dyDescent="0.35">
      <c r="A72" t="s">
        <v>82</v>
      </c>
      <c r="B72" t="s">
        <v>1195</v>
      </c>
      <c r="C72" t="s">
        <v>1196</v>
      </c>
      <c r="D72">
        <v>0</v>
      </c>
    </row>
    <row r="73" spans="1:4" x14ac:dyDescent="0.35">
      <c r="A73" t="s">
        <v>82</v>
      </c>
      <c r="B73" t="s">
        <v>83</v>
      </c>
      <c r="C73" t="s">
        <v>677</v>
      </c>
      <c r="D73">
        <v>0</v>
      </c>
    </row>
    <row r="74" spans="1:4" x14ac:dyDescent="0.35">
      <c r="A74" t="s">
        <v>82</v>
      </c>
      <c r="B74" t="s">
        <v>629</v>
      </c>
      <c r="C74" t="s">
        <v>630</v>
      </c>
      <c r="D74">
        <v>0</v>
      </c>
    </row>
    <row r="75" spans="1:4" x14ac:dyDescent="0.35">
      <c r="A75" t="s">
        <v>82</v>
      </c>
      <c r="B75" t="s">
        <v>1442</v>
      </c>
      <c r="C75" t="s">
        <v>1443</v>
      </c>
      <c r="D75">
        <v>0</v>
      </c>
    </row>
    <row r="76" spans="1:4" x14ac:dyDescent="0.35">
      <c r="A76" t="s">
        <v>82</v>
      </c>
      <c r="B76" t="s">
        <v>1446</v>
      </c>
      <c r="C76" t="s">
        <v>1449</v>
      </c>
      <c r="D76">
        <v>0</v>
      </c>
    </row>
    <row r="77" spans="1:4" x14ac:dyDescent="0.35">
      <c r="A77" t="s">
        <v>82</v>
      </c>
      <c r="B77" t="s">
        <v>1450</v>
      </c>
      <c r="C77" t="s">
        <v>1451</v>
      </c>
      <c r="D77">
        <v>0</v>
      </c>
    </row>
    <row r="78" spans="1:4" x14ac:dyDescent="0.35">
      <c r="A78" t="s">
        <v>82</v>
      </c>
      <c r="B78" t="s">
        <v>1742</v>
      </c>
      <c r="C78" t="s">
        <v>1744</v>
      </c>
      <c r="D78">
        <v>0</v>
      </c>
    </row>
    <row r="79" spans="1:4" x14ac:dyDescent="0.35">
      <c r="A79" t="s">
        <v>82</v>
      </c>
      <c r="B79" t="s">
        <v>1453</v>
      </c>
      <c r="C79" t="s">
        <v>1454</v>
      </c>
      <c r="D79">
        <v>0</v>
      </c>
    </row>
    <row r="80" spans="1:4" x14ac:dyDescent="0.35">
      <c r="A80" t="s">
        <v>82</v>
      </c>
      <c r="B80" t="s">
        <v>1252</v>
      </c>
      <c r="C80" t="s">
        <v>1253</v>
      </c>
      <c r="D80">
        <v>0</v>
      </c>
    </row>
    <row r="81" spans="1:4" x14ac:dyDescent="0.35">
      <c r="A81" t="s">
        <v>82</v>
      </c>
      <c r="B81" t="s">
        <v>1890</v>
      </c>
      <c r="C81" t="s">
        <v>1891</v>
      </c>
      <c r="D81">
        <v>0</v>
      </c>
    </row>
    <row r="82" spans="1:4" x14ac:dyDescent="0.35">
      <c r="A82" t="s">
        <v>84</v>
      </c>
      <c r="B82" t="s">
        <v>85</v>
      </c>
      <c r="C82" t="s">
        <v>86</v>
      </c>
      <c r="D82">
        <v>0</v>
      </c>
    </row>
    <row r="83" spans="1:4" x14ac:dyDescent="0.35">
      <c r="A83" t="s">
        <v>84</v>
      </c>
      <c r="B83" t="s">
        <v>678</v>
      </c>
      <c r="C83" t="s">
        <v>680</v>
      </c>
      <c r="D83">
        <v>0</v>
      </c>
    </row>
    <row r="84" spans="1:4" x14ac:dyDescent="0.35">
      <c r="A84" t="s">
        <v>817</v>
      </c>
      <c r="B84" t="s">
        <v>684</v>
      </c>
      <c r="C84" t="s">
        <v>686</v>
      </c>
      <c r="D84">
        <v>0</v>
      </c>
    </row>
    <row r="85" spans="1:4" x14ac:dyDescent="0.35">
      <c r="A85" t="s">
        <v>632</v>
      </c>
      <c r="B85" t="s">
        <v>287</v>
      </c>
      <c r="C85" t="s">
        <v>289</v>
      </c>
      <c r="D85">
        <v>0</v>
      </c>
    </row>
    <row r="86" spans="1:4" x14ac:dyDescent="0.35">
      <c r="A86" t="s">
        <v>632</v>
      </c>
      <c r="B86" t="s">
        <v>931</v>
      </c>
      <c r="C86" t="s">
        <v>933</v>
      </c>
      <c r="D86">
        <v>0</v>
      </c>
    </row>
    <row r="87" spans="1:4" x14ac:dyDescent="0.35">
      <c r="A87" t="s">
        <v>632</v>
      </c>
      <c r="B87" t="s">
        <v>681</v>
      </c>
      <c r="C87" t="s">
        <v>683</v>
      </c>
      <c r="D87">
        <v>0</v>
      </c>
    </row>
    <row r="88" spans="1:4" x14ac:dyDescent="0.35">
      <c r="A88" t="s">
        <v>632</v>
      </c>
      <c r="B88" t="s">
        <v>1893</v>
      </c>
      <c r="C88" t="s">
        <v>1895</v>
      </c>
      <c r="D88">
        <v>0</v>
      </c>
    </row>
    <row r="89" spans="1:4" x14ac:dyDescent="0.35">
      <c r="A89" t="s">
        <v>632</v>
      </c>
      <c r="B89" t="s">
        <v>633</v>
      </c>
      <c r="C89" t="s">
        <v>634</v>
      </c>
      <c r="D89">
        <v>0</v>
      </c>
    </row>
    <row r="90" spans="1:4" x14ac:dyDescent="0.35">
      <c r="A90" t="s">
        <v>632</v>
      </c>
      <c r="B90" t="s">
        <v>1023</v>
      </c>
      <c r="C90" t="s">
        <v>1025</v>
      </c>
      <c r="D90">
        <v>0</v>
      </c>
    </row>
    <row r="91" spans="1:4" x14ac:dyDescent="0.35">
      <c r="A91" t="s">
        <v>632</v>
      </c>
      <c r="B91" t="s">
        <v>846</v>
      </c>
      <c r="C91" t="s">
        <v>848</v>
      </c>
      <c r="D91">
        <v>0</v>
      </c>
    </row>
    <row r="92" spans="1:4" x14ac:dyDescent="0.35">
      <c r="A92" t="s">
        <v>632</v>
      </c>
      <c r="B92" t="s">
        <v>291</v>
      </c>
      <c r="C92" t="s">
        <v>293</v>
      </c>
      <c r="D92">
        <v>0</v>
      </c>
    </row>
    <row r="93" spans="1:4" x14ac:dyDescent="0.35">
      <c r="A93" t="s">
        <v>632</v>
      </c>
      <c r="B93" t="s">
        <v>934</v>
      </c>
      <c r="C93" t="s">
        <v>935</v>
      </c>
      <c r="D93">
        <v>0</v>
      </c>
    </row>
    <row r="94" spans="1:4" x14ac:dyDescent="0.35">
      <c r="A94" t="s">
        <v>632</v>
      </c>
      <c r="B94" t="s">
        <v>1896</v>
      </c>
      <c r="C94" t="s">
        <v>1897</v>
      </c>
      <c r="D94">
        <v>0</v>
      </c>
    </row>
    <row r="95" spans="1:4" x14ac:dyDescent="0.35">
      <c r="A95" t="s">
        <v>632</v>
      </c>
      <c r="B95" t="s">
        <v>1456</v>
      </c>
      <c r="C95" t="s">
        <v>1457</v>
      </c>
      <c r="D95">
        <v>0</v>
      </c>
    </row>
    <row r="96" spans="1:4" x14ac:dyDescent="0.35">
      <c r="A96" t="s">
        <v>632</v>
      </c>
      <c r="B96" t="s">
        <v>294</v>
      </c>
      <c r="C96" t="s">
        <v>295</v>
      </c>
      <c r="D96">
        <v>0</v>
      </c>
    </row>
    <row r="97" spans="1:4" x14ac:dyDescent="0.35">
      <c r="A97" t="s">
        <v>632</v>
      </c>
      <c r="B97" t="s">
        <v>1745</v>
      </c>
      <c r="C97" t="s">
        <v>1746</v>
      </c>
      <c r="D97">
        <v>0</v>
      </c>
    </row>
    <row r="98" spans="1:4" x14ac:dyDescent="0.35">
      <c r="A98" t="s">
        <v>632</v>
      </c>
      <c r="B98" t="s">
        <v>973</v>
      </c>
      <c r="C98" t="s">
        <v>976</v>
      </c>
      <c r="D98">
        <v>0</v>
      </c>
    </row>
    <row r="99" spans="1:4" x14ac:dyDescent="0.35">
      <c r="A99" t="s">
        <v>632</v>
      </c>
      <c r="B99" t="s">
        <v>635</v>
      </c>
      <c r="C99" t="s">
        <v>636</v>
      </c>
      <c r="D99">
        <v>0</v>
      </c>
    </row>
    <row r="100" spans="1:4" x14ac:dyDescent="0.35">
      <c r="A100" t="s">
        <v>632</v>
      </c>
      <c r="B100" t="s">
        <v>1459</v>
      </c>
      <c r="C100" t="s">
        <v>1460</v>
      </c>
      <c r="D100">
        <v>0</v>
      </c>
    </row>
    <row r="101" spans="1:4" x14ac:dyDescent="0.35">
      <c r="A101" t="s">
        <v>632</v>
      </c>
      <c r="B101" t="s">
        <v>732</v>
      </c>
      <c r="C101" t="s">
        <v>733</v>
      </c>
      <c r="D101">
        <v>0</v>
      </c>
    </row>
    <row r="102" spans="1:4" x14ac:dyDescent="0.35">
      <c r="A102" t="s">
        <v>632</v>
      </c>
      <c r="B102" t="s">
        <v>1863</v>
      </c>
      <c r="C102" t="s">
        <v>1865</v>
      </c>
      <c r="D102">
        <v>0</v>
      </c>
    </row>
    <row r="103" spans="1:4" x14ac:dyDescent="0.35">
      <c r="A103" t="s">
        <v>632</v>
      </c>
      <c r="B103" t="s">
        <v>1752</v>
      </c>
      <c r="C103" t="s">
        <v>1753</v>
      </c>
      <c r="D103">
        <v>0</v>
      </c>
    </row>
    <row r="104" spans="1:4" x14ac:dyDescent="0.35">
      <c r="A104" t="s">
        <v>632</v>
      </c>
      <c r="B104" t="s">
        <v>1462</v>
      </c>
      <c r="C104" t="s">
        <v>1464</v>
      </c>
      <c r="D104">
        <v>0</v>
      </c>
    </row>
    <row r="105" spans="1:4" x14ac:dyDescent="0.35">
      <c r="A105" t="s">
        <v>632</v>
      </c>
      <c r="B105" t="s">
        <v>1900</v>
      </c>
      <c r="C105" t="s">
        <v>1901</v>
      </c>
      <c r="D105">
        <v>0</v>
      </c>
    </row>
    <row r="106" spans="1:4" x14ac:dyDescent="0.35">
      <c r="A106" t="s">
        <v>88</v>
      </c>
      <c r="B106" t="s">
        <v>89</v>
      </c>
      <c r="C106" t="s">
        <v>90</v>
      </c>
      <c r="D106">
        <v>0</v>
      </c>
    </row>
    <row r="107" spans="1:4" x14ac:dyDescent="0.35">
      <c r="A107" t="s">
        <v>88</v>
      </c>
      <c r="B107" t="s">
        <v>92</v>
      </c>
      <c r="C107" t="s">
        <v>93</v>
      </c>
      <c r="D107">
        <v>0</v>
      </c>
    </row>
    <row r="108" spans="1:4" x14ac:dyDescent="0.35">
      <c r="A108" t="s">
        <v>88</v>
      </c>
      <c r="B108" t="s">
        <v>1468</v>
      </c>
      <c r="C108" t="s">
        <v>1470</v>
      </c>
      <c r="D108">
        <v>0</v>
      </c>
    </row>
    <row r="109" spans="1:4" x14ac:dyDescent="0.35">
      <c r="A109" t="s">
        <v>88</v>
      </c>
      <c r="B109" t="s">
        <v>95</v>
      </c>
      <c r="C109" t="s">
        <v>96</v>
      </c>
      <c r="D109">
        <v>0</v>
      </c>
    </row>
    <row r="110" spans="1:4" x14ac:dyDescent="0.35">
      <c r="A110" t="s">
        <v>88</v>
      </c>
      <c r="B110" t="s">
        <v>902</v>
      </c>
      <c r="C110" t="s">
        <v>904</v>
      </c>
      <c r="D110">
        <v>0</v>
      </c>
    </row>
    <row r="111" spans="1:4" x14ac:dyDescent="0.35">
      <c r="A111" t="s">
        <v>88</v>
      </c>
      <c r="B111" t="s">
        <v>98</v>
      </c>
      <c r="C111" t="s">
        <v>99</v>
      </c>
      <c r="D111">
        <v>0</v>
      </c>
    </row>
    <row r="112" spans="1:4" x14ac:dyDescent="0.35">
      <c r="A112" t="s">
        <v>101</v>
      </c>
      <c r="B112" t="s">
        <v>1337</v>
      </c>
      <c r="C112" t="s">
        <v>1338</v>
      </c>
      <c r="D112">
        <v>0</v>
      </c>
    </row>
    <row r="113" spans="1:4" x14ac:dyDescent="0.35">
      <c r="A113" t="s">
        <v>101</v>
      </c>
      <c r="B113" t="s">
        <v>1337</v>
      </c>
      <c r="C113" t="s">
        <v>1903</v>
      </c>
      <c r="D113">
        <v>0</v>
      </c>
    </row>
    <row r="114" spans="1:4" x14ac:dyDescent="0.35">
      <c r="A114" t="s">
        <v>101</v>
      </c>
      <c r="B114" t="s">
        <v>1340</v>
      </c>
      <c r="C114" t="s">
        <v>1341</v>
      </c>
      <c r="D114">
        <v>0</v>
      </c>
    </row>
    <row r="115" spans="1:4" x14ac:dyDescent="0.35">
      <c r="A115" t="s">
        <v>101</v>
      </c>
      <c r="B115" t="s">
        <v>1030</v>
      </c>
      <c r="C115" t="s">
        <v>1031</v>
      </c>
      <c r="D115">
        <v>0</v>
      </c>
    </row>
    <row r="116" spans="1:4" x14ac:dyDescent="0.35">
      <c r="A116" t="s">
        <v>101</v>
      </c>
      <c r="B116" t="s">
        <v>102</v>
      </c>
      <c r="C116" t="s">
        <v>103</v>
      </c>
      <c r="D116">
        <v>0</v>
      </c>
    </row>
    <row r="117" spans="1:4" x14ac:dyDescent="0.35">
      <c r="A117" t="s">
        <v>101</v>
      </c>
      <c r="B117" t="s">
        <v>104</v>
      </c>
      <c r="C117" t="s">
        <v>105</v>
      </c>
      <c r="D117">
        <v>0</v>
      </c>
    </row>
    <row r="118" spans="1:4" x14ac:dyDescent="0.35">
      <c r="A118" t="s">
        <v>101</v>
      </c>
      <c r="B118" t="s">
        <v>1034</v>
      </c>
      <c r="C118" t="s">
        <v>1036</v>
      </c>
      <c r="D118">
        <v>0</v>
      </c>
    </row>
    <row r="119" spans="1:4" x14ac:dyDescent="0.35">
      <c r="A119" t="s">
        <v>101</v>
      </c>
      <c r="B119" t="s">
        <v>1198</v>
      </c>
      <c r="C119" t="s">
        <v>1199</v>
      </c>
      <c r="D119">
        <v>0</v>
      </c>
    </row>
    <row r="120" spans="1:4" x14ac:dyDescent="0.35">
      <c r="A120" t="s">
        <v>101</v>
      </c>
      <c r="B120" t="s">
        <v>1904</v>
      </c>
      <c r="C120" t="s">
        <v>1905</v>
      </c>
      <c r="D120">
        <v>0</v>
      </c>
    </row>
    <row r="121" spans="1:4" x14ac:dyDescent="0.35">
      <c r="A121" t="s">
        <v>101</v>
      </c>
      <c r="B121" t="s">
        <v>107</v>
      </c>
      <c r="C121" t="s">
        <v>108</v>
      </c>
      <c r="D121">
        <v>0</v>
      </c>
    </row>
    <row r="122" spans="1:4" x14ac:dyDescent="0.35">
      <c r="A122" t="s">
        <v>101</v>
      </c>
      <c r="B122" t="s">
        <v>1037</v>
      </c>
      <c r="C122" t="s">
        <v>1038</v>
      </c>
      <c r="D122">
        <v>0</v>
      </c>
    </row>
    <row r="123" spans="1:4" x14ac:dyDescent="0.35">
      <c r="A123" t="s">
        <v>101</v>
      </c>
      <c r="B123" t="s">
        <v>110</v>
      </c>
      <c r="C123" t="s">
        <v>111</v>
      </c>
      <c r="D123">
        <v>0</v>
      </c>
    </row>
    <row r="124" spans="1:4" x14ac:dyDescent="0.35">
      <c r="A124" t="s">
        <v>101</v>
      </c>
      <c r="B124" t="s">
        <v>113</v>
      </c>
      <c r="C124" t="s">
        <v>114</v>
      </c>
      <c r="D124">
        <v>0</v>
      </c>
    </row>
    <row r="125" spans="1:4" x14ac:dyDescent="0.35">
      <c r="A125" t="s">
        <v>101</v>
      </c>
      <c r="B125" t="s">
        <v>1343</v>
      </c>
      <c r="C125" t="s">
        <v>1344</v>
      </c>
      <c r="D125">
        <v>0</v>
      </c>
    </row>
    <row r="126" spans="1:4" x14ac:dyDescent="0.35">
      <c r="A126" t="s">
        <v>101</v>
      </c>
      <c r="B126" t="s">
        <v>1907</v>
      </c>
      <c r="C126" t="s">
        <v>1908</v>
      </c>
      <c r="D126">
        <v>0</v>
      </c>
    </row>
    <row r="127" spans="1:4" x14ac:dyDescent="0.35">
      <c r="A127" t="s">
        <v>101</v>
      </c>
      <c r="B127" t="s">
        <v>1472</v>
      </c>
      <c r="C127" t="s">
        <v>1473</v>
      </c>
      <c r="D127">
        <v>0</v>
      </c>
    </row>
    <row r="128" spans="1:4" x14ac:dyDescent="0.35">
      <c r="A128" t="s">
        <v>101</v>
      </c>
      <c r="B128" t="s">
        <v>1202</v>
      </c>
      <c r="C128" t="s">
        <v>1203</v>
      </c>
      <c r="D128">
        <v>0</v>
      </c>
    </row>
    <row r="129" spans="1:4" x14ac:dyDescent="0.35">
      <c r="A129" t="s">
        <v>101</v>
      </c>
      <c r="B129" t="s">
        <v>1205</v>
      </c>
      <c r="C129" t="s">
        <v>1206</v>
      </c>
      <c r="D129">
        <v>0</v>
      </c>
    </row>
    <row r="130" spans="1:4" x14ac:dyDescent="0.35">
      <c r="A130" t="s">
        <v>101</v>
      </c>
      <c r="B130" t="s">
        <v>1757</v>
      </c>
      <c r="C130" t="s">
        <v>1758</v>
      </c>
      <c r="D130">
        <v>0</v>
      </c>
    </row>
    <row r="131" spans="1:4" x14ac:dyDescent="0.35">
      <c r="A131" t="s">
        <v>101</v>
      </c>
      <c r="B131" t="s">
        <v>1209</v>
      </c>
      <c r="C131" t="s">
        <v>1210</v>
      </c>
      <c r="D131">
        <v>0</v>
      </c>
    </row>
    <row r="132" spans="1:4" x14ac:dyDescent="0.35">
      <c r="A132" t="s">
        <v>101</v>
      </c>
      <c r="B132" t="s">
        <v>116</v>
      </c>
      <c r="C132" t="s">
        <v>117</v>
      </c>
      <c r="D132">
        <v>0</v>
      </c>
    </row>
    <row r="133" spans="1:4" x14ac:dyDescent="0.35">
      <c r="A133" t="s">
        <v>101</v>
      </c>
      <c r="B133" t="s">
        <v>1041</v>
      </c>
      <c r="C133" t="s">
        <v>1042</v>
      </c>
      <c r="D133">
        <v>0</v>
      </c>
    </row>
    <row r="134" spans="1:4" x14ac:dyDescent="0.35">
      <c r="A134" t="s">
        <v>101</v>
      </c>
      <c r="B134" t="s">
        <v>119</v>
      </c>
      <c r="C134" t="s">
        <v>120</v>
      </c>
      <c r="D134">
        <v>0</v>
      </c>
    </row>
    <row r="135" spans="1:4" x14ac:dyDescent="0.35">
      <c r="A135" t="s">
        <v>101</v>
      </c>
      <c r="B135" t="s">
        <v>1264</v>
      </c>
      <c r="C135" t="s">
        <v>1266</v>
      </c>
      <c r="D135">
        <v>0</v>
      </c>
    </row>
    <row r="136" spans="1:4" x14ac:dyDescent="0.35">
      <c r="A136" t="s">
        <v>101</v>
      </c>
      <c r="B136" t="s">
        <v>849</v>
      </c>
      <c r="C136" t="s">
        <v>850</v>
      </c>
      <c r="D136">
        <v>0</v>
      </c>
    </row>
    <row r="137" spans="1:4" x14ac:dyDescent="0.35">
      <c r="A137" t="s">
        <v>101</v>
      </c>
      <c r="B137" t="s">
        <v>1267</v>
      </c>
      <c r="C137" t="s">
        <v>1268</v>
      </c>
      <c r="D137">
        <v>0</v>
      </c>
    </row>
    <row r="138" spans="1:4" x14ac:dyDescent="0.35">
      <c r="A138" t="s">
        <v>101</v>
      </c>
      <c r="B138" t="s">
        <v>1270</v>
      </c>
      <c r="C138" t="s">
        <v>1271</v>
      </c>
      <c r="D138">
        <v>0</v>
      </c>
    </row>
    <row r="139" spans="1:4" x14ac:dyDescent="0.35">
      <c r="A139" t="s">
        <v>101</v>
      </c>
      <c r="B139" t="s">
        <v>1048</v>
      </c>
      <c r="C139" t="s">
        <v>1050</v>
      </c>
      <c r="D139">
        <v>0</v>
      </c>
    </row>
    <row r="140" spans="1:4" x14ac:dyDescent="0.35">
      <c r="A140" t="s">
        <v>101</v>
      </c>
      <c r="B140" t="s">
        <v>122</v>
      </c>
      <c r="C140" t="s">
        <v>124</v>
      </c>
      <c r="D140">
        <v>0</v>
      </c>
    </row>
    <row r="141" spans="1:4" x14ac:dyDescent="0.35">
      <c r="A141" t="s">
        <v>101</v>
      </c>
      <c r="B141" t="s">
        <v>125</v>
      </c>
      <c r="C141" t="s">
        <v>126</v>
      </c>
      <c r="D141">
        <v>0</v>
      </c>
    </row>
    <row r="142" spans="1:4" x14ac:dyDescent="0.35">
      <c r="A142" t="s">
        <v>101</v>
      </c>
      <c r="B142" t="s">
        <v>128</v>
      </c>
      <c r="C142" t="s">
        <v>129</v>
      </c>
      <c r="D142">
        <v>0</v>
      </c>
    </row>
    <row r="143" spans="1:4" x14ac:dyDescent="0.35">
      <c r="A143" t="s">
        <v>101</v>
      </c>
      <c r="B143" t="s">
        <v>132</v>
      </c>
      <c r="C143" t="s">
        <v>133</v>
      </c>
      <c r="D143">
        <v>0</v>
      </c>
    </row>
    <row r="144" spans="1:4" x14ac:dyDescent="0.35">
      <c r="A144" t="s">
        <v>101</v>
      </c>
      <c r="B144" t="s">
        <v>136</v>
      </c>
      <c r="C144" t="s">
        <v>139</v>
      </c>
      <c r="D144">
        <v>0</v>
      </c>
    </row>
    <row r="145" spans="1:4" x14ac:dyDescent="0.35">
      <c r="A145" t="s">
        <v>101</v>
      </c>
      <c r="B145" t="s">
        <v>1911</v>
      </c>
      <c r="C145" t="s">
        <v>1912</v>
      </c>
      <c r="D145">
        <v>0</v>
      </c>
    </row>
    <row r="146" spans="1:4" x14ac:dyDescent="0.35">
      <c r="A146" t="s">
        <v>101</v>
      </c>
      <c r="B146" t="s">
        <v>1213</v>
      </c>
      <c r="C146" t="s">
        <v>1214</v>
      </c>
      <c r="D146">
        <v>0</v>
      </c>
    </row>
    <row r="147" spans="1:4" x14ac:dyDescent="0.35">
      <c r="A147" t="s">
        <v>101</v>
      </c>
      <c r="B147" t="s">
        <v>1275</v>
      </c>
      <c r="C147" t="s">
        <v>1276</v>
      </c>
      <c r="D147">
        <v>0</v>
      </c>
    </row>
    <row r="148" spans="1:4" x14ac:dyDescent="0.35">
      <c r="A148" t="s">
        <v>101</v>
      </c>
      <c r="B148" t="s">
        <v>1760</v>
      </c>
      <c r="C148" t="s">
        <v>1762</v>
      </c>
      <c r="D148">
        <v>0</v>
      </c>
    </row>
    <row r="149" spans="1:4" x14ac:dyDescent="0.35">
      <c r="A149" t="s">
        <v>101</v>
      </c>
      <c r="B149" t="s">
        <v>1279</v>
      </c>
      <c r="C149" t="s">
        <v>1281</v>
      </c>
      <c r="D149">
        <v>0</v>
      </c>
    </row>
    <row r="150" spans="1:4" x14ac:dyDescent="0.35">
      <c r="A150" t="s">
        <v>101</v>
      </c>
      <c r="B150" t="s">
        <v>821</v>
      </c>
      <c r="C150" t="s">
        <v>822</v>
      </c>
      <c r="D150">
        <v>0</v>
      </c>
    </row>
    <row r="151" spans="1:4" x14ac:dyDescent="0.35">
      <c r="A151" t="s">
        <v>101</v>
      </c>
      <c r="B151" t="s">
        <v>140</v>
      </c>
      <c r="C151" t="s">
        <v>142</v>
      </c>
      <c r="D151">
        <v>0</v>
      </c>
    </row>
    <row r="152" spans="1:4" x14ac:dyDescent="0.35">
      <c r="A152" t="s">
        <v>101</v>
      </c>
      <c r="B152" t="s">
        <v>1475</v>
      </c>
      <c r="C152" t="s">
        <v>1477</v>
      </c>
      <c r="D152">
        <v>0</v>
      </c>
    </row>
    <row r="153" spans="1:4" x14ac:dyDescent="0.35">
      <c r="A153" t="s">
        <v>101</v>
      </c>
      <c r="B153" t="s">
        <v>1478</v>
      </c>
      <c r="C153" t="s">
        <v>1480</v>
      </c>
      <c r="D153">
        <v>0</v>
      </c>
    </row>
    <row r="154" spans="1:4" x14ac:dyDescent="0.35">
      <c r="A154" t="s">
        <v>101</v>
      </c>
      <c r="B154" t="s">
        <v>1938</v>
      </c>
      <c r="C154" t="s">
        <v>1939</v>
      </c>
      <c r="D154">
        <v>0</v>
      </c>
    </row>
    <row r="155" spans="1:4" x14ac:dyDescent="0.35">
      <c r="A155" t="s">
        <v>101</v>
      </c>
      <c r="B155" t="s">
        <v>1282</v>
      </c>
      <c r="C155" t="s">
        <v>1284</v>
      </c>
      <c r="D155">
        <v>0</v>
      </c>
    </row>
    <row r="156" spans="1:4" x14ac:dyDescent="0.35">
      <c r="A156" t="s">
        <v>101</v>
      </c>
      <c r="B156" t="s">
        <v>1285</v>
      </c>
      <c r="C156" t="s">
        <v>1286</v>
      </c>
      <c r="D156">
        <v>0</v>
      </c>
    </row>
    <row r="157" spans="1:4" x14ac:dyDescent="0.35">
      <c r="A157" t="s">
        <v>101</v>
      </c>
      <c r="B157" t="s">
        <v>1053</v>
      </c>
      <c r="C157" t="s">
        <v>1055</v>
      </c>
      <c r="D157">
        <v>0</v>
      </c>
    </row>
    <row r="158" spans="1:4" x14ac:dyDescent="0.35">
      <c r="A158" t="s">
        <v>101</v>
      </c>
      <c r="B158" t="s">
        <v>1056</v>
      </c>
      <c r="C158" t="s">
        <v>1058</v>
      </c>
      <c r="D158">
        <v>0</v>
      </c>
    </row>
    <row r="159" spans="1:4" x14ac:dyDescent="0.35">
      <c r="A159" t="s">
        <v>101</v>
      </c>
      <c r="B159" t="s">
        <v>1346</v>
      </c>
      <c r="C159" t="s">
        <v>1349</v>
      </c>
      <c r="D159">
        <v>0</v>
      </c>
    </row>
    <row r="160" spans="1:4" x14ac:dyDescent="0.35">
      <c r="A160" t="s">
        <v>101</v>
      </c>
      <c r="B160" t="s">
        <v>1059</v>
      </c>
      <c r="C160" t="s">
        <v>1060</v>
      </c>
      <c r="D160">
        <v>0</v>
      </c>
    </row>
    <row r="161" spans="1:4" x14ac:dyDescent="0.35">
      <c r="A161" t="s">
        <v>101</v>
      </c>
      <c r="B161" t="s">
        <v>1062</v>
      </c>
      <c r="C161" t="s">
        <v>1063</v>
      </c>
      <c r="D161">
        <v>0</v>
      </c>
    </row>
    <row r="162" spans="1:4" x14ac:dyDescent="0.35">
      <c r="A162" t="s">
        <v>101</v>
      </c>
      <c r="B162" t="s">
        <v>143</v>
      </c>
      <c r="C162" t="s">
        <v>144</v>
      </c>
      <c r="D162">
        <v>0</v>
      </c>
    </row>
    <row r="163" spans="1:4" x14ac:dyDescent="0.35">
      <c r="A163" t="s">
        <v>101</v>
      </c>
      <c r="B163" t="s">
        <v>146</v>
      </c>
      <c r="C163" t="s">
        <v>147</v>
      </c>
      <c r="D163">
        <v>0</v>
      </c>
    </row>
    <row r="164" spans="1:4" x14ac:dyDescent="0.35">
      <c r="A164" t="s">
        <v>101</v>
      </c>
      <c r="B164" t="s">
        <v>1763</v>
      </c>
      <c r="C164" t="s">
        <v>1764</v>
      </c>
      <c r="D164">
        <v>0</v>
      </c>
    </row>
    <row r="165" spans="1:4" x14ac:dyDescent="0.35">
      <c r="A165" t="s">
        <v>101</v>
      </c>
      <c r="B165" t="s">
        <v>149</v>
      </c>
      <c r="C165" t="s">
        <v>151</v>
      </c>
      <c r="D165">
        <v>0</v>
      </c>
    </row>
    <row r="166" spans="1:4" x14ac:dyDescent="0.35">
      <c r="A166" t="s">
        <v>101</v>
      </c>
      <c r="B166" t="s">
        <v>1350</v>
      </c>
      <c r="C166" t="s">
        <v>1352</v>
      </c>
      <c r="D166">
        <v>0</v>
      </c>
    </row>
    <row r="167" spans="1:4" x14ac:dyDescent="0.35">
      <c r="A167" t="s">
        <v>101</v>
      </c>
      <c r="B167" t="s">
        <v>1941</v>
      </c>
      <c r="C167" t="s">
        <v>1943</v>
      </c>
      <c r="D167">
        <v>0</v>
      </c>
    </row>
    <row r="168" spans="1:4" x14ac:dyDescent="0.35">
      <c r="A168" t="s">
        <v>101</v>
      </c>
      <c r="B168" t="s">
        <v>1259</v>
      </c>
      <c r="C168" t="s">
        <v>1260</v>
      </c>
      <c r="D168">
        <v>0</v>
      </c>
    </row>
    <row r="169" spans="1:4" x14ac:dyDescent="0.35">
      <c r="A169" t="s">
        <v>101</v>
      </c>
      <c r="B169" t="s">
        <v>1217</v>
      </c>
      <c r="C169" t="s">
        <v>1220</v>
      </c>
      <c r="D169">
        <v>0</v>
      </c>
    </row>
    <row r="170" spans="1:4" x14ac:dyDescent="0.35">
      <c r="A170" t="s">
        <v>101</v>
      </c>
      <c r="B170" t="s">
        <v>152</v>
      </c>
      <c r="C170" t="s">
        <v>153</v>
      </c>
      <c r="D170">
        <v>0</v>
      </c>
    </row>
    <row r="171" spans="1:4" x14ac:dyDescent="0.35">
      <c r="A171" t="s">
        <v>101</v>
      </c>
      <c r="B171" t="s">
        <v>977</v>
      </c>
      <c r="C171" t="s">
        <v>978</v>
      </c>
      <c r="D171">
        <v>0</v>
      </c>
    </row>
    <row r="172" spans="1:4" x14ac:dyDescent="0.35">
      <c r="A172" t="s">
        <v>101</v>
      </c>
      <c r="B172" t="s">
        <v>155</v>
      </c>
      <c r="C172" t="s">
        <v>156</v>
      </c>
      <c r="D172">
        <v>0</v>
      </c>
    </row>
    <row r="173" spans="1:4" x14ac:dyDescent="0.35">
      <c r="A173" t="s">
        <v>101</v>
      </c>
      <c r="B173" t="s">
        <v>1945</v>
      </c>
      <c r="C173" t="s">
        <v>1947</v>
      </c>
      <c r="D173">
        <v>0</v>
      </c>
    </row>
    <row r="174" spans="1:4" x14ac:dyDescent="0.35">
      <c r="A174" t="s">
        <v>101</v>
      </c>
      <c r="B174" t="s">
        <v>1221</v>
      </c>
      <c r="C174" t="s">
        <v>1222</v>
      </c>
      <c r="D174">
        <v>0</v>
      </c>
    </row>
    <row r="175" spans="1:4" x14ac:dyDescent="0.35">
      <c r="A175" t="s">
        <v>101</v>
      </c>
      <c r="B175" t="s">
        <v>1065</v>
      </c>
      <c r="C175" t="s">
        <v>1066</v>
      </c>
      <c r="D175">
        <v>0</v>
      </c>
    </row>
    <row r="176" spans="1:4" x14ac:dyDescent="0.35">
      <c r="A176" t="s">
        <v>101</v>
      </c>
      <c r="B176" t="s">
        <v>1065</v>
      </c>
      <c r="C176" t="s">
        <v>1879</v>
      </c>
      <c r="D176">
        <v>0</v>
      </c>
    </row>
    <row r="177" spans="1:4" x14ac:dyDescent="0.35">
      <c r="A177" t="s">
        <v>101</v>
      </c>
      <c r="B177" t="s">
        <v>1353</v>
      </c>
      <c r="C177" t="s">
        <v>1226</v>
      </c>
      <c r="D177">
        <v>0</v>
      </c>
    </row>
    <row r="178" spans="1:4" x14ac:dyDescent="0.35">
      <c r="A178" t="s">
        <v>101</v>
      </c>
      <c r="B178" t="s">
        <v>1948</v>
      </c>
      <c r="C178" t="s">
        <v>1949</v>
      </c>
      <c r="D178">
        <v>0</v>
      </c>
    </row>
    <row r="179" spans="1:4" x14ac:dyDescent="0.35">
      <c r="A179" t="s">
        <v>101</v>
      </c>
      <c r="B179" t="s">
        <v>689</v>
      </c>
      <c r="C179" t="s">
        <v>690</v>
      </c>
      <c r="D179">
        <v>0</v>
      </c>
    </row>
    <row r="180" spans="1:4" x14ac:dyDescent="0.35">
      <c r="A180" t="s">
        <v>101</v>
      </c>
      <c r="B180" t="s">
        <v>1228</v>
      </c>
      <c r="C180" t="s">
        <v>1229</v>
      </c>
      <c r="D180">
        <v>0</v>
      </c>
    </row>
    <row r="181" spans="1:4" x14ac:dyDescent="0.35">
      <c r="A181" t="s">
        <v>101</v>
      </c>
      <c r="B181" t="s">
        <v>1088</v>
      </c>
      <c r="C181" t="s">
        <v>1089</v>
      </c>
      <c r="D181">
        <v>0</v>
      </c>
    </row>
    <row r="182" spans="1:4" x14ac:dyDescent="0.35">
      <c r="A182" t="s">
        <v>101</v>
      </c>
      <c r="B182" t="s">
        <v>1091</v>
      </c>
      <c r="C182" t="s">
        <v>1092</v>
      </c>
      <c r="D182">
        <v>0</v>
      </c>
    </row>
    <row r="183" spans="1:4" x14ac:dyDescent="0.35">
      <c r="A183" t="s">
        <v>101</v>
      </c>
      <c r="B183" t="s">
        <v>937</v>
      </c>
      <c r="C183" t="s">
        <v>938</v>
      </c>
      <c r="D183">
        <v>0</v>
      </c>
    </row>
    <row r="184" spans="1:4" x14ac:dyDescent="0.35">
      <c r="A184" t="s">
        <v>101</v>
      </c>
      <c r="B184" t="s">
        <v>1094</v>
      </c>
      <c r="C184" t="s">
        <v>1095</v>
      </c>
      <c r="D184">
        <v>0</v>
      </c>
    </row>
    <row r="185" spans="1:4" x14ac:dyDescent="0.35">
      <c r="A185" t="s">
        <v>101</v>
      </c>
      <c r="B185" t="s">
        <v>1097</v>
      </c>
      <c r="C185" t="s">
        <v>1098</v>
      </c>
      <c r="D185">
        <v>0</v>
      </c>
    </row>
    <row r="186" spans="1:4" x14ac:dyDescent="0.35">
      <c r="A186" t="s">
        <v>101</v>
      </c>
      <c r="B186" t="s">
        <v>1289</v>
      </c>
      <c r="C186" t="s">
        <v>1290</v>
      </c>
      <c r="D186">
        <v>0</v>
      </c>
    </row>
    <row r="187" spans="1:4" x14ac:dyDescent="0.35">
      <c r="A187" t="s">
        <v>101</v>
      </c>
      <c r="B187" t="s">
        <v>1767</v>
      </c>
      <c r="C187" t="s">
        <v>1769</v>
      </c>
      <c r="D187">
        <v>0</v>
      </c>
    </row>
    <row r="188" spans="1:4" x14ac:dyDescent="0.35">
      <c r="A188" t="s">
        <v>101</v>
      </c>
      <c r="B188" t="s">
        <v>1295</v>
      </c>
      <c r="C188" t="s">
        <v>1297</v>
      </c>
      <c r="D188">
        <v>0</v>
      </c>
    </row>
    <row r="189" spans="1:4" x14ac:dyDescent="0.35">
      <c r="A189" t="s">
        <v>101</v>
      </c>
      <c r="B189" t="s">
        <v>1951</v>
      </c>
      <c r="C189" t="s">
        <v>1953</v>
      </c>
      <c r="D189">
        <v>0</v>
      </c>
    </row>
    <row r="190" spans="1:4" x14ac:dyDescent="0.35">
      <c r="A190" t="s">
        <v>101</v>
      </c>
      <c r="B190" t="s">
        <v>158</v>
      </c>
      <c r="C190" t="s">
        <v>159</v>
      </c>
      <c r="D190">
        <v>0</v>
      </c>
    </row>
    <row r="191" spans="1:4" x14ac:dyDescent="0.35">
      <c r="A191" t="s">
        <v>162</v>
      </c>
      <c r="B191" t="s">
        <v>163</v>
      </c>
      <c r="C191" t="s">
        <v>164</v>
      </c>
      <c r="D191">
        <v>0</v>
      </c>
    </row>
    <row r="192" spans="1:4" x14ac:dyDescent="0.35">
      <c r="A192" t="s">
        <v>162</v>
      </c>
      <c r="B192" t="s">
        <v>166</v>
      </c>
      <c r="C192" t="s">
        <v>167</v>
      </c>
      <c r="D192">
        <v>0</v>
      </c>
    </row>
    <row r="193" spans="1:4" x14ac:dyDescent="0.35">
      <c r="A193" t="s">
        <v>162</v>
      </c>
      <c r="B193" t="s">
        <v>169</v>
      </c>
      <c r="C193" t="s">
        <v>170</v>
      </c>
      <c r="D193">
        <v>0</v>
      </c>
    </row>
    <row r="194" spans="1:4" x14ac:dyDescent="0.35">
      <c r="A194" t="s">
        <v>162</v>
      </c>
      <c r="B194" t="s">
        <v>695</v>
      </c>
      <c r="C194" t="s">
        <v>697</v>
      </c>
      <c r="D194">
        <v>0</v>
      </c>
    </row>
    <row r="195" spans="1:4" x14ac:dyDescent="0.35">
      <c r="A195" t="s">
        <v>162</v>
      </c>
      <c r="B195" t="s">
        <v>172</v>
      </c>
      <c r="C195" t="s">
        <v>174</v>
      </c>
      <c r="D195">
        <v>0</v>
      </c>
    </row>
    <row r="196" spans="1:4" x14ac:dyDescent="0.35">
      <c r="A196" t="s">
        <v>162</v>
      </c>
      <c r="B196" t="s">
        <v>175</v>
      </c>
      <c r="C196" t="s">
        <v>177</v>
      </c>
      <c r="D196">
        <v>0</v>
      </c>
    </row>
    <row r="197" spans="1:4" x14ac:dyDescent="0.35">
      <c r="A197" t="s">
        <v>162</v>
      </c>
      <c r="B197" t="s">
        <v>178</v>
      </c>
      <c r="C197" t="s">
        <v>180</v>
      </c>
      <c r="D197">
        <v>0</v>
      </c>
    </row>
    <row r="198" spans="1:4" x14ac:dyDescent="0.35">
      <c r="A198" t="s">
        <v>625</v>
      </c>
      <c r="B198" t="s">
        <v>642</v>
      </c>
      <c r="C198" t="s">
        <v>642</v>
      </c>
      <c r="D198">
        <v>0</v>
      </c>
    </row>
    <row r="199" spans="1:4" x14ac:dyDescent="0.35">
      <c r="A199" t="s">
        <v>181</v>
      </c>
      <c r="B199" t="s">
        <v>735</v>
      </c>
      <c r="C199" t="s">
        <v>736</v>
      </c>
      <c r="D199">
        <v>0</v>
      </c>
    </row>
    <row r="200" spans="1:4" x14ac:dyDescent="0.35">
      <c r="A200" t="s">
        <v>181</v>
      </c>
      <c r="B200" t="s">
        <v>1354</v>
      </c>
      <c r="C200" t="s">
        <v>1355</v>
      </c>
      <c r="D200">
        <v>0</v>
      </c>
    </row>
    <row r="201" spans="1:4" x14ac:dyDescent="0.35">
      <c r="A201" t="s">
        <v>181</v>
      </c>
      <c r="B201" t="s">
        <v>1357</v>
      </c>
      <c r="C201" t="s">
        <v>1358</v>
      </c>
      <c r="D201">
        <v>0</v>
      </c>
    </row>
    <row r="202" spans="1:4" x14ac:dyDescent="0.35">
      <c r="A202" t="s">
        <v>181</v>
      </c>
      <c r="B202" t="s">
        <v>1360</v>
      </c>
      <c r="C202" t="s">
        <v>1361</v>
      </c>
      <c r="D202">
        <v>0</v>
      </c>
    </row>
    <row r="203" spans="1:4" x14ac:dyDescent="0.35">
      <c r="A203" t="s">
        <v>181</v>
      </c>
      <c r="B203" t="s">
        <v>738</v>
      </c>
      <c r="C203" t="s">
        <v>739</v>
      </c>
      <c r="D203">
        <v>0</v>
      </c>
    </row>
    <row r="204" spans="1:4" x14ac:dyDescent="0.35">
      <c r="A204" t="s">
        <v>181</v>
      </c>
      <c r="B204" t="s">
        <v>182</v>
      </c>
      <c r="C204" t="s">
        <v>183</v>
      </c>
      <c r="D204">
        <v>0</v>
      </c>
    </row>
    <row r="205" spans="1:4" x14ac:dyDescent="0.35">
      <c r="A205" t="s">
        <v>181</v>
      </c>
      <c r="B205" t="s">
        <v>1483</v>
      </c>
      <c r="C205" t="s">
        <v>1484</v>
      </c>
      <c r="D205">
        <v>0</v>
      </c>
    </row>
    <row r="206" spans="1:4" x14ac:dyDescent="0.35">
      <c r="A206" t="s">
        <v>181</v>
      </c>
      <c r="B206" t="s">
        <v>187</v>
      </c>
      <c r="C206" t="s">
        <v>188</v>
      </c>
      <c r="D206">
        <v>0</v>
      </c>
    </row>
    <row r="207" spans="1:4" x14ac:dyDescent="0.35">
      <c r="A207" t="s">
        <v>181</v>
      </c>
      <c r="B207" t="s">
        <v>190</v>
      </c>
      <c r="C207" t="s">
        <v>192</v>
      </c>
      <c r="D207">
        <v>0</v>
      </c>
    </row>
    <row r="208" spans="1:4" x14ac:dyDescent="0.35">
      <c r="A208" t="s">
        <v>181</v>
      </c>
      <c r="B208" t="s">
        <v>1255</v>
      </c>
      <c r="C208" t="s">
        <v>1257</v>
      </c>
      <c r="D208">
        <v>0</v>
      </c>
    </row>
    <row r="209" spans="1:4" x14ac:dyDescent="0.35">
      <c r="A209" t="s">
        <v>181</v>
      </c>
      <c r="B209" t="s">
        <v>1026</v>
      </c>
      <c r="C209" t="s">
        <v>1028</v>
      </c>
      <c r="D209">
        <v>0</v>
      </c>
    </row>
    <row r="210" spans="1:4" x14ac:dyDescent="0.35">
      <c r="A210" t="s">
        <v>181</v>
      </c>
      <c r="B210" t="s">
        <v>856</v>
      </c>
      <c r="C210" t="s">
        <v>858</v>
      </c>
      <c r="D210">
        <v>0</v>
      </c>
    </row>
    <row r="211" spans="1:4" x14ac:dyDescent="0.35">
      <c r="A211" t="s">
        <v>181</v>
      </c>
      <c r="B211" t="s">
        <v>1364</v>
      </c>
      <c r="C211" t="s">
        <v>1258</v>
      </c>
      <c r="D211">
        <v>0</v>
      </c>
    </row>
    <row r="212" spans="1:4" x14ac:dyDescent="0.35">
      <c r="A212" t="s">
        <v>181</v>
      </c>
      <c r="B212" t="s">
        <v>905</v>
      </c>
      <c r="C212" t="s">
        <v>907</v>
      </c>
      <c r="D212">
        <v>0</v>
      </c>
    </row>
    <row r="213" spans="1:4" x14ac:dyDescent="0.35">
      <c r="A213" t="s">
        <v>181</v>
      </c>
      <c r="B213" t="s">
        <v>1123</v>
      </c>
      <c r="C213" t="s">
        <v>1125</v>
      </c>
      <c r="D213">
        <v>0</v>
      </c>
    </row>
    <row r="214" spans="1:4" x14ac:dyDescent="0.35">
      <c r="A214" t="s">
        <v>181</v>
      </c>
      <c r="B214" t="s">
        <v>193</v>
      </c>
      <c r="C214" t="s">
        <v>195</v>
      </c>
      <c r="D214">
        <v>0</v>
      </c>
    </row>
    <row r="215" spans="1:4" x14ac:dyDescent="0.35">
      <c r="A215" t="s">
        <v>181</v>
      </c>
      <c r="B215" t="s">
        <v>1954</v>
      </c>
      <c r="C215" t="s">
        <v>1956</v>
      </c>
      <c r="D215">
        <v>0</v>
      </c>
    </row>
    <row r="216" spans="1:4" x14ac:dyDescent="0.35">
      <c r="A216" t="s">
        <v>181</v>
      </c>
      <c r="B216" t="s">
        <v>196</v>
      </c>
      <c r="C216" t="s">
        <v>198</v>
      </c>
      <c r="D216">
        <v>0</v>
      </c>
    </row>
    <row r="217" spans="1:4" x14ac:dyDescent="0.35">
      <c r="A217" t="s">
        <v>181</v>
      </c>
      <c r="B217" t="s">
        <v>199</v>
      </c>
      <c r="C217" t="s">
        <v>200</v>
      </c>
      <c r="D217">
        <v>0</v>
      </c>
    </row>
    <row r="218" spans="1:4" x14ac:dyDescent="0.35">
      <c r="A218" t="s">
        <v>181</v>
      </c>
      <c r="B218" t="s">
        <v>202</v>
      </c>
      <c r="C218" t="s">
        <v>203</v>
      </c>
      <c r="D218">
        <v>0</v>
      </c>
    </row>
    <row r="219" spans="1:4" x14ac:dyDescent="0.35">
      <c r="A219" t="s">
        <v>181</v>
      </c>
      <c r="B219" t="s">
        <v>205</v>
      </c>
      <c r="C219" t="s">
        <v>206</v>
      </c>
      <c r="D219">
        <v>0</v>
      </c>
    </row>
    <row r="220" spans="1:4" x14ac:dyDescent="0.35">
      <c r="A220" t="s">
        <v>181</v>
      </c>
      <c r="B220" t="s">
        <v>208</v>
      </c>
      <c r="C220" t="s">
        <v>217</v>
      </c>
      <c r="D220">
        <v>0</v>
      </c>
    </row>
    <row r="221" spans="1:4" x14ac:dyDescent="0.35">
      <c r="A221" t="s">
        <v>181</v>
      </c>
      <c r="B221" t="s">
        <v>218</v>
      </c>
      <c r="C221" t="s">
        <v>227</v>
      </c>
      <c r="D221">
        <v>0</v>
      </c>
    </row>
    <row r="222" spans="1:4" x14ac:dyDescent="0.35">
      <c r="A222" t="s">
        <v>181</v>
      </c>
      <c r="B222" t="s">
        <v>228</v>
      </c>
      <c r="C222" t="s">
        <v>229</v>
      </c>
      <c r="D222">
        <v>0</v>
      </c>
    </row>
    <row r="223" spans="1:4" x14ac:dyDescent="0.35">
      <c r="A223" t="s">
        <v>181</v>
      </c>
      <c r="B223" t="s">
        <v>1498</v>
      </c>
      <c r="C223" t="s">
        <v>1499</v>
      </c>
      <c r="D223">
        <v>0</v>
      </c>
    </row>
    <row r="224" spans="1:4" x14ac:dyDescent="0.35">
      <c r="A224" t="s">
        <v>181</v>
      </c>
      <c r="B224" t="s">
        <v>698</v>
      </c>
      <c r="C224" t="s">
        <v>700</v>
      </c>
      <c r="D224">
        <v>0</v>
      </c>
    </row>
    <row r="225" spans="1:4" x14ac:dyDescent="0.35">
      <c r="A225" t="s">
        <v>603</v>
      </c>
      <c r="B225" t="s">
        <v>1957</v>
      </c>
      <c r="C225" t="s">
        <v>1958</v>
      </c>
      <c r="D225">
        <v>0</v>
      </c>
    </row>
    <row r="226" spans="1:4" x14ac:dyDescent="0.35">
      <c r="A226" t="s">
        <v>603</v>
      </c>
      <c r="B226" t="s">
        <v>1960</v>
      </c>
      <c r="C226" t="s">
        <v>1961</v>
      </c>
      <c r="D226">
        <v>0</v>
      </c>
    </row>
    <row r="227" spans="1:4" x14ac:dyDescent="0.35">
      <c r="A227" t="s">
        <v>603</v>
      </c>
      <c r="B227" t="s">
        <v>604</v>
      </c>
      <c r="C227" t="s">
        <v>608</v>
      </c>
      <c r="D227">
        <v>0</v>
      </c>
    </row>
    <row r="228" spans="1:4" x14ac:dyDescent="0.35">
      <c r="A228" t="s">
        <v>603</v>
      </c>
      <c r="B228" t="s">
        <v>1366</v>
      </c>
      <c r="C228" t="s">
        <v>1367</v>
      </c>
      <c r="D228">
        <v>0</v>
      </c>
    </row>
    <row r="229" spans="1:4" x14ac:dyDescent="0.35">
      <c r="A229" t="s">
        <v>231</v>
      </c>
      <c r="B229" t="s">
        <v>1506</v>
      </c>
      <c r="C229" t="s">
        <v>1507</v>
      </c>
      <c r="D229">
        <v>0</v>
      </c>
    </row>
    <row r="230" spans="1:4" x14ac:dyDescent="0.35">
      <c r="A230" t="s">
        <v>231</v>
      </c>
      <c r="B230" t="s">
        <v>1963</v>
      </c>
      <c r="C230" t="s">
        <v>1964</v>
      </c>
      <c r="D230">
        <v>0</v>
      </c>
    </row>
    <row r="231" spans="1:4" x14ac:dyDescent="0.35">
      <c r="A231" t="s">
        <v>231</v>
      </c>
      <c r="B231" t="s">
        <v>1775</v>
      </c>
      <c r="C231" t="s">
        <v>1776</v>
      </c>
      <c r="D231">
        <v>0</v>
      </c>
    </row>
    <row r="232" spans="1:4" x14ac:dyDescent="0.35">
      <c r="A232" t="s">
        <v>231</v>
      </c>
      <c r="B232" t="s">
        <v>232</v>
      </c>
      <c r="C232" t="s">
        <v>234</v>
      </c>
      <c r="D232">
        <v>0</v>
      </c>
    </row>
    <row r="233" spans="1:4" x14ac:dyDescent="0.35">
      <c r="A233" t="s">
        <v>231</v>
      </c>
      <c r="B233" t="s">
        <v>1509</v>
      </c>
      <c r="C233" t="s">
        <v>1517</v>
      </c>
      <c r="D233">
        <v>0</v>
      </c>
    </row>
    <row r="234" spans="1:4" x14ac:dyDescent="0.35">
      <c r="A234" t="s">
        <v>231</v>
      </c>
      <c r="B234" t="s">
        <v>1778</v>
      </c>
      <c r="C234" t="s">
        <v>1780</v>
      </c>
      <c r="D234">
        <v>0</v>
      </c>
    </row>
    <row r="235" spans="1:4" x14ac:dyDescent="0.35">
      <c r="A235" t="s">
        <v>231</v>
      </c>
      <c r="B235" t="s">
        <v>235</v>
      </c>
      <c r="C235" t="s">
        <v>238</v>
      </c>
      <c r="D235">
        <v>0</v>
      </c>
    </row>
    <row r="236" spans="1:4" x14ac:dyDescent="0.35">
      <c r="A236" t="s">
        <v>231</v>
      </c>
      <c r="B236" t="s">
        <v>1518</v>
      </c>
      <c r="C236" t="s">
        <v>1520</v>
      </c>
      <c r="D236">
        <v>0</v>
      </c>
    </row>
    <row r="237" spans="1:4" x14ac:dyDescent="0.35">
      <c r="A237" t="s">
        <v>231</v>
      </c>
      <c r="B237" t="s">
        <v>239</v>
      </c>
      <c r="C237" t="s">
        <v>241</v>
      </c>
      <c r="D237">
        <v>0</v>
      </c>
    </row>
    <row r="238" spans="1:4" x14ac:dyDescent="0.35">
      <c r="A238" t="s">
        <v>231</v>
      </c>
      <c r="B238" t="s">
        <v>1521</v>
      </c>
      <c r="C238" t="s">
        <v>1523</v>
      </c>
      <c r="D238">
        <v>0</v>
      </c>
    </row>
    <row r="239" spans="1:4" x14ac:dyDescent="0.35">
      <c r="A239" t="s">
        <v>231</v>
      </c>
      <c r="B239" t="s">
        <v>1781</v>
      </c>
      <c r="C239" t="s">
        <v>1783</v>
      </c>
      <c r="D239">
        <v>0</v>
      </c>
    </row>
    <row r="240" spans="1:4" x14ac:dyDescent="0.35">
      <c r="A240" t="s">
        <v>231</v>
      </c>
      <c r="B240" t="s">
        <v>1784</v>
      </c>
      <c r="C240" t="s">
        <v>1786</v>
      </c>
      <c r="D240">
        <v>0</v>
      </c>
    </row>
    <row r="241" spans="1:4" x14ac:dyDescent="0.35">
      <c r="A241" t="s">
        <v>231</v>
      </c>
      <c r="B241" t="s">
        <v>1524</v>
      </c>
      <c r="C241" t="s">
        <v>1525</v>
      </c>
      <c r="D241">
        <v>0</v>
      </c>
    </row>
    <row r="242" spans="1:4" x14ac:dyDescent="0.35">
      <c r="A242" t="s">
        <v>231</v>
      </c>
      <c r="B242" t="s">
        <v>1527</v>
      </c>
      <c r="C242" t="s">
        <v>1528</v>
      </c>
      <c r="D242">
        <v>0</v>
      </c>
    </row>
    <row r="243" spans="1:4" x14ac:dyDescent="0.35">
      <c r="A243" t="s">
        <v>231</v>
      </c>
      <c r="B243" t="s">
        <v>823</v>
      </c>
      <c r="C243" t="s">
        <v>824</v>
      </c>
      <c r="D243">
        <v>0</v>
      </c>
    </row>
    <row r="244" spans="1:4" x14ac:dyDescent="0.35">
      <c r="A244" t="s">
        <v>231</v>
      </c>
      <c r="B244" t="s">
        <v>1531</v>
      </c>
      <c r="C244" t="s">
        <v>1532</v>
      </c>
      <c r="D244">
        <v>0</v>
      </c>
    </row>
    <row r="245" spans="1:4" x14ac:dyDescent="0.35">
      <c r="A245" t="s">
        <v>231</v>
      </c>
      <c r="B245" t="s">
        <v>1787</v>
      </c>
      <c r="C245" t="s">
        <v>1788</v>
      </c>
      <c r="D245">
        <v>0</v>
      </c>
    </row>
    <row r="246" spans="1:4" x14ac:dyDescent="0.35">
      <c r="A246" t="s">
        <v>242</v>
      </c>
      <c r="B246" t="s">
        <v>1534</v>
      </c>
      <c r="C246" t="s">
        <v>1535</v>
      </c>
      <c r="D246">
        <v>0</v>
      </c>
    </row>
    <row r="247" spans="1:4" x14ac:dyDescent="0.35">
      <c r="A247" t="s">
        <v>242</v>
      </c>
      <c r="B247" t="s">
        <v>1537</v>
      </c>
      <c r="C247" t="s">
        <v>1538</v>
      </c>
      <c r="D247">
        <v>0</v>
      </c>
    </row>
    <row r="248" spans="1:4" x14ac:dyDescent="0.35">
      <c r="A248" t="s">
        <v>242</v>
      </c>
      <c r="B248" t="s">
        <v>1539</v>
      </c>
      <c r="C248" t="s">
        <v>1540</v>
      </c>
      <c r="D248">
        <v>0</v>
      </c>
    </row>
    <row r="249" spans="1:4" x14ac:dyDescent="0.35">
      <c r="A249" t="s">
        <v>242</v>
      </c>
      <c r="B249" t="s">
        <v>1792</v>
      </c>
      <c r="C249" t="s">
        <v>1794</v>
      </c>
      <c r="D249">
        <v>0</v>
      </c>
    </row>
    <row r="250" spans="1:4" x14ac:dyDescent="0.35">
      <c r="A250" t="s">
        <v>242</v>
      </c>
      <c r="B250" t="s">
        <v>1543</v>
      </c>
      <c r="C250" t="s">
        <v>1544</v>
      </c>
      <c r="D250">
        <v>0</v>
      </c>
    </row>
    <row r="251" spans="1:4" x14ac:dyDescent="0.35">
      <c r="A251" t="s">
        <v>242</v>
      </c>
      <c r="B251" t="s">
        <v>1547</v>
      </c>
      <c r="C251" t="s">
        <v>1548</v>
      </c>
      <c r="D251">
        <v>0</v>
      </c>
    </row>
    <row r="252" spans="1:4" x14ac:dyDescent="0.35">
      <c r="A252" t="s">
        <v>242</v>
      </c>
      <c r="B252" t="s">
        <v>1561</v>
      </c>
      <c r="C252" t="s">
        <v>1562</v>
      </c>
      <c r="D252">
        <v>0</v>
      </c>
    </row>
    <row r="253" spans="1:4" x14ac:dyDescent="0.35">
      <c r="A253" t="s">
        <v>242</v>
      </c>
      <c r="B253" t="s">
        <v>1796</v>
      </c>
      <c r="C253" t="s">
        <v>1797</v>
      </c>
      <c r="D253">
        <v>0</v>
      </c>
    </row>
    <row r="254" spans="1:4" x14ac:dyDescent="0.35">
      <c r="A254" t="s">
        <v>242</v>
      </c>
      <c r="B254" t="s">
        <v>861</v>
      </c>
      <c r="C254" t="s">
        <v>862</v>
      </c>
      <c r="D254">
        <v>0</v>
      </c>
    </row>
    <row r="255" spans="1:4" x14ac:dyDescent="0.35">
      <c r="A255" t="s">
        <v>242</v>
      </c>
      <c r="B255" t="s">
        <v>861</v>
      </c>
      <c r="C255" t="s">
        <v>1967</v>
      </c>
      <c r="D255">
        <v>0</v>
      </c>
    </row>
    <row r="256" spans="1:4" x14ac:dyDescent="0.35">
      <c r="A256" t="s">
        <v>242</v>
      </c>
      <c r="B256" t="s">
        <v>1126</v>
      </c>
      <c r="C256" t="s">
        <v>1127</v>
      </c>
      <c r="D256">
        <v>0</v>
      </c>
    </row>
    <row r="257" spans="1:4" x14ac:dyDescent="0.35">
      <c r="A257" s="7" t="s">
        <v>242</v>
      </c>
      <c r="B257" t="s">
        <v>1126</v>
      </c>
      <c r="C257" t="s">
        <v>1800</v>
      </c>
      <c r="D257">
        <v>0</v>
      </c>
    </row>
    <row r="258" spans="1:4" x14ac:dyDescent="0.35">
      <c r="A258" s="7" t="s">
        <v>242</v>
      </c>
      <c r="B258" t="s">
        <v>1126</v>
      </c>
      <c r="C258" t="s">
        <v>1801</v>
      </c>
      <c r="D258">
        <v>0</v>
      </c>
    </row>
    <row r="259" spans="1:4" x14ac:dyDescent="0.35">
      <c r="A259" s="7" t="s">
        <v>242</v>
      </c>
      <c r="B259" t="s">
        <v>243</v>
      </c>
      <c r="C259" t="s">
        <v>244</v>
      </c>
      <c r="D259">
        <v>0</v>
      </c>
    </row>
    <row r="260" spans="1:4" x14ac:dyDescent="0.35">
      <c r="A260" t="s">
        <v>242</v>
      </c>
      <c r="B260" t="s">
        <v>826</v>
      </c>
      <c r="C260" t="s">
        <v>827</v>
      </c>
      <c r="D260">
        <v>0</v>
      </c>
    </row>
    <row r="261" spans="1:4" x14ac:dyDescent="0.35">
      <c r="A261" t="s">
        <v>242</v>
      </c>
      <c r="B261" t="s">
        <v>1599</v>
      </c>
      <c r="C261" t="s">
        <v>1600</v>
      </c>
      <c r="D261">
        <v>0</v>
      </c>
    </row>
    <row r="262" spans="1:4" x14ac:dyDescent="0.35">
      <c r="A262" t="s">
        <v>242</v>
      </c>
      <c r="B262" t="s">
        <v>1803</v>
      </c>
      <c r="C262" t="s">
        <v>1804</v>
      </c>
      <c r="D262">
        <v>0</v>
      </c>
    </row>
    <row r="263" spans="1:4" x14ac:dyDescent="0.35">
      <c r="A263" t="s">
        <v>242</v>
      </c>
      <c r="B263" t="s">
        <v>1803</v>
      </c>
      <c r="C263" t="s">
        <v>1968</v>
      </c>
      <c r="D263">
        <v>0</v>
      </c>
    </row>
    <row r="264" spans="1:4" x14ac:dyDescent="0.35">
      <c r="A264" t="s">
        <v>242</v>
      </c>
      <c r="B264" t="s">
        <v>246</v>
      </c>
      <c r="C264" t="s">
        <v>248</v>
      </c>
      <c r="D264">
        <v>0</v>
      </c>
    </row>
    <row r="265" spans="1:4" x14ac:dyDescent="0.35">
      <c r="A265" t="s">
        <v>242</v>
      </c>
      <c r="B265" t="s">
        <v>1602</v>
      </c>
      <c r="C265" t="s">
        <v>1604</v>
      </c>
      <c r="D265">
        <v>0</v>
      </c>
    </row>
    <row r="266" spans="1:4" x14ac:dyDescent="0.35">
      <c r="A266" t="s">
        <v>242</v>
      </c>
      <c r="B266" t="s">
        <v>1602</v>
      </c>
      <c r="C266" t="s">
        <v>1807</v>
      </c>
      <c r="D266">
        <v>0</v>
      </c>
    </row>
    <row r="267" spans="1:4" x14ac:dyDescent="0.35">
      <c r="A267" t="s">
        <v>242</v>
      </c>
      <c r="B267" t="s">
        <v>1605</v>
      </c>
      <c r="C267" t="s">
        <v>1607</v>
      </c>
      <c r="D267">
        <v>0</v>
      </c>
    </row>
    <row r="268" spans="1:4" x14ac:dyDescent="0.35">
      <c r="A268" t="s">
        <v>242</v>
      </c>
      <c r="B268" t="s">
        <v>1608</v>
      </c>
      <c r="C268" t="s">
        <v>1808</v>
      </c>
      <c r="D268">
        <v>1</v>
      </c>
    </row>
    <row r="269" spans="1:4" x14ac:dyDescent="0.35">
      <c r="A269" t="s">
        <v>242</v>
      </c>
      <c r="B269" t="s">
        <v>1608</v>
      </c>
      <c r="C269" t="s">
        <v>1809</v>
      </c>
      <c r="D269">
        <v>0</v>
      </c>
    </row>
    <row r="270" spans="1:4" x14ac:dyDescent="0.35">
      <c r="A270" t="s">
        <v>242</v>
      </c>
      <c r="B270" t="s">
        <v>1610</v>
      </c>
      <c r="C270" t="s">
        <v>1647</v>
      </c>
      <c r="D270">
        <v>0</v>
      </c>
    </row>
    <row r="271" spans="1:4" x14ac:dyDescent="0.35">
      <c r="A271" t="s">
        <v>242</v>
      </c>
      <c r="B271" t="s">
        <v>1610</v>
      </c>
      <c r="C271" t="s">
        <v>1648</v>
      </c>
      <c r="D271">
        <v>0</v>
      </c>
    </row>
    <row r="272" spans="1:4" x14ac:dyDescent="0.35">
      <c r="A272" t="s">
        <v>242</v>
      </c>
      <c r="B272" t="s">
        <v>1649</v>
      </c>
      <c r="C272" t="s">
        <v>1652</v>
      </c>
      <c r="D272">
        <v>1</v>
      </c>
    </row>
    <row r="273" spans="1:4" x14ac:dyDescent="0.35">
      <c r="A273" t="s">
        <v>242</v>
      </c>
      <c r="B273" t="s">
        <v>940</v>
      </c>
      <c r="C273" t="s">
        <v>941</v>
      </c>
      <c r="D273">
        <v>0</v>
      </c>
    </row>
    <row r="274" spans="1:4" x14ac:dyDescent="0.35">
      <c r="A274" t="s">
        <v>242</v>
      </c>
      <c r="B274" t="s">
        <v>1653</v>
      </c>
      <c r="C274" t="s">
        <v>1656</v>
      </c>
      <c r="D274">
        <v>0</v>
      </c>
    </row>
    <row r="275" spans="1:4" x14ac:dyDescent="0.35">
      <c r="A275" t="s">
        <v>242</v>
      </c>
      <c r="B275" t="s">
        <v>1657</v>
      </c>
      <c r="C275" t="s">
        <v>1659</v>
      </c>
      <c r="D275">
        <v>0</v>
      </c>
    </row>
    <row r="276" spans="1:4" x14ac:dyDescent="0.35">
      <c r="A276" t="s">
        <v>242</v>
      </c>
      <c r="B276" t="s">
        <v>1847</v>
      </c>
      <c r="C276" t="s">
        <v>1849</v>
      </c>
      <c r="D276">
        <v>0</v>
      </c>
    </row>
    <row r="277" spans="1:4" x14ac:dyDescent="0.35">
      <c r="A277" t="s">
        <v>242</v>
      </c>
      <c r="B277" t="s">
        <v>1850</v>
      </c>
      <c r="C277" t="s">
        <v>1852</v>
      </c>
      <c r="D277">
        <v>0</v>
      </c>
    </row>
    <row r="278" spans="1:4" x14ac:dyDescent="0.35">
      <c r="A278" t="s">
        <v>242</v>
      </c>
      <c r="B278" t="s">
        <v>1660</v>
      </c>
      <c r="C278" t="s">
        <v>1664</v>
      </c>
      <c r="D278">
        <v>0</v>
      </c>
    </row>
    <row r="279" spans="1:4" x14ac:dyDescent="0.35">
      <c r="A279" t="s">
        <v>242</v>
      </c>
      <c r="B279" t="s">
        <v>249</v>
      </c>
      <c r="C279" t="s">
        <v>250</v>
      </c>
      <c r="D279">
        <v>0</v>
      </c>
    </row>
    <row r="280" spans="1:4" x14ac:dyDescent="0.35">
      <c r="A280" t="s">
        <v>242</v>
      </c>
      <c r="B280" t="s">
        <v>1853</v>
      </c>
      <c r="C280" t="s">
        <v>1854</v>
      </c>
      <c r="D280">
        <v>0</v>
      </c>
    </row>
    <row r="281" spans="1:4" x14ac:dyDescent="0.35">
      <c r="A281" t="s">
        <v>242</v>
      </c>
      <c r="B281" t="s">
        <v>1665</v>
      </c>
      <c r="C281" t="s">
        <v>1684</v>
      </c>
      <c r="D281">
        <v>0</v>
      </c>
    </row>
    <row r="282" spans="1:4" x14ac:dyDescent="0.35">
      <c r="A282" t="s">
        <v>242</v>
      </c>
      <c r="B282" t="s">
        <v>2029</v>
      </c>
      <c r="C282" t="s">
        <v>2030</v>
      </c>
      <c r="D282">
        <v>0</v>
      </c>
    </row>
    <row r="283" spans="1:4" x14ac:dyDescent="0.35">
      <c r="A283" t="s">
        <v>242</v>
      </c>
      <c r="B283" t="s">
        <v>2029</v>
      </c>
      <c r="C283" t="s">
        <v>2039</v>
      </c>
      <c r="D283">
        <v>0</v>
      </c>
    </row>
    <row r="284" spans="1:4" x14ac:dyDescent="0.35">
      <c r="A284" t="s">
        <v>242</v>
      </c>
      <c r="B284" t="s">
        <v>2029</v>
      </c>
      <c r="C284" t="s">
        <v>2040</v>
      </c>
      <c r="D284">
        <v>0</v>
      </c>
    </row>
    <row r="285" spans="1:4" x14ac:dyDescent="0.35">
      <c r="A285" t="s">
        <v>242</v>
      </c>
      <c r="B285" s="7" t="s">
        <v>252</v>
      </c>
      <c r="C285" t="s">
        <v>620</v>
      </c>
      <c r="D285">
        <v>0</v>
      </c>
    </row>
    <row r="286" spans="1:4" x14ac:dyDescent="0.35">
      <c r="A286" t="s">
        <v>242</v>
      </c>
      <c r="B286" s="7" t="s">
        <v>252</v>
      </c>
      <c r="C286" t="s">
        <v>2041</v>
      </c>
      <c r="D286">
        <v>0</v>
      </c>
    </row>
    <row r="287" spans="1:4" x14ac:dyDescent="0.35">
      <c r="A287" t="s">
        <v>242</v>
      </c>
      <c r="B287" s="7" t="s">
        <v>252</v>
      </c>
      <c r="C287" t="s">
        <v>2042</v>
      </c>
      <c r="D287">
        <v>0</v>
      </c>
    </row>
    <row r="288" spans="1:4" x14ac:dyDescent="0.35">
      <c r="A288" t="s">
        <v>242</v>
      </c>
      <c r="B288" s="7" t="s">
        <v>252</v>
      </c>
      <c r="C288" t="s">
        <v>2043</v>
      </c>
      <c r="D288">
        <v>0</v>
      </c>
    </row>
    <row r="289" spans="1:4" x14ac:dyDescent="0.35">
      <c r="A289" t="s">
        <v>242</v>
      </c>
      <c r="B289" t="s">
        <v>253</v>
      </c>
      <c r="C289" t="s">
        <v>254</v>
      </c>
      <c r="D289">
        <v>1</v>
      </c>
    </row>
    <row r="290" spans="1:4" x14ac:dyDescent="0.35">
      <c r="A290" t="s">
        <v>242</v>
      </c>
      <c r="B290" t="s">
        <v>1880</v>
      </c>
      <c r="C290" t="s">
        <v>2044</v>
      </c>
      <c r="D290">
        <v>0</v>
      </c>
    </row>
    <row r="291" spans="1:4" x14ac:dyDescent="0.35">
      <c r="A291" t="s">
        <v>242</v>
      </c>
      <c r="B291" t="s">
        <v>946</v>
      </c>
      <c r="C291" t="s">
        <v>947</v>
      </c>
      <c r="D291">
        <v>0</v>
      </c>
    </row>
    <row r="292" spans="1:4" x14ac:dyDescent="0.35">
      <c r="A292" t="s">
        <v>242</v>
      </c>
      <c r="B292" t="s">
        <v>1685</v>
      </c>
      <c r="C292" t="s">
        <v>1686</v>
      </c>
      <c r="D292">
        <v>1</v>
      </c>
    </row>
    <row r="293" spans="1:4" x14ac:dyDescent="0.35">
      <c r="A293" t="s">
        <v>242</v>
      </c>
      <c r="B293" t="s">
        <v>808</v>
      </c>
      <c r="C293" t="s">
        <v>809</v>
      </c>
      <c r="D293">
        <v>0</v>
      </c>
    </row>
    <row r="294" spans="1:4" x14ac:dyDescent="0.35">
      <c r="A294" t="s">
        <v>242</v>
      </c>
      <c r="B294" t="s">
        <v>829</v>
      </c>
      <c r="C294" t="s">
        <v>830</v>
      </c>
      <c r="D294">
        <v>0</v>
      </c>
    </row>
    <row r="295" spans="1:4" x14ac:dyDescent="0.35">
      <c r="A295" t="s">
        <v>242</v>
      </c>
      <c r="B295" t="s">
        <v>1688</v>
      </c>
      <c r="C295" t="s">
        <v>1689</v>
      </c>
      <c r="D295">
        <v>0</v>
      </c>
    </row>
    <row r="296" spans="1:4" x14ac:dyDescent="0.35">
      <c r="A296" t="s">
        <v>242</v>
      </c>
      <c r="B296" t="s">
        <v>2045</v>
      </c>
      <c r="C296" t="s">
        <v>2046</v>
      </c>
      <c r="D296">
        <v>0</v>
      </c>
    </row>
    <row r="297" spans="1:4" x14ac:dyDescent="0.35">
      <c r="A297" t="s">
        <v>242</v>
      </c>
      <c r="B297" t="s">
        <v>832</v>
      </c>
      <c r="C297" t="s">
        <v>833</v>
      </c>
      <c r="D297">
        <v>0</v>
      </c>
    </row>
    <row r="298" spans="1:4" x14ac:dyDescent="0.35">
      <c r="A298" t="s">
        <v>242</v>
      </c>
      <c r="B298" t="s">
        <v>1691</v>
      </c>
      <c r="C298" t="s">
        <v>1692</v>
      </c>
      <c r="D298">
        <v>0</v>
      </c>
    </row>
    <row r="299" spans="1:4" x14ac:dyDescent="0.35">
      <c r="A299" t="s">
        <v>701</v>
      </c>
      <c r="B299" t="s">
        <v>1371</v>
      </c>
      <c r="C299" t="s">
        <v>1373</v>
      </c>
      <c r="D299">
        <v>0</v>
      </c>
    </row>
    <row r="300" spans="1:4" x14ac:dyDescent="0.35">
      <c r="A300" t="s">
        <v>701</v>
      </c>
      <c r="B300" t="s">
        <v>949</v>
      </c>
      <c r="C300" t="s">
        <v>950</v>
      </c>
      <c r="D300">
        <v>0</v>
      </c>
    </row>
    <row r="301" spans="1:4" x14ac:dyDescent="0.35">
      <c r="A301" t="s">
        <v>701</v>
      </c>
      <c r="B301" t="s">
        <v>1300</v>
      </c>
      <c r="C301" t="s">
        <v>1301</v>
      </c>
      <c r="D301">
        <v>0</v>
      </c>
    </row>
    <row r="302" spans="1:4" x14ac:dyDescent="0.35">
      <c r="A302" t="s">
        <v>701</v>
      </c>
      <c r="B302" t="s">
        <v>702</v>
      </c>
      <c r="C302" t="s">
        <v>703</v>
      </c>
      <c r="D302">
        <v>0</v>
      </c>
    </row>
    <row r="303" spans="1:4" x14ac:dyDescent="0.35">
      <c r="A303" t="s">
        <v>701</v>
      </c>
      <c r="B303" t="s">
        <v>702</v>
      </c>
      <c r="C303" t="s">
        <v>1856</v>
      </c>
      <c r="D303">
        <v>0</v>
      </c>
    </row>
    <row r="304" spans="1:4" x14ac:dyDescent="0.35">
      <c r="A304" t="s">
        <v>701</v>
      </c>
      <c r="B304" t="s">
        <v>705</v>
      </c>
      <c r="C304" t="s">
        <v>706</v>
      </c>
      <c r="D304">
        <v>0</v>
      </c>
    </row>
    <row r="305" spans="1:4" x14ac:dyDescent="0.35">
      <c r="A305" t="s">
        <v>701</v>
      </c>
      <c r="B305" t="s">
        <v>600</v>
      </c>
      <c r="C305" t="s">
        <v>601</v>
      </c>
      <c r="D305">
        <v>0</v>
      </c>
    </row>
    <row r="306" spans="1:4" x14ac:dyDescent="0.35">
      <c r="A306" t="s">
        <v>701</v>
      </c>
      <c r="B306" t="s">
        <v>708</v>
      </c>
      <c r="C306" t="s">
        <v>709</v>
      </c>
      <c r="D306">
        <v>0</v>
      </c>
    </row>
    <row r="307" spans="1:4" x14ac:dyDescent="0.35">
      <c r="A307" t="s">
        <v>701</v>
      </c>
      <c r="B307" t="s">
        <v>708</v>
      </c>
      <c r="C307" t="s">
        <v>1858</v>
      </c>
      <c r="D307">
        <v>0</v>
      </c>
    </row>
    <row r="308" spans="1:4" x14ac:dyDescent="0.35">
      <c r="A308" t="s">
        <v>701</v>
      </c>
      <c r="B308" t="s">
        <v>1128</v>
      </c>
      <c r="C308" t="s">
        <v>1129</v>
      </c>
      <c r="D308">
        <v>0</v>
      </c>
    </row>
    <row r="309" spans="1:4" x14ac:dyDescent="0.35">
      <c r="A309" t="s">
        <v>701</v>
      </c>
      <c r="B309" t="s">
        <v>711</v>
      </c>
      <c r="C309" t="s">
        <v>712</v>
      </c>
      <c r="D309">
        <v>0</v>
      </c>
    </row>
    <row r="310" spans="1:4" x14ac:dyDescent="0.35">
      <c r="A310" t="s">
        <v>701</v>
      </c>
      <c r="B310" t="s">
        <v>714</v>
      </c>
      <c r="C310" t="s">
        <v>716</v>
      </c>
      <c r="D310">
        <v>0</v>
      </c>
    </row>
    <row r="311" spans="1:4" x14ac:dyDescent="0.35">
      <c r="A311" t="s">
        <v>701</v>
      </c>
      <c r="B311" t="s">
        <v>911</v>
      </c>
      <c r="C311" t="s">
        <v>912</v>
      </c>
      <c r="D311">
        <v>0</v>
      </c>
    </row>
    <row r="312" spans="1:4" x14ac:dyDescent="0.35">
      <c r="A312" t="s">
        <v>701</v>
      </c>
      <c r="B312" t="s">
        <v>811</v>
      </c>
      <c r="C312" t="s">
        <v>838</v>
      </c>
      <c r="D312">
        <v>0</v>
      </c>
    </row>
    <row r="313" spans="1:4" x14ac:dyDescent="0.35">
      <c r="A313" t="s">
        <v>701</v>
      </c>
      <c r="B313" t="s">
        <v>880</v>
      </c>
      <c r="C313" t="s">
        <v>882</v>
      </c>
      <c r="D313">
        <v>0</v>
      </c>
    </row>
    <row r="314" spans="1:4" x14ac:dyDescent="0.35">
      <c r="A314" t="s">
        <v>701</v>
      </c>
      <c r="B314" t="s">
        <v>839</v>
      </c>
      <c r="C314" t="s">
        <v>842</v>
      </c>
      <c r="D314">
        <v>0</v>
      </c>
    </row>
    <row r="315" spans="1:4" x14ac:dyDescent="0.35">
      <c r="A315" t="s">
        <v>701</v>
      </c>
      <c r="B315" t="s">
        <v>835</v>
      </c>
      <c r="C315" t="s">
        <v>836</v>
      </c>
      <c r="D315">
        <v>0</v>
      </c>
    </row>
    <row r="316" spans="1:4" x14ac:dyDescent="0.35">
      <c r="A316" t="s">
        <v>701</v>
      </c>
      <c r="B316" t="s">
        <v>740</v>
      </c>
      <c r="C316" t="s">
        <v>741</v>
      </c>
      <c r="D316">
        <v>0</v>
      </c>
    </row>
    <row r="317" spans="1:4" x14ac:dyDescent="0.35">
      <c r="A317" t="s">
        <v>701</v>
      </c>
      <c r="B317" t="s">
        <v>717</v>
      </c>
      <c r="C317" t="s">
        <v>718</v>
      </c>
      <c r="D317">
        <v>0</v>
      </c>
    </row>
    <row r="318" spans="1:4" x14ac:dyDescent="0.35">
      <c r="A318" t="s">
        <v>701</v>
      </c>
      <c r="B318" t="s">
        <v>743</v>
      </c>
      <c r="C318" t="s">
        <v>744</v>
      </c>
      <c r="D318">
        <v>0</v>
      </c>
    </row>
    <row r="319" spans="1:4" x14ac:dyDescent="0.35">
      <c r="A319" t="s">
        <v>701</v>
      </c>
      <c r="B319" t="s">
        <v>928</v>
      </c>
      <c r="C319" t="s">
        <v>930</v>
      </c>
      <c r="D319">
        <v>0</v>
      </c>
    </row>
    <row r="320" spans="1:4" x14ac:dyDescent="0.35">
      <c r="A320" t="s">
        <v>701</v>
      </c>
      <c r="B320" t="s">
        <v>720</v>
      </c>
      <c r="C320" t="s">
        <v>721</v>
      </c>
      <c r="D320">
        <v>0</v>
      </c>
    </row>
    <row r="321" spans="1:4" x14ac:dyDescent="0.35">
      <c r="A321" t="s">
        <v>701</v>
      </c>
      <c r="B321" t="s">
        <v>952</v>
      </c>
      <c r="C321" t="s">
        <v>953</v>
      </c>
      <c r="D321">
        <v>0</v>
      </c>
    </row>
    <row r="322" spans="1:4" x14ac:dyDescent="0.35">
      <c r="A322" t="s">
        <v>701</v>
      </c>
      <c r="B322" t="s">
        <v>256</v>
      </c>
      <c r="C322" t="s">
        <v>258</v>
      </c>
      <c r="D322">
        <v>0</v>
      </c>
    </row>
    <row r="323" spans="1:4" x14ac:dyDescent="0.35">
      <c r="A323" t="s">
        <v>259</v>
      </c>
      <c r="B323" t="s">
        <v>260</v>
      </c>
      <c r="C323" t="s">
        <v>261</v>
      </c>
      <c r="D323">
        <v>0</v>
      </c>
    </row>
    <row r="324" spans="1:4" x14ac:dyDescent="0.35">
      <c r="A324" t="s">
        <v>259</v>
      </c>
      <c r="B324" t="s">
        <v>263</v>
      </c>
      <c r="C324" t="s">
        <v>264</v>
      </c>
      <c r="D324">
        <v>0</v>
      </c>
    </row>
    <row r="325" spans="1:4" x14ac:dyDescent="0.35">
      <c r="A325" t="s">
        <v>259</v>
      </c>
      <c r="B325" t="s">
        <v>266</v>
      </c>
      <c r="C325" t="s">
        <v>268</v>
      </c>
      <c r="D325">
        <v>0</v>
      </c>
    </row>
    <row r="326" spans="1:4" x14ac:dyDescent="0.35">
      <c r="A326" t="s">
        <v>259</v>
      </c>
      <c r="B326" t="s">
        <v>269</v>
      </c>
      <c r="C326" t="s">
        <v>270</v>
      </c>
      <c r="D326">
        <v>0</v>
      </c>
    </row>
    <row r="327" spans="1:4" x14ac:dyDescent="0.35">
      <c r="A327" t="s">
        <v>259</v>
      </c>
      <c r="B327" t="s">
        <v>272</v>
      </c>
      <c r="C327" t="s">
        <v>273</v>
      </c>
      <c r="D327">
        <v>0</v>
      </c>
    </row>
    <row r="328" spans="1:4" x14ac:dyDescent="0.35">
      <c r="A328" t="s">
        <v>259</v>
      </c>
      <c r="B328" t="s">
        <v>275</v>
      </c>
      <c r="C328" t="s">
        <v>277</v>
      </c>
      <c r="D328">
        <v>0</v>
      </c>
    </row>
    <row r="329" spans="1:4" x14ac:dyDescent="0.35">
      <c r="A329" t="s">
        <v>259</v>
      </c>
      <c r="B329" t="s">
        <v>278</v>
      </c>
      <c r="C329" t="s">
        <v>280</v>
      </c>
      <c r="D329">
        <v>0</v>
      </c>
    </row>
    <row r="330" spans="1:4" x14ac:dyDescent="0.35">
      <c r="A330" t="s">
        <v>259</v>
      </c>
      <c r="B330" t="s">
        <v>281</v>
      </c>
      <c r="C330" t="s">
        <v>283</v>
      </c>
      <c r="D330">
        <v>0</v>
      </c>
    </row>
    <row r="331" spans="1:4" x14ac:dyDescent="0.35">
      <c r="A331" t="s">
        <v>259</v>
      </c>
      <c r="B331" t="s">
        <v>284</v>
      </c>
      <c r="C331" t="s">
        <v>285</v>
      </c>
      <c r="D331">
        <v>0</v>
      </c>
    </row>
    <row r="332" spans="1:4" x14ac:dyDescent="0.35">
      <c r="A332" s="7" t="s">
        <v>297</v>
      </c>
      <c r="B332" s="7" t="s">
        <v>980</v>
      </c>
      <c r="C332" t="s">
        <v>1000</v>
      </c>
      <c r="D332">
        <v>0</v>
      </c>
    </row>
    <row r="333" spans="1:4" x14ac:dyDescent="0.35">
      <c r="A333" s="7" t="s">
        <v>297</v>
      </c>
      <c r="B333" s="7" t="s">
        <v>980</v>
      </c>
      <c r="C333" t="s">
        <v>1001</v>
      </c>
      <c r="D333">
        <v>0</v>
      </c>
    </row>
    <row r="334" spans="1:4" x14ac:dyDescent="0.35">
      <c r="A334" s="7" t="s">
        <v>297</v>
      </c>
      <c r="B334" s="7" t="s">
        <v>980</v>
      </c>
      <c r="C334" t="s">
        <v>1131</v>
      </c>
      <c r="D334">
        <v>0</v>
      </c>
    </row>
    <row r="335" spans="1:4" x14ac:dyDescent="0.35">
      <c r="A335" t="s">
        <v>297</v>
      </c>
      <c r="B335" s="7" t="s">
        <v>980</v>
      </c>
      <c r="C335" t="s">
        <v>1694</v>
      </c>
      <c r="D335">
        <v>0</v>
      </c>
    </row>
    <row r="336" spans="1:4" x14ac:dyDescent="0.35">
      <c r="A336" t="s">
        <v>297</v>
      </c>
      <c r="B336" s="7" t="s">
        <v>980</v>
      </c>
      <c r="C336" t="s">
        <v>1859</v>
      </c>
      <c r="D336">
        <v>0</v>
      </c>
    </row>
    <row r="337" spans="1:4" x14ac:dyDescent="0.35">
      <c r="A337" t="s">
        <v>297</v>
      </c>
      <c r="B337" s="7" t="s">
        <v>980</v>
      </c>
      <c r="C337" t="s">
        <v>1860</v>
      </c>
      <c r="D337">
        <v>0</v>
      </c>
    </row>
    <row r="338" spans="1:4" x14ac:dyDescent="0.35">
      <c r="A338" t="s">
        <v>297</v>
      </c>
      <c r="B338" s="7" t="s">
        <v>980</v>
      </c>
      <c r="C338" t="s">
        <v>1861</v>
      </c>
      <c r="D338">
        <v>0</v>
      </c>
    </row>
    <row r="339" spans="1:4" x14ac:dyDescent="0.35">
      <c r="A339" t="s">
        <v>297</v>
      </c>
      <c r="B339" t="s">
        <v>298</v>
      </c>
      <c r="C339" t="s">
        <v>299</v>
      </c>
      <c r="D339">
        <v>0</v>
      </c>
    </row>
    <row r="340" spans="1:4" x14ac:dyDescent="0.35">
      <c r="A340" t="s">
        <v>297</v>
      </c>
      <c r="B340" t="s">
        <v>1304</v>
      </c>
      <c r="C340" t="s">
        <v>1305</v>
      </c>
      <c r="D340">
        <v>0</v>
      </c>
    </row>
    <row r="341" spans="1:4" x14ac:dyDescent="0.35">
      <c r="A341" t="s">
        <v>297</v>
      </c>
      <c r="B341" t="s">
        <v>1459</v>
      </c>
      <c r="C341" t="s">
        <v>1460</v>
      </c>
      <c r="D341">
        <v>0</v>
      </c>
    </row>
    <row r="342" spans="1:4" x14ac:dyDescent="0.35">
      <c r="A342" t="s">
        <v>297</v>
      </c>
      <c r="B342" t="s">
        <v>301</v>
      </c>
      <c r="C342" t="s">
        <v>302</v>
      </c>
      <c r="D342">
        <v>0</v>
      </c>
    </row>
    <row r="343" spans="1:4" x14ac:dyDescent="0.35">
      <c r="A343" t="s">
        <v>297</v>
      </c>
      <c r="B343" t="s">
        <v>2048</v>
      </c>
      <c r="C343" t="s">
        <v>2050</v>
      </c>
      <c r="D343">
        <v>0</v>
      </c>
    </row>
    <row r="344" spans="1:4" x14ac:dyDescent="0.35">
      <c r="A344" t="s">
        <v>297</v>
      </c>
      <c r="B344" t="s">
        <v>1696</v>
      </c>
      <c r="C344" t="s">
        <v>1701</v>
      </c>
      <c r="D344">
        <v>0</v>
      </c>
    </row>
    <row r="345" spans="1:4" x14ac:dyDescent="0.35">
      <c r="A345" t="s">
        <v>304</v>
      </c>
      <c r="B345" t="s">
        <v>1132</v>
      </c>
      <c r="C345" t="s">
        <v>1137</v>
      </c>
      <c r="D345">
        <v>0</v>
      </c>
    </row>
    <row r="346" spans="1:4" x14ac:dyDescent="0.35">
      <c r="A346" t="s">
        <v>304</v>
      </c>
      <c r="B346" t="s">
        <v>2051</v>
      </c>
      <c r="C346" t="s">
        <v>2052</v>
      </c>
      <c r="D346">
        <v>0</v>
      </c>
    </row>
    <row r="347" spans="1:4" x14ac:dyDescent="0.35">
      <c r="A347" t="s">
        <v>304</v>
      </c>
      <c r="B347" t="s">
        <v>2055</v>
      </c>
      <c r="C347" t="s">
        <v>2057</v>
      </c>
      <c r="D347">
        <v>0</v>
      </c>
    </row>
    <row r="348" spans="1:4" x14ac:dyDescent="0.35">
      <c r="A348" t="s">
        <v>304</v>
      </c>
      <c r="B348" t="s">
        <v>955</v>
      </c>
      <c r="C348" t="s">
        <v>956</v>
      </c>
      <c r="D348">
        <v>0</v>
      </c>
    </row>
    <row r="349" spans="1:4" x14ac:dyDescent="0.35">
      <c r="A349" t="s">
        <v>304</v>
      </c>
      <c r="B349" t="s">
        <v>305</v>
      </c>
      <c r="C349" t="s">
        <v>306</v>
      </c>
      <c r="D349">
        <v>0</v>
      </c>
    </row>
    <row r="350" spans="1:4" x14ac:dyDescent="0.35">
      <c r="A350" t="s">
        <v>304</v>
      </c>
      <c r="B350" t="s">
        <v>308</v>
      </c>
      <c r="C350" t="s">
        <v>309</v>
      </c>
      <c r="D350">
        <v>0</v>
      </c>
    </row>
    <row r="351" spans="1:4" x14ac:dyDescent="0.35">
      <c r="A351" t="s">
        <v>304</v>
      </c>
      <c r="B351" t="s">
        <v>957</v>
      </c>
      <c r="C351" t="s">
        <v>958</v>
      </c>
      <c r="D351">
        <v>0</v>
      </c>
    </row>
    <row r="352" spans="1:4" x14ac:dyDescent="0.35">
      <c r="A352" t="s">
        <v>304</v>
      </c>
      <c r="B352" t="s">
        <v>638</v>
      </c>
      <c r="C352" t="s">
        <v>639</v>
      </c>
      <c r="D352">
        <v>0</v>
      </c>
    </row>
    <row r="353" spans="1:4" x14ac:dyDescent="0.35">
      <c r="A353" t="s">
        <v>304</v>
      </c>
      <c r="B353" t="s">
        <v>1234</v>
      </c>
      <c r="C353" t="s">
        <v>1235</v>
      </c>
      <c r="D353">
        <v>0</v>
      </c>
    </row>
    <row r="354" spans="1:4" x14ac:dyDescent="0.35">
      <c r="A354" t="s">
        <v>304</v>
      </c>
      <c r="B354" t="s">
        <v>959</v>
      </c>
      <c r="C354" t="s">
        <v>960</v>
      </c>
      <c r="D354">
        <v>0</v>
      </c>
    </row>
    <row r="355" spans="1:4" x14ac:dyDescent="0.35">
      <c r="A355" t="s">
        <v>304</v>
      </c>
      <c r="B355" t="s">
        <v>312</v>
      </c>
      <c r="C355" t="s">
        <v>315</v>
      </c>
      <c r="D355">
        <v>0</v>
      </c>
    </row>
    <row r="356" spans="1:4" x14ac:dyDescent="0.35">
      <c r="A356" t="s">
        <v>304</v>
      </c>
      <c r="B356" t="s">
        <v>316</v>
      </c>
      <c r="C356" t="s">
        <v>317</v>
      </c>
      <c r="D356">
        <v>0</v>
      </c>
    </row>
    <row r="357" spans="1:4" x14ac:dyDescent="0.35">
      <c r="A357" t="s">
        <v>304</v>
      </c>
      <c r="B357" t="s">
        <v>2062</v>
      </c>
      <c r="C357" t="s">
        <v>2063</v>
      </c>
      <c r="D357">
        <v>0</v>
      </c>
    </row>
    <row r="358" spans="1:4" x14ac:dyDescent="0.35">
      <c r="A358" t="s">
        <v>304</v>
      </c>
      <c r="B358" t="s">
        <v>320</v>
      </c>
      <c r="C358" t="s">
        <v>321</v>
      </c>
      <c r="D358">
        <v>0</v>
      </c>
    </row>
    <row r="359" spans="1:4" x14ac:dyDescent="0.35">
      <c r="A359" t="s">
        <v>304</v>
      </c>
      <c r="B359" t="s">
        <v>334</v>
      </c>
      <c r="C359" t="s">
        <v>335</v>
      </c>
      <c r="D359">
        <v>0</v>
      </c>
    </row>
    <row r="360" spans="1:4" x14ac:dyDescent="0.35">
      <c r="A360" t="s">
        <v>304</v>
      </c>
      <c r="B360" t="s">
        <v>1138</v>
      </c>
      <c r="C360" t="s">
        <v>1139</v>
      </c>
      <c r="D360">
        <v>0</v>
      </c>
    </row>
    <row r="361" spans="1:4" x14ac:dyDescent="0.35">
      <c r="A361" t="s">
        <v>304</v>
      </c>
      <c r="B361" t="s">
        <v>1141</v>
      </c>
      <c r="C361" t="s">
        <v>1142</v>
      </c>
      <c r="D361">
        <v>0</v>
      </c>
    </row>
    <row r="362" spans="1:4" x14ac:dyDescent="0.35">
      <c r="A362" t="s">
        <v>304</v>
      </c>
      <c r="B362" t="s">
        <v>337</v>
      </c>
      <c r="C362" t="s">
        <v>338</v>
      </c>
      <c r="D362">
        <v>0</v>
      </c>
    </row>
    <row r="363" spans="1:4" x14ac:dyDescent="0.35">
      <c r="A363" t="s">
        <v>304</v>
      </c>
      <c r="B363" t="s">
        <v>2065</v>
      </c>
      <c r="C363" t="s">
        <v>2066</v>
      </c>
      <c r="D363">
        <v>0</v>
      </c>
    </row>
    <row r="364" spans="1:4" x14ac:dyDescent="0.35">
      <c r="A364" t="s">
        <v>304</v>
      </c>
      <c r="B364" t="s">
        <v>351</v>
      </c>
      <c r="C364" t="s">
        <v>352</v>
      </c>
      <c r="D364">
        <v>0</v>
      </c>
    </row>
    <row r="365" spans="1:4" x14ac:dyDescent="0.35">
      <c r="A365" t="s">
        <v>304</v>
      </c>
      <c r="B365" t="s">
        <v>1144</v>
      </c>
      <c r="C365" t="s">
        <v>1145</v>
      </c>
      <c r="D365">
        <v>0</v>
      </c>
    </row>
    <row r="366" spans="1:4" x14ac:dyDescent="0.35">
      <c r="A366" t="s">
        <v>304</v>
      </c>
      <c r="B366" t="s">
        <v>2068</v>
      </c>
      <c r="C366" t="s">
        <v>2069</v>
      </c>
      <c r="D366">
        <v>0</v>
      </c>
    </row>
    <row r="367" spans="1:4" x14ac:dyDescent="0.35">
      <c r="A367" t="s">
        <v>304</v>
      </c>
      <c r="B367" t="s">
        <v>1148</v>
      </c>
      <c r="C367" t="s">
        <v>1149</v>
      </c>
      <c r="D367">
        <v>0</v>
      </c>
    </row>
    <row r="368" spans="1:4" x14ac:dyDescent="0.35">
      <c r="A368" t="s">
        <v>304</v>
      </c>
      <c r="B368" t="s">
        <v>1702</v>
      </c>
      <c r="C368" t="s">
        <v>1703</v>
      </c>
      <c r="D368">
        <v>0</v>
      </c>
    </row>
    <row r="369" spans="1:4" x14ac:dyDescent="0.35">
      <c r="A369" t="s">
        <v>304</v>
      </c>
      <c r="B369" t="s">
        <v>1002</v>
      </c>
      <c r="C369" t="s">
        <v>1003</v>
      </c>
      <c r="D369">
        <v>0</v>
      </c>
    </row>
    <row r="370" spans="1:4" x14ac:dyDescent="0.35">
      <c r="A370" t="s">
        <v>304</v>
      </c>
      <c r="B370" t="s">
        <v>1151</v>
      </c>
      <c r="C370" t="s">
        <v>1152</v>
      </c>
      <c r="D370">
        <v>0</v>
      </c>
    </row>
    <row r="371" spans="1:4" x14ac:dyDescent="0.35">
      <c r="A371" t="s">
        <v>304</v>
      </c>
      <c r="B371" t="s">
        <v>1154</v>
      </c>
      <c r="C371" t="s">
        <v>1155</v>
      </c>
      <c r="D371">
        <v>0</v>
      </c>
    </row>
    <row r="372" spans="1:4" x14ac:dyDescent="0.35">
      <c r="A372" t="s">
        <v>304</v>
      </c>
      <c r="B372" t="s">
        <v>1010</v>
      </c>
      <c r="C372" t="s">
        <v>1011</v>
      </c>
      <c r="D372">
        <v>0</v>
      </c>
    </row>
    <row r="373" spans="1:4" x14ac:dyDescent="0.35">
      <c r="A373" t="s">
        <v>304</v>
      </c>
      <c r="B373" t="s">
        <v>425</v>
      </c>
      <c r="C373" t="s">
        <v>426</v>
      </c>
      <c r="D373">
        <v>0</v>
      </c>
    </row>
    <row r="374" spans="1:4" x14ac:dyDescent="0.35">
      <c r="A374" t="s">
        <v>304</v>
      </c>
      <c r="B374" t="s">
        <v>428</v>
      </c>
      <c r="C374" t="s">
        <v>429</v>
      </c>
      <c r="D374">
        <v>0</v>
      </c>
    </row>
    <row r="375" spans="1:4" x14ac:dyDescent="0.35">
      <c r="A375" t="s">
        <v>304</v>
      </c>
      <c r="B375" t="s">
        <v>431</v>
      </c>
      <c r="C375" t="s">
        <v>432</v>
      </c>
      <c r="D375">
        <v>0</v>
      </c>
    </row>
    <row r="376" spans="1:4" x14ac:dyDescent="0.35">
      <c r="A376" t="s">
        <v>304</v>
      </c>
      <c r="B376" t="s">
        <v>434</v>
      </c>
      <c r="C376" t="s">
        <v>435</v>
      </c>
      <c r="D376">
        <v>0</v>
      </c>
    </row>
    <row r="377" spans="1:4" x14ac:dyDescent="0.35">
      <c r="A377" t="s">
        <v>304</v>
      </c>
      <c r="B377" t="s">
        <v>437</v>
      </c>
      <c r="C377" t="s">
        <v>438</v>
      </c>
      <c r="D377">
        <v>0</v>
      </c>
    </row>
    <row r="378" spans="1:4" x14ac:dyDescent="0.35">
      <c r="A378" t="s">
        <v>304</v>
      </c>
      <c r="B378" t="s">
        <v>445</v>
      </c>
      <c r="C378" t="s">
        <v>446</v>
      </c>
      <c r="D378">
        <v>0</v>
      </c>
    </row>
    <row r="379" spans="1:4" x14ac:dyDescent="0.35">
      <c r="A379" t="s">
        <v>304</v>
      </c>
      <c r="B379" t="s">
        <v>1168</v>
      </c>
      <c r="C379" t="s">
        <v>1169</v>
      </c>
      <c r="D379">
        <v>0</v>
      </c>
    </row>
    <row r="380" spans="1:4" x14ac:dyDescent="0.35">
      <c r="A380" t="s">
        <v>304</v>
      </c>
      <c r="B380" t="s">
        <v>723</v>
      </c>
      <c r="C380" t="s">
        <v>724</v>
      </c>
      <c r="D380">
        <v>0</v>
      </c>
    </row>
    <row r="381" spans="1:4" x14ac:dyDescent="0.35">
      <c r="A381" t="s">
        <v>304</v>
      </c>
      <c r="B381" t="s">
        <v>2072</v>
      </c>
      <c r="C381" t="s">
        <v>2073</v>
      </c>
      <c r="D381">
        <v>0</v>
      </c>
    </row>
    <row r="382" spans="1:4" x14ac:dyDescent="0.35">
      <c r="A382" t="s">
        <v>304</v>
      </c>
      <c r="B382" t="s">
        <v>814</v>
      </c>
      <c r="C382" t="s">
        <v>815</v>
      </c>
      <c r="D382">
        <v>0</v>
      </c>
    </row>
    <row r="383" spans="1:4" x14ac:dyDescent="0.35">
      <c r="A383" t="s">
        <v>304</v>
      </c>
      <c r="B383" t="s">
        <v>1172</v>
      </c>
      <c r="C383" t="s">
        <v>1174</v>
      </c>
      <c r="D383">
        <v>0</v>
      </c>
    </row>
    <row r="384" spans="1:4" x14ac:dyDescent="0.35">
      <c r="A384" t="s">
        <v>304</v>
      </c>
      <c r="B384" t="s">
        <v>1175</v>
      </c>
      <c r="C384" t="s">
        <v>1177</v>
      </c>
      <c r="D384">
        <v>0</v>
      </c>
    </row>
    <row r="385" spans="1:4" x14ac:dyDescent="0.35">
      <c r="A385" t="s">
        <v>304</v>
      </c>
      <c r="B385" t="s">
        <v>448</v>
      </c>
      <c r="C385" t="s">
        <v>451</v>
      </c>
      <c r="D385">
        <v>0</v>
      </c>
    </row>
    <row r="386" spans="1:4" x14ac:dyDescent="0.35">
      <c r="A386" t="s">
        <v>304</v>
      </c>
      <c r="B386" t="s">
        <v>962</v>
      </c>
      <c r="C386" t="s">
        <v>963</v>
      </c>
      <c r="D386">
        <v>0</v>
      </c>
    </row>
    <row r="387" spans="1:4" x14ac:dyDescent="0.35">
      <c r="A387" t="s">
        <v>304</v>
      </c>
      <c r="B387" t="s">
        <v>452</v>
      </c>
      <c r="C387" t="s">
        <v>454</v>
      </c>
      <c r="D387">
        <v>0</v>
      </c>
    </row>
    <row r="388" spans="1:4" x14ac:dyDescent="0.35">
      <c r="A388" t="s">
        <v>304</v>
      </c>
      <c r="B388" t="s">
        <v>455</v>
      </c>
      <c r="C388" t="s">
        <v>457</v>
      </c>
      <c r="D388">
        <v>0</v>
      </c>
    </row>
    <row r="389" spans="1:4" x14ac:dyDescent="0.35">
      <c r="A389" t="s">
        <v>304</v>
      </c>
      <c r="B389" t="s">
        <v>458</v>
      </c>
      <c r="C389" t="s">
        <v>459</v>
      </c>
      <c r="D389">
        <v>0</v>
      </c>
    </row>
    <row r="390" spans="1:4" x14ac:dyDescent="0.35">
      <c r="A390" t="s">
        <v>304</v>
      </c>
      <c r="B390" t="s">
        <v>461</v>
      </c>
      <c r="C390" t="s">
        <v>462</v>
      </c>
      <c r="D390">
        <v>0</v>
      </c>
    </row>
    <row r="391" spans="1:4" x14ac:dyDescent="0.35">
      <c r="A391" t="s">
        <v>304</v>
      </c>
      <c r="B391" t="s">
        <v>2075</v>
      </c>
      <c r="C391" t="s">
        <v>2148</v>
      </c>
      <c r="D391">
        <v>0</v>
      </c>
    </row>
    <row r="392" spans="1:4" x14ac:dyDescent="0.35">
      <c r="A392" t="s">
        <v>304</v>
      </c>
      <c r="B392" t="s">
        <v>1317</v>
      </c>
      <c r="C392" t="s">
        <v>1330</v>
      </c>
      <c r="D392">
        <v>0</v>
      </c>
    </row>
    <row r="393" spans="1:4" x14ac:dyDescent="0.35">
      <c r="A393" t="s">
        <v>304</v>
      </c>
      <c r="B393" t="s">
        <v>535</v>
      </c>
      <c r="C393" t="s">
        <v>536</v>
      </c>
      <c r="D393">
        <v>0</v>
      </c>
    </row>
    <row r="394" spans="1:4" x14ac:dyDescent="0.35">
      <c r="A394" t="s">
        <v>304</v>
      </c>
      <c r="B394" t="s">
        <v>1331</v>
      </c>
      <c r="C394" t="s">
        <v>1332</v>
      </c>
      <c r="D394">
        <v>0</v>
      </c>
    </row>
    <row r="395" spans="1:4" x14ac:dyDescent="0.35">
      <c r="A395" t="s">
        <v>304</v>
      </c>
      <c r="B395" t="s">
        <v>726</v>
      </c>
      <c r="C395" t="s">
        <v>728</v>
      </c>
      <c r="D395">
        <v>0</v>
      </c>
    </row>
    <row r="396" spans="1:4" x14ac:dyDescent="0.35">
      <c r="A396" t="s">
        <v>304</v>
      </c>
      <c r="B396" t="s">
        <v>2149</v>
      </c>
      <c r="C396" t="s">
        <v>2150</v>
      </c>
      <c r="D396">
        <v>0</v>
      </c>
    </row>
    <row r="397" spans="1:4" x14ac:dyDescent="0.35">
      <c r="A397" t="s">
        <v>304</v>
      </c>
      <c r="B397" t="s">
        <v>1178</v>
      </c>
      <c r="C397" t="s">
        <v>1179</v>
      </c>
      <c r="D397">
        <v>0</v>
      </c>
    </row>
    <row r="398" spans="1:4" x14ac:dyDescent="0.35">
      <c r="A398" t="s">
        <v>304</v>
      </c>
      <c r="B398" t="s">
        <v>852</v>
      </c>
      <c r="C398" t="s">
        <v>853</v>
      </c>
      <c r="D398">
        <v>0</v>
      </c>
    </row>
    <row r="399" spans="1:4" x14ac:dyDescent="0.35">
      <c r="A399" t="s">
        <v>304</v>
      </c>
      <c r="B399" t="s">
        <v>1712</v>
      </c>
      <c r="C399" t="s">
        <v>1713</v>
      </c>
      <c r="D399">
        <v>0</v>
      </c>
    </row>
    <row r="400" spans="1:4" x14ac:dyDescent="0.35">
      <c r="A400" t="s">
        <v>304</v>
      </c>
      <c r="B400" t="s">
        <v>538</v>
      </c>
      <c r="C400" t="s">
        <v>539</v>
      </c>
      <c r="D400">
        <v>0</v>
      </c>
    </row>
    <row r="401" spans="1:4" x14ac:dyDescent="0.35">
      <c r="A401" t="s">
        <v>304</v>
      </c>
      <c r="B401" t="s">
        <v>2152</v>
      </c>
      <c r="C401" t="s">
        <v>2153</v>
      </c>
      <c r="D401">
        <v>0</v>
      </c>
    </row>
    <row r="402" spans="1:4" x14ac:dyDescent="0.35">
      <c r="A402" t="s">
        <v>304</v>
      </c>
      <c r="B402" t="s">
        <v>540</v>
      </c>
      <c r="C402" t="s">
        <v>541</v>
      </c>
      <c r="D402">
        <v>0</v>
      </c>
    </row>
    <row r="403" spans="1:4" x14ac:dyDescent="0.35">
      <c r="A403" t="s">
        <v>304</v>
      </c>
      <c r="B403" t="s">
        <v>1181</v>
      </c>
      <c r="C403" t="s">
        <v>1182</v>
      </c>
      <c r="D403">
        <v>0</v>
      </c>
    </row>
    <row r="404" spans="1:4" x14ac:dyDescent="0.35">
      <c r="A404" t="s">
        <v>304</v>
      </c>
      <c r="B404" t="s">
        <v>543</v>
      </c>
      <c r="C404" t="s">
        <v>544</v>
      </c>
      <c r="D404">
        <v>0</v>
      </c>
    </row>
    <row r="405" spans="1:4" x14ac:dyDescent="0.35">
      <c r="A405" t="s">
        <v>304</v>
      </c>
      <c r="B405" t="s">
        <v>1185</v>
      </c>
      <c r="C405" t="s">
        <v>1186</v>
      </c>
      <c r="D405">
        <v>0</v>
      </c>
    </row>
    <row r="406" spans="1:4" x14ac:dyDescent="0.35">
      <c r="A406" t="s">
        <v>304</v>
      </c>
      <c r="B406" t="s">
        <v>547</v>
      </c>
      <c r="C406" t="s">
        <v>548</v>
      </c>
      <c r="D406">
        <v>0</v>
      </c>
    </row>
    <row r="407" spans="1:4" x14ac:dyDescent="0.35">
      <c r="A407" t="s">
        <v>304</v>
      </c>
      <c r="B407" t="s">
        <v>883</v>
      </c>
      <c r="C407" t="s">
        <v>884</v>
      </c>
      <c r="D407">
        <v>0</v>
      </c>
    </row>
    <row r="408" spans="1:4" x14ac:dyDescent="0.35">
      <c r="A408" t="s">
        <v>304</v>
      </c>
      <c r="B408" t="s">
        <v>886</v>
      </c>
      <c r="C408" t="s">
        <v>887</v>
      </c>
      <c r="D408">
        <v>0</v>
      </c>
    </row>
    <row r="409" spans="1:4" x14ac:dyDescent="0.35">
      <c r="A409" t="s">
        <v>304</v>
      </c>
      <c r="B409" t="s">
        <v>886</v>
      </c>
      <c r="C409" t="s">
        <v>2157</v>
      </c>
      <c r="D409">
        <v>0</v>
      </c>
    </row>
    <row r="410" spans="1:4" x14ac:dyDescent="0.35">
      <c r="A410" t="s">
        <v>304</v>
      </c>
      <c r="B410" t="s">
        <v>886</v>
      </c>
      <c r="C410" t="s">
        <v>2158</v>
      </c>
      <c r="D410">
        <v>0</v>
      </c>
    </row>
    <row r="411" spans="1:4" x14ac:dyDescent="0.35">
      <c r="A411" t="s">
        <v>304</v>
      </c>
      <c r="B411" t="s">
        <v>886</v>
      </c>
      <c r="C411" t="s">
        <v>2159</v>
      </c>
      <c r="D411">
        <v>0</v>
      </c>
    </row>
    <row r="412" spans="1:4" x14ac:dyDescent="0.35">
      <c r="A412" t="s">
        <v>304</v>
      </c>
      <c r="B412" t="s">
        <v>551</v>
      </c>
      <c r="C412" t="s">
        <v>553</v>
      </c>
      <c r="D412">
        <v>0</v>
      </c>
    </row>
    <row r="413" spans="1:4" x14ac:dyDescent="0.35">
      <c r="A413" t="s">
        <v>304</v>
      </c>
      <c r="B413" t="s">
        <v>1188</v>
      </c>
      <c r="C413" t="s">
        <v>1189</v>
      </c>
      <c r="D413">
        <v>0</v>
      </c>
    </row>
    <row r="414" spans="1:4" x14ac:dyDescent="0.35">
      <c r="A414" t="s">
        <v>304</v>
      </c>
      <c r="B414" t="s">
        <v>1012</v>
      </c>
      <c r="C414" t="s">
        <v>1013</v>
      </c>
      <c r="D414">
        <v>0</v>
      </c>
    </row>
    <row r="415" spans="1:4" x14ac:dyDescent="0.35">
      <c r="A415" t="s">
        <v>304</v>
      </c>
      <c r="B415" t="s">
        <v>1016</v>
      </c>
      <c r="C415" t="s">
        <v>1017</v>
      </c>
      <c r="D415">
        <v>0</v>
      </c>
    </row>
    <row r="416" spans="1:4" x14ac:dyDescent="0.35">
      <c r="A416" t="s">
        <v>304</v>
      </c>
      <c r="B416" t="s">
        <v>554</v>
      </c>
      <c r="C416" t="s">
        <v>555</v>
      </c>
      <c r="D416">
        <v>0</v>
      </c>
    </row>
    <row r="417" spans="1:4" x14ac:dyDescent="0.35">
      <c r="A417" t="s">
        <v>643</v>
      </c>
      <c r="B417" t="s">
        <v>642</v>
      </c>
      <c r="C417" t="s">
        <v>642</v>
      </c>
      <c r="D417">
        <v>0</v>
      </c>
    </row>
    <row r="418" spans="1:4" x14ac:dyDescent="0.35">
      <c r="A418" t="s">
        <v>557</v>
      </c>
      <c r="B418" t="s">
        <v>558</v>
      </c>
      <c r="C418" t="s">
        <v>563</v>
      </c>
      <c r="D418">
        <v>0</v>
      </c>
    </row>
    <row r="419" spans="1:4" x14ac:dyDescent="0.35">
      <c r="A419" t="s">
        <v>557</v>
      </c>
      <c r="B419" t="s">
        <v>564</v>
      </c>
      <c r="C419" t="s">
        <v>565</v>
      </c>
      <c r="D419">
        <v>0</v>
      </c>
    </row>
    <row r="420" spans="1:4" x14ac:dyDescent="0.35">
      <c r="A420" t="s">
        <v>557</v>
      </c>
      <c r="B420" t="s">
        <v>566</v>
      </c>
      <c r="C420" t="s">
        <v>567</v>
      </c>
      <c r="D420">
        <v>0</v>
      </c>
    </row>
    <row r="421" spans="1:4" x14ac:dyDescent="0.35">
      <c r="A421" t="s">
        <v>557</v>
      </c>
      <c r="B421" t="s">
        <v>1374</v>
      </c>
      <c r="C421" t="s">
        <v>1375</v>
      </c>
      <c r="D421">
        <v>0</v>
      </c>
    </row>
    <row r="422" spans="1:4" x14ac:dyDescent="0.35">
      <c r="A422" t="s">
        <v>557</v>
      </c>
      <c r="B422" t="s">
        <v>570</v>
      </c>
      <c r="C422" t="s">
        <v>571</v>
      </c>
      <c r="D422">
        <v>0</v>
      </c>
    </row>
    <row r="423" spans="1:4" x14ac:dyDescent="0.35">
      <c r="A423" t="s">
        <v>557</v>
      </c>
      <c r="B423" t="s">
        <v>966</v>
      </c>
      <c r="C423" t="s">
        <v>967</v>
      </c>
      <c r="D423">
        <v>0</v>
      </c>
    </row>
    <row r="424" spans="1:4" x14ac:dyDescent="0.35">
      <c r="A424" t="s">
        <v>557</v>
      </c>
      <c r="B424" t="s">
        <v>573</v>
      </c>
      <c r="C424" t="s">
        <v>577</v>
      </c>
      <c r="D424">
        <v>0</v>
      </c>
    </row>
    <row r="425" spans="1:4" x14ac:dyDescent="0.35">
      <c r="A425" t="s">
        <v>642</v>
      </c>
      <c r="B425" t="s">
        <v>642</v>
      </c>
      <c r="C425" t="s">
        <v>642</v>
      </c>
      <c r="D4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760"/>
  <sheetViews>
    <sheetView topLeftCell="A816" workbookViewId="0">
      <selection activeCell="A835" sqref="A835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580</v>
      </c>
      <c r="B1" t="s">
        <v>581</v>
      </c>
      <c r="C1" t="s">
        <v>582</v>
      </c>
      <c r="G1" t="s">
        <v>578</v>
      </c>
      <c r="H1" t="s">
        <v>579</v>
      </c>
      <c r="I1" s="3" t="s">
        <v>584</v>
      </c>
      <c r="J1" t="s">
        <v>583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598</v>
      </c>
    </row>
    <row r="5" spans="1:10" x14ac:dyDescent="0.35">
      <c r="A5" t="s">
        <v>625</v>
      </c>
    </row>
    <row r="6" spans="1:10" x14ac:dyDescent="0.35">
      <c r="A6" t="s">
        <v>643</v>
      </c>
      <c r="G6" t="str">
        <f>RIGHT(C6,"4")</f>
        <v/>
      </c>
      <c r="H6" s="5" t="str">
        <f>IF(AND(G6=".csv",COUNTIFS($B:$B,$B6,$G:$G,"xlsx")-COUNTIFS($B:$B,$B6,$G:$G,"xlsx",$C:$C,"~~$*")&gt;1,LEFT(C6,LEN($B6))&lt;&gt;$B6),"",IFERROR(IF(B6="FoPITY",INDEX(Customizations!$C$2:$C$19,MATCH(Sheet1!C6,Customizations!$B$2:$B$19,0),1),INDEX(About!C:C,MATCH(Sheet1!B6,About!B:B,0),1)),"")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599</v>
      </c>
      <c r="G7" t="str">
        <f t="shared" ref="G7:G68" si="0">RIGHT(C7,"4")</f>
        <v/>
      </c>
      <c r="H7" s="5" t="str">
        <f>IF(AND(G7=".csv",COUNTIFS($B:$B,$B7,$G:$G,"xlsx")-COUNTIFS($B:$B,$B7,$G:$G,"xlsx",$C:$C,"~~$*")&gt;1,LEFT(C7,LEN($B7))&lt;&gt;$B7),"",IFERROR(IF(B7="FoPITY",INDEX(Customizations!$C$2:$C$19,MATCH(Sheet1!C7,Customizations!$B$2:$B$19,0),1),INDEX(About!C:C,MATCH(Sheet1!B7,About!B:B,0),1)),"")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900</v>
      </c>
      <c r="C8" t="s">
        <v>901</v>
      </c>
      <c r="G8" t="str">
        <f t="shared" si="0"/>
        <v>xlsx</v>
      </c>
      <c r="H8" s="5" t="str">
        <f>IF(AND(G8=".csv",COUNTIFS($B:$B,$B8,$G:$G,"xlsx")-COUNTIFS($B:$B,$B8,$G:$G,"xlsx",$C:$C,"~~$*")&gt;1,LEFT(C8,LEN($B8))&lt;&gt;$B8),"",IFERROR(IF(B8="FoPITY",INDEX(Customizations!$C$2:$C$19,MATCH(Sheet1!C8,Customizations!$B$2:$B$19,0),1),INDEX(About!C:C,MATCH(Sheet1!B8,About!B:B,0),1)),"")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5">
      <c r="A9" t="s">
        <v>2</v>
      </c>
      <c r="B9" t="s">
        <v>900</v>
      </c>
      <c r="C9" t="s">
        <v>1376</v>
      </c>
      <c r="G9" t="str">
        <f t="shared" si="0"/>
        <v>.csv</v>
      </c>
      <c r="H9" s="5" t="str">
        <f>IF(AND(G9=".csv",COUNTIFS($B:$B,$B9,$G:$G,"xlsx")-COUNTIFS($B:$B,$B9,$G:$G,"xlsx",$C:$C,"~~$*")&gt;1,LEFT(C9,LEN($B9))&lt;&gt;$B9),"",IFERROR(IF(B9="FoPITY",INDEX(Customizations!$C$2:$C$19,MATCH(Sheet1!C9,Customizations!$B$2:$B$19,0),1),INDEX(About!C:C,MATCH(Sheet1!B9,About!B:B,0),1)),"")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5">
      <c r="A10" t="s">
        <v>2</v>
      </c>
      <c r="B10" t="s">
        <v>900</v>
      </c>
      <c r="C10" t="s">
        <v>1377</v>
      </c>
      <c r="G10" t="str">
        <f t="shared" si="0"/>
        <v>.csv</v>
      </c>
      <c r="H10" s="5" t="str">
        <f>IF(AND(G10=".csv",COUNTIFS($B:$B,$B10,$G:$G,"xlsx")-COUNTIFS($B:$B,$B10,$G:$G,"xlsx",$C:$C,"~~$*")&gt;1,LEFT(C10,LEN($B10))&lt;&gt;$B10),"",IFERROR(IF(B10="FoPITY",INDEX(Customizations!$C$2:$C$19,MATCH(Sheet1!C10,Customizations!$B$2:$B$19,0),1),INDEX(About!C:C,MATCH(Sheet1!B10,About!B:B,0),1)),"")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5">
      <c r="A11" t="s">
        <v>2</v>
      </c>
      <c r="B11" t="s">
        <v>1378</v>
      </c>
      <c r="C11" t="s">
        <v>1379</v>
      </c>
      <c r="G11" t="str">
        <f t="shared" si="0"/>
        <v>.csv</v>
      </c>
      <c r="H11" s="5" t="str">
        <f>IF(AND(G11=".csv",COUNTIFS($B:$B,$B11,$G:$G,"xlsx")-COUNTIFS($B:$B,$B11,$G:$G,"xlsx",$C:$C,"~~$*")&gt;1,LEFT(C11,LEN($B11))&lt;&gt;$B11),"",IFERROR(IF(B11="FoPITY",INDEX(Customizations!$C$2:$C$19,MATCH(Sheet1!C11,Customizations!$B$2:$B$19,0),1),INDEX(About!C:C,MATCH(Sheet1!B11,About!B:B,0),1)),""))</f>
        <v>Frac of Child and Adult Prem Mort by Demo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5">
      <c r="A12" t="s">
        <v>2</v>
      </c>
      <c r="B12" t="s">
        <v>1378</v>
      </c>
      <c r="C12" t="s">
        <v>1380</v>
      </c>
      <c r="G12" t="str">
        <f t="shared" si="0"/>
        <v>.csv</v>
      </c>
      <c r="H12" s="5" t="str">
        <f>IF(AND(G12=".csv",COUNTIFS($B:$B,$B12,$G:$G,"xlsx")-COUNTIFS($B:$B,$B12,$G:$G,"xlsx",$C:$C,"~~$*")&gt;1,LEFT(C12,LEN($B12))&lt;&gt;$B12),"",IFERROR(IF(B12="FoPITY",INDEX(Customizations!$C$2:$C$19,MATCH(Sheet1!C12,Customizations!$B$2:$B$19,0),1),INDEX(About!C:C,MATCH(Sheet1!B12,About!B:B,0),1)),""))</f>
        <v>Frac of Child and Adult Prem Mort by Demo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5">
      <c r="A13" t="s">
        <v>2</v>
      </c>
      <c r="B13" t="s">
        <v>1378</v>
      </c>
      <c r="C13" t="s">
        <v>1381</v>
      </c>
      <c r="G13" t="str">
        <f t="shared" si="0"/>
        <v>.csv</v>
      </c>
      <c r="H13" s="5" t="str">
        <f>IF(AND(G13=".csv",COUNTIFS($B:$B,$B13,$G:$G,"xlsx")-COUNTIFS($B:$B,$B13,$G:$G,"xlsx",$C:$C,"~~$*")&gt;1,LEFT(C13,LEN($B13))&lt;&gt;$B13),"",IFERROR(IF(B13="FoPITY",INDEX(Customizations!$C$2:$C$19,MATCH(Sheet1!C13,Customizations!$B$2:$B$19,0),1),INDEX(About!C:C,MATCH(Sheet1!B13,About!B:B,0),1)),""))</f>
        <v>Frac of Child and Adult Prem Mort by Demo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5">
      <c r="A14" t="s">
        <v>2</v>
      </c>
      <c r="B14" t="s">
        <v>1378</v>
      </c>
      <c r="C14" t="s">
        <v>1382</v>
      </c>
      <c r="G14" t="str">
        <f t="shared" si="0"/>
        <v>.csv</v>
      </c>
      <c r="H14" s="5" t="str">
        <f>IF(AND(G14=".csv",COUNTIFS($B:$B,$B14,$G:$G,"xlsx")-COUNTIFS($B:$B,$B14,$G:$G,"xlsx",$C:$C,"~~$*")&gt;1,LEFT(C14,LEN($B14))&lt;&gt;$B14),"",IFERROR(IF(B14="FoPITY",INDEX(Customizations!$C$2:$C$19,MATCH(Sheet1!C14,Customizations!$B$2:$B$19,0),1),INDEX(About!C:C,MATCH(Sheet1!B14,About!B:B,0),1)),""))</f>
        <v>Frac of Child and Adult Prem Mort by Demo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5">
      <c r="A15" t="s">
        <v>2</v>
      </c>
      <c r="B15" t="s">
        <v>1378</v>
      </c>
      <c r="C15" t="s">
        <v>1383</v>
      </c>
      <c r="G15" t="str">
        <f t="shared" si="0"/>
        <v>.csv</v>
      </c>
      <c r="H15" s="5" t="str">
        <f>IF(AND(G15=".csv",COUNTIFS($B:$B,$B15,$G:$G,"xlsx")-COUNTIFS($B:$B,$B15,$G:$G,"xlsx",$C:$C,"~~$*")&gt;1,LEFT(C15,LEN($B15))&lt;&gt;$B15),"",IFERROR(IF(B15="FoPITY",INDEX(Customizations!$C$2:$C$19,MATCH(Sheet1!C15,Customizations!$B$2:$B$19,0),1),INDEX(About!C:C,MATCH(Sheet1!B15,About!B:B,0),1)),""))</f>
        <v>Frac of Child and Adult Prem Mort by Demo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5">
      <c r="A16" t="s">
        <v>2</v>
      </c>
      <c r="B16" t="s">
        <v>1378</v>
      </c>
      <c r="C16" t="s">
        <v>1384</v>
      </c>
      <c r="G16" t="str">
        <f t="shared" si="0"/>
        <v>.csv</v>
      </c>
      <c r="H16" s="5" t="str">
        <f>IF(AND(G16=".csv",COUNTIFS($B:$B,$B16,$G:$G,"xlsx")-COUNTIFS($B:$B,$B16,$G:$G,"xlsx",$C:$C,"~~$*")&gt;1,LEFT(C16,LEN($B16))&lt;&gt;$B16),"",IFERROR(IF(B16="FoPITY",INDEX(Customizations!$C$2:$C$19,MATCH(Sheet1!C16,Customizations!$B$2:$B$19,0),1),INDEX(About!C:C,MATCH(Sheet1!B16,About!B:B,0),1)),""))</f>
        <v>Frac of Child and Adult Prem Mort by Demo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5">
      <c r="A17" t="s">
        <v>2</v>
      </c>
      <c r="B17" t="s">
        <v>1378</v>
      </c>
      <c r="C17" t="s">
        <v>1385</v>
      </c>
      <c r="G17" t="str">
        <f t="shared" si="0"/>
        <v>.csv</v>
      </c>
      <c r="H17" s="5" t="str">
        <f>IF(AND(G17=".csv",COUNTIFS($B:$B,$B17,$G:$G,"xlsx")-COUNTIFS($B:$B,$B17,$G:$G,"xlsx",$C:$C,"~~$*")&gt;1,LEFT(C17,LEN($B17))&lt;&gt;$B17),"",IFERROR(IF(B17="FoPITY",INDEX(Customizations!$C$2:$C$19,MATCH(Sheet1!C17,Customizations!$B$2:$B$19,0),1),INDEX(About!C:C,MATCH(Sheet1!B17,About!B:B,0),1)),""))</f>
        <v>Frac of Child and Adult Prem Mort by Demo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5">
      <c r="A18" t="s">
        <v>2</v>
      </c>
      <c r="B18" t="s">
        <v>1378</v>
      </c>
      <c r="C18" t="s">
        <v>1386</v>
      </c>
      <c r="G18" t="str">
        <f t="shared" si="0"/>
        <v>.csv</v>
      </c>
      <c r="H18" s="5" t="str">
        <f>IF(AND(G18=".csv",COUNTIFS($B:$B,$B18,$G:$G,"xlsx")-COUNTIFS($B:$B,$B18,$G:$G,"xlsx",$C:$C,"~~$*")&gt;1,LEFT(C18,LEN($B18))&lt;&gt;$B18),"",IFERROR(IF(B18="FoPITY",INDEX(Customizations!$C$2:$C$19,MATCH(Sheet1!C18,Customizations!$B$2:$B$19,0),1),INDEX(About!C:C,MATCH(Sheet1!B18,About!B:B,0),1)),""))</f>
        <v>Frac of Child and Adult Prem Mort by Demo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5">
      <c r="A19" t="s">
        <v>2</v>
      </c>
      <c r="B19" t="s">
        <v>1378</v>
      </c>
      <c r="C19" t="s">
        <v>1387</v>
      </c>
      <c r="G19" t="str">
        <f t="shared" si="0"/>
        <v>.csv</v>
      </c>
      <c r="H19" s="5" t="str">
        <f>IF(AND(G19=".csv",COUNTIFS($B:$B,$B19,$G:$G,"xlsx")-COUNTIFS($B:$B,$B19,$G:$G,"xlsx",$C:$C,"~~$*")&gt;1,LEFT(C19,LEN($B19))&lt;&gt;$B19),"",IFERROR(IF(B19="FoPITY",INDEX(Customizations!$C$2:$C$19,MATCH(Sheet1!C19,Customizations!$B$2:$B$19,0),1),INDEX(About!C:C,MATCH(Sheet1!B19,About!B:B,0),1)),""))</f>
        <v>Frac of Child and Adult Prem Mort by Demo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5">
      <c r="A20" t="s">
        <v>2</v>
      </c>
      <c r="B20" t="s">
        <v>1378</v>
      </c>
      <c r="C20" t="s">
        <v>1388</v>
      </c>
      <c r="G20" t="str">
        <f t="shared" si="0"/>
        <v>.csv</v>
      </c>
      <c r="H20" s="5" t="str">
        <f>IF(AND(G20=".csv",COUNTIFS($B:$B,$B20,$G:$G,"xlsx")-COUNTIFS($B:$B,$B20,$G:$G,"xlsx",$C:$C,"~~$*")&gt;1,LEFT(C20,LEN($B20))&lt;&gt;$B20),"",IFERROR(IF(B20="FoPITY",INDEX(Customizations!$C$2:$C$19,MATCH(Sheet1!C20,Customizations!$B$2:$B$19,0),1),INDEX(About!C:C,MATCH(Sheet1!B20,About!B:B,0),1)),""))</f>
        <v>Frac of Child and Adult Prem Mort by Demo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5">
      <c r="A21" t="s">
        <v>2</v>
      </c>
      <c r="B21" t="s">
        <v>1378</v>
      </c>
      <c r="C21" t="s">
        <v>1389</v>
      </c>
      <c r="G21" t="str">
        <f t="shared" si="0"/>
        <v>.csv</v>
      </c>
      <c r="H21" s="5" t="str">
        <f>IF(AND(G21=".csv",COUNTIFS($B:$B,$B21,$G:$G,"xlsx")-COUNTIFS($B:$B,$B21,$G:$G,"xlsx",$C:$C,"~~$*")&gt;1,LEFT(C21,LEN($B21))&lt;&gt;$B21),"",IFERROR(IF(B21="FoPITY",INDEX(Customizations!$C$2:$C$19,MATCH(Sheet1!C21,Customizations!$B$2:$B$19,0),1),INDEX(About!C:C,MATCH(Sheet1!B21,About!B:B,0),1)),""))</f>
        <v>Frac of Child and Adult Prem Mort by Demo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5">
      <c r="A22" t="s">
        <v>2</v>
      </c>
      <c r="B22" t="s">
        <v>1378</v>
      </c>
      <c r="C22" t="s">
        <v>1390</v>
      </c>
      <c r="G22" t="str">
        <f t="shared" si="0"/>
        <v>.csv</v>
      </c>
      <c r="H22" s="5" t="str">
        <f>IF(AND(G22=".csv",COUNTIFS($B:$B,$B22,$G:$G,"xlsx")-COUNTIFS($B:$B,$B22,$G:$G,"xlsx",$C:$C,"~~$*")&gt;1,LEFT(C22,LEN($B22))&lt;&gt;$B22),"",IFERROR(IF(B22="FoPITY",INDEX(Customizations!$C$2:$C$19,MATCH(Sheet1!C22,Customizations!$B$2:$B$19,0),1),INDEX(About!C:C,MATCH(Sheet1!B22,About!B:B,0),1)),""))</f>
        <v>Frac of Child and Adult Prem Mort by Demo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5">
      <c r="A23" t="s">
        <v>2</v>
      </c>
      <c r="B23" t="s">
        <v>1378</v>
      </c>
      <c r="C23" t="s">
        <v>1391</v>
      </c>
      <c r="G23" t="str">
        <f t="shared" si="0"/>
        <v>.csv</v>
      </c>
      <c r="H23" s="5" t="str">
        <f>IF(AND(G23=".csv",COUNTIFS($B:$B,$B23,$G:$G,"xlsx")-COUNTIFS($B:$B,$B23,$G:$G,"xlsx",$C:$C,"~~$*")&gt;1,LEFT(C23,LEN($B23))&lt;&gt;$B23),"",IFERROR(IF(B23="FoPITY",INDEX(Customizations!$C$2:$C$19,MATCH(Sheet1!C23,Customizations!$B$2:$B$19,0),1),INDEX(About!C:C,MATCH(Sheet1!B23,About!B:B,0),1)),""))</f>
        <v>Frac of Child and Adult Prem Mort by Demo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5">
      <c r="A24" t="s">
        <v>2</v>
      </c>
      <c r="B24" t="s">
        <v>1378</v>
      </c>
      <c r="C24" t="s">
        <v>1392</v>
      </c>
      <c r="G24" t="str">
        <f t="shared" si="0"/>
        <v>.csv</v>
      </c>
      <c r="H24" s="5" t="str">
        <f>IF(AND(G24=".csv",COUNTIFS($B:$B,$B24,$G:$G,"xlsx")-COUNTIFS($B:$B,$B24,$G:$G,"xlsx",$C:$C,"~~$*")&gt;1,LEFT(C24,LEN($B24))&lt;&gt;$B24),"",IFERROR(IF(B24="FoPITY",INDEX(Customizations!$C$2:$C$19,MATCH(Sheet1!C24,Customizations!$B$2:$B$19,0),1),INDEX(About!C:C,MATCH(Sheet1!B24,About!B:B,0),1)),""))</f>
        <v>Frac of Child and Adult Prem Mort by Demo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5">
      <c r="A25" t="s">
        <v>2</v>
      </c>
      <c r="B25" t="s">
        <v>1378</v>
      </c>
      <c r="C25" t="s">
        <v>1393</v>
      </c>
      <c r="G25" t="str">
        <f t="shared" si="0"/>
        <v>.csv</v>
      </c>
      <c r="H25" s="5" t="str">
        <f>IF(AND(G25=".csv",COUNTIFS($B:$B,$B25,$G:$G,"xlsx")-COUNTIFS($B:$B,$B25,$G:$G,"xlsx",$C:$C,"~~$*")&gt;1,LEFT(C25,LEN($B25))&lt;&gt;$B25),"",IFERROR(IF(B25="FoPITY",INDEX(Customizations!$C$2:$C$19,MATCH(Sheet1!C25,Customizations!$B$2:$B$19,0),1),INDEX(About!C:C,MATCH(Sheet1!B25,About!B:B,0),1)),""))</f>
        <v>Frac of Child and Adult Prem Mort by Demo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5">
      <c r="A26" t="s">
        <v>2</v>
      </c>
      <c r="B26" t="s">
        <v>1378</v>
      </c>
      <c r="C26" t="s">
        <v>1394</v>
      </c>
      <c r="G26" t="str">
        <f t="shared" si="0"/>
        <v>.csv</v>
      </c>
      <c r="H26" s="5" t="str">
        <f>IF(AND(G26=".csv",COUNTIFS($B:$B,$B26,$G:$G,"xlsx")-COUNTIFS($B:$B,$B26,$G:$G,"xlsx",$C:$C,"~~$*")&gt;1,LEFT(C26,LEN($B26))&lt;&gt;$B26),"",IFERROR(IF(B26="FoPITY",INDEX(Customizations!$C$2:$C$19,MATCH(Sheet1!C26,Customizations!$B$2:$B$19,0),1),INDEX(About!C:C,MATCH(Sheet1!B26,About!B:B,0),1)),""))</f>
        <v>Frac of Child and Adult Prem Mort by Demo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5">
      <c r="A27" t="s">
        <v>2</v>
      </c>
      <c r="B27" t="s">
        <v>1378</v>
      </c>
      <c r="C27" t="s">
        <v>1395</v>
      </c>
      <c r="G27" t="str">
        <f t="shared" si="0"/>
        <v>.csv</v>
      </c>
      <c r="H27" s="5" t="str">
        <f>IF(AND(G27=".csv",COUNTIFS($B:$B,$B27,$G:$G,"xlsx")-COUNTIFS($B:$B,$B27,$G:$G,"xlsx",$C:$C,"~~$*")&gt;1,LEFT(C27,LEN($B27))&lt;&gt;$B27),"",IFERROR(IF(B27="FoPITY",INDEX(Customizations!$C$2:$C$19,MATCH(Sheet1!C27,Customizations!$B$2:$B$19,0),1),INDEX(About!C:C,MATCH(Sheet1!B27,About!B:B,0),1)),""))</f>
        <v>Frac of Child and Adult Prem Mort by Demo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5">
      <c r="A28" t="s">
        <v>2</v>
      </c>
      <c r="B28" t="s">
        <v>1378</v>
      </c>
      <c r="C28" t="s">
        <v>1396</v>
      </c>
      <c r="G28" t="str">
        <f t="shared" si="0"/>
        <v>.csv</v>
      </c>
      <c r="H28" s="5" t="str">
        <f>IF(AND(G28=".csv",COUNTIFS($B:$B,$B28,$G:$G,"xlsx")-COUNTIFS($B:$B,$B28,$G:$G,"xlsx",$C:$C,"~~$*")&gt;1,LEFT(C28,LEN($B28))&lt;&gt;$B28),"",IFERROR(IF(B28="FoPITY",INDEX(Customizations!$C$2:$C$19,MATCH(Sheet1!C28,Customizations!$B$2:$B$19,0),1),INDEX(About!C:C,MATCH(Sheet1!B28,About!B:B,0),1)),""))</f>
        <v>Frac of Child and Adult Prem Mort by Demo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5">
      <c r="A29" t="s">
        <v>2</v>
      </c>
      <c r="B29" t="s">
        <v>1378</v>
      </c>
      <c r="C29" t="s">
        <v>1397</v>
      </c>
      <c r="G29" t="str">
        <f t="shared" si="0"/>
        <v>.csv</v>
      </c>
      <c r="H29" s="5" t="str">
        <f>IF(AND(G29=".csv",COUNTIFS($B:$B,$B29,$G:$G,"xlsx")-COUNTIFS($B:$B,$B29,$G:$G,"xlsx",$C:$C,"~~$*")&gt;1,LEFT(C29,LEN($B29))&lt;&gt;$B29),"",IFERROR(IF(B29="FoPITY",INDEX(Customizations!$C$2:$C$19,MATCH(Sheet1!C29,Customizations!$B$2:$B$19,0),1),INDEX(About!C:C,MATCH(Sheet1!B29,About!B:B,0),1)),""))</f>
        <v>Frac of Child and Adult Prem Mort by Demo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5">
      <c r="A30" t="s">
        <v>2</v>
      </c>
      <c r="B30" t="s">
        <v>1378</v>
      </c>
      <c r="C30" t="s">
        <v>1398</v>
      </c>
      <c r="G30" t="str">
        <f t="shared" si="0"/>
        <v>.csv</v>
      </c>
      <c r="H30" s="5" t="str">
        <f>IF(AND(G30=".csv",COUNTIFS($B:$B,$B30,$G:$G,"xlsx")-COUNTIFS($B:$B,$B30,$G:$G,"xlsx",$C:$C,"~~$*")&gt;1,LEFT(C30,LEN($B30))&lt;&gt;$B30),"",IFERROR(IF(B30="FoPITY",INDEX(Customizations!$C$2:$C$19,MATCH(Sheet1!C30,Customizations!$B$2:$B$19,0),1),INDEX(About!C:C,MATCH(Sheet1!B30,About!B:B,0),1)),""))</f>
        <v>Frac of Child and Adult Prem Mort by Demo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5">
      <c r="A31" t="s">
        <v>2</v>
      </c>
      <c r="B31" t="s">
        <v>1378</v>
      </c>
      <c r="C31" t="s">
        <v>1399</v>
      </c>
      <c r="G31" t="str">
        <f t="shared" si="0"/>
        <v>.csv</v>
      </c>
      <c r="H31" s="5" t="str">
        <f>IF(AND(G31=".csv",COUNTIFS($B:$B,$B31,$G:$G,"xlsx")-COUNTIFS($B:$B,$B31,$G:$G,"xlsx",$C:$C,"~~$*")&gt;1,LEFT(C31,LEN($B31))&lt;&gt;$B31),"",IFERROR(IF(B31="FoPITY",INDEX(Customizations!$C$2:$C$19,MATCH(Sheet1!C31,Customizations!$B$2:$B$19,0),1),INDEX(About!C:C,MATCH(Sheet1!B31,About!B:B,0),1)),""))</f>
        <v>Frac of Child and Adult Prem Mort by Demo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5">
      <c r="A32" t="s">
        <v>2</v>
      </c>
      <c r="B32" t="s">
        <v>1378</v>
      </c>
      <c r="C32" t="s">
        <v>1400</v>
      </c>
      <c r="G32" t="str">
        <f t="shared" si="0"/>
        <v>.csv</v>
      </c>
      <c r="H32" s="5" t="str">
        <f>IF(AND(G32=".csv",COUNTIFS($B:$B,$B32,$G:$G,"xlsx")-COUNTIFS($B:$B,$B32,$G:$G,"xlsx",$C:$C,"~~$*")&gt;1,LEFT(C32,LEN($B32))&lt;&gt;$B32),"",IFERROR(IF(B32="FoPITY",INDEX(Customizations!$C$2:$C$19,MATCH(Sheet1!C32,Customizations!$B$2:$B$19,0),1),INDEX(About!C:C,MATCH(Sheet1!B32,About!B:B,0),1)),""))</f>
        <v>Frac of Child and Adult Prem Mort by Demo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5">
      <c r="A33" t="s">
        <v>2</v>
      </c>
      <c r="B33" t="s">
        <v>1378</v>
      </c>
      <c r="C33" t="s">
        <v>1401</v>
      </c>
      <c r="G33" t="str">
        <f t="shared" si="0"/>
        <v>.csv</v>
      </c>
      <c r="H33" s="5" t="str">
        <f>IF(AND(G33=".csv",COUNTIFS($B:$B,$B33,$G:$G,"xlsx")-COUNTIFS($B:$B,$B33,$G:$G,"xlsx",$C:$C,"~~$*")&gt;1,LEFT(C33,LEN($B33))&lt;&gt;$B33),"",IFERROR(IF(B33="FoPITY",INDEX(Customizations!$C$2:$C$19,MATCH(Sheet1!C33,Customizations!$B$2:$B$19,0),1),INDEX(About!C:C,MATCH(Sheet1!B33,About!B:B,0),1)),""))</f>
        <v>Frac of Child and Adult Prem Mort by Demo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5">
      <c r="A34" t="s">
        <v>2</v>
      </c>
      <c r="B34" t="s">
        <v>1378</v>
      </c>
      <c r="C34" t="s">
        <v>1402</v>
      </c>
      <c r="G34" t="str">
        <f t="shared" si="0"/>
        <v>.csv</v>
      </c>
      <c r="H34" s="5" t="str">
        <f>IF(AND(G34=".csv",COUNTIFS($B:$B,$B34,$G:$G,"xlsx")-COUNTIFS($B:$B,$B34,$G:$G,"xlsx",$C:$C,"~~$*")&gt;1,LEFT(C34,LEN($B34))&lt;&gt;$B34),"",IFERROR(IF(B34="FoPITY",INDEX(Customizations!$C$2:$C$19,MATCH(Sheet1!C34,Customizations!$B$2:$B$19,0),1),INDEX(About!C:C,MATCH(Sheet1!B34,About!B:B,0),1)),""))</f>
        <v>Frac of Child and Adult Prem Mort by Demo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5">
      <c r="A35" t="s">
        <v>2</v>
      </c>
      <c r="B35" t="s">
        <v>1378</v>
      </c>
      <c r="C35" t="s">
        <v>1403</v>
      </c>
      <c r="G35" t="str">
        <f t="shared" si="0"/>
        <v>xlsx</v>
      </c>
      <c r="H35" s="5" t="str">
        <f>IF(AND(G35=".csv",COUNTIFS($B:$B,$B35,$G:$G,"xlsx")-COUNTIFS($B:$B,$B35,$G:$G,"xlsx",$C:$C,"~~$*")&gt;1,LEFT(C35,LEN($B35))&lt;&gt;$B35),"",IFERROR(IF(B35="FoPITY",INDEX(Customizations!$C$2:$C$19,MATCH(Sheet1!C35,Customizations!$B$2:$B$19,0),1),INDEX(About!C:C,MATCH(Sheet1!B35,About!B:B,0),1)),""))</f>
        <v>Frac of Child and Adult Prem Mort by Demo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5">
      <c r="A36" t="s">
        <v>2</v>
      </c>
      <c r="B36" t="s">
        <v>1404</v>
      </c>
      <c r="C36" t="s">
        <v>1405</v>
      </c>
      <c r="G36" t="str">
        <f t="shared" si="0"/>
        <v>.csv</v>
      </c>
      <c r="H36" s="5" t="str">
        <f>IF(AND(G36=".csv",COUNTIFS($B:$B,$B36,$G:$G,"xlsx")-COUNTIFS($B:$B,$B36,$G:$G,"xlsx",$C:$C,"~~$*")&gt;1,LEFT(C36,LEN($B36))&lt;&gt;$B36),"",IFERROR(IF(B36="FoPITY",INDEX(Customizations!$C$2:$C$19,MATCH(Sheet1!C36,Customizations!$B$2:$B$19,0),1),INDEX(About!C:C,MATCH(Sheet1!B36,About!B:B,0),1)),""))</f>
        <v>Frac of Infant Prem Mort by Demo Trait.xlsx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5">
      <c r="A37" t="s">
        <v>2</v>
      </c>
      <c r="B37" t="s">
        <v>1404</v>
      </c>
      <c r="C37" t="s">
        <v>1406</v>
      </c>
      <c r="G37" t="str">
        <f t="shared" si="0"/>
        <v>.csv</v>
      </c>
      <c r="H37" s="5" t="str">
        <f>IF(AND(G37=".csv",COUNTIFS($B:$B,$B37,$G:$G,"xlsx")-COUNTIFS($B:$B,$B37,$G:$G,"xlsx",$C:$C,"~~$*")&gt;1,LEFT(C37,LEN($B37))&lt;&gt;$B37),"",IFERROR(IF(B37="FoPITY",INDEX(Customizations!$C$2:$C$19,MATCH(Sheet1!C37,Customizations!$B$2:$B$19,0),1),INDEX(About!C:C,MATCH(Sheet1!B37,About!B:B,0),1)),""))</f>
        <v>Frac of Infant Prem Mort by Demo Trait.xlsx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5">
      <c r="A38" t="s">
        <v>2</v>
      </c>
      <c r="B38" t="s">
        <v>1404</v>
      </c>
      <c r="C38" t="s">
        <v>1407</v>
      </c>
      <c r="G38" t="str">
        <f t="shared" si="0"/>
        <v>.csv</v>
      </c>
      <c r="H38" s="5" t="str">
        <f>IF(AND(G38=".csv",COUNTIFS($B:$B,$B38,$G:$G,"xlsx")-COUNTIFS($B:$B,$B38,$G:$G,"xlsx",$C:$C,"~~$*")&gt;1,LEFT(C38,LEN($B38))&lt;&gt;$B38),"",IFERROR(IF(B38="FoPITY",INDEX(Customizations!$C$2:$C$19,MATCH(Sheet1!C38,Customizations!$B$2:$B$19,0),1),INDEX(About!C:C,MATCH(Sheet1!B38,About!B:B,0),1)),""))</f>
        <v>Frac of Infant Prem Mort by Demo Trait.xlsx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5">
      <c r="A39" t="s">
        <v>2</v>
      </c>
      <c r="B39" t="s">
        <v>1404</v>
      </c>
      <c r="C39" t="s">
        <v>1408</v>
      </c>
      <c r="G39" t="str">
        <f t="shared" si="0"/>
        <v>.csv</v>
      </c>
      <c r="H39" s="5" t="str">
        <f>IF(AND(G39=".csv",COUNTIFS($B:$B,$B39,$G:$G,"xlsx")-COUNTIFS($B:$B,$B39,$G:$G,"xlsx",$C:$C,"~~$*")&gt;1,LEFT(C39,LEN($B39))&lt;&gt;$B39),"",IFERROR(IF(B39="FoPITY",INDEX(Customizations!$C$2:$C$19,MATCH(Sheet1!C39,Customizations!$B$2:$B$19,0),1),INDEX(About!C:C,MATCH(Sheet1!B39,About!B:B,0),1)),""))</f>
        <v>Frac of Infant Prem Mort by Demo Trait.xlsx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5">
      <c r="A40" t="s">
        <v>2</v>
      </c>
      <c r="B40" t="s">
        <v>1404</v>
      </c>
      <c r="C40" t="s">
        <v>1409</v>
      </c>
      <c r="G40" t="str">
        <f t="shared" si="0"/>
        <v>.csv</v>
      </c>
      <c r="H40" s="5" t="str">
        <f>IF(AND(G40=".csv",COUNTIFS($B:$B,$B40,$G:$G,"xlsx")-COUNTIFS($B:$B,$B40,$G:$G,"xlsx",$C:$C,"~~$*")&gt;1,LEFT(C40,LEN($B40))&lt;&gt;$B40),"",IFERROR(IF(B40="FoPITY",INDEX(Customizations!$C$2:$C$19,MATCH(Sheet1!C40,Customizations!$B$2:$B$19,0),1),INDEX(About!C:C,MATCH(Sheet1!B40,About!B:B,0),1)),""))</f>
        <v>Frac of Infant Prem Mort by Demo Trait.xlsx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5">
      <c r="A41" t="s">
        <v>2</v>
      </c>
      <c r="B41" t="s">
        <v>1404</v>
      </c>
      <c r="C41" t="s">
        <v>1410</v>
      </c>
      <c r="G41" t="str">
        <f t="shared" si="0"/>
        <v>.csv</v>
      </c>
      <c r="H41" s="5" t="str">
        <f>IF(AND(G41=".csv",COUNTIFS($B:$B,$B41,$G:$G,"xlsx")-COUNTIFS($B:$B,$B41,$G:$G,"xlsx",$C:$C,"~~$*")&gt;1,LEFT(C41,LEN($B41))&lt;&gt;$B41),"",IFERROR(IF(B41="FoPITY",INDEX(Customizations!$C$2:$C$19,MATCH(Sheet1!C41,Customizations!$B$2:$B$19,0),1),INDEX(About!C:C,MATCH(Sheet1!B41,About!B:B,0),1)),""))</f>
        <v>Frac of Infant Prem Mort by Demo Trait.xlsx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5">
      <c r="A42" t="s">
        <v>2</v>
      </c>
      <c r="B42" t="s">
        <v>1404</v>
      </c>
      <c r="C42" t="s">
        <v>1411</v>
      </c>
      <c r="G42" t="str">
        <f t="shared" si="0"/>
        <v>.csv</v>
      </c>
      <c r="H42" s="5" t="str">
        <f>IF(AND(G42=".csv",COUNTIFS($B:$B,$B42,$G:$G,"xlsx")-COUNTIFS($B:$B,$B42,$G:$G,"xlsx",$C:$C,"~~$*")&gt;1,LEFT(C42,LEN($B42))&lt;&gt;$B42),"",IFERROR(IF(B42="FoPITY",INDEX(Customizations!$C$2:$C$19,MATCH(Sheet1!C42,Customizations!$B$2:$B$19,0),1),INDEX(About!C:C,MATCH(Sheet1!B42,About!B:B,0),1)),""))</f>
        <v>Frac of Infant Prem Mort by Demo Trait.xlsx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5">
      <c r="A43" t="s">
        <v>2</v>
      </c>
      <c r="B43" t="s">
        <v>1404</v>
      </c>
      <c r="C43" t="s">
        <v>1412</v>
      </c>
      <c r="G43" t="str">
        <f t="shared" si="0"/>
        <v>.csv</v>
      </c>
      <c r="H43" s="5" t="str">
        <f>IF(AND(G43=".csv",COUNTIFS($B:$B,$B43,$G:$G,"xlsx")-COUNTIFS($B:$B,$B43,$G:$G,"xlsx",$C:$C,"~~$*")&gt;1,LEFT(C43,LEN($B43))&lt;&gt;$B43),"",IFERROR(IF(B43="FoPITY",INDEX(Customizations!$C$2:$C$19,MATCH(Sheet1!C43,Customizations!$B$2:$B$19,0),1),INDEX(About!C:C,MATCH(Sheet1!B43,About!B:B,0),1)),""))</f>
        <v>Frac of Infant Prem Mort by Demo Trait.xlsx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5">
      <c r="A44" t="s">
        <v>2</v>
      </c>
      <c r="B44" t="s">
        <v>1404</v>
      </c>
      <c r="C44" t="s">
        <v>1413</v>
      </c>
      <c r="G44" t="str">
        <f t="shared" si="0"/>
        <v>.csv</v>
      </c>
      <c r="H44" s="5" t="str">
        <f>IF(AND(G44=".csv",COUNTIFS($B:$B,$B44,$G:$G,"xlsx")-COUNTIFS($B:$B,$B44,$G:$G,"xlsx",$C:$C,"~~$*")&gt;1,LEFT(C44,LEN($B44))&lt;&gt;$B44),"",IFERROR(IF(B44="FoPITY",INDEX(Customizations!$C$2:$C$19,MATCH(Sheet1!C44,Customizations!$B$2:$B$19,0),1),INDEX(About!C:C,MATCH(Sheet1!B44,About!B:B,0),1)),""))</f>
        <v>Frac of Infant Prem Mort by Demo Trait.xlsx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5">
      <c r="A45" t="s">
        <v>2</v>
      </c>
      <c r="B45" t="s">
        <v>1404</v>
      </c>
      <c r="C45" t="s">
        <v>1414</v>
      </c>
      <c r="G45" t="str">
        <f t="shared" si="0"/>
        <v>.csv</v>
      </c>
      <c r="H45" s="5" t="str">
        <f>IF(AND(G45=".csv",COUNTIFS($B:$B,$B45,$G:$G,"xlsx")-COUNTIFS($B:$B,$B45,$G:$G,"xlsx",$C:$C,"~~$*")&gt;1,LEFT(C45,LEN($B45))&lt;&gt;$B45),"",IFERROR(IF(B45="FoPITY",INDEX(Customizations!$C$2:$C$19,MATCH(Sheet1!C45,Customizations!$B$2:$B$19,0),1),INDEX(About!C:C,MATCH(Sheet1!B45,About!B:B,0),1)),""))</f>
        <v>Frac of Infant Prem Mort by Demo Trait.xlsx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5">
      <c r="A46" t="s">
        <v>2</v>
      </c>
      <c r="B46" t="s">
        <v>1404</v>
      </c>
      <c r="C46" t="s">
        <v>1415</v>
      </c>
      <c r="G46" t="str">
        <f t="shared" si="0"/>
        <v>.csv</v>
      </c>
      <c r="H46" s="5" t="str">
        <f>IF(AND(G46=".csv",COUNTIFS($B:$B,$B46,$G:$G,"xlsx")-COUNTIFS($B:$B,$B46,$G:$G,"xlsx",$C:$C,"~~$*")&gt;1,LEFT(C46,LEN($B46))&lt;&gt;$B46),"",IFERROR(IF(B46="FoPITY",INDEX(Customizations!$C$2:$C$19,MATCH(Sheet1!C46,Customizations!$B$2:$B$19,0),1),INDEX(About!C:C,MATCH(Sheet1!B46,About!B:B,0),1)),""))</f>
        <v>Frac of Infant Prem Mort by Demo Trait.xlsx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5">
      <c r="A47" t="s">
        <v>2</v>
      </c>
      <c r="B47" t="s">
        <v>1404</v>
      </c>
      <c r="C47" t="s">
        <v>1416</v>
      </c>
      <c r="G47" t="str">
        <f t="shared" si="0"/>
        <v>.csv</v>
      </c>
      <c r="H47" s="5" t="str">
        <f>IF(AND(G47=".csv",COUNTIFS($B:$B,$B47,$G:$G,"xlsx")-COUNTIFS($B:$B,$B47,$G:$G,"xlsx",$C:$C,"~~$*")&gt;1,LEFT(C47,LEN($B47))&lt;&gt;$B47),"",IFERROR(IF(B47="FoPITY",INDEX(Customizations!$C$2:$C$19,MATCH(Sheet1!C47,Customizations!$B$2:$B$19,0),1),INDEX(About!C:C,MATCH(Sheet1!B47,About!B:B,0),1)),""))</f>
        <v>Frac of Infant Prem Mort by Demo Trait.xlsx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5">
      <c r="A48" t="s">
        <v>2</v>
      </c>
      <c r="B48" t="s">
        <v>1404</v>
      </c>
      <c r="C48" t="s">
        <v>1417</v>
      </c>
      <c r="G48" t="str">
        <f t="shared" si="0"/>
        <v>.csv</v>
      </c>
      <c r="H48" s="5" t="str">
        <f>IF(AND(G48=".csv",COUNTIFS($B:$B,$B48,$G:$G,"xlsx")-COUNTIFS($B:$B,$B48,$G:$G,"xlsx",$C:$C,"~~$*")&gt;1,LEFT(C48,LEN($B48))&lt;&gt;$B48),"",IFERROR(IF(B48="FoPITY",INDEX(Customizations!$C$2:$C$19,MATCH(Sheet1!C48,Customizations!$B$2:$B$19,0),1),INDEX(About!C:C,MATCH(Sheet1!B48,About!B:B,0),1)),""))</f>
        <v>Frac of Infant Prem Mort by Demo Trait.xlsx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5">
      <c r="A49" t="s">
        <v>2</v>
      </c>
      <c r="B49" t="s">
        <v>1404</v>
      </c>
      <c r="C49" t="s">
        <v>1418</v>
      </c>
      <c r="G49" t="str">
        <f t="shared" si="0"/>
        <v>.csv</v>
      </c>
      <c r="H49" s="5" t="str">
        <f>IF(AND(G49=".csv",COUNTIFS($B:$B,$B49,$G:$G,"xlsx")-COUNTIFS($B:$B,$B49,$G:$G,"xlsx",$C:$C,"~~$*")&gt;1,LEFT(C49,LEN($B49))&lt;&gt;$B49),"",IFERROR(IF(B49="FoPITY",INDEX(Customizations!$C$2:$C$19,MATCH(Sheet1!C49,Customizations!$B$2:$B$19,0),1),INDEX(About!C:C,MATCH(Sheet1!B49,About!B:B,0),1)),""))</f>
        <v>Frac of Infant Prem Mort by Demo Trait.xlsx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5">
      <c r="A50" t="s">
        <v>2</v>
      </c>
      <c r="B50" t="s">
        <v>1404</v>
      </c>
      <c r="C50" t="s">
        <v>1419</v>
      </c>
      <c r="G50" t="str">
        <f t="shared" si="0"/>
        <v>.csv</v>
      </c>
      <c r="H50" s="5" t="str">
        <f>IF(AND(G50=".csv",COUNTIFS($B:$B,$B50,$G:$G,"xlsx")-COUNTIFS($B:$B,$B50,$G:$G,"xlsx",$C:$C,"~~$*")&gt;1,LEFT(C50,LEN($B50))&lt;&gt;$B50),"",IFERROR(IF(B50="FoPITY",INDEX(Customizations!$C$2:$C$19,MATCH(Sheet1!C50,Customizations!$B$2:$B$19,0),1),INDEX(About!C:C,MATCH(Sheet1!B50,About!B:B,0),1)),""))</f>
        <v>Frac of Infant Prem Mort by Demo Trait.xlsx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5">
      <c r="A51" t="s">
        <v>2</v>
      </c>
      <c r="B51" t="s">
        <v>1404</v>
      </c>
      <c r="C51" t="s">
        <v>1420</v>
      </c>
      <c r="G51" t="str">
        <f t="shared" si="0"/>
        <v>.csv</v>
      </c>
      <c r="H51" s="5" t="str">
        <f>IF(AND(G51=".csv",COUNTIFS($B:$B,$B51,$G:$G,"xlsx")-COUNTIFS($B:$B,$B51,$G:$G,"xlsx",$C:$C,"~~$*")&gt;1,LEFT(C51,LEN($B51))&lt;&gt;$B51),"",IFERROR(IF(B51="FoPITY",INDEX(Customizations!$C$2:$C$19,MATCH(Sheet1!C51,Customizations!$B$2:$B$19,0),1),INDEX(About!C:C,MATCH(Sheet1!B51,About!B:B,0),1)),""))</f>
        <v>Frac of Infant Prem Mort by Demo Trait.xlsx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5">
      <c r="A52" t="s">
        <v>2</v>
      </c>
      <c r="B52" t="s">
        <v>1404</v>
      </c>
      <c r="C52" t="s">
        <v>1421</v>
      </c>
      <c r="G52" t="str">
        <f t="shared" si="0"/>
        <v>.csv</v>
      </c>
      <c r="H52" s="5" t="str">
        <f>IF(AND(G52=".csv",COUNTIFS($B:$B,$B52,$G:$G,"xlsx")-COUNTIFS($B:$B,$B52,$G:$G,"xlsx",$C:$C,"~~$*")&gt;1,LEFT(C52,LEN($B52))&lt;&gt;$B52),"",IFERROR(IF(B52="FoPITY",INDEX(Customizations!$C$2:$C$19,MATCH(Sheet1!C52,Customizations!$B$2:$B$19,0),1),INDEX(About!C:C,MATCH(Sheet1!B52,About!B:B,0),1)),""))</f>
        <v>Frac of Infant Prem Mort by Demo Trait.xlsx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5">
      <c r="A53" t="s">
        <v>2</v>
      </c>
      <c r="B53" t="s">
        <v>1404</v>
      </c>
      <c r="C53" t="s">
        <v>1422</v>
      </c>
      <c r="G53" t="str">
        <f t="shared" si="0"/>
        <v>.csv</v>
      </c>
      <c r="H53" s="5" t="str">
        <f>IF(AND(G53=".csv",COUNTIFS($B:$B,$B53,$G:$G,"xlsx")-COUNTIFS($B:$B,$B53,$G:$G,"xlsx",$C:$C,"~~$*")&gt;1,LEFT(C53,LEN($B53))&lt;&gt;$B53),"",IFERROR(IF(B53="FoPITY",INDEX(Customizations!$C$2:$C$19,MATCH(Sheet1!C53,Customizations!$B$2:$B$19,0),1),INDEX(About!C:C,MATCH(Sheet1!B53,About!B:B,0),1)),""))</f>
        <v>Frac of Infant Prem Mort by Demo Trait.xlsx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5">
      <c r="A54" t="s">
        <v>2</v>
      </c>
      <c r="B54" t="s">
        <v>1404</v>
      </c>
      <c r="C54" t="s">
        <v>1423</v>
      </c>
      <c r="G54" t="str">
        <f t="shared" si="0"/>
        <v>.csv</v>
      </c>
      <c r="H54" s="5" t="str">
        <f>IF(AND(G54=".csv",COUNTIFS($B:$B,$B54,$G:$G,"xlsx")-COUNTIFS($B:$B,$B54,$G:$G,"xlsx",$C:$C,"~~$*")&gt;1,LEFT(C54,LEN($B54))&lt;&gt;$B54),"",IFERROR(IF(B54="FoPITY",INDEX(Customizations!$C$2:$C$19,MATCH(Sheet1!C54,Customizations!$B$2:$B$19,0),1),INDEX(About!C:C,MATCH(Sheet1!B54,About!B:B,0),1)),""))</f>
        <v>Frac of Infant Prem Mort by Demo Trait.xlsx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5">
      <c r="A55" t="s">
        <v>2</v>
      </c>
      <c r="B55" t="s">
        <v>1404</v>
      </c>
      <c r="C55" t="s">
        <v>1424</v>
      </c>
      <c r="G55" t="str">
        <f t="shared" si="0"/>
        <v>.csv</v>
      </c>
      <c r="H55" s="5" t="str">
        <f>IF(AND(G55=".csv",COUNTIFS($B:$B,$B55,$G:$G,"xlsx")-COUNTIFS($B:$B,$B55,$G:$G,"xlsx",$C:$C,"~~$*")&gt;1,LEFT(C55,LEN($B55))&lt;&gt;$B55),"",IFERROR(IF(B55="FoPITY",INDEX(Customizations!$C$2:$C$19,MATCH(Sheet1!C55,Customizations!$B$2:$B$19,0),1),INDEX(About!C:C,MATCH(Sheet1!B55,About!B:B,0),1)),""))</f>
        <v>Frac of Infant Prem Mort by Demo Trait.xlsx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5">
      <c r="A56" t="s">
        <v>2</v>
      </c>
      <c r="B56" t="s">
        <v>1404</v>
      </c>
      <c r="C56" t="s">
        <v>1425</v>
      </c>
      <c r="G56" t="str">
        <f t="shared" si="0"/>
        <v>.csv</v>
      </c>
      <c r="H56" s="5" t="str">
        <f>IF(AND(G56=".csv",COUNTIFS($B:$B,$B56,$G:$G,"xlsx")-COUNTIFS($B:$B,$B56,$G:$G,"xlsx",$C:$C,"~~$*")&gt;1,LEFT(C56,LEN($B56))&lt;&gt;$B56),"",IFERROR(IF(B56="FoPITY",INDEX(Customizations!$C$2:$C$19,MATCH(Sheet1!C56,Customizations!$B$2:$B$19,0),1),INDEX(About!C:C,MATCH(Sheet1!B56,About!B:B,0),1)),""))</f>
        <v>Frac of Infant Prem Mort by Demo Trait.xlsx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5">
      <c r="A57" t="s">
        <v>2</v>
      </c>
      <c r="B57" t="s">
        <v>1404</v>
      </c>
      <c r="C57" t="s">
        <v>1426</v>
      </c>
      <c r="G57" t="str">
        <f t="shared" si="0"/>
        <v>.csv</v>
      </c>
      <c r="H57" s="5" t="str">
        <f>IF(AND(G57=".csv",COUNTIFS($B:$B,$B57,$G:$G,"xlsx")-COUNTIFS($B:$B,$B57,$G:$G,"xlsx",$C:$C,"~~$*")&gt;1,LEFT(C57,LEN($B57))&lt;&gt;$B57),"",IFERROR(IF(B57="FoPITY",INDEX(Customizations!$C$2:$C$19,MATCH(Sheet1!C57,Customizations!$B$2:$B$19,0),1),INDEX(About!C:C,MATCH(Sheet1!B57,About!B:B,0),1)),""))</f>
        <v>Frac of Infant Prem Mort by Demo Trait.xlsx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5">
      <c r="A58" t="s">
        <v>2</v>
      </c>
      <c r="B58" t="s">
        <v>1404</v>
      </c>
      <c r="C58" t="s">
        <v>1427</v>
      </c>
      <c r="G58" t="str">
        <f t="shared" si="0"/>
        <v>.csv</v>
      </c>
      <c r="H58" s="5" t="str">
        <f>IF(AND(G58=".csv",COUNTIFS($B:$B,$B58,$G:$G,"xlsx")-COUNTIFS($B:$B,$B58,$G:$G,"xlsx",$C:$C,"~~$*")&gt;1,LEFT(C58,LEN($B58))&lt;&gt;$B58),"",IFERROR(IF(B58="FoPITY",INDEX(Customizations!$C$2:$C$19,MATCH(Sheet1!C58,Customizations!$B$2:$B$19,0),1),INDEX(About!C:C,MATCH(Sheet1!B58,About!B:B,0),1)),""))</f>
        <v>Frac of Infant Prem Mort by Demo Trait.xlsx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5">
      <c r="A59" t="s">
        <v>2</v>
      </c>
      <c r="B59" t="s">
        <v>1404</v>
      </c>
      <c r="C59" t="s">
        <v>1428</v>
      </c>
      <c r="G59" t="str">
        <f t="shared" si="0"/>
        <v>.csv</v>
      </c>
      <c r="H59" s="5" t="str">
        <f>IF(AND(G59=".csv",COUNTIFS($B:$B,$B59,$G:$G,"xlsx")-COUNTIFS($B:$B,$B59,$G:$G,"xlsx",$C:$C,"~~$*")&gt;1,LEFT(C59,LEN($B59))&lt;&gt;$B59),"",IFERROR(IF(B59="FoPITY",INDEX(Customizations!$C$2:$C$19,MATCH(Sheet1!C59,Customizations!$B$2:$B$19,0),1),INDEX(About!C:C,MATCH(Sheet1!B59,About!B:B,0),1)),""))</f>
        <v>Frac of Infant Prem Mort by Demo Trait.xlsx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5">
      <c r="A60" t="s">
        <v>2</v>
      </c>
      <c r="B60" t="s">
        <v>1404</v>
      </c>
      <c r="C60" t="s">
        <v>1429</v>
      </c>
      <c r="G60" t="str">
        <f t="shared" si="0"/>
        <v>xlsx</v>
      </c>
      <c r="H60" s="5" t="str">
        <f>IF(AND(G60=".csv",COUNTIFS($B:$B,$B60,$G:$G,"xlsx")-COUNTIFS($B:$B,$B60,$G:$G,"xlsx",$C:$C,"~~$*")&gt;1,LEFT(C60,LEN($B60))&lt;&gt;$B60),"",IFERROR(IF(B60="FoPITY",INDEX(Customizations!$C$2:$C$19,MATCH(Sheet1!C60,Customizations!$B$2:$B$19,0),1),INDEX(About!C:C,MATCH(Sheet1!B60,About!B:B,0),1)),""))</f>
        <v>Frac of Infant Prem Mort by Demo Trait.xlsx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5">
      <c r="A61" t="s">
        <v>2</v>
      </c>
      <c r="B61" t="s">
        <v>1404</v>
      </c>
      <c r="C61" t="s">
        <v>1430</v>
      </c>
      <c r="G61" t="str">
        <f t="shared" si="0"/>
        <v>r.py</v>
      </c>
      <c r="H61" s="5" t="str">
        <f>IF(AND(G61=".csv",COUNTIFS($B:$B,$B61,$G:$G,"xlsx")-COUNTIFS($B:$B,$B61,$G:$G,"xlsx",$C:$C,"~~$*")&gt;1,LEFT(C61,LEN($B61))&lt;&gt;$B61),"",IFERROR(IF(B61="FoPITY",INDEX(Customizations!$C$2:$C$19,MATCH(Sheet1!C61,Customizations!$B$2:$B$19,0),1),INDEX(About!C:C,MATCH(Sheet1!B61,About!B:B,0),1)),""))</f>
        <v>Frac of Infant Prem Mort by Demo Trait.xlsx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5">
      <c r="A62" t="s">
        <v>2</v>
      </c>
      <c r="B62" t="s">
        <v>644</v>
      </c>
      <c r="C62" t="s">
        <v>645</v>
      </c>
      <c r="G62" t="str">
        <f t="shared" si="0"/>
        <v>xlsx</v>
      </c>
      <c r="H62" s="5" t="str">
        <f>IF(AND(G62=".csv",COUNTIFS($B:$B,$B62,$G:$G,"xlsx")-COUNTIFS($B:$B,$B62,$G:$G,"xlsx",$C:$C,"~~$*")&gt;1,LEFT(C62,LEN($B62))&lt;&gt;$B62),"",IFERROR(IF(B62="FoPITY",INDEX(Customizations!$C$2:$C$19,MATCH(Sheet1!C62,Customizations!$B$2:$B$19,0),1),INDEX(About!C:C,MATCH(Sheet1!B62,About!B:B,0),1)),""))</f>
        <v>Health Outcome Incidence per Ton Pollutant.xlsx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5">
      <c r="A63" t="s">
        <v>2</v>
      </c>
      <c r="B63" t="s">
        <v>644</v>
      </c>
      <c r="C63" t="s">
        <v>646</v>
      </c>
      <c r="G63" t="str">
        <f t="shared" si="0"/>
        <v>.csv</v>
      </c>
      <c r="H63" s="5" t="str">
        <f>IF(AND(G63=".csv",COUNTIFS($B:$B,$B63,$G:$G,"xlsx")-COUNTIFS($B:$B,$B63,$G:$G,"xlsx",$C:$C,"~~$*")&gt;1,LEFT(C63,LEN($B63))&lt;&gt;$B63),"",IFERROR(IF(B63="FoPITY",INDEX(Customizations!$C$2:$C$19,MATCH(Sheet1!C63,Customizations!$B$2:$B$19,0),1),INDEX(About!C:C,MATCH(Sheet1!B63,About!B:B,0),1)),""))</f>
        <v>Health Outcome Incidence per Ton Pollutant.xlsx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5">
      <c r="A64" t="s">
        <v>2</v>
      </c>
      <c r="B64" t="s">
        <v>644</v>
      </c>
      <c r="C64" t="s">
        <v>647</v>
      </c>
      <c r="G64" t="str">
        <f t="shared" si="0"/>
        <v>.csv</v>
      </c>
      <c r="H64" s="5" t="str">
        <f>IF(AND(G64=".csv",COUNTIFS($B:$B,$B64,$G:$G,"xlsx")-COUNTIFS($B:$B,$B64,$G:$G,"xlsx",$C:$C,"~~$*")&gt;1,LEFT(C64,LEN($B64))&lt;&gt;$B64),"",IFERROR(IF(B64="FoPITY",INDEX(Customizations!$C$2:$C$19,MATCH(Sheet1!C64,Customizations!$B$2:$B$19,0),1),INDEX(About!C:C,MATCH(Sheet1!B64,About!B:B,0),1)),""))</f>
        <v>Health Outcome Incidence per Ton Pollutant.xlsx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5">
      <c r="A65" t="s">
        <v>2</v>
      </c>
      <c r="B65" t="s">
        <v>644</v>
      </c>
      <c r="C65" t="s">
        <v>648</v>
      </c>
      <c r="G65" t="str">
        <f t="shared" si="0"/>
        <v>.csv</v>
      </c>
      <c r="H65" s="5" t="str">
        <f>IF(AND(G65=".csv",COUNTIFS($B:$B,$B65,$G:$G,"xlsx")-COUNTIFS($B:$B,$B65,$G:$G,"xlsx",$C:$C,"~~$*")&gt;1,LEFT(C65,LEN($B65))&lt;&gt;$B65),"",IFERROR(IF(B65="FoPITY",INDEX(Customizations!$C$2:$C$19,MATCH(Sheet1!C65,Customizations!$B$2:$B$19,0),1),INDEX(About!C:C,MATCH(Sheet1!B65,About!B:B,0),1)),""))</f>
        <v>Health Outcome Incidence per Ton Pollutant.xlsx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5">
      <c r="A66" t="s">
        <v>2</v>
      </c>
      <c r="B66" t="s">
        <v>644</v>
      </c>
      <c r="C66" t="s">
        <v>649</v>
      </c>
      <c r="G66" t="str">
        <f t="shared" si="0"/>
        <v>.csv</v>
      </c>
      <c r="H66" s="5" t="str">
        <f>IF(AND(G66=".csv",COUNTIFS($B:$B,$B66,$G:$G,"xlsx")-COUNTIFS($B:$B,$B66,$G:$G,"xlsx",$C:$C,"~~$*")&gt;1,LEFT(C66,LEN($B66))&lt;&gt;$B66),"",IFERROR(IF(B66="FoPITY",INDEX(Customizations!$C$2:$C$19,MATCH(Sheet1!C66,Customizations!$B$2:$B$19,0),1),INDEX(About!C:C,MATCH(Sheet1!B66,About!B:B,0),1)),""))</f>
        <v>Health Outcome Incidence per Ton Pollutant.xlsx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5">
      <c r="A67" t="s">
        <v>2</v>
      </c>
      <c r="B67" t="s">
        <v>644</v>
      </c>
      <c r="C67" t="s">
        <v>650</v>
      </c>
      <c r="G67" t="str">
        <f t="shared" si="0"/>
        <v>.csv</v>
      </c>
      <c r="H67" s="5" t="str">
        <f>IF(AND(G67=".csv",COUNTIFS($B:$B,$B67,$G:$G,"xlsx")-COUNTIFS($B:$B,$B67,$G:$G,"xlsx",$C:$C,"~~$*")&gt;1,LEFT(C67,LEN($B67))&lt;&gt;$B67),"",IFERROR(IF(B67="FoPITY",INDEX(Customizations!$C$2:$C$19,MATCH(Sheet1!C67,Customizations!$B$2:$B$19,0),1),INDEX(About!C:C,MATCH(Sheet1!B67,About!B:B,0),1)),""))</f>
        <v>Health Outcome Incidence per Ton Pollutant.xlsx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5">
      <c r="A68" t="s">
        <v>2</v>
      </c>
      <c r="B68" t="s">
        <v>644</v>
      </c>
      <c r="C68" t="s">
        <v>651</v>
      </c>
      <c r="G68" t="str">
        <f t="shared" si="0"/>
        <v>.csv</v>
      </c>
      <c r="H68" s="5" t="str">
        <f>IF(AND(G68=".csv",COUNTIFS($B:$B,$B68,$G:$G,"xlsx")-COUNTIFS($B:$B,$B68,$G:$G,"xlsx",$C:$C,"~~$*")&gt;1,LEFT(C68,LEN($B68))&lt;&gt;$B68),"",IFERROR(IF(B68="FoPITY",INDEX(Customizations!$C$2:$C$19,MATCH(Sheet1!C68,Customizations!$B$2:$B$19,0),1),INDEX(About!C:C,MATCH(Sheet1!B68,About!B:B,0),1)),""))</f>
        <v>Health Outcome Incidence per Ton Pollutant.xlsx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5">
      <c r="A69" t="s">
        <v>2</v>
      </c>
      <c r="B69" t="s">
        <v>644</v>
      </c>
      <c r="C69" t="s">
        <v>652</v>
      </c>
      <c r="G69" t="str">
        <f t="shared" ref="G69:G132" si="2">RIGHT(C69,"4")</f>
        <v>.csv</v>
      </c>
      <c r="H69" s="5" t="str">
        <f>IF(AND(G69=".csv",COUNTIFS($B:$B,$B69,$G:$G,"xlsx")-COUNTIFS($B:$B,$B69,$G:$G,"xlsx",$C:$C,"~~$*")&gt;1,LEFT(C69,LEN($B69))&lt;&gt;$B69),"",IFERROR(IF(B69="FoPITY",INDEX(Customizations!$C$2:$C$19,MATCH(Sheet1!C69,Customizations!$B$2:$B$19,0),1),INDEX(About!C:C,MATCH(Sheet1!B69,About!B:B,0),1)),""))</f>
        <v>Health Outcome Incidence per Ton Pollutant.xlsx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5">
      <c r="A70" t="s">
        <v>2</v>
      </c>
      <c r="B70" t="s">
        <v>644</v>
      </c>
      <c r="C70" t="s">
        <v>653</v>
      </c>
      <c r="G70" t="str">
        <f t="shared" si="2"/>
        <v>.csv</v>
      </c>
      <c r="H70" s="5" t="str">
        <f>IF(AND(G70=".csv",COUNTIFS($B:$B,$B70,$G:$G,"xlsx")-COUNTIFS($B:$B,$B70,$G:$G,"xlsx",$C:$C,"~~$*")&gt;1,LEFT(C70,LEN($B70))&lt;&gt;$B70),"",IFERROR(IF(B70="FoPITY",INDEX(Customizations!$C$2:$C$19,MATCH(Sheet1!C70,Customizations!$B$2:$B$19,0),1),INDEX(About!C:C,MATCH(Sheet1!B70,About!B:B,0),1)),""))</f>
        <v>Health Outcome Incidence per Ton Pollutant.xlsx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5">
      <c r="A71" t="s">
        <v>2</v>
      </c>
      <c r="B71" t="s">
        <v>644</v>
      </c>
      <c r="C71" t="s">
        <v>654</v>
      </c>
      <c r="G71" t="str">
        <f t="shared" si="2"/>
        <v>.csv</v>
      </c>
      <c r="H71" s="5" t="str">
        <f>IF(AND(G71=".csv",COUNTIFS($B:$B,$B71,$G:$G,"xlsx")-COUNTIFS($B:$B,$B71,$G:$G,"xlsx",$C:$C,"~~$*")&gt;1,LEFT(C71,LEN($B71))&lt;&gt;$B71),"",IFERROR(IF(B71="FoPITY",INDEX(Customizations!$C$2:$C$19,MATCH(Sheet1!C71,Customizations!$B$2:$B$19,0),1),INDEX(About!C:C,MATCH(Sheet1!B71,About!B:B,0),1)),""))</f>
        <v>Health Outcome Incidence per Ton Pollutant.xlsx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5">
      <c r="A72" t="s">
        <v>2</v>
      </c>
      <c r="B72" t="s">
        <v>644</v>
      </c>
      <c r="C72" t="s">
        <v>655</v>
      </c>
      <c r="G72" t="str">
        <f t="shared" si="2"/>
        <v>.csv</v>
      </c>
      <c r="H72" s="5" t="str">
        <f>IF(AND(G72=".csv",COUNTIFS($B:$B,$B72,$G:$G,"xlsx")-COUNTIFS($B:$B,$B72,$G:$G,"xlsx",$C:$C,"~~$*")&gt;1,LEFT(C72,LEN($B72))&lt;&gt;$B72),"",IFERROR(IF(B72="FoPITY",INDEX(Customizations!$C$2:$C$19,MATCH(Sheet1!C72,Customizations!$B$2:$B$19,0),1),INDEX(About!C:C,MATCH(Sheet1!B72,About!B:B,0),1)),""))</f>
        <v>Health Outcome Incidence per Ton Pollutant.xlsx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5">
      <c r="A73" t="s">
        <v>2</v>
      </c>
      <c r="B73" t="s">
        <v>644</v>
      </c>
      <c r="C73" t="s">
        <v>656</v>
      </c>
      <c r="G73" t="str">
        <f t="shared" si="2"/>
        <v>.csv</v>
      </c>
      <c r="H73" s="5" t="str">
        <f>IF(AND(G73=".csv",COUNTIFS($B:$B,$B73,$G:$G,"xlsx")-COUNTIFS($B:$B,$B73,$G:$G,"xlsx",$C:$C,"~~$*")&gt;1,LEFT(C73,LEN($B73))&lt;&gt;$B73),"",IFERROR(IF(B73="FoPITY",INDEX(Customizations!$C$2:$C$19,MATCH(Sheet1!C73,Customizations!$B$2:$B$19,0),1),INDEX(About!C:C,MATCH(Sheet1!B73,About!B:B,0),1)),""))</f>
        <v>Health Outcome Incidence per Ton Pollutant.xlsx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5">
      <c r="A74" t="s">
        <v>2</v>
      </c>
      <c r="B74" t="s">
        <v>644</v>
      </c>
      <c r="C74" t="s">
        <v>657</v>
      </c>
      <c r="G74" t="str">
        <f t="shared" si="2"/>
        <v>.csv</v>
      </c>
      <c r="H74" s="5" t="str">
        <f>IF(AND(G74=".csv",COUNTIFS($B:$B,$B74,$G:$G,"xlsx")-COUNTIFS($B:$B,$B74,$G:$G,"xlsx",$C:$C,"~~$*")&gt;1,LEFT(C74,LEN($B74))&lt;&gt;$B74),"",IFERROR(IF(B74="FoPITY",INDEX(Customizations!$C$2:$C$19,MATCH(Sheet1!C74,Customizations!$B$2:$B$19,0),1),INDEX(About!C:C,MATCH(Sheet1!B74,About!B:B,0),1)),""))</f>
        <v>Health Outcome Incidence per Ton Pollutant.xlsx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5">
      <c r="A75" t="s">
        <v>2</v>
      </c>
      <c r="B75" t="s">
        <v>644</v>
      </c>
      <c r="C75" t="s">
        <v>658</v>
      </c>
      <c r="G75" t="str">
        <f t="shared" si="2"/>
        <v>.csv</v>
      </c>
      <c r="H75" s="5" t="str">
        <f>IF(AND(G75=".csv",COUNTIFS($B:$B,$B75,$G:$G,"xlsx")-COUNTIFS($B:$B,$B75,$G:$G,"xlsx",$C:$C,"~~$*")&gt;1,LEFT(C75,LEN($B75))&lt;&gt;$B75),"",IFERROR(IF(B75="FoPITY",INDEX(Customizations!$C$2:$C$19,MATCH(Sheet1!C75,Customizations!$B$2:$B$19,0),1),INDEX(About!C:C,MATCH(Sheet1!B75,About!B:B,0),1)),""))</f>
        <v>Health Outcome Incidence per Ton Pollutant.xlsx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5">
      <c r="A76" t="s">
        <v>2</v>
      </c>
      <c r="B76" t="s">
        <v>644</v>
      </c>
      <c r="C76" t="s">
        <v>659</v>
      </c>
      <c r="G76" t="str">
        <f t="shared" si="2"/>
        <v>.csv</v>
      </c>
      <c r="H76" s="5" t="str">
        <f>IF(AND(G76=".csv",COUNTIFS($B:$B,$B76,$G:$G,"xlsx")-COUNTIFS($B:$B,$B76,$G:$G,"xlsx",$C:$C,"~~$*")&gt;1,LEFT(C76,LEN($B76))&lt;&gt;$B76),"",IFERROR(IF(B76="FoPITY",INDEX(Customizations!$C$2:$C$19,MATCH(Sheet1!C76,Customizations!$B$2:$B$19,0),1),INDEX(About!C:C,MATCH(Sheet1!B76,About!B:B,0),1)),""))</f>
        <v>Health Outcome Incidence per Ton Pollutant.xlsx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5">
      <c r="A77" t="s">
        <v>2</v>
      </c>
      <c r="B77" t="s">
        <v>644</v>
      </c>
      <c r="C77" t="s">
        <v>660</v>
      </c>
      <c r="G77" t="str">
        <f t="shared" si="2"/>
        <v>.csv</v>
      </c>
      <c r="H77" s="5" t="str">
        <f>IF(AND(G77=".csv",COUNTIFS($B:$B,$B77,$G:$G,"xlsx")-COUNTIFS($B:$B,$B77,$G:$G,"xlsx",$C:$C,"~~$*")&gt;1,LEFT(C77,LEN($B77))&lt;&gt;$B77),"",IFERROR(IF(B77="FoPITY",INDEX(Customizations!$C$2:$C$19,MATCH(Sheet1!C77,Customizations!$B$2:$B$19,0),1),INDEX(About!C:C,MATCH(Sheet1!B77,About!B:B,0),1)),""))</f>
        <v>Health Outcome Incidence per Ton Pollutant.xlsx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5">
      <c r="A78" t="s">
        <v>2</v>
      </c>
      <c r="B78" t="s">
        <v>1882</v>
      </c>
      <c r="C78" t="s">
        <v>1883</v>
      </c>
      <c r="G78" t="str">
        <f t="shared" si="2"/>
        <v>xlsx</v>
      </c>
      <c r="H78" s="5" t="str">
        <f>IF(AND(G78=".csv",COUNTIFS($B:$B,$B78,$G:$G,"xlsx")-COUNTIFS($B:$B,$B78,$G:$G,"xlsx",$C:$C,"~~$*")&gt;1,LEFT(C78,LEN($B78))&lt;&gt;$B78),"",IFERROR(IF(B78="FoPITY",INDEX(Customizations!$C$2:$C$19,MATCH(Sheet1!C78,Customizations!$B$2:$B$19,0),1),INDEX(About!C:C,MATCH(Sheet1!B78,About!B:B,0),1)),""))</f>
        <v>Health Outcome Valuation.xlsx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5">
      <c r="A79" t="s">
        <v>2</v>
      </c>
      <c r="B79" t="s">
        <v>1882</v>
      </c>
      <c r="C79" t="s">
        <v>1884</v>
      </c>
      <c r="G79" t="str">
        <f t="shared" si="2"/>
        <v>.csv</v>
      </c>
      <c r="H79" s="5" t="str">
        <f>IF(AND(G79=".csv",COUNTIFS($B:$B,$B79,$G:$G,"xlsx")-COUNTIFS($B:$B,$B79,$G:$G,"xlsx",$C:$C,"~~$*")&gt;1,LEFT(C79,LEN($B79))&lt;&gt;$B79),"",IFERROR(IF(B79="FoPITY",INDEX(Customizations!$C$2:$C$19,MATCH(Sheet1!C79,Customizations!$B$2:$B$19,0),1),INDEX(About!C:C,MATCH(Sheet1!B79,About!B:B,0),1)),""))</f>
        <v>Health Outcome Valuation.xlsx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5">
      <c r="A80" t="s">
        <v>2</v>
      </c>
      <c r="B80" t="s">
        <v>1733</v>
      </c>
      <c r="C80" t="s">
        <v>1734</v>
      </c>
      <c r="G80" t="str">
        <f t="shared" si="2"/>
        <v>.csv</v>
      </c>
      <c r="H80" s="5" t="str">
        <f>IF(AND(G80=".csv",COUNTIFS($B:$B,$B80,$G:$G,"xlsx")-COUNTIFS($B:$B,$B80,$G:$G,"xlsx",$C:$C,"~~$*")&gt;1,LEFT(C80,LEN($B80))&lt;&gt;$B80),"",IFERROR(IF(B80="FoPITY",INDEX(Customizations!$C$2:$C$19,MATCH(Sheet1!C80,Customizations!$B$2:$B$19,0),1),INDEX(About!C:C,MATCH(Sheet1!B80,About!B:B,0),1)),""))</f>
        <v>Number of Households.xlsx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5">
      <c r="A81" t="s">
        <v>2</v>
      </c>
      <c r="B81" t="s">
        <v>1733</v>
      </c>
      <c r="C81" t="s">
        <v>1735</v>
      </c>
      <c r="G81" t="str">
        <f t="shared" si="2"/>
        <v>xlsx</v>
      </c>
      <c r="H81" s="5" t="str">
        <f>IF(AND(G81=".csv",COUNTIFS($B:$B,$B81,$G:$G,"xlsx")-COUNTIFS($B:$B,$B81,$G:$G,"xlsx",$C:$C,"~~$*")&gt;1,LEFT(C81,LEN($B81))&lt;&gt;$B81),"",IFERROR(IF(B81="FoPITY",INDEX(Customizations!$C$2:$C$19,MATCH(Sheet1!C81,Customizations!$B$2:$B$19,0),1),INDEX(About!C:C,MATCH(Sheet1!B81,About!B:B,0),1)),""))</f>
        <v>Number of Households.xlsx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5">
      <c r="A82" t="s">
        <v>2</v>
      </c>
      <c r="B82" t="s">
        <v>970</v>
      </c>
      <c r="C82" t="s">
        <v>971</v>
      </c>
      <c r="G82" t="str">
        <f t="shared" si="2"/>
        <v>.csv</v>
      </c>
      <c r="H82" s="5" t="str">
        <f>IF(AND(G82=".csv",COUNTIFS($B:$B,$B82,$G:$G,"xlsx")-COUNTIFS($B:$B,$B82,$G:$G,"xlsx",$C:$C,"~~$*")&gt;1,LEFT(C82,LEN($B82))&lt;&gt;$B82),"",IFERROR(IF(B82="FoPITY",INDEX(Customizations!$C$2:$C$19,MATCH(Sheet1!C82,Customizations!$B$2:$B$19,0),1),INDEX(About!C:C,MATCH(Sheet1!B82,About!B:B,0),1)),""))</f>
        <v>Quantization Size for Health Outcomes.xlsx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5">
      <c r="A83" t="s">
        <v>2</v>
      </c>
      <c r="B83" t="s">
        <v>970</v>
      </c>
      <c r="C83" t="s">
        <v>972</v>
      </c>
      <c r="G83" t="str">
        <f t="shared" si="2"/>
        <v>xlsx</v>
      </c>
      <c r="H83" s="5" t="str">
        <f>IF(AND(G83=".csv",COUNTIFS($B:$B,$B83,$G:$G,"xlsx")-COUNTIFS($B:$B,$B83,$G:$G,"xlsx",$C:$C,"~~$*")&gt;1,LEFT(C83,LEN($B83))&lt;&gt;$B83),"",IFERROR(IF(B83="FoPITY",INDEX(Customizations!$C$2:$C$19,MATCH(Sheet1!C83,Customizations!$B$2:$B$19,0),1),INDEX(About!C:C,MATCH(Sheet1!B83,About!B:B,0),1)),""))</f>
        <v>Quantization Size for Health Outcomes.xlsx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5">
      <c r="A84" t="s">
        <v>2</v>
      </c>
      <c r="B84" t="s">
        <v>3</v>
      </c>
      <c r="C84" t="s">
        <v>4</v>
      </c>
      <c r="G84" t="str">
        <f t="shared" si="2"/>
        <v>.csv</v>
      </c>
      <c r="H84" s="5" t="str">
        <f>IF(AND(G84=".csv",COUNTIFS($B:$B,$B84,$G:$G,"xlsx")-COUNTIFS($B:$B,$B84,$G:$G,"xlsx",$C:$C,"~~$*")&gt;1,LEFT(C84,LEN($B84))&lt;&gt;$B84),"",IFERROR(IF(B84="FoPITY",INDEX(Customizations!$C$2:$C$19,MATCH(Sheet1!C84,Customizations!$B$2:$B$19,0),1),INDEX(About!C:C,MATCH(Sheet1!B84,About!B:B,0),1)),""))</f>
        <v>Social Cost of Carbon.xlsx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5">
      <c r="A85" t="s">
        <v>2</v>
      </c>
      <c r="B85" t="s">
        <v>3</v>
      </c>
      <c r="C85" t="s">
        <v>5</v>
      </c>
      <c r="G85" t="str">
        <f t="shared" si="2"/>
        <v>xlsx</v>
      </c>
      <c r="H85" s="5" t="str">
        <f>IF(AND(G85=".csv",COUNTIFS($B:$B,$B85,$G:$G,"xlsx")-COUNTIFS($B:$B,$B85,$G:$G,"xlsx",$C:$C,"~~$*")&gt;1,LEFT(C85,LEN($B85))&lt;&gt;$B85),"",IFERROR(IF(B85="FoPITY",INDEX(Customizations!$C$2:$C$19,MATCH(Sheet1!C85,Customizations!$B$2:$B$19,0),1),INDEX(About!C:C,MATCH(Sheet1!B85,About!B:B,0),1)),""))</f>
        <v>Social Cost of Carbon.xlsx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5">
      <c r="A86" t="s">
        <v>2</v>
      </c>
      <c r="B86" t="s">
        <v>6</v>
      </c>
      <c r="C86" t="s">
        <v>7</v>
      </c>
      <c r="G86" t="str">
        <f t="shared" si="2"/>
        <v>xlsx</v>
      </c>
      <c r="H86" s="5" t="str">
        <f>IF(AND(G86=".csv",COUNTIFS($B:$B,$B86,$G:$G,"xlsx")-COUNTIFS($B:$B,$B86,$G:$G,"xlsx",$C:$C,"~~$*")&gt;1,LEFT(C86,LEN($B86))&lt;&gt;$B86),"",IFERROR(IF(B86="FoPITY",INDEX(Customizations!$C$2:$C$19,MATCH(Sheet1!C86,Customizations!$B$2:$B$19,0),1),INDEX(About!C:C,MATCH(Sheet1!B86,About!B:B,0),1)),""))</f>
        <v>Value of a Statistical Life.xlsx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5">
      <c r="A87" t="s">
        <v>2</v>
      </c>
      <c r="B87" t="s">
        <v>6</v>
      </c>
      <c r="C87" t="s">
        <v>8</v>
      </c>
      <c r="G87" t="str">
        <f t="shared" si="2"/>
        <v>.csv</v>
      </c>
      <c r="H87" s="5" t="str">
        <f>IF(AND(G87=".csv",COUNTIFS($B:$B,$B87,$G:$G,"xlsx")-COUNTIFS($B:$B,$B87,$G:$G,"xlsx",$C:$C,"~~$*")&gt;1,LEFT(C87,LEN($B87))&lt;&gt;$B87),"",IFERROR(IF(B87="FoPITY",INDEX(Customizations!$C$2:$C$19,MATCH(Sheet1!C87,Customizations!$B$2:$B$19,0),1),INDEX(About!C:C,MATCH(Sheet1!B87,About!B:B,0),1)),""))</f>
        <v>Value of a Statistical Life.xlsx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5">
      <c r="A88" t="s">
        <v>9</v>
      </c>
      <c r="B88" t="s">
        <v>10</v>
      </c>
      <c r="C88" t="s">
        <v>11</v>
      </c>
      <c r="G88" t="str">
        <f t="shared" si="2"/>
        <v>.csv</v>
      </c>
      <c r="H88" s="5" t="str">
        <f>IF(AND(G88=".csv",COUNTIFS($B:$B,$B88,$G:$G,"xlsx")-COUNTIFS($B:$B,$B88,$G:$G,"xlsx",$C:$C,"~~$*")&gt;1,LEFT(C88,LEN($B88))&lt;&gt;$B88),"",IFERROR(IF(B88="FoPITY",INDEX(Customizations!$C$2:$C$19,MATCH(Sheet1!C88,Customizations!$B$2:$B$19,0),1),INDEX(About!C:C,MATCH(Sheet1!B88,About!B:B,0),1)),""))</f>
        <v>BAU Amt Spent on Bldg Components.xlsx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5">
      <c r="A89" t="s">
        <v>9</v>
      </c>
      <c r="B89" t="s">
        <v>10</v>
      </c>
      <c r="C89" t="s">
        <v>12</v>
      </c>
      <c r="G89" t="str">
        <f t="shared" si="2"/>
        <v>.csv</v>
      </c>
      <c r="H89" s="5" t="str">
        <f>IF(AND(G89=".csv",COUNTIFS($B:$B,$B89,$G:$G,"xlsx")-COUNTIFS($B:$B,$B89,$G:$G,"xlsx",$C:$C,"~~$*")&gt;1,LEFT(C89,LEN($B89))&lt;&gt;$B89),"",IFERROR(IF(B89="FoPITY",INDEX(Customizations!$C$2:$C$19,MATCH(Sheet1!C89,Customizations!$B$2:$B$19,0),1),INDEX(About!C:C,MATCH(Sheet1!B89,About!B:B,0),1)),""))</f>
        <v>BAU Amt Spent on Bldg Components.xlsx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5">
      <c r="A90" t="s">
        <v>9</v>
      </c>
      <c r="B90" t="s">
        <v>10</v>
      </c>
      <c r="C90" t="s">
        <v>13</v>
      </c>
      <c r="G90" t="str">
        <f t="shared" si="2"/>
        <v>.csv</v>
      </c>
      <c r="H90" s="5" t="str">
        <f>IF(AND(G90=".csv",COUNTIFS($B:$B,$B90,$G:$G,"xlsx")-COUNTIFS($B:$B,$B90,$G:$G,"xlsx",$C:$C,"~~$*")&gt;1,LEFT(C90,LEN($B90))&lt;&gt;$B90),"",IFERROR(IF(B90="FoPITY",INDEX(Customizations!$C$2:$C$19,MATCH(Sheet1!C90,Customizations!$B$2:$B$19,0),1),INDEX(About!C:C,MATCH(Sheet1!B90,About!B:B,0),1)),""))</f>
        <v>BAU Amt Spent on Bldg Components.xlsx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5">
      <c r="A91" t="s">
        <v>9</v>
      </c>
      <c r="B91" t="s">
        <v>10</v>
      </c>
      <c r="C91" t="s">
        <v>14</v>
      </c>
      <c r="G91" t="str">
        <f t="shared" si="2"/>
        <v>xlsx</v>
      </c>
      <c r="H91" s="5" t="str">
        <f>IF(AND(G91=".csv",COUNTIFS($B:$B,$B91,$G:$G,"xlsx")-COUNTIFS($B:$B,$B91,$G:$G,"xlsx",$C:$C,"~~$*")&gt;1,LEFT(C91,LEN($B91))&lt;&gt;$B91),"",IFERROR(IF(B91="FoPITY",INDEX(Customizations!$C$2:$C$19,MATCH(Sheet1!C91,Customizations!$B$2:$B$19,0),1),INDEX(About!C:C,MATCH(Sheet1!B91,About!B:B,0),1)),""))</f>
        <v>BAU Amt Spent on Bldg Components.xlsx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5">
      <c r="A92" t="s">
        <v>9</v>
      </c>
      <c r="B92" t="s">
        <v>15</v>
      </c>
      <c r="C92" t="s">
        <v>16</v>
      </c>
      <c r="G92" t="str">
        <f t="shared" si="2"/>
        <v>xlsx</v>
      </c>
      <c r="H92" s="5" t="str">
        <f>IF(AND(G92=".csv",COUNTIFS($B:$B,$B92,$G:$G,"xlsx")-COUNTIFS($B:$B,$B92,$G:$G,"xlsx",$C:$C,"~~$*")&gt;1,LEFT(C92,LEN($B92))&lt;&gt;$B92),"",IFERROR(IF(B92="FoPITY",INDEX(Customizations!$C$2:$C$19,MATCH(Sheet1!C92,Customizations!$B$2:$B$19,0),1),INDEX(About!C:C,MATCH(Sheet1!B92,About!B:B,0),1)),""))</f>
        <v>BAU Components Energy Use.xlsx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5">
      <c r="A93" t="s">
        <v>9</v>
      </c>
      <c r="B93" t="s">
        <v>15</v>
      </c>
      <c r="C93" t="s">
        <v>729</v>
      </c>
      <c r="G93" t="str">
        <f t="shared" si="2"/>
        <v>.csv</v>
      </c>
      <c r="H93" s="5" t="str">
        <f>IF(AND(G93=".csv",COUNTIFS($B:$B,$B93,$G:$G,"xlsx")-COUNTIFS($B:$B,$B93,$G:$G,"xlsx",$C:$C,"~~$*")&gt;1,LEFT(C93,LEN($B93))&lt;&gt;$B93),"",IFERROR(IF(B93="FoPITY",INDEX(Customizations!$C$2:$C$19,MATCH(Sheet1!C93,Customizations!$B$2:$B$19,0),1),INDEX(About!C:C,MATCH(Sheet1!B93,About!B:B,0),1)),""))</f>
        <v>BAU Components Energy Use.xlsx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5">
      <c r="A94" t="s">
        <v>9</v>
      </c>
      <c r="B94" t="s">
        <v>15</v>
      </c>
      <c r="C94" t="s">
        <v>17</v>
      </c>
      <c r="G94" t="str">
        <f t="shared" si="2"/>
        <v>.csv</v>
      </c>
      <c r="H94" s="5" t="str">
        <f>IF(AND(G94=".csv",COUNTIFS($B:$B,$B94,$G:$G,"xlsx")-COUNTIFS($B:$B,$B94,$G:$G,"xlsx",$C:$C,"~~$*")&gt;1,LEFT(C94,LEN($B94))&lt;&gt;$B94),"",IFERROR(IF(B94="FoPITY",INDEX(Customizations!$C$2:$C$19,MATCH(Sheet1!C94,Customizations!$B$2:$B$19,0),1),INDEX(About!C:C,MATCH(Sheet1!B94,About!B:B,0),1)),""))</f>
        <v>BAU Components Energy Use.xlsx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5">
      <c r="A95" t="s">
        <v>9</v>
      </c>
      <c r="B95" t="s">
        <v>15</v>
      </c>
      <c r="C95" t="s">
        <v>18</v>
      </c>
      <c r="G95" t="str">
        <f t="shared" si="2"/>
        <v>.csv</v>
      </c>
      <c r="H95" s="5" t="str">
        <f>IF(AND(G95=".csv",COUNTIFS($B:$B,$B95,$G:$G,"xlsx")-COUNTIFS($B:$B,$B95,$G:$G,"xlsx",$C:$C,"~~$*")&gt;1,LEFT(C95,LEN($B95))&lt;&gt;$B95),"",IFERROR(IF(B95="FoPITY",INDEX(Customizations!$C$2:$C$19,MATCH(Sheet1!C95,Customizations!$B$2:$B$19,0),1),INDEX(About!C:C,MATCH(Sheet1!B95,About!B:B,0),1)),""))</f>
        <v>BAU Components Energy Use.xlsx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5">
      <c r="A96" t="s">
        <v>9</v>
      </c>
      <c r="B96" t="s">
        <v>15</v>
      </c>
      <c r="C96" t="s">
        <v>19</v>
      </c>
      <c r="G96" t="str">
        <f t="shared" si="2"/>
        <v>.csv</v>
      </c>
      <c r="H96" s="5" t="str">
        <f>IF(AND(G96=".csv",COUNTIFS($B:$B,$B96,$G:$G,"xlsx")-COUNTIFS($B:$B,$B96,$G:$G,"xlsx",$C:$C,"~~$*")&gt;1,LEFT(C96,LEN($B96))&lt;&gt;$B96),"",IFERROR(IF(B96="FoPITY",INDEX(Customizations!$C$2:$C$19,MATCH(Sheet1!C96,Customizations!$B$2:$B$19,0),1),INDEX(About!C:C,MATCH(Sheet1!B96,About!B:B,0),1)),""))</f>
        <v>BAU Components Energy Use.xlsx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5">
      <c r="A97" t="s">
        <v>9</v>
      </c>
      <c r="B97" t="s">
        <v>15</v>
      </c>
      <c r="C97" t="s">
        <v>20</v>
      </c>
      <c r="G97" t="str">
        <f t="shared" si="2"/>
        <v>.csv</v>
      </c>
      <c r="H97" s="5" t="str">
        <f>IF(AND(G97=".csv",COUNTIFS($B:$B,$B97,$G:$G,"xlsx")-COUNTIFS($B:$B,$B97,$G:$G,"xlsx",$C:$C,"~~$*")&gt;1,LEFT(C97,LEN($B97))&lt;&gt;$B97),"",IFERROR(IF(B97="FoPITY",INDEX(Customizations!$C$2:$C$19,MATCH(Sheet1!C97,Customizations!$B$2:$B$19,0),1),INDEX(About!C:C,MATCH(Sheet1!B97,About!B:B,0),1)),""))</f>
        <v>BAU Components Energy Use.xlsx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5">
      <c r="A98" t="s">
        <v>9</v>
      </c>
      <c r="B98" t="s">
        <v>15</v>
      </c>
      <c r="C98" t="s">
        <v>21</v>
      </c>
      <c r="G98" t="str">
        <f t="shared" si="2"/>
        <v>.csv</v>
      </c>
      <c r="H98" s="5" t="str">
        <f>IF(AND(G98=".csv",COUNTIFS($B:$B,$B98,$G:$G,"xlsx")-COUNTIFS($B:$B,$B98,$G:$G,"xlsx",$C:$C,"~~$*")&gt;1,LEFT(C98,LEN($B98))&lt;&gt;$B98),"",IFERROR(IF(B98="FoPITY",INDEX(Customizations!$C$2:$C$19,MATCH(Sheet1!C98,Customizations!$B$2:$B$19,0),1),INDEX(About!C:C,MATCH(Sheet1!B98,About!B:B,0),1)),""))</f>
        <v>BAU Components Energy Use.xlsx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5">
      <c r="A99" t="s">
        <v>9</v>
      </c>
      <c r="B99" t="s">
        <v>15</v>
      </c>
      <c r="C99" t="s">
        <v>22</v>
      </c>
      <c r="G99" t="str">
        <f t="shared" si="2"/>
        <v>.csv</v>
      </c>
      <c r="H99" s="5" t="str">
        <f>IF(AND(G99=".csv",COUNTIFS($B:$B,$B99,$G:$G,"xlsx")-COUNTIFS($B:$B,$B99,$G:$G,"xlsx",$C:$C,"~~$*")&gt;1,LEFT(C99,LEN($B99))&lt;&gt;$B99),"",IFERROR(IF(B99="FoPITY",INDEX(Customizations!$C$2:$C$19,MATCH(Sheet1!C99,Customizations!$B$2:$B$19,0),1),INDEX(About!C:C,MATCH(Sheet1!B99,About!B:B,0),1)),""))</f>
        <v>BAU Components Energy Use.xlsx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5">
      <c r="A100" t="s">
        <v>9</v>
      </c>
      <c r="B100" t="s">
        <v>15</v>
      </c>
      <c r="C100" t="s">
        <v>23</v>
      </c>
      <c r="G100" t="str">
        <f t="shared" si="2"/>
        <v>.csv</v>
      </c>
      <c r="H100" s="5" t="str">
        <f>IF(AND(G100=".csv",COUNTIFS($B:$B,$B100,$G:$G,"xlsx")-COUNTIFS($B:$B,$B100,$G:$G,"xlsx",$C:$C,"~~$*")&gt;1,LEFT(C100,LEN($B100))&lt;&gt;$B100),"",IFERROR(IF(B100="FoPITY",INDEX(Customizations!$C$2:$C$19,MATCH(Sheet1!C100,Customizations!$B$2:$B$19,0),1),INDEX(About!C:C,MATCH(Sheet1!B100,About!B:B,0),1)),""))</f>
        <v>BAU Components Energy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5">
      <c r="A101" t="s">
        <v>9</v>
      </c>
      <c r="B101" t="s">
        <v>15</v>
      </c>
      <c r="C101" t="s">
        <v>24</v>
      </c>
      <c r="G101" t="str">
        <f t="shared" si="2"/>
        <v>.csv</v>
      </c>
      <c r="H101" s="5" t="str">
        <f>IF(AND(G101=".csv",COUNTIFS($B:$B,$B101,$G:$G,"xlsx")-COUNTIFS($B:$B,$B101,$G:$G,"xlsx",$C:$C,"~~$*")&gt;1,LEFT(C101,LEN($B101))&lt;&gt;$B101),"",IFERROR(IF(B101="FoPITY",INDEX(Customizations!$C$2:$C$19,MATCH(Sheet1!C101,Customizations!$B$2:$B$19,0),1),INDEX(About!C:C,MATCH(Sheet1!B101,About!B:B,0),1)),""))</f>
        <v>BAU Components Energy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5">
      <c r="A102" t="s">
        <v>9</v>
      </c>
      <c r="B102" t="s">
        <v>15</v>
      </c>
      <c r="C102" t="s">
        <v>25</v>
      </c>
      <c r="G102" t="str">
        <f t="shared" si="2"/>
        <v>.csv</v>
      </c>
      <c r="H102" s="5" t="str">
        <f>IF(AND(G102=".csv",COUNTIFS($B:$B,$B102,$G:$G,"xlsx")-COUNTIFS($B:$B,$B102,$G:$G,"xlsx",$C:$C,"~~$*")&gt;1,LEFT(C102,LEN($B102))&lt;&gt;$B102),"",IFERROR(IF(B102="FoPITY",INDEX(Customizations!$C$2:$C$19,MATCH(Sheet1!C102,Customizations!$B$2:$B$19,0),1),INDEX(About!C:C,MATCH(Sheet1!B102,About!B:B,0),1)),""))</f>
        <v>BAU Components Energy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5">
      <c r="A103" t="s">
        <v>9</v>
      </c>
      <c r="B103" t="s">
        <v>15</v>
      </c>
      <c r="C103" t="s">
        <v>26</v>
      </c>
      <c r="G103" t="str">
        <f t="shared" si="2"/>
        <v>.csv</v>
      </c>
      <c r="H103" s="5" t="str">
        <f>IF(AND(G103=".csv",COUNTIFS($B:$B,$B103,$G:$G,"xlsx")-COUNTIFS($B:$B,$B103,$G:$G,"xlsx",$C:$C,"~~$*")&gt;1,LEFT(C103,LEN($B103))&lt;&gt;$B103),"",IFERROR(IF(B103="FoPITY",INDEX(Customizations!$C$2:$C$19,MATCH(Sheet1!C103,Customizations!$B$2:$B$19,0),1),INDEX(About!C:C,MATCH(Sheet1!B103,About!B:B,0),1)),""))</f>
        <v>BAU Components Energy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5">
      <c r="A104" t="s">
        <v>9</v>
      </c>
      <c r="B104" t="s">
        <v>15</v>
      </c>
      <c r="C104" t="s">
        <v>27</v>
      </c>
      <c r="G104" t="str">
        <f t="shared" si="2"/>
        <v>.csv</v>
      </c>
      <c r="H104" s="5" t="str">
        <f>IF(AND(G104=".csv",COUNTIFS($B:$B,$B104,$G:$G,"xlsx")-COUNTIFS($B:$B,$B104,$G:$G,"xlsx",$C:$C,"~~$*")&gt;1,LEFT(C104,LEN($B104))&lt;&gt;$B104),"",IFERROR(IF(B104="FoPITY",INDEX(Customizations!$C$2:$C$19,MATCH(Sheet1!C104,Customizations!$B$2:$B$19,0),1),INDEX(About!C:C,MATCH(Sheet1!B104,About!B:B,0),1)),""))</f>
        <v>BAU Components Energy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5">
      <c r="A105" t="s">
        <v>9</v>
      </c>
      <c r="B105" t="s">
        <v>15</v>
      </c>
      <c r="C105" t="s">
        <v>28</v>
      </c>
      <c r="G105" t="str">
        <f t="shared" si="2"/>
        <v>.csv</v>
      </c>
      <c r="H105" s="5" t="str">
        <f>IF(AND(G105=".csv",COUNTIFS($B:$B,$B105,$G:$G,"xlsx")-COUNTIFS($B:$B,$B105,$G:$G,"xlsx",$C:$C,"~~$*")&gt;1,LEFT(C105,LEN($B105))&lt;&gt;$B105),"",IFERROR(IF(B105="FoPITY",INDEX(Customizations!$C$2:$C$19,MATCH(Sheet1!C105,Customizations!$B$2:$B$19,0),1),INDEX(About!C:C,MATCH(Sheet1!B105,About!B:B,0),1)),""))</f>
        <v>BAU Components Energy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5">
      <c r="A106" t="s">
        <v>9</v>
      </c>
      <c r="B106" t="s">
        <v>15</v>
      </c>
      <c r="C106" t="s">
        <v>29</v>
      </c>
      <c r="G106" t="str">
        <f t="shared" si="2"/>
        <v>.csv</v>
      </c>
      <c r="H106" s="5" t="str">
        <f>IF(AND(G106=".csv",COUNTIFS($B:$B,$B106,$G:$G,"xlsx")-COUNTIFS($B:$B,$B106,$G:$G,"xlsx",$C:$C,"~~$*")&gt;1,LEFT(C106,LEN($B106))&lt;&gt;$B106),"",IFERROR(IF(B106="FoPITY",INDEX(Customizations!$C$2:$C$19,MATCH(Sheet1!C106,Customizations!$B$2:$B$19,0),1),INDEX(About!C:C,MATCH(Sheet1!B106,About!B:B,0),1)),""))</f>
        <v>BAU Components Energy Use.xlsx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5">
      <c r="A107" t="s">
        <v>9</v>
      </c>
      <c r="B107" t="s">
        <v>15</v>
      </c>
      <c r="C107" t="s">
        <v>30</v>
      </c>
      <c r="G107" t="str">
        <f t="shared" si="2"/>
        <v>.csv</v>
      </c>
      <c r="H107" s="5" t="str">
        <f>IF(AND(G107=".csv",COUNTIFS($B:$B,$B107,$G:$G,"xlsx")-COUNTIFS($B:$B,$B107,$G:$G,"xlsx",$C:$C,"~~$*")&gt;1,LEFT(C107,LEN($B107))&lt;&gt;$B107),"",IFERROR(IF(B107="FoPITY",INDEX(Customizations!$C$2:$C$19,MATCH(Sheet1!C107,Customizations!$B$2:$B$19,0),1),INDEX(About!C:C,MATCH(Sheet1!B107,About!B:B,0),1)),""))</f>
        <v>BAU Components Energy Use.xlsx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5">
      <c r="A108" t="s">
        <v>9</v>
      </c>
      <c r="B108" t="s">
        <v>15</v>
      </c>
      <c r="C108" t="s">
        <v>31</v>
      </c>
      <c r="G108" t="str">
        <f t="shared" si="2"/>
        <v>.csv</v>
      </c>
      <c r="H108" s="5" t="str">
        <f>IF(AND(G108=".csv",COUNTIFS($B:$B,$B108,$G:$G,"xlsx")-COUNTIFS($B:$B,$B108,$G:$G,"xlsx",$C:$C,"~~$*")&gt;1,LEFT(C108,LEN($B108))&lt;&gt;$B108),"",IFERROR(IF(B108="FoPITY",INDEX(Customizations!$C$2:$C$19,MATCH(Sheet1!C108,Customizations!$B$2:$B$19,0),1),INDEX(About!C:C,MATCH(Sheet1!B108,About!B:B,0),1)),""))</f>
        <v>BAU Components Energy Use.xlsx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5">
      <c r="A109" t="s">
        <v>9</v>
      </c>
      <c r="B109" t="s">
        <v>1736</v>
      </c>
      <c r="C109" t="s">
        <v>1737</v>
      </c>
      <c r="G109" t="str">
        <f t="shared" si="2"/>
        <v>xlsx</v>
      </c>
      <c r="H109" s="5" t="str">
        <f>IF(AND(G109=".csv",COUNTIFS($B:$B,$B109,$G:$G,"xlsx")-COUNTIFS($B:$B,$B109,$G:$G,"xlsx",$C:$C,"~~$*")&gt;1,LEFT(C109,LEN($B109))&lt;&gt;$B109),"",IFERROR(IF(B109="FoPITY",INDEX(Customizations!$C$2:$C$19,MATCH(Sheet1!C109,Customizations!$B$2:$B$19,0),1),INDEX(About!C:C,MATCH(Sheet1!B109,About!B:B,0),1)),""))</f>
        <v>BAU Data Center Load.xlsx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5">
      <c r="A110" t="s">
        <v>9</v>
      </c>
      <c r="B110" t="s">
        <v>1736</v>
      </c>
      <c r="C110" t="s">
        <v>1738</v>
      </c>
      <c r="G110" t="str">
        <f t="shared" si="2"/>
        <v>.csv</v>
      </c>
      <c r="H110" s="5" t="str">
        <f>IF(AND(G110=".csv",COUNTIFS($B:$B,$B110,$G:$G,"xlsx")-COUNTIFS($B:$B,$B110,$G:$G,"xlsx",$C:$C,"~~$*")&gt;1,LEFT(C110,LEN($B110))&lt;&gt;$B110),"",IFERROR(IF(B110="FoPITY",INDEX(Customizations!$C$2:$C$19,MATCH(Sheet1!C110,Customizations!$B$2:$B$19,0),1),INDEX(About!C:C,MATCH(Sheet1!B110,About!B:B,0),1)),""))</f>
        <v>BAU Data Center Load.xlsx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5">
      <c r="A111" t="s">
        <v>9</v>
      </c>
      <c r="B111" t="s">
        <v>1736</v>
      </c>
      <c r="C111" t="s">
        <v>1739</v>
      </c>
      <c r="G111" t="str">
        <f t="shared" si="2"/>
        <v>.csv</v>
      </c>
      <c r="H111" s="5" t="str">
        <f>IF(AND(G111=".csv",COUNTIFS($B:$B,$B111,$G:$G,"xlsx")-COUNTIFS($B:$B,$B111,$G:$G,"xlsx",$C:$C,"~~$*")&gt;1,LEFT(C111,LEN($B111))&lt;&gt;$B111),"",IFERROR(IF(B111="FoPITY",INDEX(Customizations!$C$2:$C$19,MATCH(Sheet1!C111,Customizations!$B$2:$B$19,0),1),INDEX(About!C:C,MATCH(Sheet1!B111,About!B:B,0),1)),""))</f>
        <v>BAU Data Center Load.xlsx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5">
      <c r="A112" t="s">
        <v>9</v>
      </c>
      <c r="B112" t="s">
        <v>1736</v>
      </c>
      <c r="C112" t="s">
        <v>1740</v>
      </c>
      <c r="G112" t="str">
        <f t="shared" si="2"/>
        <v>.csv</v>
      </c>
      <c r="H112" s="5" t="str">
        <f>IF(AND(G112=".csv",COUNTIFS($B:$B,$B112,$G:$G,"xlsx")-COUNTIFS($B:$B,$B112,$G:$G,"xlsx",$C:$C,"~~$*")&gt;1,LEFT(C112,LEN($B112))&lt;&gt;$B112),"",IFERROR(IF(B112="FoPITY",INDEX(Customizations!$C$2:$C$19,MATCH(Sheet1!C112,Customizations!$B$2:$B$19,0),1),INDEX(About!C:C,MATCH(Sheet1!B112,About!B:B,0),1)),""))</f>
        <v>BAU Data Center Load.xlsx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5">
      <c r="A113" t="s">
        <v>9</v>
      </c>
      <c r="B113" t="s">
        <v>1237</v>
      </c>
      <c r="C113" t="s">
        <v>1238</v>
      </c>
      <c r="G113" t="str">
        <f t="shared" si="2"/>
        <v>xlsx</v>
      </c>
      <c r="H113" s="5" t="str">
        <f>IF(AND(G113=".csv",COUNTIFS($B:$B,$B113,$G:$G,"xlsx")-COUNTIFS($B:$B,$B113,$G:$G,"xlsx",$C:$C,"~~$*")&gt;1,LEFT(C113,LEN($B113))&lt;&gt;$B113),"",IFERROR(IF(B113="FoPITY",INDEX(Customizations!$C$2:$C$19,MATCH(Sheet1!C113,Customizations!$B$2:$B$19,0),1),INDEX(About!C:C,MATCH(Sheet1!B113,About!B:B,0),1)),""))</f>
        <v>BAU Distribued Electricity Source Capacities.xlsx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5">
      <c r="A114" t="s">
        <v>9</v>
      </c>
      <c r="B114" t="s">
        <v>1237</v>
      </c>
      <c r="C114" t="s">
        <v>1239</v>
      </c>
      <c r="G114" t="str">
        <f t="shared" si="2"/>
        <v>.csv</v>
      </c>
      <c r="H114" s="5" t="str">
        <f>IF(AND(G114=".csv",COUNTIFS($B:$B,$B114,$G:$G,"xlsx")-COUNTIFS($B:$B,$B114,$G:$G,"xlsx",$C:$C,"~~$*")&gt;1,LEFT(C114,LEN($B114))&lt;&gt;$B114),"",IFERROR(IF(B114="FoPITY",INDEX(Customizations!$C$2:$C$19,MATCH(Sheet1!C114,Customizations!$B$2:$B$19,0),1),INDEX(About!C:C,MATCH(Sheet1!B114,About!B:B,0),1)),""))</f>
        <v>BAU Distribued Electricity Source Capacities.xlsx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5">
      <c r="A115" t="s">
        <v>9</v>
      </c>
      <c r="B115" t="s">
        <v>1237</v>
      </c>
      <c r="C115" t="s">
        <v>1240</v>
      </c>
      <c r="G115" t="str">
        <f t="shared" si="2"/>
        <v>.csv</v>
      </c>
      <c r="H115" s="5" t="str">
        <f>IF(AND(G115=".csv",COUNTIFS($B:$B,$B115,$G:$G,"xlsx")-COUNTIFS($B:$B,$B115,$G:$G,"xlsx",$C:$C,"~~$*")&gt;1,LEFT(C115,LEN($B115))&lt;&gt;$B115),"",IFERROR(IF(B115="FoPITY",INDEX(Customizations!$C$2:$C$19,MATCH(Sheet1!C115,Customizations!$B$2:$B$19,0),1),INDEX(About!C:C,MATCH(Sheet1!B115,About!B:B,0),1)),""))</f>
        <v>BAU Distribued Electricity Source Capacities.xlsx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5">
      <c r="A116" t="s">
        <v>9</v>
      </c>
      <c r="B116" t="s">
        <v>1237</v>
      </c>
      <c r="C116" t="s">
        <v>1241</v>
      </c>
      <c r="G116" t="str">
        <f t="shared" si="2"/>
        <v>.csv</v>
      </c>
      <c r="H116" s="5" t="str">
        <f>IF(AND(G116=".csv",COUNTIFS($B:$B,$B116,$G:$G,"xlsx")-COUNTIFS($B:$B,$B116,$G:$G,"xlsx",$C:$C,"~~$*")&gt;1,LEFT(C116,LEN($B116))&lt;&gt;$B116),"",IFERROR(IF(B116="FoPITY",INDEX(Customizations!$C$2:$C$19,MATCH(Sheet1!C116,Customizations!$B$2:$B$19,0),1),INDEX(About!C:C,MATCH(Sheet1!B116,About!B:B,0),1)),""))</f>
        <v>BAU Distribued Electricity Source Capacities.xlsx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5">
      <c r="A117" t="s">
        <v>9</v>
      </c>
      <c r="B117" t="s">
        <v>1237</v>
      </c>
      <c r="C117" t="s">
        <v>1885</v>
      </c>
      <c r="G117" t="str">
        <f t="shared" si="2"/>
        <v>xlsx</v>
      </c>
      <c r="H117" s="5" t="str">
        <f>IF(AND(G117=".csv",COUNTIFS($B:$B,$B117,$G:$G,"xlsx")-COUNTIFS($B:$B,$B117,$G:$G,"xlsx",$C:$C,"~~$*")&gt;1,LEFT(C117,LEN($B117))&lt;&gt;$B117),"",IFERROR(IF(B117="FoPITY",INDEX(Customizations!$C$2:$C$19,MATCH(Sheet1!C117,Customizations!$B$2:$B$19,0),1),INDEX(About!C:C,MATCH(Sheet1!B117,About!B:B,0),1)),""))</f>
        <v>BAU Distribued Electricity Source Capacities.xlsx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5">
      <c r="A118" t="s">
        <v>9</v>
      </c>
      <c r="B118" t="s">
        <v>32</v>
      </c>
      <c r="C118" t="s">
        <v>33</v>
      </c>
      <c r="G118" t="str">
        <f t="shared" si="2"/>
        <v>xlsx</v>
      </c>
      <c r="H118" s="5" t="str">
        <f>IF(AND(G118=".csv",COUNTIFS($B:$B,$B118,$G:$G,"xlsx")-COUNTIFS($B:$B,$B118,$G:$G,"xlsx",$C:$C,"~~$*")&gt;1,LEFT(C118,LEN($B118))&lt;&gt;$B118),"",IFERROR(IF(B118="FoPITY",INDEX(Customizations!$C$2:$C$19,MATCH(Sheet1!C118,Customizations!$B$2:$B$19,0),1),INDEX(About!C:C,MATCH(Sheet1!B118,About!B:B,0),1)),""))</f>
        <v>BAU Frac of Components Sold by Quality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5">
      <c r="A119" t="s">
        <v>9</v>
      </c>
      <c r="B119" t="s">
        <v>32</v>
      </c>
      <c r="C119" t="s">
        <v>34</v>
      </c>
      <c r="G119" t="str">
        <f t="shared" si="2"/>
        <v>.csv</v>
      </c>
      <c r="H119" s="5" t="str">
        <f>IF(AND(G119=".csv",COUNTIFS($B:$B,$B119,$G:$G,"xlsx")-COUNTIFS($B:$B,$B119,$G:$G,"xlsx",$C:$C,"~~$*")&gt;1,LEFT(C119,LEN($B119))&lt;&gt;$B119),"",IFERROR(IF(B119="FoPITY",INDEX(Customizations!$C$2:$C$19,MATCH(Sheet1!C119,Customizations!$B$2:$B$19,0),1),INDEX(About!C:C,MATCH(Sheet1!B119,About!B:B,0),1)),""))</f>
        <v>BAU Frac of Components Sold by Quality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5">
      <c r="A120" t="s">
        <v>9</v>
      </c>
      <c r="B120" t="s">
        <v>32</v>
      </c>
      <c r="C120" t="s">
        <v>35</v>
      </c>
      <c r="G120" t="str">
        <f t="shared" si="2"/>
        <v>.csv</v>
      </c>
      <c r="H120" s="5" t="str">
        <f>IF(AND(G120=".csv",COUNTIFS($B:$B,$B120,$G:$G,"xlsx")-COUNTIFS($B:$B,$B120,$G:$G,"xlsx",$C:$C,"~~$*")&gt;1,LEFT(C120,LEN($B120))&lt;&gt;$B120),"",IFERROR(IF(B120="FoPITY",INDEX(Customizations!$C$2:$C$19,MATCH(Sheet1!C120,Customizations!$B$2:$B$19,0),1),INDEX(About!C:C,MATCH(Sheet1!B120,About!B:B,0),1)),""))</f>
        <v>BAU Frac of Components Sold by Quality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5">
      <c r="A121" t="s">
        <v>9</v>
      </c>
      <c r="B121" t="s">
        <v>32</v>
      </c>
      <c r="C121" t="s">
        <v>36</v>
      </c>
      <c r="G121" t="str">
        <f t="shared" si="2"/>
        <v>.csv</v>
      </c>
      <c r="H121" s="5" t="str">
        <f>IF(AND(G121=".csv",COUNTIFS($B:$B,$B121,$G:$G,"xlsx")-COUNTIFS($B:$B,$B121,$G:$G,"xlsx",$C:$C,"~~$*")&gt;1,LEFT(C121,LEN($B121))&lt;&gt;$B121),"",IFERROR(IF(B121="FoPITY",INDEX(Customizations!$C$2:$C$19,MATCH(Sheet1!C121,Customizations!$B$2:$B$19,0),1),INDEX(About!C:C,MATCH(Sheet1!B121,About!B:B,0),1)),""))</f>
        <v>BAU Frac of Components Sold by Quality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5">
      <c r="A122" t="s">
        <v>9</v>
      </c>
      <c r="B122" t="s">
        <v>1018</v>
      </c>
      <c r="C122" t="s">
        <v>1019</v>
      </c>
      <c r="G122" t="str">
        <f t="shared" si="2"/>
        <v>xlsx</v>
      </c>
      <c r="H122" s="5" t="str">
        <f>IF(AND(G122=".csv",COUNTIFS($B:$B,$B122,$G:$G,"xlsx")-COUNTIFS($B:$B,$B122,$G:$G,"xlsx",$C:$C,"~~$*")&gt;1,LEFT(C122,LEN($B122))&lt;&gt;$B122),"",IFERROR(IF(B122="FoPITY",INDEX(Customizations!$C$2:$C$19,MATCH(Sheet1!C122,Customizations!$B$2:$B$19,0),1),INDEX(About!C:C,MATCH(Sheet1!B122,About!B:B,0),1)),""))</f>
        <v>BAU Perc Subsidy for Distributed Solar PV Capacity.xlsx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5">
      <c r="A123" t="s">
        <v>9</v>
      </c>
      <c r="B123" t="s">
        <v>1018</v>
      </c>
      <c r="C123" t="s">
        <v>1020</v>
      </c>
      <c r="G123" t="str">
        <f t="shared" si="2"/>
        <v>.csv</v>
      </c>
      <c r="H123" s="5" t="str">
        <f>IF(AND(G123=".csv",COUNTIFS($B:$B,$B123,$G:$G,"xlsx")-COUNTIFS($B:$B,$B123,$G:$G,"xlsx",$C:$C,"~~$*")&gt;1,LEFT(C123,LEN($B123))&lt;&gt;$B123),"",IFERROR(IF(B123="FoPITY",INDEX(Customizations!$C$2:$C$19,MATCH(Sheet1!C123,Customizations!$B$2:$B$19,0),1),INDEX(About!C:C,MATCH(Sheet1!B123,About!B:B,0),1)),""))</f>
        <v>BAU Perc Subsidy for Distributed Solar PV Capacity.xlsx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5">
      <c r="A124" t="s">
        <v>9</v>
      </c>
      <c r="B124" t="s">
        <v>37</v>
      </c>
      <c r="C124" t="s">
        <v>38</v>
      </c>
      <c r="G124" t="str">
        <f t="shared" si="2"/>
        <v>xlsx</v>
      </c>
      <c r="H124" s="5" t="str">
        <f>IF(AND(G124=".csv",COUNTIFS($B:$B,$B124,$G:$G,"xlsx")-COUNTIFS($B:$B,$B124,$G:$G,"xlsx",$C:$C,"~~$*")&gt;1,LEFT(C124,LEN($B124))&lt;&gt;$B124),"",IFERROR(IF(B124="FoPITY",INDEX(Customizations!$C$2:$C$19,MATCH(Sheet1!C124,Customizations!$B$2:$B$19,0),1),INDEX(About!C:C,MATCH(Sheet1!B124,About!B:B,0),1)),""))</f>
        <v>Bldg Retrofitting E Savings and Costs.xlsx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5">
      <c r="A125" t="s">
        <v>9</v>
      </c>
      <c r="B125" t="s">
        <v>37</v>
      </c>
      <c r="C125" t="s">
        <v>39</v>
      </c>
      <c r="G125" t="str">
        <f t="shared" si="2"/>
        <v>.csv</v>
      </c>
      <c r="H125" s="5" t="str">
        <f>IF(AND(G125=".csv",COUNTIFS($B:$B,$B125,$G:$G,"xlsx")-COUNTIFS($B:$B,$B125,$G:$G,"xlsx",$C:$C,"~~$*")&gt;1,LEFT(C125,LEN($B125))&lt;&gt;$B125),"",IFERROR(IF(B125="FoPITY",INDEX(Customizations!$C$2:$C$19,MATCH(Sheet1!C125,Customizations!$B$2:$B$19,0),1),INDEX(About!C:C,MATCH(Sheet1!B125,About!B:B,0),1)),""))</f>
        <v>Bldg Retrofitting E Savings and Costs.xlsx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5">
      <c r="A126" t="s">
        <v>9</v>
      </c>
      <c r="B126" t="s">
        <v>37</v>
      </c>
      <c r="C126" t="s">
        <v>40</v>
      </c>
      <c r="G126" t="str">
        <f t="shared" si="2"/>
        <v>.csv</v>
      </c>
      <c r="H126" s="5" t="str">
        <f>IF(AND(G126=".csv",COUNTIFS($B:$B,$B126,$G:$G,"xlsx")-COUNTIFS($B:$B,$B126,$G:$G,"xlsx",$C:$C,"~~$*")&gt;1,LEFT(C126,LEN($B126))&lt;&gt;$B126),"",IFERROR(IF(B126="FoPITY",INDEX(Customizations!$C$2:$C$19,MATCH(Sheet1!C126,Customizations!$B$2:$B$19,0),1),INDEX(About!C:C,MATCH(Sheet1!B126,About!B:B,0),1)),""))</f>
        <v>Bldg Retrofitting E Savings and Costs.xlsx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5">
      <c r="A127" t="s">
        <v>9</v>
      </c>
      <c r="B127" t="s">
        <v>1431</v>
      </c>
      <c r="C127" t="s">
        <v>1741</v>
      </c>
      <c r="G127" t="str">
        <f t="shared" si="2"/>
        <v>xlsx</v>
      </c>
      <c r="H127" s="5" t="str">
        <f>IF(AND(G127=".csv",COUNTIFS($B:$B,$B127,$G:$G,"xlsx")-COUNTIFS($B:$B,$B127,$G:$G,"xlsx",$C:$C,"~~$*")&gt;1,LEFT(C127,LEN($B127))&lt;&gt;$B127),"",IFERROR(IF(B127="FoPITY",INDEX(Customizations!$C$2:$C$19,MATCH(Sheet1!C127,Customizations!$B$2:$B$19,0),1),INDEX(About!C:C,MATCH(Sheet1!B127,About!B:B,0),1)),""))</f>
        <v>Change in Distributed Electricity Source Capacities This Year.xlsx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5">
      <c r="A128" t="s">
        <v>9</v>
      </c>
      <c r="B128" t="s">
        <v>1431</v>
      </c>
      <c r="C128" t="s">
        <v>1432</v>
      </c>
      <c r="G128" t="str">
        <f t="shared" si="2"/>
        <v>xlsx</v>
      </c>
      <c r="H128" s="5" t="str">
        <f>IF(AND(G128=".csv",COUNTIFS($B:$B,$B128,$G:$G,"xlsx")-COUNTIFS($B:$B,$B128,$G:$G,"xlsx",$C:$C,"~~$*")&gt;1,LEFT(C128,LEN($B128))&lt;&gt;$B128),"",IFERROR(IF(B128="FoPITY",INDEX(Customizations!$C$2:$C$19,MATCH(Sheet1!C128,Customizations!$B$2:$B$19,0),1),INDEX(About!C:C,MATCH(Sheet1!B128,About!B:B,0),1)),""))</f>
        <v>Change in Distributed Electricity Source Capacities This Year.xlsx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5">
      <c r="A129" t="s">
        <v>9</v>
      </c>
      <c r="B129" t="s">
        <v>1431</v>
      </c>
      <c r="C129" t="s">
        <v>1433</v>
      </c>
      <c r="G129" t="str">
        <f t="shared" si="2"/>
        <v>.csv</v>
      </c>
      <c r="H129" s="5" t="str">
        <f>IF(AND(G129=".csv",COUNTIFS($B:$B,$B129,$G:$G,"xlsx")-COUNTIFS($B:$B,$B129,$G:$G,"xlsx",$C:$C,"~~$*")&gt;1,LEFT(C129,LEN($B129))&lt;&gt;$B129),"",IFERROR(IF(B129="FoPITY",INDEX(Customizations!$C$2:$C$19,MATCH(Sheet1!C129,Customizations!$B$2:$B$19,0),1),INDEX(About!C:C,MATCH(Sheet1!B129,About!B:B,0),1)),""))</f>
        <v>Change in Distributed Electricity Source Capacities This Year.xlsx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5">
      <c r="A130" t="s">
        <v>9</v>
      </c>
      <c r="B130" t="s">
        <v>1431</v>
      </c>
      <c r="C130" t="s">
        <v>1434</v>
      </c>
      <c r="G130" t="str">
        <f t="shared" si="2"/>
        <v>.csv</v>
      </c>
      <c r="H130" s="5" t="str">
        <f>IF(AND(G130=".csv",COUNTIFS($B:$B,$B130,$G:$G,"xlsx")-COUNTIFS($B:$B,$B130,$G:$G,"xlsx",$C:$C,"~~$*")&gt;1,LEFT(C130,LEN($B130))&lt;&gt;$B130),"",IFERROR(IF(B130="FoPITY",INDEX(Customizations!$C$2:$C$19,MATCH(Sheet1!C130,Customizations!$B$2:$B$19,0),1),INDEX(About!C:C,MATCH(Sheet1!B130,About!B:B,0),1)),""))</f>
        <v>Change in Distributed Electricity Source Capacities This Year.xlsx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5">
      <c r="A131" t="s">
        <v>9</v>
      </c>
      <c r="B131" t="s">
        <v>1431</v>
      </c>
      <c r="C131" t="s">
        <v>1435</v>
      </c>
      <c r="G131" t="str">
        <f t="shared" si="2"/>
        <v>.csv</v>
      </c>
      <c r="H131" s="5" t="str">
        <f>IF(AND(G131=".csv",COUNTIFS($B:$B,$B131,$G:$G,"xlsx")-COUNTIFS($B:$B,$B131,$G:$G,"xlsx",$C:$C,"~~$*")&gt;1,LEFT(C131,LEN($B131))&lt;&gt;$B131),"",IFERROR(IF(B131="FoPITY",INDEX(Customizations!$C$2:$C$19,MATCH(Sheet1!C131,Customizations!$B$2:$B$19,0),1),INDEX(About!C:C,MATCH(Sheet1!B131,About!B:B,0),1)),""))</f>
        <v>Change in Distributed Electricity Source Capacities This Year.xlsx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5">
      <c r="A132" t="s">
        <v>9</v>
      </c>
      <c r="B132" t="s">
        <v>1431</v>
      </c>
      <c r="C132" t="s">
        <v>1886</v>
      </c>
      <c r="G132" t="str">
        <f t="shared" si="2"/>
        <v>xlsx</v>
      </c>
      <c r="H132" s="5" t="str">
        <f>IF(AND(G132=".csv",COUNTIFS($B:$B,$B132,$G:$G,"xlsx")-COUNTIFS($B:$B,$B132,$G:$G,"xlsx",$C:$C,"~~$*")&gt;1,LEFT(C132,LEN($B132))&lt;&gt;$B132),"",IFERROR(IF(B132="FoPITY",INDEX(Customizations!$C$2:$C$19,MATCH(Sheet1!C132,Customizations!$B$2:$B$19,0),1),INDEX(About!C:C,MATCH(Sheet1!B132,About!B:B,0),1)),""))</f>
        <v>Change in Distributed Electricity Source Capacities This Year.xlsx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5">
      <c r="A133" t="s">
        <v>9</v>
      </c>
      <c r="B133" t="s">
        <v>41</v>
      </c>
      <c r="C133" t="s">
        <v>42</v>
      </c>
      <c r="G133" t="str">
        <f t="shared" ref="G133:G196" si="4">RIGHT(C133,"4")</f>
        <v>.csv</v>
      </c>
      <c r="H133" s="5" t="str">
        <f>IF(AND(G133=".csv",COUNTIFS($B:$B,$B133,$G:$G,"xlsx")-COUNTIFS($B:$B,$B133,$G:$G,"xlsx",$C:$C,"~~$*")&gt;1,LEFT(C133,LEN($B133))&lt;&gt;$B133),"",IFERROR(IF(B133="FoPITY",INDEX(Customizations!$C$2:$C$19,MATCH(Sheet1!C133,Customizations!$B$2:$B$19,0),1),INDEX(About!C:C,MATCH(Sheet1!B133,About!B:B,0),1)),""))</f>
        <v>Component Lifetime.xlsx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5">
      <c r="A134" t="s">
        <v>9</v>
      </c>
      <c r="B134" t="s">
        <v>41</v>
      </c>
      <c r="C134" t="s">
        <v>43</v>
      </c>
      <c r="G134" t="str">
        <f t="shared" si="4"/>
        <v>xlsx</v>
      </c>
      <c r="H134" s="5" t="str">
        <f>IF(AND(G134=".csv",COUNTIFS($B:$B,$B134,$G:$G,"xlsx")-COUNTIFS($B:$B,$B134,$G:$G,"xlsx",$C:$C,"~~$*")&gt;1,LEFT(C134,LEN($B134))&lt;&gt;$B134),"",IFERROR(IF(B134="FoPITY",INDEX(Customizations!$C$2:$C$19,MATCH(Sheet1!C134,Customizations!$B$2:$B$19,0),1),INDEX(About!C:C,MATCH(Sheet1!B134,About!B:B,0),1)),""))</f>
        <v>Component Lifetime.xlsx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5">
      <c r="A135" t="s">
        <v>9</v>
      </c>
      <c r="B135" t="s">
        <v>44</v>
      </c>
      <c r="C135" t="s">
        <v>45</v>
      </c>
      <c r="G135" t="str">
        <f t="shared" si="4"/>
        <v>xlsx</v>
      </c>
      <c r="H135" s="5" t="str">
        <f>IF(AND(G135=".csv",COUNTIFS($B:$B,$B135,$G:$G,"xlsx")-COUNTIFS($B:$B,$B135,$G:$G,"xlsx",$C:$C,"~~$*")&gt;1,LEFT(C135,LEN($B135))&lt;&gt;$B135),"",IFERROR(IF(B135="FoPITY",INDEX(Customizations!$C$2:$C$19,MATCH(Sheet1!C135,Customizations!$B$2:$B$19,0),1),INDEX(About!C:C,MATCH(Sheet1!B135,About!B:B,0),1)),""))</f>
        <v>Cost per Unit Dist Solar Cap.xlsx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44</v>
      </c>
      <c r="C136" t="s">
        <v>730</v>
      </c>
      <c r="G136" t="str">
        <f t="shared" si="4"/>
        <v>.csv</v>
      </c>
      <c r="H136" s="5" t="str">
        <f>IF(AND(G136=".csv",COUNTIFS($B:$B,$B136,$G:$G,"xlsx")-COUNTIFS($B:$B,$B136,$G:$G,"xlsx",$C:$C,"~~$*")&gt;1,LEFT(C136,LEN($B136))&lt;&gt;$B136),"",IFERROR(IF(B136="FoPITY",INDEX(Customizations!$C$2:$C$19,MATCH(Sheet1!C136,Customizations!$B$2:$B$19,0),1),INDEX(About!C:C,MATCH(Sheet1!B136,About!B:B,0),1)),""))</f>
        <v>Cost per Unit Dist Solar Cap.xlsx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5">
      <c r="A137" t="s">
        <v>9</v>
      </c>
      <c r="B137" t="s">
        <v>44</v>
      </c>
      <c r="C137" t="s">
        <v>731</v>
      </c>
      <c r="G137" t="str">
        <f t="shared" si="4"/>
        <v>.csv</v>
      </c>
      <c r="H137" s="5" t="str">
        <f>IF(AND(G137=".csv",COUNTIFS($B:$B,$B137,$G:$G,"xlsx")-COUNTIFS($B:$B,$B137,$G:$G,"xlsx",$C:$C,"~~$*")&gt;1,LEFT(C137,LEN($B137))&lt;&gt;$B137),"",IFERROR(IF(B137="FoPITY",INDEX(Customizations!$C$2:$C$19,MATCH(Sheet1!C137,Customizations!$B$2:$B$19,0),1),INDEX(About!C:C,MATCH(Sheet1!B137,About!B:B,0),1)),""))</f>
        <v>Cost per Unit Dist Solar Cap.xlsx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5">
      <c r="A138" t="s">
        <v>9</v>
      </c>
      <c r="B138" t="s">
        <v>46</v>
      </c>
      <c r="C138" t="s">
        <v>47</v>
      </c>
      <c r="G138" t="str">
        <f t="shared" si="4"/>
        <v>xlsx</v>
      </c>
      <c r="H138" s="5" t="str">
        <f>IF(AND(G138=".csv",COUNTIFS($B:$B,$B138,$G:$G,"xlsx")-COUNTIFS($B:$B,$B138,$G:$G,"xlsx",$C:$C,"~~$*")&gt;1,LEFT(C138,LEN($B138))&lt;&gt;$B138),"",IFERROR(IF(B138="FoPITY",INDEX(Customizations!$C$2:$C$19,MATCH(Sheet1!C138,Customizations!$B$2:$B$19,0),1),INDEX(About!C:C,MATCH(Sheet1!B138,About!B:B,0),1)),""))</f>
        <v>Elast of Bldg Svc Demand wrt E Cost.xlsx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5">
      <c r="A139" t="s">
        <v>9</v>
      </c>
      <c r="B139" t="s">
        <v>46</v>
      </c>
      <c r="C139" t="s">
        <v>48</v>
      </c>
      <c r="G139" t="str">
        <f t="shared" si="4"/>
        <v>.csv</v>
      </c>
      <c r="H139" s="5" t="str">
        <f>IF(AND(G139=".csv",COUNTIFS($B:$B,$B139,$G:$G,"xlsx")-COUNTIFS($B:$B,$B139,$G:$G,"xlsx",$C:$C,"~~$*")&gt;1,LEFT(C139,LEN($B139))&lt;&gt;$B139),"",IFERROR(IF(B139="FoPITY",INDEX(Customizations!$C$2:$C$19,MATCH(Sheet1!C139,Customizations!$B$2:$B$19,0),1),INDEX(About!C:C,MATCH(Sheet1!B139,About!B:B,0),1)),""))</f>
        <v>Elast of Bldg Svc Demand wrt E Cost.xlsx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5">
      <c r="A140" t="s">
        <v>9</v>
      </c>
      <c r="B140" t="s">
        <v>49</v>
      </c>
      <c r="C140" t="s">
        <v>50</v>
      </c>
      <c r="G140" t="str">
        <f t="shared" si="4"/>
        <v>xlsx</v>
      </c>
      <c r="H140" s="5" t="str">
        <f>IF(AND(G140=".csv",COUNTIFS($B:$B,$B140,$G:$G,"xlsx")-COUNTIFS($B:$B,$B140,$G:$G,"xlsx",$C:$C,"~~$*")&gt;1,LEFT(C140,LEN($B140))&lt;&gt;$B140),"",IFERROR(IF(B140="FoPITY",INDEX(Customizations!$C$2:$C$19,MATCH(Sheet1!C140,Customizations!$B$2:$B$19,0),1),INDEX(About!C:C,MATCH(Sheet1!B140,About!B:B,0),1)),""))</f>
        <v>Elast of Component E Demand wrt E Cost.xlsx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5">
      <c r="A141" t="s">
        <v>9</v>
      </c>
      <c r="B141" t="s">
        <v>49</v>
      </c>
      <c r="C141" t="s">
        <v>51</v>
      </c>
      <c r="G141" t="str">
        <f t="shared" si="4"/>
        <v>.csv</v>
      </c>
      <c r="H141" s="5" t="str">
        <f>IF(AND(G141=".csv",COUNTIFS($B:$B,$B141,$G:$G,"xlsx")-COUNTIFS($B:$B,$B141,$G:$G,"xlsx",$C:$C,"~~$*")&gt;1,LEFT(C141,LEN($B141))&lt;&gt;$B141),"",IFERROR(IF(B141="FoPITY",INDEX(Customizations!$C$2:$C$19,MATCH(Sheet1!C141,Customizations!$B$2:$B$19,0),1),INDEX(About!C:C,MATCH(Sheet1!B141,About!B:B,0),1)),""))</f>
        <v>Elast of Component E Demand wrt E Cost.xlsx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5">
      <c r="A142" t="s">
        <v>9</v>
      </c>
      <c r="B142" t="s">
        <v>52</v>
      </c>
      <c r="C142" t="s">
        <v>53</v>
      </c>
      <c r="G142" t="str">
        <f t="shared" si="4"/>
        <v>xlsx</v>
      </c>
      <c r="H142" s="5" t="str">
        <f>IF(AND(G142=".csv",COUNTIFS($B:$B,$B142,$G:$G,"xlsx")-COUNTIFS($B:$B,$B142,$G:$G,"xlsx",$C:$C,"~~$*")&gt;1,LEFT(C142,LEN($B142))&lt;&gt;$B142),"",IFERROR(IF(B142="FoPITY",INDEX(Customizations!$C$2:$C$19,MATCH(Sheet1!C142,Customizations!$B$2:$B$19,0),1),INDEX(About!C:C,MATCH(Sheet1!B142,About!B:B,0),1)),""))</f>
        <v>Elast of Component Price wrt E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5">
      <c r="A143" t="s">
        <v>9</v>
      </c>
      <c r="B143" t="s">
        <v>52</v>
      </c>
      <c r="C143" t="s">
        <v>54</v>
      </c>
      <c r="G143" t="str">
        <f t="shared" si="4"/>
        <v>.csv</v>
      </c>
      <c r="H143" s="5" t="str">
        <f>IF(AND(G143=".csv",COUNTIFS($B:$B,$B143,$G:$G,"xlsx")-COUNTIFS($B:$B,$B143,$G:$G,"xlsx",$C:$C,"~~$*")&gt;1,LEFT(C143,LEN($B143))&lt;&gt;$B143),"",IFERROR(IF(B143="FoPITY",INDEX(Customizations!$C$2:$C$19,MATCH(Sheet1!C143,Customizations!$B$2:$B$19,0),1),INDEX(About!C:C,MATCH(Sheet1!B143,About!B:B,0),1)),""))</f>
        <v>Elast of Component Price wrt E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5">
      <c r="A144" t="s">
        <v>9</v>
      </c>
      <c r="B144" t="s">
        <v>52</v>
      </c>
      <c r="C144" t="s">
        <v>1887</v>
      </c>
      <c r="G144" t="str">
        <f t="shared" si="4"/>
        <v>xlsx</v>
      </c>
      <c r="H144" s="5" t="str">
        <f>IF(AND(G144=".csv",COUNTIFS($B:$B,$B144,$G:$G,"xlsx")-COUNTIFS($B:$B,$B144,$G:$G,"xlsx",$C:$C,"~~$*")&gt;1,LEFT(C144,LEN($B144))&lt;&gt;$B144),"",IFERROR(IF(B144="FoPITY",INDEX(Customizations!$C$2:$C$19,MATCH(Sheet1!C144,Customizations!$B$2:$B$19,0),1),INDEX(About!C:C,MATCH(Sheet1!B144,About!B:B,0),1)),""))</f>
        <v>Elast of Component Price wrt E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5">
      <c r="A145" t="s">
        <v>9</v>
      </c>
      <c r="B145" t="s">
        <v>55</v>
      </c>
      <c r="C145" t="s">
        <v>56</v>
      </c>
      <c r="G145" t="str">
        <f t="shared" si="4"/>
        <v>xlsx</v>
      </c>
      <c r="H145" s="5" t="str">
        <f>IF(AND(G145=".csv",COUNTIFS($B:$B,$B145,$G:$G,"xlsx")-COUNTIFS($B:$B,$B145,$G:$G,"xlsx",$C:$C,"~~$*")&gt;1,LEFT(C145,LEN($B145))&lt;&gt;$B145),"",IFERROR(IF(B145="FoPITY",INDEX(Customizations!$C$2:$C$19,MATCH(Sheet1!C145,Customizations!$B$2:$B$19,0),1),INDEX(About!C:C,MATCH(Sheet1!B145,About!B:B,0),1)),""))</f>
        <v>Elasticity of Dist Solar Deployment wrt Subsidy Perc.xlsx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5">
      <c r="A146" t="s">
        <v>9</v>
      </c>
      <c r="B146" t="s">
        <v>55</v>
      </c>
      <c r="C146" t="s">
        <v>57</v>
      </c>
      <c r="G146" t="str">
        <f t="shared" si="4"/>
        <v>.csv</v>
      </c>
      <c r="H146" s="5" t="str">
        <f>IF(AND(G146=".csv",COUNTIFS($B:$B,$B146,$G:$G,"xlsx")-COUNTIFS($B:$B,$B146,$G:$G,"xlsx",$C:$C,"~~$*")&gt;1,LEFT(C146,LEN($B146))&lt;&gt;$B146),"",IFERROR(IF(B146="FoPITY",INDEX(Customizations!$C$2:$C$19,MATCH(Sheet1!C146,Customizations!$B$2:$B$19,0),1),INDEX(About!C:C,MATCH(Sheet1!B146,About!B:B,0),1)),""))</f>
        <v>Elasticity of Dist Solar Deployment wrt Subsidy Perc.xlsx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5">
      <c r="A147" t="s">
        <v>9</v>
      </c>
      <c r="B147" t="s">
        <v>58</v>
      </c>
      <c r="C147" t="s">
        <v>59</v>
      </c>
      <c r="G147" t="str">
        <f t="shared" si="4"/>
        <v>.csv</v>
      </c>
      <c r="H147" s="5" t="str">
        <f>IF(AND(G147=".csv",COUNTIFS($B:$B,$B147,$G:$G,"xlsx")-COUNTIFS($B:$B,$B147,$G:$G,"xlsx",$C:$C,"~~$*")&gt;1,LEFT(C147,LEN($B147))&lt;&gt;$B147),"",IFERROR(IF(B147="FoPITY",INDEX(Customizations!$C$2:$C$19,MATCH(Sheet1!C147,Customizations!$B$2:$B$19,0),1),INDEX(About!C:C,MATCH(Sheet1!B147,About!B:B,0),1)),""))</f>
        <v>Frac of Bldgs Owned by Entity.xlsx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5">
      <c r="A148" t="s">
        <v>9</v>
      </c>
      <c r="B148" t="s">
        <v>58</v>
      </c>
      <c r="C148" t="s">
        <v>60</v>
      </c>
      <c r="G148" t="str">
        <f t="shared" si="4"/>
        <v>xlsx</v>
      </c>
      <c r="H148" s="5" t="str">
        <f>IF(AND(G148=".csv",COUNTIFS($B:$B,$B148,$G:$G,"xlsx")-COUNTIFS($B:$B,$B148,$G:$G,"xlsx",$C:$C,"~~$*")&gt;1,LEFT(C148,LEN($B148))&lt;&gt;$B148),"",IFERROR(IF(B148="FoPITY",INDEX(Customizations!$C$2:$C$19,MATCH(Sheet1!C148,Customizations!$B$2:$B$19,0),1),INDEX(About!C:C,MATCH(Sheet1!B148,About!B:B,0),1)),""))</f>
        <v>Frac of Bldgs Owned by Entity.xlsx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5">
      <c r="A149" t="s">
        <v>9</v>
      </c>
      <c r="B149" t="s">
        <v>788</v>
      </c>
      <c r="C149" t="s">
        <v>789</v>
      </c>
      <c r="G149" t="str">
        <f t="shared" si="4"/>
        <v>.csv</v>
      </c>
      <c r="H149" s="5" t="str">
        <f>IF(AND(G149=".csv",COUNTIFS($B:$B,$B149,$G:$G,"xlsx")-COUNTIFS($B:$B,$B149,$G:$G,"xlsx",$C:$C,"~~$*")&gt;1,LEFT(C149,LEN($B149))&lt;&gt;$B149),"",IFERROR(IF(B149="FoPITY",INDEX(Customizations!$C$2:$C$19,MATCH(Sheet1!C149,Customizations!$B$2:$B$19,0),1),INDEX(About!C:C,MATCH(Sheet1!B149,About!B:B,0),1)),""))</f>
        <v>Incr Cost per Unit E for Electrified Building Equipment.xlsx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5">
      <c r="A150" t="s">
        <v>9</v>
      </c>
      <c r="B150" t="s">
        <v>788</v>
      </c>
      <c r="C150" t="s">
        <v>790</v>
      </c>
      <c r="G150" t="str">
        <f t="shared" si="4"/>
        <v>.csv</v>
      </c>
      <c r="H150" s="5" t="str">
        <f>IF(AND(G150=".csv",COUNTIFS($B:$B,$B150,$G:$G,"xlsx")-COUNTIFS($B:$B,$B150,$G:$G,"xlsx",$C:$C,"~~$*")&gt;1,LEFT(C150,LEN($B150))&lt;&gt;$B150),"",IFERROR(IF(B150="FoPITY",INDEX(Customizations!$C$2:$C$19,MATCH(Sheet1!C150,Customizations!$B$2:$B$19,0),1),INDEX(About!C:C,MATCH(Sheet1!B150,About!B:B,0),1)),""))</f>
        <v>Incr Cost per Unit E for Electrified Building Equipment.xlsx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5">
      <c r="A151" t="s">
        <v>9</v>
      </c>
      <c r="B151" t="s">
        <v>788</v>
      </c>
      <c r="C151" t="s">
        <v>791</v>
      </c>
      <c r="G151" t="str">
        <f t="shared" si="4"/>
        <v>.csv</v>
      </c>
      <c r="H151" s="5" t="str">
        <f>IF(AND(G151=".csv",COUNTIFS($B:$B,$B151,$G:$G,"xlsx")-COUNTIFS($B:$B,$B151,$G:$G,"xlsx",$C:$C,"~~$*")&gt;1,LEFT(C151,LEN($B151))&lt;&gt;$B151),"",IFERROR(IF(B151="FoPITY",INDEX(Customizations!$C$2:$C$19,MATCH(Sheet1!C151,Customizations!$B$2:$B$19,0),1),INDEX(About!C:C,MATCH(Sheet1!B151,About!B:B,0),1)),""))</f>
        <v>Incr Cost per Unit E for Electrified Building Equipment.xlsx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5">
      <c r="A152" t="s">
        <v>9</v>
      </c>
      <c r="B152" t="s">
        <v>788</v>
      </c>
      <c r="C152" t="s">
        <v>792</v>
      </c>
      <c r="G152" t="str">
        <f t="shared" si="4"/>
        <v>.csv</v>
      </c>
      <c r="H152" s="5" t="str">
        <f>IF(AND(G152=".csv",COUNTIFS($B:$B,$B152,$G:$G,"xlsx")-COUNTIFS($B:$B,$B152,$G:$G,"xlsx",$C:$C,"~~$*")&gt;1,LEFT(C152,LEN($B152))&lt;&gt;$B152),"",IFERROR(IF(B152="FoPITY",INDEX(Customizations!$C$2:$C$19,MATCH(Sheet1!C152,Customizations!$B$2:$B$19,0),1),INDEX(About!C:C,MATCH(Sheet1!B152,About!B:B,0),1)),""))</f>
        <v>Incr Cost per Unit E for Electrified Building Equipment.xlsx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5">
      <c r="A153" t="s">
        <v>9</v>
      </c>
      <c r="B153" t="s">
        <v>788</v>
      </c>
      <c r="C153" t="s">
        <v>793</v>
      </c>
      <c r="G153" t="str">
        <f t="shared" si="4"/>
        <v>.csv</v>
      </c>
      <c r="H153" s="5" t="str">
        <f>IF(AND(G153=".csv",COUNTIFS($B:$B,$B153,$G:$G,"xlsx")-COUNTIFS($B:$B,$B153,$G:$G,"xlsx",$C:$C,"~~$*")&gt;1,LEFT(C153,LEN($B153))&lt;&gt;$B153),"",IFERROR(IF(B153="FoPITY",INDEX(Customizations!$C$2:$C$19,MATCH(Sheet1!C153,Customizations!$B$2:$B$19,0),1),INDEX(About!C:C,MATCH(Sheet1!B153,About!B:B,0),1)),""))</f>
        <v>Incr Cost per Unit E for Electrified Building Equipment.xlsx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5">
      <c r="A154" t="s">
        <v>9</v>
      </c>
      <c r="B154" t="s">
        <v>788</v>
      </c>
      <c r="C154" t="s">
        <v>794</v>
      </c>
      <c r="G154" t="str">
        <f t="shared" si="4"/>
        <v>.csv</v>
      </c>
      <c r="H154" s="5" t="str">
        <f>IF(AND(G154=".csv",COUNTIFS($B:$B,$B154,$G:$G,"xlsx")-COUNTIFS($B:$B,$B154,$G:$G,"xlsx",$C:$C,"~~$*")&gt;1,LEFT(C154,LEN($B154))&lt;&gt;$B154),"",IFERROR(IF(B154="FoPITY",INDEX(Customizations!$C$2:$C$19,MATCH(Sheet1!C154,Customizations!$B$2:$B$19,0),1),INDEX(About!C:C,MATCH(Sheet1!B154,About!B:B,0),1)),""))</f>
        <v>Incr Cost per Unit E for Electrified Building Equipment.xlsx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5">
      <c r="A155" t="s">
        <v>9</v>
      </c>
      <c r="B155" t="s">
        <v>788</v>
      </c>
      <c r="C155" t="s">
        <v>795</v>
      </c>
      <c r="G155" t="str">
        <f t="shared" si="4"/>
        <v>.csv</v>
      </c>
      <c r="H155" s="5" t="str">
        <f>IF(AND(G155=".csv",COUNTIFS($B:$B,$B155,$G:$G,"xlsx")-COUNTIFS($B:$B,$B155,$G:$G,"xlsx",$C:$C,"~~$*")&gt;1,LEFT(C155,LEN($B155))&lt;&gt;$B155),"",IFERROR(IF(B155="FoPITY",INDEX(Customizations!$C$2:$C$19,MATCH(Sheet1!C155,Customizations!$B$2:$B$19,0),1),INDEX(About!C:C,MATCH(Sheet1!B155,About!B:B,0),1)),""))</f>
        <v>Incr Cost per Unit E for Electrified Building Equipment.xlsx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5">
      <c r="A156" t="s">
        <v>9</v>
      </c>
      <c r="B156" t="s">
        <v>788</v>
      </c>
      <c r="C156" t="s">
        <v>796</v>
      </c>
      <c r="G156" t="str">
        <f t="shared" si="4"/>
        <v>.csv</v>
      </c>
      <c r="H156" s="5" t="str">
        <f>IF(AND(G156=".csv",COUNTIFS($B:$B,$B156,$G:$G,"xlsx")-COUNTIFS($B:$B,$B156,$G:$G,"xlsx",$C:$C,"~~$*")&gt;1,LEFT(C156,LEN($B156))&lt;&gt;$B156),"",IFERROR(IF(B156="FoPITY",INDEX(Customizations!$C$2:$C$19,MATCH(Sheet1!C156,Customizations!$B$2:$B$19,0),1),INDEX(About!C:C,MATCH(Sheet1!B156,About!B:B,0),1)),""))</f>
        <v>Incr Cost per Unit E for Electrified Building Equipment.xlsx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5">
      <c r="A157" t="s">
        <v>9</v>
      </c>
      <c r="B157" t="s">
        <v>788</v>
      </c>
      <c r="C157" t="s">
        <v>797</v>
      </c>
      <c r="G157" t="str">
        <f t="shared" si="4"/>
        <v>.csv</v>
      </c>
      <c r="H157" s="5" t="str">
        <f>IF(AND(G157=".csv",COUNTIFS($B:$B,$B157,$G:$G,"xlsx")-COUNTIFS($B:$B,$B157,$G:$G,"xlsx",$C:$C,"~~$*")&gt;1,LEFT(C157,LEN($B157))&lt;&gt;$B157),"",IFERROR(IF(B157="FoPITY",INDEX(Customizations!$C$2:$C$19,MATCH(Sheet1!C157,Customizations!$B$2:$B$19,0),1),INDEX(About!C:C,MATCH(Sheet1!B157,About!B:B,0),1)),""))</f>
        <v>Incr Cost per Unit E for Electrified Building Equipment.xlsx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5">
      <c r="A158" t="s">
        <v>9</v>
      </c>
      <c r="B158" t="s">
        <v>788</v>
      </c>
      <c r="C158" t="s">
        <v>798</v>
      </c>
      <c r="G158" t="str">
        <f t="shared" si="4"/>
        <v>xlsx</v>
      </c>
      <c r="H158" s="5" t="str">
        <f>IF(AND(G158=".csv",COUNTIFS($B:$B,$B158,$G:$G,"xlsx")-COUNTIFS($B:$B,$B158,$G:$G,"xlsx",$C:$C,"~~$*")&gt;1,LEFT(C158,LEN($B158))&lt;&gt;$B158),"",IFERROR(IF(B158="FoPITY",INDEX(Customizations!$C$2:$C$19,MATCH(Sheet1!C158,Customizations!$B$2:$B$19,0),1),INDEX(About!C:C,MATCH(Sheet1!B158,About!B:B,0),1)),""))</f>
        <v>Incr Cost per Unit E for Electrified Building Equipment.xlsx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5">
      <c r="A159" t="s">
        <v>9</v>
      </c>
      <c r="B159" t="s">
        <v>1436</v>
      </c>
      <c r="C159" t="s">
        <v>1437</v>
      </c>
      <c r="G159" t="str">
        <f t="shared" si="4"/>
        <v>xlsx</v>
      </c>
      <c r="H159" s="5" t="str">
        <f>IF(AND(G159=".csv",COUNTIFS($B:$B,$B159,$G:$G,"xlsx")-COUNTIFS($B:$B,$B159,$G:$G,"xlsx",$C:$C,"~~$*")&gt;1,LEFT(C159,LEN($B159))&lt;&gt;$B159),"",IFERROR(IF(B159="FoPITY",INDEX(Customizations!$C$2:$C$19,MATCH(Sheet1!C159,Customizations!$B$2:$B$19,0),1),INDEX(About!C:C,MATCH(Sheet1!B159,About!B:B,0),1)),""))</f>
        <v>Max Distrib Solar Capacity.xlsx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5">
      <c r="A160" t="s">
        <v>9</v>
      </c>
      <c r="B160" t="s">
        <v>1436</v>
      </c>
      <c r="C160" t="s">
        <v>1438</v>
      </c>
      <c r="G160" t="str">
        <f t="shared" si="4"/>
        <v>.csv</v>
      </c>
      <c r="H160" s="5" t="str">
        <f>IF(AND(G160=".csv",COUNTIFS($B:$B,$B160,$G:$G,"xlsx")-COUNTIFS($B:$B,$B160,$G:$G,"xlsx",$C:$C,"~~$*")&gt;1,LEFT(C160,LEN($B160))&lt;&gt;$B160),"",IFERROR(IF(B160="FoPITY",INDEX(Customizations!$C$2:$C$19,MATCH(Sheet1!C160,Customizations!$B$2:$B$19,0),1),INDEX(About!C:C,MATCH(Sheet1!B160,About!B:B,0),1)),""))</f>
        <v>Max Distrib Solar Capacity.xlsx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5">
      <c r="A161" t="s">
        <v>9</v>
      </c>
      <c r="B161" t="s">
        <v>61</v>
      </c>
      <c r="C161" t="s">
        <v>62</v>
      </c>
      <c r="G161" t="str">
        <f t="shared" si="4"/>
        <v>xlsx</v>
      </c>
      <c r="H161" s="5" t="str">
        <f>IF(AND(G161=".csv",COUNTIFS($B:$B,$B161,$G:$G,"xlsx")-COUNTIFS($B:$B,$B161,$G:$G,"xlsx",$C:$C,"~~$*")&gt;1,LEFT(C161,LEN($B161))&lt;&gt;$B161),"",IFERROR(IF(B161="FoPITY",INDEX(Customizations!$C$2:$C$19,MATCH(Sheet1!C161,Customizations!$B$2:$B$19,0),1),INDEX(About!C:C,MATCH(Sheet1!B161,About!B:B,0),1)),""))</f>
        <v>Market Share Changes due to Rebate Prog by Qual Lvl.xlsx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5">
      <c r="A162" t="s">
        <v>9</v>
      </c>
      <c r="B162" t="s">
        <v>61</v>
      </c>
      <c r="C162" t="s">
        <v>63</v>
      </c>
      <c r="G162" t="str">
        <f t="shared" si="4"/>
        <v>.csv</v>
      </c>
      <c r="H162" s="5" t="str">
        <f>IF(AND(G162=".csv",COUNTIFS($B:$B,$B162,$G:$G,"xlsx")-COUNTIFS($B:$B,$B162,$G:$G,"xlsx",$C:$C,"~~$*")&gt;1,LEFT(C162,LEN($B162))&lt;&gt;$B162),"",IFERROR(IF(B162="FoPITY",INDEX(Customizations!$C$2:$C$19,MATCH(Sheet1!C162,Customizations!$B$2:$B$19,0),1),INDEX(About!C:C,MATCH(Sheet1!B162,About!B:B,0),1)),""))</f>
        <v>Market Share Changes due to Rebate Prog by Qual Lvl.xlsx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5">
      <c r="A163" t="s">
        <v>9</v>
      </c>
      <c r="B163" t="s">
        <v>64</v>
      </c>
      <c r="C163" t="s">
        <v>65</v>
      </c>
      <c r="G163" t="str">
        <f t="shared" si="4"/>
        <v>.csv</v>
      </c>
      <c r="H163" s="5" t="str">
        <f>IF(AND(G163=".csv",COUNTIFS($B:$B,$B163,$G:$G,"xlsx")-COUNTIFS($B:$B,$B163,$G:$G,"xlsx",$C:$C,"~~$*")&gt;1,LEFT(C163,LEN($B163))&lt;&gt;$B163),"",IFERROR(IF(B163="FoPITY",INDEX(Customizations!$C$2:$C$19,MATCH(Sheet1!C163,Customizations!$B$2:$B$19,0),1),INDEX(About!C:C,MATCH(Sheet1!B163,About!B:B,0),1)),""))</f>
        <v>Perc Components Fuel Use Reduction for Electricity.xlsx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5">
      <c r="A164" t="s">
        <v>9</v>
      </c>
      <c r="B164" t="s">
        <v>64</v>
      </c>
      <c r="C164" t="s">
        <v>66</v>
      </c>
      <c r="G164" t="str">
        <f t="shared" si="4"/>
        <v>xlsx</v>
      </c>
      <c r="H164" s="5" t="str">
        <f>IF(AND(G164=".csv",COUNTIFS($B:$B,$B164,$G:$G,"xlsx")-COUNTIFS($B:$B,$B164,$G:$G,"xlsx",$C:$C,"~~$*")&gt;1,LEFT(C164,LEN($B164))&lt;&gt;$B164),"",IFERROR(IF(B164="FoPITY",INDEX(Customizations!$C$2:$C$19,MATCH(Sheet1!C164,Customizations!$B$2:$B$19,0),1),INDEX(About!C:C,MATCH(Sheet1!B164,About!B:B,0),1)),""))</f>
        <v>Perc Components Fuel Use Reduction for Electricity.xlsx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5">
      <c r="A165" t="s">
        <v>9</v>
      </c>
      <c r="B165" t="s">
        <v>67</v>
      </c>
      <c r="C165" t="s">
        <v>68</v>
      </c>
      <c r="G165" t="str">
        <f t="shared" si="4"/>
        <v>xlsx</v>
      </c>
      <c r="H165" s="5" t="str">
        <f>IF(AND(G165=".csv",COUNTIFS($B:$B,$B165,$G:$G,"xlsx")-COUNTIFS($B:$B,$B165,$G:$G,"xlsx",$C:$C,"~~$*")&gt;1,LEFT(C165,LEN($B165))&lt;&gt;$B165),"",IFERROR(IF(B165="FoPITY",INDEX(Customizations!$C$2:$C$19,MATCH(Sheet1!C165,Customizations!$B$2:$B$19,0),1),INDEX(About!C:C,MATCH(Sheet1!B165,About!B:B,0),1)),""))</f>
        <v>Perc E Use Difference from Std by Qual Level.xlsx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5">
      <c r="A166" t="s">
        <v>9</v>
      </c>
      <c r="B166" t="s">
        <v>67</v>
      </c>
      <c r="C166" t="s">
        <v>69</v>
      </c>
      <c r="G166" t="str">
        <f t="shared" si="4"/>
        <v>.csv</v>
      </c>
      <c r="H166" s="5" t="str">
        <f>IF(AND(G166=".csv",COUNTIFS($B:$B,$B166,$G:$G,"xlsx")-COUNTIFS($B:$B,$B166,$G:$G,"xlsx",$C:$C,"~~$*")&gt;1,LEFT(C166,LEN($B166))&lt;&gt;$B166),"",IFERROR(IF(B166="FoPITY",INDEX(Customizations!$C$2:$C$19,MATCH(Sheet1!C166,Customizations!$B$2:$B$19,0),1),INDEX(About!C:C,MATCH(Sheet1!B166,About!B:B,0),1)),""))</f>
        <v>Perc E Use Difference from Std by Qual Level.xlsx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5">
      <c r="A167" t="s">
        <v>9</v>
      </c>
      <c r="B167" t="s">
        <v>70</v>
      </c>
      <c r="C167" t="s">
        <v>71</v>
      </c>
      <c r="G167" t="str">
        <f t="shared" si="4"/>
        <v>xlsx</v>
      </c>
      <c r="H167" s="5" t="str">
        <f>IF(AND(G167=".csv",COUNTIFS($B:$B,$B167,$G:$G,"xlsx")-COUNTIFS($B:$B,$B167,$G:$G,"xlsx",$C:$C,"~~$*")&gt;1,LEFT(C167,LEN($B167))&lt;&gt;$B167),"",IFERROR(IF(B167="FoPITY",INDEX(Customizations!$C$2:$C$19,MATCH(Sheet1!C167,Customizations!$B$2:$B$19,0),1),INDEX(About!C:C,MATCH(Sheet1!B167,About!B:B,0),1)),""))</f>
        <v>Pot Perc Eff Impr due to Impr Contractor Edu and Training.xlsx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5">
      <c r="A168" t="s">
        <v>9</v>
      </c>
      <c r="B168" t="s">
        <v>70</v>
      </c>
      <c r="C168" t="s">
        <v>72</v>
      </c>
      <c r="G168" t="str">
        <f t="shared" si="4"/>
        <v>.csv</v>
      </c>
      <c r="H168" s="5" t="str">
        <f>IF(AND(G168=".csv",COUNTIFS($B:$B,$B168,$G:$G,"xlsx")-COUNTIFS($B:$B,$B168,$G:$G,"xlsx",$C:$C,"~~$*")&gt;1,LEFT(C168,LEN($B168))&lt;&gt;$B168),"",IFERROR(IF(B168="FoPITY",INDEX(Customizations!$C$2:$C$19,MATCH(Sheet1!C168,Customizations!$B$2:$B$19,0),1),INDEX(About!C:C,MATCH(Sheet1!B168,About!B:B,0),1)),""))</f>
        <v>Pot Perc Eff Impr due to Impr Contractor Edu and Training.xlsx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5">
      <c r="A169" t="s">
        <v>9</v>
      </c>
      <c r="B169" t="s">
        <v>73</v>
      </c>
      <c r="C169" t="s">
        <v>74</v>
      </c>
      <c r="G169" t="str">
        <f t="shared" si="4"/>
        <v>xlsx</v>
      </c>
      <c r="H169" s="5" t="str">
        <f>IF(AND(G169=".csv",COUNTIFS($B:$B,$B169,$G:$G,"xlsx")-COUNTIFS($B:$B,$B169,$G:$G,"xlsx",$C:$C,"~~$*")&gt;1,LEFT(C169,LEN($B169))&lt;&gt;$B169),"",IFERROR(IF(B169="FoPITY",INDEX(Customizations!$C$2:$C$19,MATCH(Sheet1!C169,Customizations!$B$2:$B$19,0),1),INDEX(About!C:C,MATCH(Sheet1!B169,About!B:B,0),1)),""))</f>
        <v>Potential Perc Eff Improvement due to Impr Labeling.xlsx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5">
      <c r="A170" t="s">
        <v>9</v>
      </c>
      <c r="B170" t="s">
        <v>73</v>
      </c>
      <c r="C170" t="s">
        <v>75</v>
      </c>
      <c r="G170" t="str">
        <f t="shared" si="4"/>
        <v>.csv</v>
      </c>
      <c r="H170" s="5" t="str">
        <f>IF(AND(G170=".csv",COUNTIFS($B:$B,$B170,$G:$G,"xlsx")-COUNTIFS($B:$B,$B170,$G:$G,"xlsx",$C:$C,"~~$*")&gt;1,LEFT(C170,LEN($B170))&lt;&gt;$B170),"",IFERROR(IF(B170="FoPITY",INDEX(Customizations!$C$2:$C$19,MATCH(Sheet1!C170,Customizations!$B$2:$B$19,0),1),INDEX(About!C:C,MATCH(Sheet1!B170,About!B:B,0),1)),""))</f>
        <v>Potential Perc Eff Improvement due to Impr Labeling.xlsx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5">
      <c r="A171" t="s">
        <v>9</v>
      </c>
      <c r="B171" t="s">
        <v>76</v>
      </c>
      <c r="C171" t="s">
        <v>77</v>
      </c>
      <c r="G171" t="str">
        <f t="shared" si="4"/>
        <v>.csv</v>
      </c>
      <c r="H171" s="5" t="str">
        <f>IF(AND(G171=".csv",COUNTIFS($B:$B,$B171,$G:$G,"xlsx")-COUNTIFS($B:$B,$B171,$G:$G,"xlsx",$C:$C,"~~$*")&gt;1,LEFT(C171,LEN($B171))&lt;&gt;$B171),"",IFERROR(IF(B171="FoPITY",INDEX(Customizations!$C$2:$C$19,MATCH(Sheet1!C171,Customizations!$B$2:$B$19,0),1),INDEX(About!C:C,MATCH(Sheet1!B171,About!B:B,0),1)),""))</f>
        <v>Recipient Buildings Fuel Fractions.xlsx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5">
      <c r="A172" t="s">
        <v>9</v>
      </c>
      <c r="B172" t="s">
        <v>76</v>
      </c>
      <c r="C172" t="s">
        <v>78</v>
      </c>
      <c r="G172" t="str">
        <f t="shared" si="4"/>
        <v>xlsx</v>
      </c>
      <c r="H172" s="5" t="str">
        <f>IF(AND(G172=".csv",COUNTIFS($B:$B,$B172,$G:$G,"xlsx")-COUNTIFS($B:$B,$B172,$G:$G,"xlsx",$C:$C,"~~$*")&gt;1,LEFT(C172,LEN($B172))&lt;&gt;$B172),"",IFERROR(IF(B172="FoPITY",INDEX(Customizations!$C$2:$C$19,MATCH(Sheet1!C172,Customizations!$B$2:$B$19,0),1),INDEX(About!C:C,MATCH(Sheet1!B172,About!B:B,0),1)),""))</f>
        <v>Recipient Buildings Fuel Fractions.xlsx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5">
      <c r="A173" t="s">
        <v>9</v>
      </c>
      <c r="B173" t="s">
        <v>661</v>
      </c>
      <c r="C173" t="s">
        <v>662</v>
      </c>
      <c r="G173" t="str">
        <f t="shared" si="4"/>
        <v>xlsx</v>
      </c>
      <c r="H173" s="5" t="str">
        <f>IF(AND(G173=".csv",COUNTIFS($B:$B,$B173,$G:$G,"xlsx")-COUNTIFS($B:$B,$B173,$G:$G,"xlsx",$C:$C,"~~$*")&gt;1,LEFT(C173,LEN($B173))&lt;&gt;$B173),"",IFERROR(IF(B173="FoPITY",INDEX(Customizations!$C$2:$C$19,MATCH(Sheet1!C173,Customizations!$B$2:$B$19,0),1),INDEX(About!C:C,MATCH(Sheet1!B173,About!B:B,0),1)),""))</f>
        <v>Rebate Perc by Building Component Type.xlsx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5">
      <c r="A174" t="s">
        <v>9</v>
      </c>
      <c r="B174" t="s">
        <v>661</v>
      </c>
      <c r="C174" t="s">
        <v>663</v>
      </c>
      <c r="G174" t="str">
        <f t="shared" si="4"/>
        <v>.csv</v>
      </c>
      <c r="H174" s="5" t="str">
        <f>IF(AND(G174=".csv",COUNTIFS($B:$B,$B174,$G:$G,"xlsx")-COUNTIFS($B:$B,$B174,$G:$G,"xlsx",$C:$C,"~~$*")&gt;1,LEFT(C174,LEN($B174))&lt;&gt;$B174),"",IFERROR(IF(B174="FoPITY",INDEX(Customizations!$C$2:$C$19,MATCH(Sheet1!C174,Customizations!$B$2:$B$19,0),1),INDEX(About!C:C,MATCH(Sheet1!B174,About!B:B,0),1)),""))</f>
        <v>Rebate Perc by Building Component Type.xlsx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5">
      <c r="A175" t="s">
        <v>9</v>
      </c>
      <c r="B175" t="s">
        <v>1439</v>
      </c>
      <c r="C175" t="s">
        <v>1440</v>
      </c>
      <c r="G175" t="str">
        <f t="shared" si="4"/>
        <v>.csv</v>
      </c>
      <c r="H175" s="5" t="str">
        <f>IF(AND(G175=".csv",COUNTIFS($B:$B,$B175,$G:$G,"xlsx")-COUNTIFS($B:$B,$B175,$G:$G,"xlsx",$C:$C,"~~$*")&gt;1,LEFT(C175,LEN($B175))&lt;&gt;$B175),"",IFERROR(IF(B175="FoPITY",INDEX(Customizations!$C$2:$C$19,MATCH(Sheet1!C175,Customizations!$B$2:$B$19,0),1),INDEX(About!C:C,MATCH(Sheet1!B175,About!B:B,0),1)),""))</f>
        <v>RPfFESCC Repayment Period for Financed Buildings Sector Capital Costs.xlsx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5">
      <c r="A176" t="s">
        <v>9</v>
      </c>
      <c r="B176" t="s">
        <v>1439</v>
      </c>
      <c r="C176" t="s">
        <v>1441</v>
      </c>
      <c r="G176" t="str">
        <f t="shared" si="4"/>
        <v>xlsx</v>
      </c>
      <c r="H176" s="5" t="str">
        <f>IF(AND(G176=".csv",COUNTIFS($B:$B,$B176,$G:$G,"xlsx")-COUNTIFS($B:$B,$B176,$G:$G,"xlsx",$C:$C,"~~$*")&gt;1,LEFT(C176,LEN($B176))&lt;&gt;$B176),"",IFERROR(IF(B176="FoPITY",INDEX(Customizations!$C$2:$C$19,MATCH(Sheet1!C176,Customizations!$B$2:$B$19,0),1),INDEX(About!C:C,MATCH(Sheet1!B176,About!B:B,0),1)),""))</f>
        <v>RPfFESCC Repayment Period for Financed Buildings Sector Capital Costs.xlsx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5">
      <c r="A177" t="s">
        <v>9</v>
      </c>
      <c r="B177" t="s">
        <v>664</v>
      </c>
      <c r="C177" t="s">
        <v>665</v>
      </c>
      <c r="G177" t="str">
        <f t="shared" si="4"/>
        <v>xlsx</v>
      </c>
      <c r="H177" s="5" t="str">
        <f>IF(AND(G177=".csv",COUNTIFS($B:$B,$B177,$G:$G,"xlsx")-COUNTIFS($B:$B,$B177,$G:$G,"xlsx",$C:$C,"~~$*")&gt;1,LEFT(C177,LEN($B177))&lt;&gt;$B177),"",IFERROR(IF(B177="FoPITY",INDEX(Customizations!$C$2:$C$19,MATCH(Sheet1!C177,Customizations!$B$2:$B$19,0),1),INDEX(About!C:C,MATCH(Sheet1!B177,About!B:B,0),1)),""))</f>
        <v>Shr of Bldg Cap and Instl Costs by ISIC Code.xlsx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5">
      <c r="A178" t="s">
        <v>9</v>
      </c>
      <c r="B178" t="s">
        <v>664</v>
      </c>
      <c r="C178" t="s">
        <v>666</v>
      </c>
      <c r="G178" t="str">
        <f t="shared" si="4"/>
        <v>.csv</v>
      </c>
      <c r="H178" s="5" t="str">
        <f>IF(AND(G178=".csv",COUNTIFS($B:$B,$B178,$G:$G,"xlsx")-COUNTIFS($B:$B,$B178,$G:$G,"xlsx",$C:$C,"~~$*")&gt;1,LEFT(C178,LEN($B178))&lt;&gt;$B178),"",IFERROR(IF(B178="FoPITY",INDEX(Customizations!$C$2:$C$19,MATCH(Sheet1!C178,Customizations!$B$2:$B$19,0),1),INDEX(About!C:C,MATCH(Sheet1!B178,About!B:B,0),1)),""))</f>
        <v>Shr of Bldg Cap and Instl Costs by ISIC Code.xlsx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5">
      <c r="A179" t="s">
        <v>9</v>
      </c>
      <c r="B179" t="s">
        <v>664</v>
      </c>
      <c r="C179" t="s">
        <v>667</v>
      </c>
      <c r="G179" t="str">
        <f t="shared" si="4"/>
        <v>.csv</v>
      </c>
      <c r="H179" s="5" t="str">
        <f>IF(AND(G179=".csv",COUNTIFS($B:$B,$B179,$G:$G,"xlsx")-COUNTIFS($B:$B,$B179,$G:$G,"xlsx",$C:$C,"~~$*")&gt;1,LEFT(C179,LEN($B179))&lt;&gt;$B179),"",IFERROR(IF(B179="FoPITY",INDEX(Customizations!$C$2:$C$19,MATCH(Sheet1!C179,Customizations!$B$2:$B$19,0),1),INDEX(About!C:C,MATCH(Sheet1!B179,About!B:B,0),1)),""))</f>
        <v>Shr of Bldg Cap and Instl Costs by ISIC Code.xlsx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5">
      <c r="A180" t="s">
        <v>9</v>
      </c>
      <c r="B180" t="s">
        <v>664</v>
      </c>
      <c r="C180" t="s">
        <v>668</v>
      </c>
      <c r="G180" t="str">
        <f t="shared" si="4"/>
        <v>.csv</v>
      </c>
      <c r="H180" s="5" t="str">
        <f>IF(AND(G180=".csv",COUNTIFS($B:$B,$B180,$G:$G,"xlsx")-COUNTIFS($B:$B,$B180,$G:$G,"xlsx",$C:$C,"~~$*")&gt;1,LEFT(C180,LEN($B180))&lt;&gt;$B180),"",IFERROR(IF(B180="FoPITY",INDEX(Customizations!$C$2:$C$19,MATCH(Sheet1!C180,Customizations!$B$2:$B$19,0),1),INDEX(About!C:C,MATCH(Sheet1!B180,About!B:B,0),1)),""))</f>
        <v>Shr of Bldg Cap and Instl Costs by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5">
      <c r="A181" t="s">
        <v>9</v>
      </c>
      <c r="B181" t="s">
        <v>843</v>
      </c>
      <c r="C181" t="s">
        <v>844</v>
      </c>
      <c r="G181" t="str">
        <f t="shared" si="4"/>
        <v>xlsx</v>
      </c>
      <c r="H181" s="5" t="str">
        <f>IF(AND(G181=".csv",COUNTIFS($B:$B,$B181,$G:$G,"xlsx")-COUNTIFS($B:$B,$B181,$G:$G,"xlsx",$C:$C,"~~$*")&gt;1,LEFT(C181,LEN($B181))&lt;&gt;$B181),"",IFERROR(IF(B181="FoPITY",INDEX(Customizations!$C$2:$C$19,MATCH(Sheet1!C181,Customizations!$B$2:$B$19,0),1),INDEX(About!C:C,MATCH(Sheet1!B181,About!B:B,0),1)),""))</f>
        <v>Shr of Blgd Rtrft Cost Borne by Govt.xlsx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5">
      <c r="A182" t="s">
        <v>9</v>
      </c>
      <c r="B182" t="s">
        <v>843</v>
      </c>
      <c r="C182" t="s">
        <v>845</v>
      </c>
      <c r="G182" t="str">
        <f t="shared" si="4"/>
        <v>.csv</v>
      </c>
      <c r="H182" s="5" t="str">
        <f>IF(AND(G182=".csv",COUNTIFS($B:$B,$B182,$G:$G,"xlsx")-COUNTIFS($B:$B,$B182,$G:$G,"xlsx",$C:$C,"~~$*")&gt;1,LEFT(C182,LEN($B182))&lt;&gt;$B182),"",IFERROR(IF(B182="FoPITY",INDEX(Customizations!$C$2:$C$19,MATCH(Sheet1!C182,Customizations!$B$2:$B$19,0),1),INDEX(About!C:C,MATCH(Sheet1!B182,About!B:B,0),1)),""))</f>
        <v>Shr of Blgd Rtrft Cost Borne by Govt.xlsx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5">
      <c r="A183" t="s">
        <v>9</v>
      </c>
      <c r="B183" t="s">
        <v>79</v>
      </c>
      <c r="C183" t="s">
        <v>80</v>
      </c>
      <c r="G183" t="str">
        <f t="shared" si="4"/>
        <v>xlsx</v>
      </c>
      <c r="H183" s="5" t="str">
        <f>IF(AND(G183=".csv",COUNTIFS($B:$B,$B183,$G:$G,"xlsx")-COUNTIFS($B:$B,$B183,$G:$G,"xlsx",$C:$C,"~~$*")&gt;1,LEFT(C183,LEN($B183))&lt;&gt;$B183),"",IFERROR(IF(B183="FoPITY",INDEX(Customizations!$C$2:$C$19,MATCH(Sheet1!C183,Customizations!$B$2:$B$19,0),1),INDEX(About!C:C,MATCH(Sheet1!B183,About!B:B,0),1)),""))</f>
        <v>Share of Cpnt E Use that is New This Year.xlsx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5">
      <c r="A184" t="s">
        <v>9</v>
      </c>
      <c r="B184" t="s">
        <v>79</v>
      </c>
      <c r="C184" t="s">
        <v>81</v>
      </c>
      <c r="G184" t="str">
        <f t="shared" si="4"/>
        <v>.csv</v>
      </c>
      <c r="H184" s="5" t="str">
        <f>IF(AND(G184=".csv",COUNTIFS($B:$B,$B184,$G:$G,"xlsx")-COUNTIFS($B:$B,$B184,$G:$G,"xlsx",$C:$C,"~~$*")&gt;1,LEFT(C184,LEN($B184))&lt;&gt;$B184),"",IFERROR(IF(B184="FoPITY",INDEX(Customizations!$C$2:$C$19,MATCH(Sheet1!C184,Customizations!$B$2:$B$19,0),1),INDEX(About!C:C,MATCH(Sheet1!B184,About!B:B,0),1)),""))</f>
        <v>Share of Cpnt E Use that is New This Year.xlsx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5">
      <c r="A185" t="s">
        <v>9</v>
      </c>
      <c r="B185" t="s">
        <v>818</v>
      </c>
      <c r="C185" t="s">
        <v>819</v>
      </c>
      <c r="G185" t="str">
        <f t="shared" si="4"/>
        <v>xlsx</v>
      </c>
      <c r="H185" s="5" t="str">
        <f>IF(AND(G185=".csv",COUNTIFS($B:$B,$B185,$G:$G,"xlsx")-COUNTIFS($B:$B,$B185,$G:$G,"xlsx",$C:$C,"~~$*")&gt;1,LEFT(C185,LEN($B185))&lt;&gt;$B185),"",IFERROR(IF(B185="FoPITY",INDEX(Customizations!$C$2:$C$19,MATCH(Sheet1!C185,Customizations!$B$2:$B$19,0),1),INDEX(About!C:C,MATCH(Sheet1!B185,About!B:B,0),1)),""))</f>
        <v>Shr of Dist Solar Costs by Rcpnt ISIC Code.xlsx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5">
      <c r="A186" t="s">
        <v>9</v>
      </c>
      <c r="B186" t="s">
        <v>818</v>
      </c>
      <c r="C186" t="s">
        <v>820</v>
      </c>
      <c r="G186" t="str">
        <f t="shared" si="4"/>
        <v>.csv</v>
      </c>
      <c r="H186" s="5" t="str">
        <f>IF(AND(G186=".csv",COUNTIFS($B:$B,$B186,$G:$G,"xlsx")-COUNTIFS($B:$B,$B186,$G:$G,"xlsx",$C:$C,"~~$*")&gt;1,LEFT(C186,LEN($B186))&lt;&gt;$B186),"",IFERROR(IF(B186="FoPITY",INDEX(Customizations!$C$2:$C$19,MATCH(Sheet1!C186,Customizations!$B$2:$B$19,0),1),INDEX(About!C:C,MATCH(Sheet1!B186,About!B:B,0),1)),""))</f>
        <v>Shr of Dist Solar Costs by Rcpnt ISIC Code.xlsx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5">
      <c r="A187" t="s">
        <v>9</v>
      </c>
      <c r="B187" t="s">
        <v>669</v>
      </c>
      <c r="C187" t="s">
        <v>670</v>
      </c>
      <c r="G187" t="str">
        <f t="shared" si="4"/>
        <v>xlsx</v>
      </c>
      <c r="H187" s="5" t="str">
        <f>IF(AND(G187=".csv",COUNTIFS($B:$B,$B187,$G:$G,"xlsx")-COUNTIFS($B:$B,$B187,$G:$G,"xlsx",$C:$C,"~~$*")&gt;1,LEFT(C187,LEN($B187))&lt;&gt;$B187),"",IFERROR(IF(B187="FoPITY",INDEX(Customizations!$C$2:$C$19,MATCH(Sheet1!C187,Customizations!$B$2:$B$19,0),1),INDEX(About!C:C,MATCH(Sheet1!B187,About!B:B,0),1)),""))</f>
        <v>Start Year Components Energy Use.xlsx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5">
      <c r="A188" t="s">
        <v>9</v>
      </c>
      <c r="B188" t="s">
        <v>669</v>
      </c>
      <c r="C188" t="s">
        <v>671</v>
      </c>
      <c r="G188" t="str">
        <f t="shared" si="4"/>
        <v>.csv</v>
      </c>
      <c r="H188" s="5" t="str">
        <f>IF(AND(G188=".csv",COUNTIFS($B:$B,$B188,$G:$G,"xlsx")-COUNTIFS($B:$B,$B188,$G:$G,"xlsx",$C:$C,"~~$*")&gt;1,LEFT(C188,LEN($B188))&lt;&gt;$B188),"",IFERROR(IF(B188="FoPITY",INDEX(Customizations!$C$2:$C$19,MATCH(Sheet1!C188,Customizations!$B$2:$B$19,0),1),INDEX(About!C:C,MATCH(Sheet1!B188,About!B:B,0),1)),""))</f>
        <v>Start Year Components Energy Use.xlsx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5">
      <c r="A189" t="s">
        <v>9</v>
      </c>
      <c r="B189" t="s">
        <v>669</v>
      </c>
      <c r="C189" t="s">
        <v>672</v>
      </c>
      <c r="G189" t="str">
        <f t="shared" si="4"/>
        <v>.csv</v>
      </c>
      <c r="H189" s="5" t="str">
        <f>IF(AND(G189=".csv",COUNTIFS($B:$B,$B189,$G:$G,"xlsx")-COUNTIFS($B:$B,$B189,$G:$G,"xlsx",$C:$C,"~~$*")&gt;1,LEFT(C189,LEN($B189))&lt;&gt;$B189),"",IFERROR(IF(B189="FoPITY",INDEX(Customizations!$C$2:$C$19,MATCH(Sheet1!C189,Customizations!$B$2:$B$19,0),1),INDEX(About!C:C,MATCH(Sheet1!B189,About!B:B,0),1)),""))</f>
        <v>Start Year Components Energy Use.xlsx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5">
      <c r="A190" t="s">
        <v>9</v>
      </c>
      <c r="B190" t="s">
        <v>669</v>
      </c>
      <c r="C190" t="s">
        <v>673</v>
      </c>
      <c r="G190" t="str">
        <f t="shared" si="4"/>
        <v>.csv</v>
      </c>
      <c r="H190" s="5" t="str">
        <f>IF(AND(G190=".csv",COUNTIFS($B:$B,$B190,$G:$G,"xlsx")-COUNTIFS($B:$B,$B190,$G:$G,"xlsx",$C:$C,"~~$*")&gt;1,LEFT(C190,LEN($B190))&lt;&gt;$B190),"",IFERROR(IF(B190="FoPITY",INDEX(Customizations!$C$2:$C$19,MATCH(Sheet1!C190,Customizations!$B$2:$B$19,0),1),INDEX(About!C:C,MATCH(Sheet1!B190,About!B:B,0),1)),""))</f>
        <v>Start Year Components Energy Use.xlsx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5">
      <c r="A191" t="s">
        <v>9</v>
      </c>
      <c r="B191" t="s">
        <v>674</v>
      </c>
      <c r="C191" t="s">
        <v>675</v>
      </c>
      <c r="G191" t="str">
        <f t="shared" si="4"/>
        <v>xlsx</v>
      </c>
      <c r="H191" s="5" t="str">
        <f>IF(AND(G191=".csv",COUNTIFS($B:$B,$B191,$G:$G,"xlsx")-COUNTIFS($B:$B,$B191,$G:$G,"xlsx",$C:$C,"~~$*")&gt;1,LEFT(C191,LEN($B191))&lt;&gt;$B191),"",IFERROR(IF(B191="FoPITY",INDEX(Customizations!$C$2:$C$19,MATCH(Sheet1!C191,Customizations!$B$2:$B$19,0),1),INDEX(About!C:C,MATCH(Sheet1!B191,About!B:B,0),1)),""))</f>
        <v>Start Year Distributed Electricity Capacity.xlsx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5">
      <c r="A192" t="s">
        <v>9</v>
      </c>
      <c r="B192" t="s">
        <v>674</v>
      </c>
      <c r="C192" t="s">
        <v>676</v>
      </c>
      <c r="G192" t="str">
        <f t="shared" si="4"/>
        <v>.csv</v>
      </c>
      <c r="H192" s="5" t="str">
        <f>IF(AND(G192=".csv",COUNTIFS($B:$B,$B192,$G:$G,"xlsx")-COUNTIFS($B:$B,$B192,$G:$G,"xlsx",$C:$C,"~~$*")&gt;1,LEFT(C192,LEN($B192))&lt;&gt;$B192),"",IFERROR(IF(B192="FoPITY",INDEX(Customizations!$C$2:$C$19,MATCH(Sheet1!C192,Customizations!$B$2:$B$19,0),1),INDEX(About!C:C,MATCH(Sheet1!B192,About!B:B,0),1)),""))</f>
        <v>Start Year Distributed Electricity Capacity.xlsx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5">
      <c r="A193" t="s">
        <v>82</v>
      </c>
      <c r="B193" t="s">
        <v>1021</v>
      </c>
      <c r="C193" t="s">
        <v>1022</v>
      </c>
      <c r="G193" t="str">
        <f t="shared" si="4"/>
        <v>xlsx</v>
      </c>
      <c r="H193" s="5" t="str">
        <f>IF(AND(G193=".csv",COUNTIFS($B:$B,$B193,$G:$G,"xlsx")-COUNTIFS($B:$B,$B193,$G:$G,"xlsx",$C:$C,"~~$*")&gt;1,LEFT(C193,LEN($B193))&lt;&gt;$B193),"",IFERROR(IF(B193="FoPITY",INDEX(Customizations!$C$2:$C$19,MATCH(Sheet1!C193,Customizations!$B$2:$B$19,0),1),INDEX(About!C:C,MATCH(Sheet1!B193,About!B:B,0),1)),""))</f>
        <v>BAU CCS Subsidy.xlsx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5">
      <c r="A194" t="s">
        <v>82</v>
      </c>
      <c r="B194" t="s">
        <v>1021</v>
      </c>
      <c r="C194" t="s">
        <v>1335</v>
      </c>
      <c r="G194" t="str">
        <f t="shared" si="4"/>
        <v>.csv</v>
      </c>
      <c r="H194" s="5" t="str">
        <f>IF(AND(G194=".csv",COUNTIFS($B:$B,$B194,$G:$G,"xlsx")-COUNTIFS($B:$B,$B194,$G:$G,"xlsx",$C:$C,"~~$*")&gt;1,LEFT(C194,LEN($B194))&lt;&gt;$B194),"",IFERROR(IF(B194="FoPITY",INDEX(Customizations!$C$2:$C$19,MATCH(Sheet1!C194,Customizations!$B$2:$B$19,0),1),INDEX(About!C:C,MATCH(Sheet1!B194,About!B:B,0),1)),""))</f>
        <v>BAU CCS Subsidy.xlsx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5">
      <c r="A195" t="s">
        <v>82</v>
      </c>
      <c r="B195" t="s">
        <v>1021</v>
      </c>
      <c r="C195" t="s">
        <v>1336</v>
      </c>
      <c r="G195" t="str">
        <f t="shared" si="4"/>
        <v>.csv</v>
      </c>
      <c r="H195" s="5" t="str">
        <f>IF(AND(G195=".csv",COUNTIFS($B:$B,$B195,$G:$G,"xlsx")-COUNTIFS($B:$B,$B195,$G:$G,"xlsx",$C:$C,"~~$*")&gt;1,LEFT(C195,LEN($B195))&lt;&gt;$B195),"",IFERROR(IF(B195="FoPITY",INDEX(Customizations!$C$2:$C$19,MATCH(Sheet1!C195,Customizations!$B$2:$B$19,0),1),INDEX(About!C:C,MATCH(Sheet1!B195,About!B:B,0),1)),""))</f>
        <v>BAU CCS Subsidy.xlsx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5">
      <c r="A196" t="s">
        <v>82</v>
      </c>
      <c r="B196" t="s">
        <v>1021</v>
      </c>
      <c r="C196" t="s">
        <v>1888</v>
      </c>
      <c r="G196" t="str">
        <f t="shared" si="4"/>
        <v>.csv</v>
      </c>
      <c r="H196" s="5" t="str">
        <f>IF(AND(G196=".csv",COUNTIFS($B:$B,$B196,$G:$G,"xlsx")-COUNTIFS($B:$B,$B196,$G:$G,"xlsx",$C:$C,"~~$*")&gt;1,LEFT(C196,LEN($B196))&lt;&gt;$B196),"",IFERROR(IF(B196="FoPITY",INDEX(Customizations!$C$2:$C$19,MATCH(Sheet1!C196,Customizations!$B$2:$B$19,0),1),INDEX(About!C:C,MATCH(Sheet1!B196,About!B:B,0),1)),""))</f>
        <v>BAU CCS Subsidy.xlsx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5">
      <c r="A197" t="s">
        <v>82</v>
      </c>
      <c r="B197" t="s">
        <v>1021</v>
      </c>
      <c r="C197" t="s">
        <v>1889</v>
      </c>
      <c r="G197" t="str">
        <f t="shared" ref="G197:G256" si="6">RIGHT(C197,"4")</f>
        <v>.csv</v>
      </c>
      <c r="H197" s="5" t="str">
        <f>IF(AND(G197=".csv",COUNTIFS($B:$B,$B197,$G:$G,"xlsx")-COUNTIFS($B:$B,$B197,$G:$G,"xlsx",$C:$C,"~~$*")&gt;1,LEFT(C197,LEN($B197))&lt;&gt;$B197),"",IFERROR(IF(B197="FoPITY",INDEX(Customizations!$C$2:$C$19,MATCH(Sheet1!C197,Customizations!$B$2:$B$19,0),1),INDEX(About!C:C,MATCH(Sheet1!B197,About!B:B,0),1)),""))</f>
        <v>BAU CCS Subsidy.xlsx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5">
      <c r="A198" t="s">
        <v>82</v>
      </c>
      <c r="B198" t="s">
        <v>1191</v>
      </c>
      <c r="C198" t="s">
        <v>1192</v>
      </c>
      <c r="G198" t="str">
        <f t="shared" si="6"/>
        <v>xlsx</v>
      </c>
      <c r="H198" s="5" t="str">
        <f>IF(AND(G198=".csv",COUNTIFS($B:$B,$B198,$G:$G,"xlsx")-COUNTIFS($B:$B,$B198,$G:$G,"xlsx",$C:$C,"~~$*")&gt;1,LEFT(C198,LEN($B198))&lt;&gt;$B198),"",IFERROR(IF(B198="FoPITY",INDEX(Customizations!$C$2:$C$19,MATCH(Sheet1!C198,Customizations!$B$2:$B$19,0),1),INDEX(About!C:C,MATCH(Sheet1!B198,About!B:B,0),1)),""))</f>
        <v>BAU Fraction of CCS Potential Achieved by Industry.xlsx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5">
      <c r="A199" t="s">
        <v>82</v>
      </c>
      <c r="B199" t="s">
        <v>1191</v>
      </c>
      <c r="C199" t="s">
        <v>1193</v>
      </c>
      <c r="G199" t="str">
        <f t="shared" si="6"/>
        <v>.csv</v>
      </c>
      <c r="H199" s="5" t="str">
        <f>IF(AND(G199=".csv",COUNTIFS($B:$B,$B199,$G:$G,"xlsx")-COUNTIFS($B:$B,$B199,$G:$G,"xlsx",$C:$C,"~~$*")&gt;1,LEFT(C199,LEN($B199))&lt;&gt;$B199),"",IFERROR(IF(B199="FoPITY",INDEX(Customizations!$C$2:$C$19,MATCH(Sheet1!C199,Customizations!$B$2:$B$19,0),1),INDEX(About!C:C,MATCH(Sheet1!B199,About!B:B,0),1)),""))</f>
        <v>BAU Fraction of CCS Potential Achieved by Industry.xlsx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5">
      <c r="A200" t="s">
        <v>82</v>
      </c>
      <c r="B200" t="s">
        <v>1191</v>
      </c>
      <c r="C200" t="s">
        <v>1194</v>
      </c>
      <c r="G200" t="str">
        <f t="shared" si="6"/>
        <v>.csv</v>
      </c>
      <c r="H200" s="5" t="str">
        <f>IF(AND(G200=".csv",COUNTIFS($B:$B,$B200,$G:$G,"xlsx")-COUNTIFS($B:$B,$B200,$G:$G,"xlsx",$C:$C,"~~$*")&gt;1,LEFT(C200,LEN($B200))&lt;&gt;$B200),"",IFERROR(IF(B200="FoPITY",INDEX(Customizations!$C$2:$C$19,MATCH(Sheet1!C200,Customizations!$B$2:$B$19,0),1),INDEX(About!C:C,MATCH(Sheet1!B200,About!B:B,0),1)),""))</f>
        <v>BAU Fraction of CCS Potential Achieved by Industry.xlsx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5">
      <c r="A201" t="s">
        <v>82</v>
      </c>
      <c r="B201" t="s">
        <v>1195</v>
      </c>
      <c r="C201" t="s">
        <v>1196</v>
      </c>
      <c r="G201" t="str">
        <f t="shared" si="6"/>
        <v>xlsx</v>
      </c>
      <c r="H201" s="5" t="str">
        <f>IF(AND(G201=".csv",COUNTIFS($B:$B,$B201,$G:$G,"xlsx")-COUNTIFS($B:$B,$B201,$G:$G,"xlsx",$C:$C,"~~$*")&gt;1,LEFT(C201,LEN($B201))&lt;&gt;$B201),"",IFERROR(IF(B201="FoPITY",INDEX(Customizations!$C$2:$C$19,MATCH(Sheet1!C201,Customizations!$B$2:$B$19,0),1),INDEX(About!C:C,MATCH(Sheet1!B201,About!B:B,0),1)),""))</f>
        <v>Biomass with CCS Storage per MWh.xlsx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5">
      <c r="A202" t="s">
        <v>82</v>
      </c>
      <c r="B202" t="s">
        <v>1195</v>
      </c>
      <c r="C202" t="s">
        <v>1197</v>
      </c>
      <c r="G202" t="str">
        <f t="shared" si="6"/>
        <v>.csv</v>
      </c>
      <c r="H202" s="5" t="str">
        <f>IF(AND(G202=".csv",COUNTIFS($B:$B,$B202,$G:$G,"xlsx")-COUNTIFS($B:$B,$B202,$G:$G,"xlsx",$C:$C,"~~$*")&gt;1,LEFT(C202,LEN($B202))&lt;&gt;$B202),"",IFERROR(IF(B202="FoPITY",INDEX(Customizations!$C$2:$C$19,MATCH(Sheet1!C202,Customizations!$B$2:$B$19,0),1),INDEX(About!C:C,MATCH(Sheet1!B202,About!B:B,0),1)),""))</f>
        <v>Biomass with CCS Storage per MWh.xlsx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5">
      <c r="A203" t="s">
        <v>82</v>
      </c>
      <c r="B203" t="s">
        <v>83</v>
      </c>
      <c r="C203" t="s">
        <v>1242</v>
      </c>
      <c r="G203" t="str">
        <f t="shared" si="6"/>
        <v>.csv</v>
      </c>
      <c r="H203" s="5" t="str">
        <f>IF(AND(G203=".csv",COUNTIFS($B:$B,$B203,$G:$G,"xlsx")-COUNTIFS($B:$B,$B203,$G:$G,"xlsx",$C:$C,"~~$*")&gt;1,LEFT(C203,LEN($B203))&lt;&gt;$B203),"",IFERROR(IF(B203="FoPITY",INDEX(Customizations!$C$2:$C$19,MATCH(Sheet1!C203,Customizations!$B$2:$B$19,0),1),INDEX(About!C:C,MATCH(Sheet1!B203,About!B:B,0),1)),""))</f>
        <v>CCS Calculations.xlsx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5">
      <c r="A204" t="s">
        <v>82</v>
      </c>
      <c r="B204" t="s">
        <v>83</v>
      </c>
      <c r="C204" t="s">
        <v>1243</v>
      </c>
      <c r="G204" t="str">
        <f t="shared" si="6"/>
        <v>.csv</v>
      </c>
      <c r="H204" s="5" t="str">
        <f>IF(AND(G204=".csv",COUNTIFS($B:$B,$B204,$G:$G,"xlsx")-COUNTIFS($B:$B,$B204,$G:$G,"xlsx",$C:$C,"~~$*")&gt;1,LEFT(C204,LEN($B204))&lt;&gt;$B204),"",IFERROR(IF(B204="FoPITY",INDEX(Customizations!$C$2:$C$19,MATCH(Sheet1!C204,Customizations!$B$2:$B$19,0),1),INDEX(About!C:C,MATCH(Sheet1!B204,About!B:B,0),1)),""))</f>
        <v>CCS Calculations.xlsx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5">
      <c r="A205" t="s">
        <v>82</v>
      </c>
      <c r="B205" t="s">
        <v>83</v>
      </c>
      <c r="C205" t="s">
        <v>1244</v>
      </c>
      <c r="G205" t="str">
        <f t="shared" si="6"/>
        <v>.csv</v>
      </c>
      <c r="H205" s="5" t="str">
        <f>IF(AND(G205=".csv",COUNTIFS($B:$B,$B205,$G:$G,"xlsx")-COUNTIFS($B:$B,$B205,$G:$G,"xlsx",$C:$C,"~~$*")&gt;1,LEFT(C205,LEN($B205))&lt;&gt;$B205),"",IFERROR(IF(B205="FoPITY",INDEX(Customizations!$C$2:$C$19,MATCH(Sheet1!C205,Customizations!$B$2:$B$19,0),1),INDEX(About!C:C,MATCH(Sheet1!B205,About!B:B,0),1)),""))</f>
        <v>CCS Calculations.xlsx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5">
      <c r="A206" t="s">
        <v>82</v>
      </c>
      <c r="B206" t="s">
        <v>83</v>
      </c>
      <c r="C206" t="s">
        <v>1245</v>
      </c>
      <c r="G206" t="str">
        <f t="shared" si="6"/>
        <v>.csv</v>
      </c>
      <c r="H206" s="5" t="str">
        <f>IF(AND(G206=".csv",COUNTIFS($B:$B,$B206,$G:$G,"xlsx")-COUNTIFS($B:$B,$B206,$G:$G,"xlsx",$C:$C,"~~$*")&gt;1,LEFT(C206,LEN($B206))&lt;&gt;$B206),"",IFERROR(IF(B206="FoPITY",INDEX(Customizations!$C$2:$C$19,MATCH(Sheet1!C206,Customizations!$B$2:$B$19,0),1),INDEX(About!C:C,MATCH(Sheet1!B206,About!B:B,0),1)),""))</f>
        <v>CCS Calculations.xlsx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5">
      <c r="A207" t="s">
        <v>82</v>
      </c>
      <c r="B207" t="s">
        <v>83</v>
      </c>
      <c r="C207" t="s">
        <v>1246</v>
      </c>
      <c r="G207" t="str">
        <f t="shared" si="6"/>
        <v>.csv</v>
      </c>
      <c r="H207" s="5" t="str">
        <f>IF(AND(G207=".csv",COUNTIFS($B:$B,$B207,$G:$G,"xlsx")-COUNTIFS($B:$B,$B207,$G:$G,"xlsx",$C:$C,"~~$*")&gt;1,LEFT(C207,LEN($B207))&lt;&gt;$B207),"",IFERROR(IF(B207="FoPITY",INDEX(Customizations!$C$2:$C$19,MATCH(Sheet1!C207,Customizations!$B$2:$B$19,0),1),INDEX(About!C:C,MATCH(Sheet1!B207,About!B:B,0),1)),""))</f>
        <v>CCS Calculations.xlsx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5">
      <c r="A208" t="s">
        <v>82</v>
      </c>
      <c r="B208" t="s">
        <v>83</v>
      </c>
      <c r="C208" t="s">
        <v>1247</v>
      </c>
      <c r="G208" t="str">
        <f t="shared" si="6"/>
        <v>.csv</v>
      </c>
      <c r="H208" s="5" t="str">
        <f>IF(AND(G208=".csv",COUNTIFS($B:$B,$B208,$G:$G,"xlsx")-COUNTIFS($B:$B,$B208,$G:$G,"xlsx",$C:$C,"~~$*")&gt;1,LEFT(C208,LEN($B208))&lt;&gt;$B208),"",IFERROR(IF(B208="FoPITY",INDEX(Customizations!$C$2:$C$19,MATCH(Sheet1!C208,Customizations!$B$2:$B$19,0),1),INDEX(About!C:C,MATCH(Sheet1!B208,About!B:B,0),1)),""))</f>
        <v>CCS Calculations.xlsx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5">
      <c r="A209" t="s">
        <v>82</v>
      </c>
      <c r="B209" t="s">
        <v>83</v>
      </c>
      <c r="C209" t="s">
        <v>1248</v>
      </c>
      <c r="G209" t="str">
        <f t="shared" si="6"/>
        <v>.csv</v>
      </c>
      <c r="H209" s="5" t="str">
        <f>IF(AND(G209=".csv",COUNTIFS($B:$B,$B209,$G:$G,"xlsx")-COUNTIFS($B:$B,$B209,$G:$G,"xlsx",$C:$C,"~~$*")&gt;1,LEFT(C209,LEN($B209))&lt;&gt;$B209),"",IFERROR(IF(B209="FoPITY",INDEX(Customizations!$C$2:$C$19,MATCH(Sheet1!C209,Customizations!$B$2:$B$19,0),1),INDEX(About!C:C,MATCH(Sheet1!B209,About!B:B,0),1)),""))</f>
        <v>CCS Calculations.xlsx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5">
      <c r="A210" t="s">
        <v>82</v>
      </c>
      <c r="B210" t="s">
        <v>83</v>
      </c>
      <c r="C210" t="s">
        <v>1249</v>
      </c>
      <c r="G210" t="str">
        <f t="shared" si="6"/>
        <v>.csv</v>
      </c>
      <c r="H210" s="5" t="str">
        <f>IF(AND(G210=".csv",COUNTIFS($B:$B,$B210,$G:$G,"xlsx")-COUNTIFS($B:$B,$B210,$G:$G,"xlsx",$C:$C,"~~$*")&gt;1,LEFT(C210,LEN($B210))&lt;&gt;$B210),"",IFERROR(IF(B210="FoPITY",INDEX(Customizations!$C$2:$C$19,MATCH(Sheet1!C210,Customizations!$B$2:$B$19,0),1),INDEX(About!C:C,MATCH(Sheet1!B210,About!B:B,0),1)),""))</f>
        <v>CCS Calculations.xlsx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5">
      <c r="A211" t="s">
        <v>82</v>
      </c>
      <c r="B211" t="s">
        <v>83</v>
      </c>
      <c r="C211" t="s">
        <v>1250</v>
      </c>
      <c r="G211" t="str">
        <f t="shared" si="6"/>
        <v>.csv</v>
      </c>
      <c r="H211" s="5" t="str">
        <f>IF(AND(G211=".csv",COUNTIFS($B:$B,$B211,$G:$G,"xlsx")-COUNTIFS($B:$B,$B211,$G:$G,"xlsx",$C:$C,"~~$*")&gt;1,LEFT(C211,LEN($B211))&lt;&gt;$B211),"",IFERROR(IF(B211="FoPITY",INDEX(Customizations!$C$2:$C$19,MATCH(Sheet1!C211,Customizations!$B$2:$B$19,0),1),INDEX(About!C:C,MATCH(Sheet1!B211,About!B:B,0),1)),""))</f>
        <v>CCS Calculations.xlsx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5">
      <c r="A212" t="s">
        <v>82</v>
      </c>
      <c r="B212" t="s">
        <v>83</v>
      </c>
      <c r="C212" t="s">
        <v>677</v>
      </c>
      <c r="G212" t="str">
        <f t="shared" si="6"/>
        <v>xlsx</v>
      </c>
      <c r="H212" s="5" t="str">
        <f>IF(AND(G212=".csv",COUNTIFS($B:$B,$B212,$G:$G,"xlsx")-COUNTIFS($B:$B,$B212,$G:$G,"xlsx",$C:$C,"~~$*")&gt;1,LEFT(C212,LEN($B212))&lt;&gt;$B212),"",IFERROR(IF(B212="FoPITY",INDEX(Customizations!$C$2:$C$19,MATCH(Sheet1!C212,Customizations!$B$2:$B$19,0),1),INDEX(About!C:C,MATCH(Sheet1!B212,About!B:B,0),1)),""))</f>
        <v>CCS Calculations.xlsx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5">
      <c r="A213" t="s">
        <v>82</v>
      </c>
      <c r="B213" t="s">
        <v>629</v>
      </c>
      <c r="C213" t="s">
        <v>630</v>
      </c>
      <c r="G213" t="str">
        <f t="shared" si="6"/>
        <v>xlsx</v>
      </c>
      <c r="H213" s="5" t="str">
        <f>IF(AND(G213=".csv",COUNTIFS($B:$B,$B213,$G:$G,"xlsx")-COUNTIFS($B:$B,$B213,$G:$G,"xlsx",$C:$C,"~~$*")&gt;1,LEFT(C213,LEN($B213))&lt;&gt;$B213),"",IFERROR(IF(B213="FoPITY",INDEX(Customizations!$C$2:$C$19,MATCH(Sheet1!C213,Customizations!$B$2:$B$19,0),1),INDEX(About!C:C,MATCH(Sheet1!B213,About!B:B,0),1)),""))</f>
        <v>CO2 Capture Potentials.xlsx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5">
      <c r="A214" t="s">
        <v>82</v>
      </c>
      <c r="B214" t="s">
        <v>629</v>
      </c>
      <c r="C214" t="s">
        <v>631</v>
      </c>
      <c r="G214" t="str">
        <f t="shared" si="6"/>
        <v>.csv</v>
      </c>
      <c r="H214" s="5" t="str">
        <f>IF(AND(G214=".csv",COUNTIFS($B:$B,$B214,$G:$G,"xlsx")-COUNTIFS($B:$B,$B214,$G:$G,"xlsx",$C:$C,"~~$*")&gt;1,LEFT(C214,LEN($B214))&lt;&gt;$B214),"",IFERROR(IF(B214="FoPITY",INDEX(Customizations!$C$2:$C$19,MATCH(Sheet1!C214,Customizations!$B$2:$B$19,0),1),INDEX(About!C:C,MATCH(Sheet1!B214,About!B:B,0),1)),""))</f>
        <v>CO2 Capture Potentials.xlsx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5">
      <c r="A215" t="s">
        <v>82</v>
      </c>
      <c r="B215" t="s">
        <v>629</v>
      </c>
      <c r="C215" t="s">
        <v>1251</v>
      </c>
      <c r="G215" t="str">
        <f t="shared" si="6"/>
        <v>.csv</v>
      </c>
      <c r="H215" s="5" t="str">
        <f>IF(AND(G215=".csv",COUNTIFS($B:$B,$B215,$G:$G,"xlsx")-COUNTIFS($B:$B,$B215,$G:$G,"xlsx",$C:$C,"~~$*")&gt;1,LEFT(C215,LEN($B215))&lt;&gt;$B215),"",IFERROR(IF(B215="FoPITY",INDEX(Customizations!$C$2:$C$19,MATCH(Sheet1!C215,Customizations!$B$2:$B$19,0),1),INDEX(About!C:C,MATCH(Sheet1!B215,About!B:B,0),1)),""))</f>
        <v>CO2 Capture Potentials.xlsx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5">
      <c r="A216" t="s">
        <v>82</v>
      </c>
      <c r="B216" t="s">
        <v>1442</v>
      </c>
      <c r="C216" t="s">
        <v>1443</v>
      </c>
      <c r="G216" t="str">
        <f t="shared" si="6"/>
        <v>xlsx</v>
      </c>
      <c r="H216" s="5" t="str">
        <f>IF(AND(G216=".csv",COUNTIFS($B:$B,$B216,$G:$G,"xlsx")-COUNTIFS($B:$B,$B216,$G:$G,"xlsx",$C:$C,"~~$*")&gt;1,LEFT(C216,LEN($B216))&lt;&gt;$B216),"",IFERROR(IF(B216="FoPITY",INDEX(Customizations!$C$2:$C$19,MATCH(Sheet1!C216,Customizations!$B$2:$B$19,0),1),INDEX(About!C:C,MATCH(Sheet1!B216,About!B:B,0),1)),""))</f>
        <v>CCS Transportation and Storage Costs and Subsidies.xlsx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5">
      <c r="A217" t="s">
        <v>82</v>
      </c>
      <c r="B217" t="s">
        <v>1442</v>
      </c>
      <c r="C217" t="s">
        <v>1444</v>
      </c>
      <c r="G217" t="str">
        <f t="shared" si="6"/>
        <v>.csv</v>
      </c>
      <c r="H217" s="5" t="str">
        <f>IF(AND(G217=".csv",COUNTIFS($B:$B,$B217,$G:$G,"xlsx")-COUNTIFS($B:$B,$B217,$G:$G,"xlsx",$C:$C,"~~$*")&gt;1,LEFT(C217,LEN($B217))&lt;&gt;$B217),"",IFERROR(IF(B217="FoPITY",INDEX(Customizations!$C$2:$C$19,MATCH(Sheet1!C217,Customizations!$B$2:$B$19,0),1),INDEX(About!C:C,MATCH(Sheet1!B217,About!B:B,0),1)),""))</f>
        <v>CCS Transportation and Storage Costs and Subsidies.xlsx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5">
      <c r="A218" t="s">
        <v>82</v>
      </c>
      <c r="B218" t="s">
        <v>1442</v>
      </c>
      <c r="C218" t="s">
        <v>1445</v>
      </c>
      <c r="G218" t="str">
        <f t="shared" si="6"/>
        <v>.csv</v>
      </c>
      <c r="H218" s="5" t="str">
        <f>IF(AND(G218=".csv",COUNTIFS($B:$B,$B218,$G:$G,"xlsx")-COUNTIFS($B:$B,$B218,$G:$G,"xlsx",$C:$C,"~~$*")&gt;1,LEFT(C218,LEN($B218))&lt;&gt;$B218),"",IFERROR(IF(B218="FoPITY",INDEX(Customizations!$C$2:$C$19,MATCH(Sheet1!C218,Customizations!$B$2:$B$19,0),1),INDEX(About!C:C,MATCH(Sheet1!B218,About!B:B,0),1)),""))</f>
        <v>CCS Transportation and Storage Costs and Subsidies.xlsx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5">
      <c r="A219" t="s">
        <v>82</v>
      </c>
      <c r="B219" t="s">
        <v>1446</v>
      </c>
      <c r="C219" t="s">
        <v>1447</v>
      </c>
      <c r="G219" t="str">
        <f t="shared" si="6"/>
        <v>.csv</v>
      </c>
      <c r="H219" s="5" t="str">
        <f>IF(AND(G219=".csv",COUNTIFS($B:$B,$B219,$G:$G,"xlsx")-COUNTIFS($B:$B,$B219,$G:$G,"xlsx",$C:$C,"~~$*")&gt;1,LEFT(C219,LEN($B219))&lt;&gt;$B219),"",IFERROR(IF(B219="FoPITY",INDEX(Customizations!$C$2:$C$19,MATCH(Sheet1!C219,Customizations!$B$2:$B$19,0),1),INDEX(About!C:C,MATCH(Sheet1!B219,About!B:B,0),1)),""))</f>
        <v>Cost Effective CCS Retrofit Capacity by Industry.xlsx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5">
      <c r="A220" t="s">
        <v>82</v>
      </c>
      <c r="B220" t="s">
        <v>1446</v>
      </c>
      <c r="C220" t="s">
        <v>1448</v>
      </c>
      <c r="G220" t="str">
        <f t="shared" si="6"/>
        <v>.csv</v>
      </c>
      <c r="H220" s="5" t="str">
        <f>IF(AND(G220=".csv",COUNTIFS($B:$B,$B220,$G:$G,"xlsx")-COUNTIFS($B:$B,$B220,$G:$G,"xlsx",$C:$C,"~~$*")&gt;1,LEFT(C220,LEN($B220))&lt;&gt;$B220),"",IFERROR(IF(B220="FoPITY",INDEX(Customizations!$C$2:$C$19,MATCH(Sheet1!C220,Customizations!$B$2:$B$19,0),1),INDEX(About!C:C,MATCH(Sheet1!B220,About!B:B,0),1)),""))</f>
        <v>Cost Effective CCS Retrofit Capacity by Industry.xlsx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5">
      <c r="A221" t="s">
        <v>82</v>
      </c>
      <c r="B221" t="s">
        <v>1446</v>
      </c>
      <c r="C221" t="s">
        <v>1449</v>
      </c>
      <c r="G221" t="str">
        <f t="shared" si="6"/>
        <v>xlsx</v>
      </c>
      <c r="H221" s="5" t="str">
        <f>IF(AND(G221=".csv",COUNTIFS($B:$B,$B221,$G:$G,"xlsx")-COUNTIFS($B:$B,$B221,$G:$G,"xlsx",$C:$C,"~~$*")&gt;1,LEFT(C221,LEN($B221))&lt;&gt;$B221),"",IFERROR(IF(B221="FoPITY",INDEX(Customizations!$C$2:$C$19,MATCH(Sheet1!C221,Customizations!$B$2:$B$19,0),1),INDEX(About!C:C,MATCH(Sheet1!B221,About!B:B,0),1)),""))</f>
        <v>Cost Effective CCS Retrofit Capacity by Industry.xlsx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5">
      <c r="A222" t="s">
        <v>82</v>
      </c>
      <c r="B222" t="s">
        <v>1450</v>
      </c>
      <c r="C222" t="s">
        <v>1451</v>
      </c>
      <c r="G222" t="str">
        <f t="shared" si="6"/>
        <v>xlsx</v>
      </c>
      <c r="H222" s="5" t="str">
        <f>IF(AND(G222=".csv",COUNTIFS($B:$B,$B222,$G:$G,"xlsx")-COUNTIFS($B:$B,$B222,$G:$G,"xlsx",$C:$C,"~~$*")&gt;1,LEFT(C222,LEN($B222))&lt;&gt;$B222),"",IFERROR(IF(B222="FoPITY",INDEX(Customizations!$C$2:$C$19,MATCH(Sheet1!C222,Customizations!$B$2:$B$19,0),1),INDEX(About!C:C,MATCH(Sheet1!B222,About!B:B,0),1)),""))</f>
        <v>CCS Retrofit Detployment Time.xlsx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5">
      <c r="A223" t="s">
        <v>82</v>
      </c>
      <c r="B223" t="s">
        <v>1450</v>
      </c>
      <c r="C223" t="s">
        <v>1452</v>
      </c>
      <c r="G223" t="str">
        <f t="shared" si="6"/>
        <v>.csv</v>
      </c>
      <c r="H223" s="5" t="str">
        <f>IF(AND(G223=".csv",COUNTIFS($B:$B,$B223,$G:$G,"xlsx")-COUNTIFS($B:$B,$B223,$G:$G,"xlsx",$C:$C,"~~$*")&gt;1,LEFT(C223,LEN($B223))&lt;&gt;$B223),"",IFERROR(IF(B223="FoPITY",INDEX(Customizations!$C$2:$C$19,MATCH(Sheet1!C223,Customizations!$B$2:$B$19,0),1),INDEX(About!C:C,MATCH(Sheet1!B223,About!B:B,0),1)),""))</f>
        <v>CCS Retrofit Detployment Time.xlsx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5">
      <c r="A224" t="s">
        <v>82</v>
      </c>
      <c r="B224" t="s">
        <v>1742</v>
      </c>
      <c r="C224" t="s">
        <v>1743</v>
      </c>
      <c r="G224" t="str">
        <f t="shared" si="6"/>
        <v>.csv</v>
      </c>
      <c r="H224" s="5" t="str">
        <f>IF(AND(G224=".csv",COUNTIFS($B:$B,$B224,$G:$G,"xlsx")-COUNTIFS($B:$B,$B224,$G:$G,"xlsx",$C:$C,"~~$*")&gt;1,LEFT(C224,LEN($B224))&lt;&gt;$B224),"",IFERROR(IF(B224="FoPITY",INDEX(Customizations!$C$2:$C$19,MATCH(Sheet1!C224,Customizations!$B$2:$B$19,0),1),INDEX(About!C:C,MATCH(Sheet1!B224,About!B:B,0),1)),""))</f>
        <v>Non BAU Industry CCS Subsidy.xlsx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5">
      <c r="A225" t="s">
        <v>82</v>
      </c>
      <c r="B225" t="s">
        <v>1742</v>
      </c>
      <c r="C225" t="s">
        <v>1744</v>
      </c>
      <c r="G225" t="str">
        <f t="shared" si="6"/>
        <v>xlsx</v>
      </c>
      <c r="H225" s="5" t="str">
        <f>IF(AND(G225=".csv",COUNTIFS($B:$B,$B225,$G:$G,"xlsx")-COUNTIFS($B:$B,$B225,$G:$G,"xlsx",$C:$C,"~~$*")&gt;1,LEFT(C225,LEN($B225))&lt;&gt;$B225),"",IFERROR(IF(B225="FoPITY",INDEX(Customizations!$C$2:$C$19,MATCH(Sheet1!C225,Customizations!$B$2:$B$19,0),1),INDEX(About!C:C,MATCH(Sheet1!B225,About!B:B,0),1)),""))</f>
        <v>Non BAU Industry CCS Subsidy.xlsx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5">
      <c r="A226" t="s">
        <v>82</v>
      </c>
      <c r="B226" t="s">
        <v>1453</v>
      </c>
      <c r="C226" t="s">
        <v>1454</v>
      </c>
      <c r="G226" t="str">
        <f t="shared" si="6"/>
        <v>xlsx</v>
      </c>
      <c r="H226" s="5" t="str">
        <f>IF(AND(G226=".csv",COUNTIFS($B:$B,$B226,$G:$G,"xlsx")-COUNTIFS($B:$B,$B226,$G:$G,"xlsx",$C:$C,"~~$*")&gt;1,LEFT(C226,LEN($B226))&lt;&gt;$B226),"",IFERROR(IF(B226="FoPITY",INDEX(Customizations!$C$2:$C$19,MATCH(Sheet1!C226,Customizations!$B$2:$B$19,0),1),INDEX(About!C:C,MATCH(Sheet1!B226,About!B:B,0),1)),""))</f>
        <v>Share of Cost Effective CCS Retrofit Construction Started in a Year.xlsx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5">
      <c r="A227" t="s">
        <v>82</v>
      </c>
      <c r="B227" t="s">
        <v>1453</v>
      </c>
      <c r="C227" t="s">
        <v>1455</v>
      </c>
      <c r="G227" t="str">
        <f t="shared" si="6"/>
        <v>.csv</v>
      </c>
      <c r="H227" s="5" t="str">
        <f>IF(AND(G227=".csv",COUNTIFS($B:$B,$B227,$G:$G,"xlsx")-COUNTIFS($B:$B,$B227,$G:$G,"xlsx",$C:$C,"~~$*")&gt;1,LEFT(C227,LEN($B227))&lt;&gt;$B227),"",IFERROR(IF(B227="FoPITY",INDEX(Customizations!$C$2:$C$19,MATCH(Sheet1!C227,Customizations!$B$2:$B$19,0),1),INDEX(About!C:C,MATCH(Sheet1!B227,About!B:B,0),1)),""))</f>
        <v>Share of Cost Effective CCS Retrofit Construction Started in a Year.xlsx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5">
      <c r="A228" t="s">
        <v>82</v>
      </c>
      <c r="B228" t="s">
        <v>1252</v>
      </c>
      <c r="C228" t="s">
        <v>1253</v>
      </c>
      <c r="G228" t="str">
        <f t="shared" si="6"/>
        <v>xlsx</v>
      </c>
      <c r="H228" s="5" t="str">
        <f>IF(AND(G228=".csv",COUNTIFS($B:$B,$B228,$G:$G,"xlsx")-COUNTIFS($B:$B,$B228,$G:$G,"xlsx",$C:$C,"~~$*")&gt;1,LEFT(C228,LEN($B228))&lt;&gt;$B228),"",IFERROR(IF(B228="FoPITY",INDEX(Customizations!$C$2:$C$19,MATCH(Sheet1!C228,Customizations!$B$2:$B$19,0),1),INDEX(About!C:C,MATCH(Sheet1!B228,About!B:B,0),1)),""))</f>
        <v>Share of CCS Transportation and Storage Costs by Recipient ISIC Code.xlsx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5">
      <c r="A229" t="s">
        <v>82</v>
      </c>
      <c r="B229" t="s">
        <v>1252</v>
      </c>
      <c r="C229" t="s">
        <v>1254</v>
      </c>
      <c r="G229" t="str">
        <f t="shared" si="6"/>
        <v>.csv</v>
      </c>
      <c r="H229" s="5" t="str">
        <f>IF(AND(G229=".csv",COUNTIFS($B:$B,$B229,$G:$G,"xlsx")-COUNTIFS($B:$B,$B229,$G:$G,"xlsx",$C:$C,"~~$*")&gt;1,LEFT(C229,LEN($B229))&lt;&gt;$B229),"",IFERROR(IF(B229="FoPITY",INDEX(Customizations!$C$2:$C$19,MATCH(Sheet1!C229,Customizations!$B$2:$B$19,0),1),INDEX(About!C:C,MATCH(Sheet1!B229,About!B:B,0),1)),""))</f>
        <v>Share of CCS Transportation and Storage Costs by Recipient ISIC Code.xlsx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5">
      <c r="A230" t="s">
        <v>82</v>
      </c>
      <c r="B230" t="s">
        <v>1890</v>
      </c>
      <c r="C230" t="s">
        <v>1891</v>
      </c>
      <c r="G230" t="str">
        <f t="shared" si="6"/>
        <v>xlsx</v>
      </c>
      <c r="H230" s="5" t="str">
        <f>IF(AND(G230=".csv",COUNTIFS($B:$B,$B230,$G:$G,"xlsx")-COUNTIFS($B:$B,$B230,$G:$G,"xlsx",$C:$C,"~~$*")&gt;1,LEFT(C230,LEN($B230))&lt;&gt;$B230),"",IFERROR(IF(B230="FoPITY",INDEX(Customizations!$C$2:$C$19,MATCH(Sheet1!C230,Customizations!$B$2:$B$19,0),1),INDEX(About!C:C,MATCH(Sheet1!B230,About!B:B,0),1)),""))</f>
        <v>STfCCE Smoothing Time for CCS Capital Expenditures.xlsx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5">
      <c r="A231" t="s">
        <v>82</v>
      </c>
      <c r="B231" t="s">
        <v>1890</v>
      </c>
      <c r="C231" t="s">
        <v>1892</v>
      </c>
      <c r="G231" t="str">
        <f t="shared" si="6"/>
        <v>.csv</v>
      </c>
      <c r="H231" s="5" t="str">
        <f>IF(AND(G231=".csv",COUNTIFS($B:$B,$B231,$G:$G,"xlsx")-COUNTIFS($B:$B,$B231,$G:$G,"xlsx",$C:$C,"~~$*")&gt;1,LEFT(C231,LEN($B231))&lt;&gt;$B231),"",IFERROR(IF(B231="FoPITY",INDEX(Customizations!$C$2:$C$19,MATCH(Sheet1!C231,Customizations!$B$2:$B$19,0),1),INDEX(About!C:C,MATCH(Sheet1!B231,About!B:B,0),1)),""))</f>
        <v>STfCCE Smoothing Time for CCS Capital Expenditures.xlsx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5">
      <c r="A232" t="s">
        <v>84</v>
      </c>
      <c r="B232" t="s">
        <v>85</v>
      </c>
      <c r="C232" t="s">
        <v>86</v>
      </c>
      <c r="G232" t="str">
        <f t="shared" si="6"/>
        <v>xlsx</v>
      </c>
      <c r="H232" s="5" t="str">
        <f>IF(AND(G232=".csv",COUNTIFS($B:$B,$B232,$G:$G,"xlsx")-COUNTIFS($B:$B,$B232,$G:$G,"xlsx",$C:$C,"~~$*")&gt;1,LEFT(C232,LEN($B232))&lt;&gt;$B232),"",IFERROR(IF(B232="FoPITY",INDEX(Customizations!$C$2:$C$19,MATCH(Sheet1!C232,Customizations!$B$2:$B$19,0),1),INDEX(About!C:C,MATCH(Sheet1!B232,About!B:B,0),1)),""))</f>
        <v>Discount Rate.xlsx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5">
      <c r="A233" t="s">
        <v>84</v>
      </c>
      <c r="B233" t="s">
        <v>85</v>
      </c>
      <c r="C233" t="s">
        <v>87</v>
      </c>
      <c r="G233" t="str">
        <f t="shared" si="6"/>
        <v>.csv</v>
      </c>
      <c r="H233" s="5" t="str">
        <f>IF(AND(G233=".csv",COUNTIFS($B:$B,$B233,$G:$G,"xlsx")-COUNTIFS($B:$B,$B233,$G:$G,"xlsx",$C:$C,"~~$*")&gt;1,LEFT(C233,LEN($B233))&lt;&gt;$B233),"",IFERROR(IF(B233="FoPITY",INDEX(Customizations!$C$2:$C$19,MATCH(Sheet1!C233,Customizations!$B$2:$B$19,0),1),INDEX(About!C:C,MATCH(Sheet1!B233,About!B:B,0),1)),""))</f>
        <v>Discount Rate.xlsx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5">
      <c r="A234" t="s">
        <v>84</v>
      </c>
      <c r="B234" t="s">
        <v>678</v>
      </c>
      <c r="C234" t="s">
        <v>679</v>
      </c>
      <c r="G234" t="str">
        <f t="shared" si="6"/>
        <v>.csv</v>
      </c>
      <c r="H234" s="5" t="str">
        <f>IF(AND(G234=".csv",COUNTIFS($B:$B,$B234,$G:$G,"xlsx")-COUNTIFS($B:$B,$B234,$G:$G,"xlsx",$C:$C,"~~$*")&gt;1,LEFT(C234,LEN($B234))&lt;&gt;$B234),"",IFERROR(IF(B234="FoPITY",INDEX(Customizations!$C$2:$C$19,MATCH(Sheet1!C234,Customizations!$B$2:$B$19,0),1),INDEX(About!C:C,MATCH(Sheet1!B234,About!B:B,0),1)),""))</f>
        <v>Quantization Size for Cash Flows.xlsx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5">
      <c r="A235" t="s">
        <v>84</v>
      </c>
      <c r="B235" t="s">
        <v>678</v>
      </c>
      <c r="C235" t="s">
        <v>680</v>
      </c>
      <c r="G235" t="str">
        <f t="shared" si="6"/>
        <v>xlsx</v>
      </c>
      <c r="H235" s="5" t="str">
        <f>IF(AND(G235=".csv",COUNTIFS($B:$B,$B235,$G:$G,"xlsx")-COUNTIFS($B:$B,$B235,$G:$G,"xlsx",$C:$C,"~~$*")&gt;1,LEFT(C235,LEN($B235))&lt;&gt;$B235),"",IFERROR(IF(B235="FoPITY",INDEX(Customizations!$C$2:$C$19,MATCH(Sheet1!C235,Customizations!$B$2:$B$19,0),1),INDEX(About!C:C,MATCH(Sheet1!B235,About!B:B,0),1)),""))</f>
        <v>Quantization Size for Cash Flows.xlsx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5">
      <c r="A236" t="s">
        <v>817</v>
      </c>
      <c r="B236" t="s">
        <v>684</v>
      </c>
      <c r="C236" t="s">
        <v>685</v>
      </c>
      <c r="G236" t="str">
        <f t="shared" si="6"/>
        <v>.csv</v>
      </c>
      <c r="H236" s="5" t="str">
        <f>IF(AND(G236=".csv",COUNTIFS($B:$B,$B236,$G:$G,"xlsx")-COUNTIFS($B:$B,$B236,$G:$G,"xlsx",$C:$C,"~~$*")&gt;1,LEFT(C236,LEN($B236))&lt;&gt;$B236),"",IFERROR(IF(B236="FoPITY",INDEX(Customizations!$C$2:$C$19,MATCH(Sheet1!C236,Customizations!$B$2:$B$19,0),1),INDEX(About!C:C,MATCH(Sheet1!B236,About!B:B,0),1)),""))</f>
        <v>Quantization Size for Pollutants.xlsx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5">
      <c r="A237" t="s">
        <v>817</v>
      </c>
      <c r="B237" t="s">
        <v>684</v>
      </c>
      <c r="C237" t="s">
        <v>686</v>
      </c>
      <c r="G237" t="str">
        <f t="shared" si="6"/>
        <v>xlsx</v>
      </c>
      <c r="H237" s="5" t="str">
        <f>IF(AND(G237=".csv",COUNTIFS($B:$B,$B237,$G:$G,"xlsx")-COUNTIFS($B:$B,$B237,$G:$G,"xlsx",$C:$C,"~~$*")&gt;1,LEFT(C237,LEN($B237))&lt;&gt;$B237),"",IFERROR(IF(B237="FoPITY",INDEX(Customizations!$C$2:$C$19,MATCH(Sheet1!C237,Customizations!$B$2:$B$19,0),1),INDEX(About!C:C,MATCH(Sheet1!B237,About!B:B,0),1)),""))</f>
        <v>Quantization Size for Pollutants.xlsx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5">
      <c r="A238" t="s">
        <v>632</v>
      </c>
      <c r="B238" t="s">
        <v>287</v>
      </c>
      <c r="C238" t="s">
        <v>288</v>
      </c>
      <c r="G238" t="str">
        <f t="shared" si="6"/>
        <v>.csv</v>
      </c>
      <c r="H238" s="5" t="str">
        <f>IF(AND(G238=".csv",COUNTIFS($B:$B,$B238,$G:$G,"xlsx")-COUNTIFS($B:$B,$B238,$G:$G,"xlsx",$C:$C,"~~$*")&gt;1,LEFT(C238,LEN($B238))&lt;&gt;$B238),"",IFERROR(IF(B238="FoPITY",INDEX(Customizations!$C$2:$C$19,MATCH(Sheet1!C238,Customizations!$B$2:$B$19,0),1),INDEX(About!C:C,MATCH(Sheet1!B238,About!B:B,0),1)),""))</f>
        <v>Bool Are Energy Prices Affected by Chng in Production Costs.xlsx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5">
      <c r="A239" t="s">
        <v>632</v>
      </c>
      <c r="B239" t="s">
        <v>287</v>
      </c>
      <c r="C239" t="s">
        <v>289</v>
      </c>
      <c r="G239" t="str">
        <f t="shared" si="6"/>
        <v>xlsx</v>
      </c>
      <c r="H239" s="5" t="str">
        <f>IF(AND(G239=".csv",COUNTIFS($B:$B,$B239,$G:$G,"xlsx")-COUNTIFS($B:$B,$B239,$G:$G,"xlsx",$C:$C,"~~$*")&gt;1,LEFT(C239,LEN($B239))&lt;&gt;$B239),"",IFERROR(IF(B239="FoPITY",INDEX(Customizations!$C$2:$C$19,MATCH(Sheet1!C239,Customizations!$B$2:$B$19,0),1),INDEX(About!C:C,MATCH(Sheet1!B239,About!B:B,0),1)),""))</f>
        <v>Bool Are Energy Prices Affected by Chng in Production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5">
      <c r="A240" t="s">
        <v>632</v>
      </c>
      <c r="B240" t="s">
        <v>931</v>
      </c>
      <c r="C240" t="s">
        <v>932</v>
      </c>
      <c r="G240" t="str">
        <f t="shared" si="6"/>
        <v>.csv</v>
      </c>
      <c r="H240" s="5" t="str">
        <f>IF(AND(G240=".csv",COUNTIFS($B:$B,$B240,$G:$G,"xlsx")-COUNTIFS($B:$B,$B240,$G:$G,"xlsx",$C:$C,"~~$*")&gt;1,LEFT(C240,LEN($B240))&lt;&gt;$B240),"",IFERROR(IF(B240="FoPITY",INDEX(Customizations!$C$2:$C$19,MATCH(Sheet1!C240,Customizations!$B$2:$B$19,0),1),INDEX(About!C:C,MATCH(Sheet1!B240,About!B:B,0),1)),""))</f>
        <v>Boolean Disable Carbon Tax Border Adjustment.xlsx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5">
      <c r="A241" t="s">
        <v>632</v>
      </c>
      <c r="B241" t="s">
        <v>931</v>
      </c>
      <c r="C241" t="s">
        <v>933</v>
      </c>
      <c r="G241" t="str">
        <f t="shared" si="6"/>
        <v>xlsx</v>
      </c>
      <c r="H241" s="5" t="str">
        <f>IF(AND(G241=".csv",COUNTIFS($B:$B,$B241,$G:$G,"xlsx")-COUNTIFS($B:$B,$B241,$G:$G,"xlsx",$C:$C,"~~$*")&gt;1,LEFT(C241,LEN($B241))&lt;&gt;$B241),"",IFERROR(IF(B241="FoPITY",INDEX(Customizations!$C$2:$C$19,MATCH(Sheet1!C241,Customizations!$B$2:$B$19,0),1),INDEX(About!C:C,MATCH(Sheet1!B241,About!B:B,0),1)),""))</f>
        <v>Boolean Disable Carbon Tax Border Adjustment.xlsx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5">
      <c r="A242" t="s">
        <v>632</v>
      </c>
      <c r="B242" t="s">
        <v>681</v>
      </c>
      <c r="C242" t="s">
        <v>682</v>
      </c>
      <c r="G242" t="str">
        <f t="shared" si="6"/>
        <v>.csv</v>
      </c>
      <c r="H242" s="5" t="str">
        <f>IF(AND(G242=".csv",COUNTIFS($B:$B,$B242,$G:$G,"xlsx")-COUNTIFS($B:$B,$B242,$G:$G,"xlsx",$C:$C,"~~$*")&gt;1,LEFT(C242,LEN($B242))&lt;&gt;$B242),"",IFERROR(IF(B242="FoPITY",INDEX(Customizations!$C$2:$C$19,MATCH(Sheet1!C242,Customizations!$B$2:$B$19,0),1),INDEX(About!C:C,MATCH(Sheet1!B242,About!B:B,0),1)),""))</f>
        <v>Boolean Disable Macroecon Feedback Loops.xlsx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5">
      <c r="A243" t="s">
        <v>632</v>
      </c>
      <c r="B243" t="s">
        <v>681</v>
      </c>
      <c r="C243" t="s">
        <v>683</v>
      </c>
      <c r="G243" t="str">
        <f t="shared" si="6"/>
        <v>xlsx</v>
      </c>
      <c r="H243" s="5" t="str">
        <f>IF(AND(G243=".csv",COUNTIFS($B:$B,$B243,$G:$G,"xlsx")-COUNTIFS($B:$B,$B243,$G:$G,"xlsx",$C:$C,"~~$*")&gt;1,LEFT(C243,LEN($B243))&lt;&gt;$B243),"",IFERROR(IF(B243="FoPITY",INDEX(Customizations!$C$2:$C$19,MATCH(Sheet1!C243,Customizations!$B$2:$B$19,0),1),INDEX(About!C:C,MATCH(Sheet1!B243,About!B:B,0),1)),""))</f>
        <v>Boolean Disable Macroecon Feedback Loops.xlsx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5">
      <c r="A244" t="s">
        <v>632</v>
      </c>
      <c r="B244" t="s">
        <v>1893</v>
      </c>
      <c r="C244" t="s">
        <v>1894</v>
      </c>
      <c r="G244" t="str">
        <f t="shared" si="6"/>
        <v>.csv</v>
      </c>
      <c r="H244" s="5" t="str">
        <f>IF(AND(G244=".csv",COUNTIFS($B:$B,$B244,$G:$G,"xlsx")-COUNTIFS($B:$B,$B244,$G:$G,"xlsx",$C:$C,"~~$*")&gt;1,LEFT(C244,LEN($B244))&lt;&gt;$B244),"",IFERROR(IF(B244="FoPITY",INDEX(Customizations!$C$2:$C$19,MATCH(Sheet1!C244,Customizations!$B$2:$B$19,0),1),INDEX(About!C:C,MATCH(Sheet1!B244,About!B:B,0),1)),""))</f>
        <v>Boolean Exclude Elec Exports from Elec Portfolio Stds.xlsx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5">
      <c r="A245" t="s">
        <v>632</v>
      </c>
      <c r="B245" t="s">
        <v>1893</v>
      </c>
      <c r="C245" t="s">
        <v>1895</v>
      </c>
      <c r="G245" t="str">
        <f t="shared" si="6"/>
        <v>xlsx</v>
      </c>
      <c r="H245" s="5" t="str">
        <f>IF(AND(G245=".csv",COUNTIFS($B:$B,$B245,$G:$G,"xlsx")-COUNTIFS($B:$B,$B245,$G:$G,"xlsx",$C:$C,"~~$*")&gt;1,LEFT(C245,LEN($B245))&lt;&gt;$B245),"",IFERROR(IF(B245="FoPITY",INDEX(Customizations!$C$2:$C$19,MATCH(Sheet1!C245,Customizations!$B$2:$B$19,0),1),INDEX(About!C:C,MATCH(Sheet1!B245,About!B:B,0),1)),""))</f>
        <v>Boolean Exclude Elec Exports from Elec Portfolio Stds.xlsx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5">
      <c r="A246" t="s">
        <v>632</v>
      </c>
      <c r="B246" t="s">
        <v>633</v>
      </c>
      <c r="C246" t="s">
        <v>290</v>
      </c>
      <c r="G246" t="str">
        <f t="shared" si="6"/>
        <v>.csv</v>
      </c>
      <c r="H246" s="5" t="str">
        <f>IF(AND(G246=".csv",COUNTIFS($B:$B,$B246,$G:$G,"xlsx")-COUNTIFS($B:$B,$B246,$G:$G,"xlsx",$C:$C,"~~$*")&gt;1,LEFT(C246,LEN($B246))&lt;&gt;$B246),"",IFERROR(IF(B246="FoPITY",INDEX(Customizations!$C$2:$C$19,MATCH(Sheet1!C246,Customizations!$B$2:$B$19,0),1),INDEX(About!C:C,MATCH(Sheet1!B246,About!B:B,0),1)),""))</f>
        <v>Boolean Exempt Process Emissions From Carbon Tax.xlsx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5">
      <c r="A247" t="s">
        <v>632</v>
      </c>
      <c r="B247" t="s">
        <v>633</v>
      </c>
      <c r="C247" t="s">
        <v>634</v>
      </c>
      <c r="G247" t="str">
        <f t="shared" si="6"/>
        <v>xlsx</v>
      </c>
      <c r="H247" s="5" t="str">
        <f>IF(AND(G247=".csv",COUNTIFS($B:$B,$B247,$G:$G,"xlsx")-COUNTIFS($B:$B,$B247,$G:$G,"xlsx",$C:$C,"~~$*")&gt;1,LEFT(C247,LEN($B247))&lt;&gt;$B247),"",IFERROR(IF(B247="FoPITY",INDEX(Customizations!$C$2:$C$19,MATCH(Sheet1!C247,Customizations!$B$2:$B$19,0),1),INDEX(About!C:C,MATCH(Sheet1!B247,About!B:B,0),1)),""))</f>
        <v>Boolean Exempt Process Emissions From Carbon Tax.xlsx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5">
      <c r="A248" t="s">
        <v>632</v>
      </c>
      <c r="B248" t="s">
        <v>1023</v>
      </c>
      <c r="C248" t="s">
        <v>1024</v>
      </c>
      <c r="G248" t="str">
        <f t="shared" si="6"/>
        <v>.csv</v>
      </c>
      <c r="H248" s="5" t="str">
        <f>IF(AND(G248=".csv",COUNTIFS($B:$B,$B248,$G:$G,"xlsx")-COUNTIFS($B:$B,$B248,$G:$G,"xlsx",$C:$C,"~~$*")&gt;1,LEFT(C248,LEN($B248))&lt;&gt;$B248),"",IFERROR(IF(B248="FoPITY",INDEX(Customizations!$C$2:$C$19,MATCH(Sheet1!C248,Customizations!$B$2:$B$19,0),1),INDEX(About!C:C,MATCH(Sheet1!B248,About!B:B,0),1)),""))</f>
        <v>Boolean Elec Suppliers Have Foresight of Future RPS Values.xlsx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5">
      <c r="A249" t="s">
        <v>632</v>
      </c>
      <c r="B249" t="s">
        <v>1023</v>
      </c>
      <c r="C249" t="s">
        <v>1025</v>
      </c>
      <c r="G249" t="str">
        <f t="shared" si="6"/>
        <v>xlsx</v>
      </c>
      <c r="H249" s="5" t="str">
        <f>IF(AND(G249=".csv",COUNTIFS($B:$B,$B249,$G:$G,"xlsx")-COUNTIFS($B:$B,$B249,$G:$G,"xlsx",$C:$C,"~~$*")&gt;1,LEFT(C249,LEN($B249))&lt;&gt;$B249),"",IFERROR(IF(B249="FoPITY",INDEX(Customizations!$C$2:$C$19,MATCH(Sheet1!C249,Customizations!$B$2:$B$19,0),1),INDEX(About!C:C,MATCH(Sheet1!B249,About!B:B,0),1)),""))</f>
        <v>Boolean Elec Suppliers Have Foresight of Future RPS Values.xlsx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5">
      <c r="A250" t="s">
        <v>632</v>
      </c>
      <c r="B250" t="s">
        <v>846</v>
      </c>
      <c r="C250" t="s">
        <v>847</v>
      </c>
      <c r="G250" t="str">
        <f t="shared" si="6"/>
        <v>.csv</v>
      </c>
      <c r="H250" s="5" t="str">
        <f>IF(AND(G250=".csv",COUNTIFS($B:$B,$B250,$G:$G,"xlsx")-COUNTIFS($B:$B,$B250,$G:$G,"xlsx",$C:$C,"~~$*")&gt;1,LEFT(C250,LEN($B250))&lt;&gt;$B250),"",IFERROR(IF(B250="FoPITY",INDEX(Customizations!$C$2:$C$19,MATCH(Sheet1!C250,Customizations!$B$2:$B$19,0),1),INDEX(About!C:C,MATCH(Sheet1!B250,About!B:B,0),1)),""))</f>
        <v>Boolean Include Emissions from Exported Electricity.xlsx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5">
      <c r="A251" t="s">
        <v>632</v>
      </c>
      <c r="B251" t="s">
        <v>846</v>
      </c>
      <c r="C251" t="s">
        <v>848</v>
      </c>
      <c r="G251" t="str">
        <f t="shared" si="6"/>
        <v>xlsx</v>
      </c>
      <c r="H251" s="5" t="str">
        <f>IF(AND(G251=".csv",COUNTIFS($B:$B,$B251,$G:$G,"xlsx")-COUNTIFS($B:$B,$B251,$G:$G,"xlsx",$C:$C,"~~$*")&gt;1,LEFT(C251,LEN($B251))&lt;&gt;$B251),"",IFERROR(IF(B251="FoPITY",INDEX(Customizations!$C$2:$C$19,MATCH(Sheet1!C251,Customizations!$B$2:$B$19,0),1),INDEX(About!C:C,MATCH(Sheet1!B251,About!B:B,0),1)),""))</f>
        <v>Boolean Include Emissions from Exported Electricity.xlsx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5">
      <c r="A252" t="s">
        <v>632</v>
      </c>
      <c r="B252" t="s">
        <v>291</v>
      </c>
      <c r="C252" t="s">
        <v>292</v>
      </c>
      <c r="G252" t="str">
        <f t="shared" si="6"/>
        <v>.csv</v>
      </c>
      <c r="H252" s="5" t="str">
        <f>IF(AND(G252=".csv",COUNTIFS($B:$B,$B252,$G:$G,"xlsx")-COUNTIFS($B:$B,$B252,$G:$G,"xlsx",$C:$C,"~~$*")&gt;1,LEFT(C252,LEN($B252))&lt;&gt;$B252),"",IFERROR(IF(B252="FoPITY",INDEX(Customizations!$C$2:$C$19,MATCH(Sheet1!C252,Customizations!$B$2:$B$19,0),1),INDEX(About!C:C,MATCH(Sheet1!B252,About!B:B,0),1)),""))</f>
        <v>Boolean Include Emissions from Imported Electricity.xlsx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5">
      <c r="A253" t="s">
        <v>632</v>
      </c>
      <c r="B253" t="s">
        <v>291</v>
      </c>
      <c r="C253" t="s">
        <v>293</v>
      </c>
      <c r="G253" t="str">
        <f t="shared" si="6"/>
        <v>xlsx</v>
      </c>
      <c r="H253" s="5" t="str">
        <f>IF(AND(G253=".csv",COUNTIFS($B:$B,$B253,$G:$G,"xlsx")-COUNTIFS($B:$B,$B253,$G:$G,"xlsx",$C:$C,"~~$*")&gt;1,LEFT(C253,LEN($B253))&lt;&gt;$B253),"",IFERROR(IF(B253="FoPITY",INDEX(Customizations!$C$2:$C$19,MATCH(Sheet1!C253,Customizations!$B$2:$B$19,0),1),INDEX(About!C:C,MATCH(Sheet1!B253,About!B:B,0),1)),""))</f>
        <v>Boolean Include Emissions from Imported Electricity.xlsx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5">
      <c r="A254" t="s">
        <v>632</v>
      </c>
      <c r="B254" t="s">
        <v>934</v>
      </c>
      <c r="C254" t="s">
        <v>935</v>
      </c>
      <c r="G254" t="str">
        <f t="shared" si="6"/>
        <v>xlsx</v>
      </c>
      <c r="H254" s="5" t="str">
        <f>IF(AND(G254=".csv",COUNTIFS($B:$B,$B254,$G:$G,"xlsx")-COUNTIFS($B:$B,$B254,$G:$G,"xlsx",$C:$C,"~~$*")&gt;1,LEFT(C254,LEN($B254))&lt;&gt;$B254),"",IFERROR(IF(B254="FoPITY",INDEX(Customizations!$C$2:$C$19,MATCH(Sheet1!C254,Customizations!$B$2:$B$19,0),1),INDEX(About!C:C,MATCH(Sheet1!B254,About!B:B,0),1)),""))</f>
        <v>Bool Rebate Carbon Tax on Exported Products.xlsx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5">
      <c r="A255" t="s">
        <v>632</v>
      </c>
      <c r="B255" t="s">
        <v>934</v>
      </c>
      <c r="C255" t="s">
        <v>936</v>
      </c>
      <c r="G255" t="str">
        <f t="shared" si="6"/>
        <v>.csv</v>
      </c>
      <c r="H255" s="5" t="str">
        <f>IF(AND(G255=".csv",COUNTIFS($B:$B,$B255,$G:$G,"xlsx")-COUNTIFS($B:$B,$B255,$G:$G,"xlsx",$C:$C,"~~$*")&gt;1,LEFT(C255,LEN($B255))&lt;&gt;$B255),"",IFERROR(IF(B255="FoPITY",INDEX(Customizations!$C$2:$C$19,MATCH(Sheet1!C255,Customizations!$B$2:$B$19,0),1),INDEX(About!C:C,MATCH(Sheet1!B255,About!B:B,0),1)),""))</f>
        <v>Bool Rebate Carbon Tax on Exported Products.xlsx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5">
      <c r="A256" t="s">
        <v>632</v>
      </c>
      <c r="B256" t="s">
        <v>1896</v>
      </c>
      <c r="C256" t="s">
        <v>1897</v>
      </c>
      <c r="G256" t="str">
        <f t="shared" si="6"/>
        <v>xlsx</v>
      </c>
      <c r="H256" s="5" t="str">
        <f>IF(AND(G256=".csv",COUNTIFS($B:$B,$B256,$G:$G,"xlsx")-COUNTIFS($B:$B,$B256,$G:$G,"xlsx",$C:$C,"~~$*")&gt;1,LEFT(C256,LEN($B256))&lt;&gt;$B256),"",IFERROR(IF(B256="FoPITY",INDEX(Customizations!$C$2:$C$19,MATCH(Sheet1!C256,Customizations!$B$2:$B$19,0),1),INDEX(About!C:C,MATCH(Sheet1!B256,About!B:B,0),1)),""))</f>
        <v>BUCLfCR Bool Use Cap Life for Retirments.xlsx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5">
      <c r="A257" t="s">
        <v>632</v>
      </c>
      <c r="B257" t="s">
        <v>1896</v>
      </c>
      <c r="C257" t="s">
        <v>1898</v>
      </c>
      <c r="G257" t="str">
        <f t="shared" ref="G257:G319" si="8">RIGHT(C257,"4")</f>
        <v>.csv</v>
      </c>
      <c r="H257" s="5" t="str">
        <f>IF(AND(G257=".csv",COUNTIFS($B:$B,$B257,$G:$G,"xlsx")-COUNTIFS($B:$B,$B257,$G:$G,"xlsx",$C:$C,"~~$*")&gt;1,LEFT(C257,LEN($B257))&lt;&gt;$B257),"",IFERROR(IF(B257="FoPITY",INDEX(Customizations!$C$2:$C$19,MATCH(Sheet1!C257,Customizations!$B$2:$B$19,0),1),INDEX(About!C:C,MATCH(Sheet1!B257,About!B:B,0),1)),""))</f>
        <v>BUCLfCR Bool Use Cap Life for Retirments.xlsx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5">
      <c r="A258" t="s">
        <v>632</v>
      </c>
      <c r="B258" t="s">
        <v>1456</v>
      </c>
      <c r="C258" t="s">
        <v>1457</v>
      </c>
      <c r="G258" t="str">
        <f t="shared" si="8"/>
        <v>xlsx</v>
      </c>
      <c r="H258" s="5" t="str">
        <f>IF(AND(G258=".csv",COUNTIFS($B:$B,$B258,$G:$G,"xlsx")-COUNTIFS($B:$B,$B258,$G:$G,"xlsx",$C:$C,"~~$*")&gt;1,LEFT(C258,LEN($B258))&lt;&gt;$B258),"",IFERROR(IF(B258="FoPITY",INDEX(Customizations!$C$2:$C$19,MATCH(Sheet1!C258,Customizations!$B$2:$B$19,0),1),INDEX(About!C:C,MATCH(Sheet1!B258,About!B:B,0),1)),""))</f>
        <v>Boolean Use Capacity Market for New Capacity Revenue.xlsx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5">
      <c r="A259" t="s">
        <v>632</v>
      </c>
      <c r="B259" t="s">
        <v>1456</v>
      </c>
      <c r="C259" t="s">
        <v>1458</v>
      </c>
      <c r="G259" t="str">
        <f t="shared" si="8"/>
        <v>.csv</v>
      </c>
      <c r="H259" s="5" t="str">
        <f>IF(AND(G259=".csv",COUNTIFS($B:$B,$B259,$G:$G,"xlsx")-COUNTIFS($B:$B,$B259,$G:$G,"xlsx",$C:$C,"~~$*")&gt;1,LEFT(C259,LEN($B259))&lt;&gt;$B259),"",IFERROR(IF(B259="FoPITY",INDEX(Customizations!$C$2:$C$19,MATCH(Sheet1!C259,Customizations!$B$2:$B$19,0),1),INDEX(About!C:C,MATCH(Sheet1!B259,About!B:B,0),1)),""))</f>
        <v>Boolean Use Capacity Market for New Capacity Revenue.xlsx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5">
      <c r="A260" t="s">
        <v>632</v>
      </c>
      <c r="B260" t="s">
        <v>294</v>
      </c>
      <c r="C260" t="s">
        <v>295</v>
      </c>
      <c r="G260" t="str">
        <f t="shared" si="8"/>
        <v>xlsx</v>
      </c>
      <c r="H260" s="5" t="str">
        <f>IF(AND(G260=".csv",COUNTIFS($B:$B,$B260,$G:$G,"xlsx")-COUNTIFS($B:$B,$B260,$G:$G,"xlsx",$C:$C,"~~$*")&gt;1,LEFT(C260,LEN($B260))&lt;&gt;$B260),"",IFERROR(IF(B260="FoPITY",INDEX(Customizations!$C$2:$C$19,MATCH(Sheet1!C260,Customizations!$B$2:$B$19,0),1),INDEX(About!C:C,MATCH(Sheet1!B260,About!B:B,0),1)),""))</f>
        <v>Boolean Use Twenty Year GWP Values.xlsx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5">
      <c r="A261" t="s">
        <v>632</v>
      </c>
      <c r="B261" t="s">
        <v>294</v>
      </c>
      <c r="C261" t="s">
        <v>296</v>
      </c>
      <c r="G261" t="str">
        <f t="shared" si="8"/>
        <v>.csv</v>
      </c>
      <c r="H261" s="5" t="str">
        <f>IF(AND(G261=".csv",COUNTIFS($B:$B,$B261,$G:$G,"xlsx")-COUNTIFS($B:$B,$B261,$G:$G,"xlsx",$C:$C,"~~$*")&gt;1,LEFT(C261,LEN($B261))&lt;&gt;$B261),"",IFERROR(IF(B261="FoPITY",INDEX(Customizations!$C$2:$C$19,MATCH(Sheet1!C261,Customizations!$B$2:$B$19,0),1),INDEX(About!C:C,MATCH(Sheet1!B261,About!B:B,0),1)),""))</f>
        <v>Boolean Use Twenty Year GWP Values.xlsx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5">
      <c r="A262" t="s">
        <v>632</v>
      </c>
      <c r="B262" t="s">
        <v>1745</v>
      </c>
      <c r="C262" t="s">
        <v>1746</v>
      </c>
      <c r="G262" t="str">
        <f t="shared" si="8"/>
        <v>xlsx</v>
      </c>
      <c r="H262" s="5" t="str">
        <f>IF(AND(G262=".csv",COUNTIFS($B:$B,$B262,$G:$G,"xlsx")-COUNTIFS($B:$B,$B262,$G:$G,"xlsx",$C:$C,"~~$*")&gt;1,LEFT(C262,LEN($B262))&lt;&gt;$B262),"",IFERROR(IF(B262="FoPITY",INDEX(Customizations!$C$2:$C$19,MATCH(Sheet1!C262,Customizations!$B$2:$B$19,0),1),INDEX(About!C:C,MATCH(Sheet1!B262,About!B:B,0),1)),""))</f>
        <v>Data Center Load Growth Assumption.xlsx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5">
      <c r="A263" t="s">
        <v>632</v>
      </c>
      <c r="B263" t="s">
        <v>1745</v>
      </c>
      <c r="C263" t="s">
        <v>1747</v>
      </c>
      <c r="G263" t="str">
        <f t="shared" si="8"/>
        <v>.csv</v>
      </c>
      <c r="H263" s="5" t="str">
        <f>IF(AND(G263=".csv",COUNTIFS($B:$B,$B263,$G:$G,"xlsx")-COUNTIFS($B:$B,$B263,$G:$G,"xlsx",$C:$C,"~~$*")&gt;1,LEFT(C263,LEN($B263))&lt;&gt;$B263),"",IFERROR(IF(B263="FoPITY",INDEX(Customizations!$C$2:$C$19,MATCH(Sheet1!C263,Customizations!$B$2:$B$19,0),1),INDEX(About!C:C,MATCH(Sheet1!B263,About!B:B,0),1)),""))</f>
        <v>Data Center Load Growth Assumption.xlsx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5">
      <c r="A264" t="s">
        <v>632</v>
      </c>
      <c r="B264" t="s">
        <v>973</v>
      </c>
      <c r="C264" t="s">
        <v>974</v>
      </c>
      <c r="G264" t="str">
        <f t="shared" si="8"/>
        <v>.csv</v>
      </c>
      <c r="H264" s="5" t="str">
        <f>IF(AND(G264=".csv",COUNTIFS($B:$B,$B264,$G:$G,"xlsx")-COUNTIFS($B:$B,$B264,$G:$G,"xlsx",$C:$C,"~~$*")&gt;1,LEFT(C264,LEN($B264))&lt;&gt;$B264),"",IFERROR(IF(B264="FoPITY",INDEX(Customizations!$C$2:$C$19,MATCH(Sheet1!C264,Customizations!$B$2:$B$19,0),1),INDEX(About!C:C,MATCH(Sheet1!B264,About!B:B,0),1)),""))</f>
        <v>Exogenous GDP Growth Rate Adjustment.xlsx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5">
      <c r="A265" t="s">
        <v>632</v>
      </c>
      <c r="B265" t="s">
        <v>973</v>
      </c>
      <c r="C265" t="s">
        <v>975</v>
      </c>
      <c r="G265" t="str">
        <f t="shared" si="8"/>
        <v>.csv</v>
      </c>
      <c r="H265" s="5" t="str">
        <f>IF(AND(G265=".csv",COUNTIFS($B:$B,$B265,$G:$G,"xlsx")-COUNTIFS($B:$B,$B265,$G:$G,"xlsx",$C:$C,"~~$*")&gt;1,LEFT(C265,LEN($B265))&lt;&gt;$B265),"",IFERROR(IF(B265="FoPITY",INDEX(Customizations!$C$2:$C$19,MATCH(Sheet1!C265,Customizations!$B$2:$B$19,0),1),INDEX(About!C:C,MATCH(Sheet1!B265,About!B:B,0),1)),""))</f>
        <v>Exogenous GDP Growth Rate Adjustment.xlsx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5">
      <c r="A266" t="s">
        <v>632</v>
      </c>
      <c r="B266" t="s">
        <v>973</v>
      </c>
      <c r="C266" t="s">
        <v>976</v>
      </c>
      <c r="G266" t="str">
        <f t="shared" si="8"/>
        <v>xlsx</v>
      </c>
      <c r="H266" s="5" t="str">
        <f>IF(AND(G266=".csv",COUNTIFS($B:$B,$B266,$G:$G,"xlsx")-COUNTIFS($B:$B,$B266,$G:$G,"xlsx",$C:$C,"~~$*")&gt;1,LEFT(C266,LEN($B266))&lt;&gt;$B266),"",IFERROR(IF(B266="FoPITY",INDEX(Customizations!$C$2:$C$19,MATCH(Sheet1!C266,Customizations!$B$2:$B$19,0),1),INDEX(About!C:C,MATCH(Sheet1!B266,About!B:B,0),1)),""))</f>
        <v>Exogenous GDP Growth Rate Adjustment.xlsx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5">
      <c r="A267" t="s">
        <v>632</v>
      </c>
      <c r="B267" t="s">
        <v>635</v>
      </c>
      <c r="C267" t="s">
        <v>636</v>
      </c>
      <c r="G267" t="str">
        <f t="shared" si="8"/>
        <v>xlsx</v>
      </c>
      <c r="H267" s="5" t="str">
        <f>IF(AND(G267=".csv",COUNTIFS($B:$B,$B267,$G:$G,"xlsx")-COUNTIFS($B:$B,$B267,$G:$G,"xlsx",$C:$C,"~~$*")&gt;1,LEFT(C267,LEN($B267))&lt;&gt;$B267),"",IFERROR(IF(B267="FoPITY",INDEX(Customizations!$C$2:$C$19,MATCH(Sheet1!C267,Customizations!$B$2:$B$19,0),1),INDEX(About!C:C,MATCH(Sheet1!B267,About!B:B,0),1)),""))</f>
        <v>Elasticity of Sectoral Energy Use wrt Per Capita GDP in Recession.xlsx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5">
      <c r="A268" t="s">
        <v>632</v>
      </c>
      <c r="B268" t="s">
        <v>635</v>
      </c>
      <c r="C268" t="s">
        <v>637</v>
      </c>
      <c r="G268" t="str">
        <f t="shared" si="8"/>
        <v>.csv</v>
      </c>
      <c r="H268" s="5" t="str">
        <f>IF(AND(G268=".csv",COUNTIFS($B:$B,$B268,$G:$G,"xlsx")-COUNTIFS($B:$B,$B268,$G:$G,"xlsx",$C:$C,"~~$*")&gt;1,LEFT(C268,LEN($B268))&lt;&gt;$B268),"",IFERROR(IF(B268="FoPITY",INDEX(Customizations!$C$2:$C$19,MATCH(Sheet1!C268,Customizations!$B$2:$B$19,0),1),INDEX(About!C:C,MATCH(Sheet1!B268,About!B:B,0),1)),""))</f>
        <v>Elasticity of Sectoral Energy Use wrt Per Capita GDP in Recession.xlsx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5">
      <c r="A269" t="s">
        <v>632</v>
      </c>
      <c r="B269" t="s">
        <v>1459</v>
      </c>
      <c r="C269" t="s">
        <v>1460</v>
      </c>
      <c r="G269" t="str">
        <f t="shared" si="8"/>
        <v>xlsx</v>
      </c>
      <c r="H269" s="5" t="str">
        <f>IF(AND(G269=".csv",COUNTIFS($B:$B,$B269,$G:$G,"xlsx")-COUNTIFS($B:$B,$B269,$G:$G,"xlsx",$C:$C,"~~$*")&gt;1,LEFT(C269,LEN($B269))&lt;&gt;$B269),"",IFERROR(IF(B269="FoPITY",INDEX(Customizations!$C$2:$C$19,MATCH(Sheet1!C269,Customizations!$B$2:$B$19,0),1),INDEX(About!C:C,MATCH(Sheet1!B269,About!B:B,0),1)),""))</f>
        <v>First Year Impacted by Future Policies.xlsx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5">
      <c r="A270" t="s">
        <v>632</v>
      </c>
      <c r="B270" t="s">
        <v>1459</v>
      </c>
      <c r="C270" t="s">
        <v>1461</v>
      </c>
      <c r="G270" t="str">
        <f t="shared" si="8"/>
        <v>.csv</v>
      </c>
      <c r="H270" s="5" t="str">
        <f>IF(AND(G270=".csv",COUNTIFS($B:$B,$B270,$G:$G,"xlsx")-COUNTIFS($B:$B,$B270,$G:$G,"xlsx",$C:$C,"~~$*")&gt;1,LEFT(C270,LEN($B270))&lt;&gt;$B270),"",IFERROR(IF(B270="FoPITY",INDEX(Customizations!$C$2:$C$19,MATCH(Sheet1!C270,Customizations!$B$2:$B$19,0),1),INDEX(About!C:C,MATCH(Sheet1!B270,About!B:B,0),1)),""))</f>
        <v>First Year Impacted by Future Policies.xlsx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5">
      <c r="A271" t="s">
        <v>632</v>
      </c>
      <c r="B271" t="s">
        <v>732</v>
      </c>
      <c r="C271" t="s">
        <v>733</v>
      </c>
      <c r="G271" t="str">
        <f t="shared" si="8"/>
        <v>xlsx</v>
      </c>
      <c r="H271" s="5" t="str">
        <f>IF(AND(G271=".csv",COUNTIFS($B:$B,$B271,$G:$G,"xlsx")-COUNTIFS($B:$B,$B271,$G:$G,"xlsx",$C:$C,"~~$*")&gt;1,LEFT(C271,LEN($B271))&lt;&gt;$B271),"",IFERROR(IF(B271="FoPITY",INDEX(Customizations!$C$2:$C$19,MATCH(Sheet1!C271,Customizations!$B$2:$B$19,0),1),INDEX(About!C:C,MATCH(Sheet1!B271,About!B:B,0),1)),""))</f>
        <v>Government Revenue Accounting.xlsx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5">
      <c r="A272" t="s">
        <v>632</v>
      </c>
      <c r="B272" t="s">
        <v>732</v>
      </c>
      <c r="C272" t="s">
        <v>1748</v>
      </c>
      <c r="G272" t="str">
        <f t="shared" si="8"/>
        <v>.csv</v>
      </c>
      <c r="H272" s="5" t="str">
        <f>IF(AND(G272=".csv",COUNTIFS($B:$B,$B272,$G:$G,"xlsx")-COUNTIFS($B:$B,$B272,$G:$G,"xlsx",$C:$C,"~~$*")&gt;1,LEFT(C272,LEN($B272))&lt;&gt;$B272),"",IFERROR(IF(B272="FoPITY",INDEX(Customizations!$C$2:$C$19,MATCH(Sheet1!C272,Customizations!$B$2:$B$19,0),1),INDEX(About!C:C,MATCH(Sheet1!B272,About!B:B,0),1)),""))</f>
        <v>Government Revenue Accounting.xlsx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5">
      <c r="A273" t="s">
        <v>632</v>
      </c>
      <c r="B273" t="s">
        <v>732</v>
      </c>
      <c r="C273" t="s">
        <v>799</v>
      </c>
      <c r="G273" t="str">
        <f t="shared" si="8"/>
        <v>.csv</v>
      </c>
      <c r="H273" s="5" t="str">
        <f>IF(AND(G273=".csv",COUNTIFS($B:$B,$B273,$G:$G,"xlsx")-COUNTIFS($B:$B,$B273,$G:$G,"xlsx",$C:$C,"~~$*")&gt;1,LEFT(C273,LEN($B273))&lt;&gt;$B273),"",IFERROR(IF(B273="FoPITY",INDEX(Customizations!$C$2:$C$19,MATCH(Sheet1!C273,Customizations!$B$2:$B$19,0),1),INDEX(About!C:C,MATCH(Sheet1!B273,About!B:B,0),1)),""))</f>
        <v>Government Revenue Accounting.xlsx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5">
      <c r="A274" t="s">
        <v>632</v>
      </c>
      <c r="B274" t="s">
        <v>732</v>
      </c>
      <c r="C274" t="s">
        <v>1029</v>
      </c>
      <c r="G274" t="str">
        <f t="shared" si="8"/>
        <v>.csv</v>
      </c>
      <c r="H274" s="5" t="str">
        <f>IF(AND(G274=".csv",COUNTIFS($B:$B,$B274,$G:$G,"xlsx")-COUNTIFS($B:$B,$B274,$G:$G,"xlsx",$C:$C,"~~$*")&gt;1,LEFT(C274,LEN($B274))&lt;&gt;$B274),"",IFERROR(IF(B274="FoPITY",INDEX(Customizations!$C$2:$C$19,MATCH(Sheet1!C274,Customizations!$B$2:$B$19,0),1),INDEX(About!C:C,MATCH(Sheet1!B274,About!B:B,0),1)),""))</f>
        <v>Government Revenue Accounting.xlsx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5">
      <c r="A275" t="s">
        <v>632</v>
      </c>
      <c r="B275" t="s">
        <v>732</v>
      </c>
      <c r="C275" t="s">
        <v>800</v>
      </c>
      <c r="G275" t="str">
        <f t="shared" si="8"/>
        <v>.csv</v>
      </c>
      <c r="H275" s="5" t="str">
        <f>IF(AND(G275=".csv",COUNTIFS($B:$B,$B275,$G:$G,"xlsx")-COUNTIFS($B:$B,$B275,$G:$G,"xlsx",$C:$C,"~~$*")&gt;1,LEFT(C275,LEN($B275))&lt;&gt;$B275),"",IFERROR(IF(B275="FoPITY",INDEX(Customizations!$C$2:$C$19,MATCH(Sheet1!C275,Customizations!$B$2:$B$19,0),1),INDEX(About!C:C,MATCH(Sheet1!B275,About!B:B,0),1)),""))</f>
        <v>Government Revenue Accounting.xlsx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5">
      <c r="A276" t="s">
        <v>632</v>
      </c>
      <c r="B276" t="s">
        <v>732</v>
      </c>
      <c r="C276" t="s">
        <v>801</v>
      </c>
      <c r="G276" t="str">
        <f t="shared" si="8"/>
        <v>.csv</v>
      </c>
      <c r="H276" s="5" t="str">
        <f>IF(AND(G276=".csv",COUNTIFS($B:$B,$B276,$G:$G,"xlsx")-COUNTIFS($B:$B,$B276,$G:$G,"xlsx",$C:$C,"~~$*")&gt;1,LEFT(C276,LEN($B276))&lt;&gt;$B276),"",IFERROR(IF(B276="FoPITY",INDEX(Customizations!$C$2:$C$19,MATCH(Sheet1!C276,Customizations!$B$2:$B$19,0),1),INDEX(About!C:C,MATCH(Sheet1!B276,About!B:B,0),1)),""))</f>
        <v>Government Revenue Accounting.xlsx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5">
      <c r="A277" t="s">
        <v>632</v>
      </c>
      <c r="B277" t="s">
        <v>732</v>
      </c>
      <c r="C277" t="s">
        <v>802</v>
      </c>
      <c r="G277" t="str">
        <f t="shared" si="8"/>
        <v>.csv</v>
      </c>
      <c r="H277" s="5" t="str">
        <f>IF(AND(G277=".csv",COUNTIFS($B:$B,$B277,$G:$G,"xlsx")-COUNTIFS($B:$B,$B277,$G:$G,"xlsx",$C:$C,"~~$*")&gt;1,LEFT(C277,LEN($B277))&lt;&gt;$B277),"",IFERROR(IF(B277="FoPITY",INDEX(Customizations!$C$2:$C$19,MATCH(Sheet1!C277,Customizations!$B$2:$B$19,0),1),INDEX(About!C:C,MATCH(Sheet1!B277,About!B:B,0),1)),""))</f>
        <v>Government Revenue Accounting.xlsx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5">
      <c r="A278" t="s">
        <v>632</v>
      </c>
      <c r="B278" t="s">
        <v>732</v>
      </c>
      <c r="C278" t="s">
        <v>803</v>
      </c>
      <c r="G278" t="str">
        <f t="shared" si="8"/>
        <v>.csv</v>
      </c>
      <c r="H278" s="5" t="str">
        <f>IF(AND(G278=".csv",COUNTIFS($B:$B,$B278,$G:$G,"xlsx")-COUNTIFS($B:$B,$B278,$G:$G,"xlsx",$C:$C,"~~$*")&gt;1,LEFT(C278,LEN($B278))&lt;&gt;$B278),"",IFERROR(IF(B278="FoPITY",INDEX(Customizations!$C$2:$C$19,MATCH(Sheet1!C278,Customizations!$B$2:$B$19,0),1),INDEX(About!C:C,MATCH(Sheet1!B278,About!B:B,0),1)),""))</f>
        <v>Government Revenue Accounting.xlsx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5">
      <c r="A279" t="s">
        <v>632</v>
      </c>
      <c r="B279" t="s">
        <v>732</v>
      </c>
      <c r="C279" t="s">
        <v>804</v>
      </c>
      <c r="G279" t="str">
        <f t="shared" si="8"/>
        <v>.csv</v>
      </c>
      <c r="H279" s="5" t="str">
        <f>IF(AND(G279=".csv",COUNTIFS($B:$B,$B279,$G:$G,"xlsx")-COUNTIFS($B:$B,$B279,$G:$G,"xlsx",$C:$C,"~~$*")&gt;1,LEFT(C279,LEN($B279))&lt;&gt;$B279),"",IFERROR(IF(B279="FoPITY",INDEX(Customizations!$C$2:$C$19,MATCH(Sheet1!C279,Customizations!$B$2:$B$19,0),1),INDEX(About!C:C,MATCH(Sheet1!B279,About!B:B,0),1)),""))</f>
        <v>Government Revenue Accounting.xlsx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5">
      <c r="A280" t="s">
        <v>632</v>
      </c>
      <c r="B280" t="s">
        <v>732</v>
      </c>
      <c r="C280" t="s">
        <v>805</v>
      </c>
      <c r="G280" t="str">
        <f t="shared" si="8"/>
        <v>.csv</v>
      </c>
      <c r="H280" s="5" t="str">
        <f>IF(AND(G280=".csv",COUNTIFS($B:$B,$B280,$G:$G,"xlsx")-COUNTIFS($B:$B,$B280,$G:$G,"xlsx",$C:$C,"~~$*")&gt;1,LEFT(C280,LEN($B280))&lt;&gt;$B280),"",IFERROR(IF(B280="FoPITY",INDEX(Customizations!$C$2:$C$19,MATCH(Sheet1!C280,Customizations!$B$2:$B$19,0),1),INDEX(About!C:C,MATCH(Sheet1!B280,About!B:B,0),1)),""))</f>
        <v>Government Revenue Accounting.xlsx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5">
      <c r="A281" t="s">
        <v>632</v>
      </c>
      <c r="B281" t="s">
        <v>732</v>
      </c>
      <c r="C281" t="s">
        <v>1749</v>
      </c>
      <c r="G281" t="str">
        <f t="shared" si="8"/>
        <v>.csv</v>
      </c>
      <c r="H281" s="5" t="str">
        <f>IF(AND(G281=".csv",COUNTIFS($B:$B,$B281,$G:$G,"xlsx")-COUNTIFS($B:$B,$B281,$G:$G,"xlsx",$C:$C,"~~$*")&gt;1,LEFT(C281,LEN($B281))&lt;&gt;$B281),"",IFERROR(IF(B281="FoPITY",INDEX(Customizations!$C$2:$C$19,MATCH(Sheet1!C281,Customizations!$B$2:$B$19,0),1),INDEX(About!C:C,MATCH(Sheet1!B281,About!B:B,0),1)),""))</f>
        <v>Government Revenue Accounting.xlsx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5">
      <c r="A282" t="s">
        <v>632</v>
      </c>
      <c r="B282" t="s">
        <v>732</v>
      </c>
      <c r="C282" t="s">
        <v>1750</v>
      </c>
      <c r="G282" t="str">
        <f t="shared" si="8"/>
        <v>.csv</v>
      </c>
      <c r="H282" s="5" t="str">
        <f>IF(AND(G282=".csv",COUNTIFS($B:$B,$B282,$G:$G,"xlsx")-COUNTIFS($B:$B,$B282,$G:$G,"xlsx",$C:$C,"~~$*")&gt;1,LEFT(C282,LEN($B282))&lt;&gt;$B282),"",IFERROR(IF(B282="FoPITY",INDEX(Customizations!$C$2:$C$19,MATCH(Sheet1!C282,Customizations!$B$2:$B$19,0),1),INDEX(About!C:C,MATCH(Sheet1!B282,About!B:B,0),1)),""))</f>
        <v>Government Revenue Accounting.xlsx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5">
      <c r="A283" t="s">
        <v>632</v>
      </c>
      <c r="B283" t="s">
        <v>732</v>
      </c>
      <c r="C283" t="s">
        <v>1899</v>
      </c>
      <c r="G283" t="str">
        <f t="shared" si="8"/>
        <v>.csv</v>
      </c>
      <c r="H283" s="5" t="str">
        <f>IF(AND(G283=".csv",COUNTIFS($B:$B,$B283,$G:$G,"xlsx")-COUNTIFS($B:$B,$B283,$G:$G,"xlsx",$C:$C,"~~$*")&gt;1,LEFT(C283,LEN($B283))&lt;&gt;$B283),"",IFERROR(IF(B283="FoPITY",INDEX(Customizations!$C$2:$C$19,MATCH(Sheet1!C283,Customizations!$B$2:$B$19,0),1),INDEX(About!C:C,MATCH(Sheet1!B283,About!B:B,0),1)),""))</f>
        <v>Government Revenue Accounting.xlsx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5">
      <c r="A284" t="s">
        <v>632</v>
      </c>
      <c r="B284" t="s">
        <v>732</v>
      </c>
      <c r="C284" t="s">
        <v>1751</v>
      </c>
      <c r="G284" t="str">
        <f t="shared" si="8"/>
        <v>.csv</v>
      </c>
      <c r="H284" s="5" t="str">
        <f>IF(AND(G284=".csv",COUNTIFS($B:$B,$B284,$G:$G,"xlsx")-COUNTIFS($B:$B,$B284,$G:$G,"xlsx",$C:$C,"~~$*")&gt;1,LEFT(C284,LEN($B284))&lt;&gt;$B284),"",IFERROR(IF(B284="FoPITY",INDEX(Customizations!$C$2:$C$19,MATCH(Sheet1!C284,Customizations!$B$2:$B$19,0),1),INDEX(About!C:C,MATCH(Sheet1!B284,About!B:B,0),1)),""))</f>
        <v>Government Revenue Accounting.xlsx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5">
      <c r="A285" t="s">
        <v>632</v>
      </c>
      <c r="B285" t="s">
        <v>732</v>
      </c>
      <c r="C285" t="s">
        <v>806</v>
      </c>
      <c r="G285" t="str">
        <f t="shared" si="8"/>
        <v>.csv</v>
      </c>
      <c r="H285" s="5" t="str">
        <f>IF(AND(G285=".csv",COUNTIFS($B:$B,$B285,$G:$G,"xlsx")-COUNTIFS($B:$B,$B285,$G:$G,"xlsx",$C:$C,"~~$*")&gt;1,LEFT(C285,LEN($B285))&lt;&gt;$B285),"",IFERROR(IF(B285="FoPITY",INDEX(Customizations!$C$2:$C$19,MATCH(Sheet1!C285,Customizations!$B$2:$B$19,0),1),INDEX(About!C:C,MATCH(Sheet1!B285,About!B:B,0),1)),""))</f>
        <v>Government Revenue Accounting.xlsx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5">
      <c r="A286" t="s">
        <v>632</v>
      </c>
      <c r="B286" t="s">
        <v>732</v>
      </c>
      <c r="C286" t="s">
        <v>807</v>
      </c>
      <c r="G286" t="str">
        <f t="shared" si="8"/>
        <v>.csv</v>
      </c>
      <c r="H286" s="5" t="str">
        <f>IF(AND(G286=".csv",COUNTIFS($B:$B,$B286,$G:$G,"xlsx")-COUNTIFS($B:$B,$B286,$G:$G,"xlsx",$C:$C,"~~$*")&gt;1,LEFT(C286,LEN($B286))&lt;&gt;$B286),"",IFERROR(IF(B286="FoPITY",INDEX(Customizations!$C$2:$C$19,MATCH(Sheet1!C286,Customizations!$B$2:$B$19,0),1),INDEX(About!C:C,MATCH(Sheet1!B286,About!B:B,0),1)),""))</f>
        <v>Government Revenue Accounting.xlsx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5">
      <c r="A287" t="s">
        <v>632</v>
      </c>
      <c r="B287" t="s">
        <v>1863</v>
      </c>
      <c r="C287" t="s">
        <v>1864</v>
      </c>
      <c r="G287" t="str">
        <f t="shared" si="8"/>
        <v>.csv</v>
      </c>
      <c r="H287" s="5" t="str">
        <f>IF(AND(G287=".csv",COUNTIFS($B:$B,$B287,$G:$G,"xlsx")-COUNTIFS($B:$B,$B287,$G:$G,"xlsx",$C:$C,"~~$*")&gt;1,LEFT(C287,LEN($B287))&lt;&gt;$B287),"",IFERROR(IF(B287="FoPITY",INDEX(Customizations!$C$2:$C$19,MATCH(Sheet1!C287,Customizations!$B$2:$B$19,0),1),INDEX(About!C:C,MATCH(Sheet1!B287,About!B:B,0),1)),""))</f>
        <v>Indst Cat w Indst wide Load Factor.xlsx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5">
      <c r="A288" t="s">
        <v>632</v>
      </c>
      <c r="B288" t="s">
        <v>1863</v>
      </c>
      <c r="C288" t="s">
        <v>1865</v>
      </c>
      <c r="G288" t="str">
        <f t="shared" si="8"/>
        <v>xlsx</v>
      </c>
      <c r="H288" s="5" t="str">
        <f>IF(AND(G288=".csv",COUNTIFS($B:$B,$B288,$G:$G,"xlsx")-COUNTIFS($B:$B,$B288,$G:$G,"xlsx",$C:$C,"~~$*")&gt;1,LEFT(C288,LEN($B288))&lt;&gt;$B288),"",IFERROR(IF(B288="FoPITY",INDEX(Customizations!$C$2:$C$19,MATCH(Sheet1!C288,Customizations!$B$2:$B$19,0),1),INDEX(About!C:C,MATCH(Sheet1!B288,About!B:B,0),1)),""))</f>
        <v>Indst Cat w Indst wide Load Factor.xlsx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5">
      <c r="A289" t="s">
        <v>632</v>
      </c>
      <c r="B289" t="s">
        <v>1752</v>
      </c>
      <c r="C289" t="s">
        <v>1753</v>
      </c>
      <c r="G289" t="str">
        <f t="shared" si="8"/>
        <v>xlsx</v>
      </c>
      <c r="H289" s="5" t="str">
        <f>IF(AND(G289=".csv",COUNTIFS($B:$B,$B289,$G:$G,"xlsx")-COUNTIFS($B:$B,$B289,$G:$G,"xlsx",$C:$C,"~~$*")&gt;1,LEFT(C289,LEN($B289))&lt;&gt;$B289),"",IFERROR(IF(B289="FoPITY",INDEX(Customizations!$C$2:$C$19,MATCH(Sheet1!C289,Customizations!$B$2:$B$19,0),1),INDEX(About!C:C,MATCH(Sheet1!B289,About!B:B,0),1)),""))</f>
        <v>Model Run Vintages.xlsx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5">
      <c r="A290" t="s">
        <v>632</v>
      </c>
      <c r="B290" t="s">
        <v>1752</v>
      </c>
      <c r="C290" t="s">
        <v>1754</v>
      </c>
      <c r="G290" t="str">
        <f t="shared" si="8"/>
        <v>.csv</v>
      </c>
      <c r="H290" s="5" t="str">
        <f>IF(AND(G290=".csv",COUNTIFS($B:$B,$B290,$G:$G,"xlsx")-COUNTIFS($B:$B,$B290,$G:$G,"xlsx",$C:$C,"~~$*")&gt;1,LEFT(C290,LEN($B290))&lt;&gt;$B290),"",IFERROR(IF(B290="FoPITY",INDEX(Customizations!$C$2:$C$19,MATCH(Sheet1!C290,Customizations!$B$2:$B$19,0),1),INDEX(About!C:C,MATCH(Sheet1!B290,About!B:B,0),1)),""))</f>
        <v>Model Run Vintages.xlsx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5">
      <c r="A291" t="s">
        <v>632</v>
      </c>
      <c r="B291" t="s">
        <v>1462</v>
      </c>
      <c r="C291" t="s">
        <v>1463</v>
      </c>
      <c r="G291" t="str">
        <f t="shared" si="8"/>
        <v>.csv</v>
      </c>
      <c r="H291" s="5" t="str">
        <f>IF(AND(G291=".csv",COUNTIFS($B:$B,$B291,$G:$G,"xlsx")-COUNTIFS($B:$B,$B291,$G:$G,"xlsx",$C:$C,"~~$*")&gt;1,LEFT(C291,LEN($B291))&lt;&gt;$B291),"",IFERROR(IF(B291="FoPITY",INDEX(Customizations!$C$2:$C$19,MATCH(Sheet1!C291,Customizations!$B$2:$B$19,0),1),INDEX(About!C:C,MATCH(Sheet1!B291,About!B:B,0),1)),""))</f>
        <v>Modeled Vintages.xlsx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5">
      <c r="A292" t="s">
        <v>632</v>
      </c>
      <c r="B292" t="s">
        <v>1462</v>
      </c>
      <c r="C292" t="s">
        <v>1464</v>
      </c>
      <c r="G292" t="str">
        <f t="shared" si="8"/>
        <v>xlsx</v>
      </c>
      <c r="H292" s="5" t="str">
        <f>IF(AND(G292=".csv",COUNTIFS($B:$B,$B292,$G:$G,"xlsx")-COUNTIFS($B:$B,$B292,$G:$G,"xlsx",$C:$C,"~~$*")&gt;1,LEFT(C292,LEN($B292))&lt;&gt;$B292),"",IFERROR(IF(B292="FoPITY",INDEX(Customizations!$C$2:$C$19,MATCH(Sheet1!C292,Customizations!$B$2:$B$19,0),1),INDEX(About!C:C,MATCH(Sheet1!B292,About!B:B,0),1)),""))</f>
        <v>Modeled Vintages.xlsx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5">
      <c r="A293" t="s">
        <v>632</v>
      </c>
      <c r="B293" t="s">
        <v>1462</v>
      </c>
      <c r="C293" t="s">
        <v>1465</v>
      </c>
      <c r="G293" t="str">
        <f t="shared" si="8"/>
        <v>.csv</v>
      </c>
      <c r="H293" s="5" t="str">
        <f>IF(AND(G293=".csv",COUNTIFS($B:$B,$B293,$G:$G,"xlsx")-COUNTIFS($B:$B,$B293,$G:$G,"xlsx",$C:$C,"~~$*")&gt;1,LEFT(C293,LEN($B293))&lt;&gt;$B293),"",IFERROR(IF(B293="FoPITY",INDEX(Customizations!$C$2:$C$19,MATCH(Sheet1!C293,Customizations!$B$2:$B$19,0),1),INDEX(About!C:C,MATCH(Sheet1!B293,About!B:B,0),1)),""))</f>
        <v>Modeled Vintages.xlsx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5">
      <c r="A294" t="s">
        <v>632</v>
      </c>
      <c r="B294" t="s">
        <v>1462</v>
      </c>
      <c r="C294" t="s">
        <v>1755</v>
      </c>
      <c r="G294" t="str">
        <f t="shared" si="8"/>
        <v>.csv</v>
      </c>
      <c r="H294" s="5" t="str">
        <f>IF(AND(G294=".csv",COUNTIFS($B:$B,$B294,$G:$G,"xlsx")-COUNTIFS($B:$B,$B294,$G:$G,"xlsx",$C:$C,"~~$*")&gt;1,LEFT(C294,LEN($B294))&lt;&gt;$B294),"",IFERROR(IF(B294="FoPITY",INDEX(Customizations!$C$2:$C$19,MATCH(Sheet1!C294,Customizations!$B$2:$B$19,0),1),INDEX(About!C:C,MATCH(Sheet1!B294,About!B:B,0),1)),""))</f>
        <v>Modeled Vintages.xlsx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5">
      <c r="A295" t="s">
        <v>632</v>
      </c>
      <c r="B295" t="s">
        <v>1462</v>
      </c>
      <c r="C295" t="s">
        <v>1466</v>
      </c>
      <c r="G295" t="str">
        <f t="shared" si="8"/>
        <v>.csv</v>
      </c>
      <c r="H295" s="5" t="str">
        <f>IF(AND(G295=".csv",COUNTIFS($B:$B,$B295,$G:$G,"xlsx")-COUNTIFS($B:$B,$B295,$G:$G,"xlsx",$C:$C,"~~$*")&gt;1,LEFT(C295,LEN($B295))&lt;&gt;$B295),"",IFERROR(IF(B295="FoPITY",INDEX(Customizations!$C$2:$C$19,MATCH(Sheet1!C295,Customizations!$B$2:$B$19,0),1),INDEX(About!C:C,MATCH(Sheet1!B295,About!B:B,0),1)),""))</f>
        <v>Modeled Vintages.xlsx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5">
      <c r="A296" t="s">
        <v>632</v>
      </c>
      <c r="B296" t="s">
        <v>1462</v>
      </c>
      <c r="C296" t="s">
        <v>1756</v>
      </c>
      <c r="G296" t="str">
        <f t="shared" si="8"/>
        <v>.csv</v>
      </c>
      <c r="H296" s="5" t="str">
        <f>IF(AND(G296=".csv",COUNTIFS($B:$B,$B296,$G:$G,"xlsx")-COUNTIFS($B:$B,$B296,$G:$G,"xlsx",$C:$C,"~~$*")&gt;1,LEFT(C296,LEN($B296))&lt;&gt;$B296),"",IFERROR(IF(B296="FoPITY",INDEX(Customizations!$C$2:$C$19,MATCH(Sheet1!C296,Customizations!$B$2:$B$19,0),1),INDEX(About!C:C,MATCH(Sheet1!B296,About!B:B,0),1)),""))</f>
        <v>Modeled Vintages.xlsx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5">
      <c r="A297" t="s">
        <v>632</v>
      </c>
      <c r="B297" t="s">
        <v>1462</v>
      </c>
      <c r="C297" t="s">
        <v>1467</v>
      </c>
      <c r="G297" t="str">
        <f t="shared" si="8"/>
        <v>.csv</v>
      </c>
      <c r="H297" s="5" t="str">
        <f>IF(AND(G297=".csv",COUNTIFS($B:$B,$B297,$G:$G,"xlsx")-COUNTIFS($B:$B,$B297,$G:$G,"xlsx",$C:$C,"~~$*")&gt;1,LEFT(C297,LEN($B297))&lt;&gt;$B297),"",IFERROR(IF(B297="FoPITY",INDEX(Customizations!$C$2:$C$19,MATCH(Sheet1!C297,Customizations!$B$2:$B$19,0),1),INDEX(About!C:C,MATCH(Sheet1!B297,About!B:B,0),1)),""))</f>
        <v>Modeled Vintages.xlsx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5">
      <c r="A298" t="s">
        <v>632</v>
      </c>
      <c r="B298" t="s">
        <v>1900</v>
      </c>
      <c r="C298" t="s">
        <v>1901</v>
      </c>
      <c r="G298" t="str">
        <f t="shared" si="8"/>
        <v>xlsx</v>
      </c>
      <c r="H298" s="5" t="str">
        <f>IF(AND(G298=".csv",COUNTIFS($B:$B,$B298,$G:$G,"xlsx")-COUNTIFS($B:$B,$B298,$G:$G,"xlsx",$C:$C,"~~$*")&gt;1,LEFT(C298,LEN($B298))&lt;&gt;$B298),"",IFERROR(IF(B298="FoPITY",INDEX(Customizations!$C$2:$C$19,MATCH(Sheet1!C298,Customizations!$B$2:$B$19,0),1),INDEX(About!C:C,MATCH(Sheet1!B298,About!B:B,0),1)),""))</f>
        <v>Years of Foresight Electricity Suppliers Have to Future RPS Values.xlsx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5">
      <c r="A299" t="s">
        <v>632</v>
      </c>
      <c r="B299" t="s">
        <v>1900</v>
      </c>
      <c r="C299" t="s">
        <v>1902</v>
      </c>
      <c r="G299" t="str">
        <f t="shared" si="8"/>
        <v>.csv</v>
      </c>
      <c r="H299" s="5" t="str">
        <f>IF(AND(G299=".csv",COUNTIFS($B:$B,$B299,$G:$G,"xlsx")-COUNTIFS($B:$B,$B299,$G:$G,"xlsx",$C:$C,"~~$*")&gt;1,LEFT(C299,LEN($B299))&lt;&gt;$B299),"",IFERROR(IF(B299="FoPITY",INDEX(Customizations!$C$2:$C$19,MATCH(Sheet1!C299,Customizations!$B$2:$B$19,0),1),INDEX(About!C:C,MATCH(Sheet1!B299,About!B:B,0),1)),""))</f>
        <v>Years of Foresight Electricity Suppliers Have to Future RPS Values.xlsx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5">
      <c r="A300" t="s">
        <v>88</v>
      </c>
      <c r="B300" t="s">
        <v>89</v>
      </c>
      <c r="C300" t="s">
        <v>90</v>
      </c>
      <c r="G300" t="str">
        <f t="shared" si="8"/>
        <v>xlsx</v>
      </c>
      <c r="H300" s="5" t="str">
        <f>IF(AND(G300=".csv",COUNTIFS($B:$B,$B300,$G:$G,"xlsx")-COUNTIFS($B:$B,$B300,$G:$G,"xlsx",$C:$C,"~~$*")&gt;1,LEFT(C300,LEN($B300))&lt;&gt;$B300),"",IFERROR(IF(B300="FoPITY",INDEX(Customizations!$C$2:$C$19,MATCH(Sheet1!C300,Customizations!$B$2:$B$19,0),1),INDEX(About!C:C,MATCH(Sheet1!B300,About!B:B,0),1)),""))</f>
        <v>BAU Fraction of Heat from CHP.xlsx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5">
      <c r="A301" t="s">
        <v>88</v>
      </c>
      <c r="B301" t="s">
        <v>89</v>
      </c>
      <c r="C301" t="s">
        <v>91</v>
      </c>
      <c r="G301" t="str">
        <f t="shared" si="8"/>
        <v>.csv</v>
      </c>
      <c r="H301" s="5" t="str">
        <f>IF(AND(G301=".csv",COUNTIFS($B:$B,$B301,$G:$G,"xlsx")-COUNTIFS($B:$B,$B301,$G:$G,"xlsx",$C:$C,"~~$*")&gt;1,LEFT(C301,LEN($B301))&lt;&gt;$B301),"",IFERROR(IF(B301="FoPITY",INDEX(Customizations!$C$2:$C$19,MATCH(Sheet1!C301,Customizations!$B$2:$B$19,0),1),INDEX(About!C:C,MATCH(Sheet1!B301,About!B:B,0),1)),""))</f>
        <v>BAU Fraction of Heat from CHP.xlsx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5">
      <c r="A302" t="s">
        <v>88</v>
      </c>
      <c r="B302" t="s">
        <v>92</v>
      </c>
      <c r="C302" t="s">
        <v>93</v>
      </c>
      <c r="G302" t="str">
        <f t="shared" si="8"/>
        <v>xlsx</v>
      </c>
      <c r="H302" s="5" t="str">
        <f>IF(AND(G302=".csv",COUNTIFS($B:$B,$B302,$G:$G,"xlsx")-COUNTIFS($B:$B,$B302,$G:$G,"xlsx",$C:$C,"~~$*")&gt;1,LEFT(C302,LEN($B302))&lt;&gt;$B302),"",IFERROR(IF(B302="FoPITY",INDEX(Customizations!$C$2:$C$19,MATCH(Sheet1!C302,Customizations!$B$2:$B$19,0),1),INDEX(About!C:C,MATCH(Sheet1!B302,About!B:B,0),1)),""))</f>
        <v>BAU Frac of Heat Provided by Fuel.xlsx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5">
      <c r="A303" t="s">
        <v>88</v>
      </c>
      <c r="B303" t="s">
        <v>92</v>
      </c>
      <c r="C303" t="s">
        <v>94</v>
      </c>
      <c r="G303" t="str">
        <f t="shared" si="8"/>
        <v>.csv</v>
      </c>
      <c r="H303" s="5" t="str">
        <f>IF(AND(G303=".csv",COUNTIFS($B:$B,$B303,$G:$G,"xlsx")-COUNTIFS($B:$B,$B303,$G:$G,"xlsx",$C:$C,"~~$*")&gt;1,LEFT(C303,LEN($B303))&lt;&gt;$B303),"",IFERROR(IF(B303="FoPITY",INDEX(Customizations!$C$2:$C$19,MATCH(Sheet1!C303,Customizations!$B$2:$B$19,0),1),INDEX(About!C:C,MATCH(Sheet1!B303,About!B:B,0),1)),""))</f>
        <v>BAU Frac of Heat Provided by Fuel.xlsx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5">
      <c r="A304" t="s">
        <v>88</v>
      </c>
      <c r="B304" t="s">
        <v>1468</v>
      </c>
      <c r="C304" t="s">
        <v>1469</v>
      </c>
      <c r="G304" t="str">
        <f t="shared" si="8"/>
        <v>.csv</v>
      </c>
      <c r="H304" s="5" t="str">
        <f>IF(AND(G304=".csv",COUNTIFS($B:$B,$B304,$G:$G,"xlsx")-COUNTIFS($B:$B,$B304,$G:$G,"xlsx",$C:$C,"~~$*")&gt;1,LEFT(C304,LEN($B304))&lt;&gt;$B304),"",IFERROR(IF(B304="FoPITY",INDEX(Customizations!$C$2:$C$19,MATCH(Sheet1!C304,Customizations!$B$2:$B$19,0),1),INDEX(About!C:C,MATCH(Sheet1!B304,About!B:B,0),1)),""))</f>
        <v>CHP Eqpt Cost per Unit Energy Shifted.xlsx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5">
      <c r="A305" t="s">
        <v>88</v>
      </c>
      <c r="B305" t="s">
        <v>1468</v>
      </c>
      <c r="C305" t="s">
        <v>1470</v>
      </c>
      <c r="G305" t="str">
        <f t="shared" si="8"/>
        <v>xlsx</v>
      </c>
      <c r="H305" s="5" t="str">
        <f>IF(AND(G305=".csv",COUNTIFS($B:$B,$B305,$G:$G,"xlsx")-COUNTIFS($B:$B,$B305,$G:$G,"xlsx",$C:$C,"~~$*")&gt;1,LEFT(C305,LEN($B305))&lt;&gt;$B305),"",IFERROR(IF(B305="FoPITY",INDEX(Customizations!$C$2:$C$19,MATCH(Sheet1!C305,Customizations!$B$2:$B$19,0),1),INDEX(About!C:C,MATCH(Sheet1!B305,About!B:B,0),1)),""))</f>
        <v>CHP Eqpt Cost per Unit Energy Shifted.xlsx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5">
      <c r="A306" t="s">
        <v>88</v>
      </c>
      <c r="B306" t="s">
        <v>95</v>
      </c>
      <c r="C306" t="s">
        <v>96</v>
      </c>
      <c r="G306" t="str">
        <f t="shared" si="8"/>
        <v>xlsx</v>
      </c>
      <c r="H306" s="5" t="str">
        <f>IF(AND(G306=".csv",COUNTIFS($B:$B,$B306,$G:$G,"xlsx")-COUNTIFS($B:$B,$B306,$G:$G,"xlsx",$C:$C,"~~$*")&gt;1,LEFT(C306,LEN($B306))&lt;&gt;$B306),"",IFERROR(IF(B306="FoPITY",INDEX(Customizations!$C$2:$C$19,MATCH(Sheet1!C306,Customizations!$B$2:$B$19,0),1),INDEX(About!C:C,MATCH(Sheet1!B306,About!B:B,0),1)),""))</f>
        <v>Efficiency of Conversion to Usable Heat.xlsx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5">
      <c r="A307" t="s">
        <v>88</v>
      </c>
      <c r="B307" t="s">
        <v>95</v>
      </c>
      <c r="C307" t="s">
        <v>97</v>
      </c>
      <c r="G307" t="str">
        <f t="shared" si="8"/>
        <v>.csv</v>
      </c>
      <c r="H307" s="5" t="str">
        <f>IF(AND(G307=".csv",COUNTIFS($B:$B,$B307,$G:$G,"xlsx")-COUNTIFS($B:$B,$B307,$G:$G,"xlsx",$C:$C,"~~$*")&gt;1,LEFT(C307,LEN($B307))&lt;&gt;$B307),"",IFERROR(IF(B307="FoPITY",INDEX(Customizations!$C$2:$C$19,MATCH(Sheet1!C307,Customizations!$B$2:$B$19,0),1),INDEX(About!C:C,MATCH(Sheet1!B307,About!B:B,0),1)),""))</f>
        <v>Efficiency of Conversion to Usable Heat.xlsx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5">
      <c r="A308" t="s">
        <v>88</v>
      </c>
      <c r="B308" t="s">
        <v>902</v>
      </c>
      <c r="C308" t="s">
        <v>903</v>
      </c>
      <c r="G308" t="str">
        <f t="shared" si="8"/>
        <v>.csv</v>
      </c>
      <c r="H308" s="5" t="str">
        <f>IF(AND(G308=".csv",COUNTIFS($B:$B,$B308,$G:$G,"xlsx")-COUNTIFS($B:$B,$B308,$G:$G,"xlsx",$C:$C,"~~$*")&gt;1,LEFT(C308,LEN($B308))&lt;&gt;$B308),"",IFERROR(IF(B308="FoPITY",INDEX(Customizations!$C$2:$C$19,MATCH(Sheet1!C308,Customizations!$B$2:$B$19,0),1),INDEX(About!C:C,MATCH(Sheet1!B308,About!B:B,0),1)),""))</f>
        <v>Heat Distribution Losses.xlsx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5">
      <c r="A309" t="s">
        <v>88</v>
      </c>
      <c r="B309" t="s">
        <v>902</v>
      </c>
      <c r="C309" t="s">
        <v>904</v>
      </c>
      <c r="G309" t="str">
        <f t="shared" si="8"/>
        <v>xlsx</v>
      </c>
      <c r="H309" s="5" t="str">
        <f>IF(AND(G309=".csv",COUNTIFS($B:$B,$B309,$G:$G,"xlsx")-COUNTIFS($B:$B,$B309,$G:$G,"xlsx",$C:$C,"~~$*")&gt;1,LEFT(C309,LEN($B309))&lt;&gt;$B309),"",IFERROR(IF(B309="FoPITY",INDEX(Customizations!$C$2:$C$19,MATCH(Sheet1!C309,Customizations!$B$2:$B$19,0),1),INDEX(About!C:C,MATCH(Sheet1!B309,About!B:B,0),1)),""))</f>
        <v>Heat Distribution Losses.xlsx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5">
      <c r="A310" t="s">
        <v>88</v>
      </c>
      <c r="B310" t="s">
        <v>98</v>
      </c>
      <c r="C310" t="s">
        <v>99</v>
      </c>
      <c r="G310" t="str">
        <f t="shared" si="8"/>
        <v>xlsx</v>
      </c>
      <c r="H310" s="5" t="str">
        <f>IF(AND(G310=".csv",COUNTIFS($B:$B,$B310,$G:$G,"xlsx")-COUNTIFS($B:$B,$B310,$G:$G,"xlsx",$C:$C,"~~$*")&gt;1,LEFT(C310,LEN($B310))&lt;&gt;$B310),"",IFERROR(IF(B310="FoPITY",INDEX(Customizations!$C$2:$C$19,MATCH(Sheet1!C310,Customizations!$B$2:$B$19,0),1),INDEX(About!C:C,MATCH(Sheet1!B310,About!B:B,0),1)),""))</f>
        <v>Recipient Heat Fuel Fractions.xlsx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5">
      <c r="A311" t="s">
        <v>88</v>
      </c>
      <c r="B311" t="s">
        <v>98</v>
      </c>
      <c r="C311" t="s">
        <v>100</v>
      </c>
      <c r="G311" t="str">
        <f t="shared" si="8"/>
        <v>.csv</v>
      </c>
      <c r="H311" s="5" t="str">
        <f>IF(AND(G311=".csv",COUNTIFS($B:$B,$B311,$G:$G,"xlsx")-COUNTIFS($B:$B,$B311,$G:$G,"xlsx",$C:$C,"~~$*")&gt;1,LEFT(C311,LEN($B311))&lt;&gt;$B311),"",IFERROR(IF(B311="FoPITY",INDEX(Customizations!$C$2:$C$19,MATCH(Sheet1!C311,Customizations!$B$2:$B$19,0),1),INDEX(About!C:C,MATCH(Sheet1!B311,About!B:B,0),1)),""))</f>
        <v>Recipient Heat Fuel Fractions.xlsx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5">
      <c r="A312" t="s">
        <v>101</v>
      </c>
      <c r="B312" t="s">
        <v>1337</v>
      </c>
      <c r="C312" t="s">
        <v>1338</v>
      </c>
      <c r="G312" t="str">
        <f t="shared" si="8"/>
        <v>xlsx</v>
      </c>
      <c r="H312" s="5" t="str">
        <f>IF(AND(G312=".csv",COUNTIFS($B:$B,$B312,$G:$G,"xlsx")-COUNTIFS($B:$B,$B312,$G:$G,"xlsx",$C:$C,"~~$*")&gt;1,LEFT(C312,LEN($B312))&lt;&gt;$B312),"",IFERROR(IF(B312="FoPITY",INDEX(Customizations!$C$2:$C$19,MATCH(Sheet1!C312,Customizations!$B$2:$B$19,0),1),INDEX(About!C:C,MATCH(Sheet1!B312,About!B:B,0),1)),""))</f>
        <v>BAU Ban New Power Plants This Year.xlsx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5">
      <c r="A313" t="s">
        <v>101</v>
      </c>
      <c r="B313" t="s">
        <v>1337</v>
      </c>
      <c r="C313" t="s">
        <v>1339</v>
      </c>
      <c r="G313" t="str">
        <f t="shared" si="8"/>
        <v>.csv</v>
      </c>
      <c r="H313" s="5" t="str">
        <f>IF(AND(G313=".csv",COUNTIFS($B:$B,$B313,$G:$G,"xlsx")-COUNTIFS($B:$B,$B313,$G:$G,"xlsx",$C:$C,"~~$*")&gt;1,LEFT(C313,LEN($B313))&lt;&gt;$B313),"",IFERROR(IF(B313="FoPITY",INDEX(Customizations!$C$2:$C$19,MATCH(Sheet1!C313,Customizations!$B$2:$B$19,0),1),INDEX(About!C:C,MATCH(Sheet1!B313,About!B:B,0),1)),""))</f>
        <v>BAU Ban New Power Plants This Year.xlsx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5">
      <c r="A314" t="s">
        <v>101</v>
      </c>
      <c r="B314" t="s">
        <v>1337</v>
      </c>
      <c r="C314" t="s">
        <v>1903</v>
      </c>
      <c r="G314" t="str">
        <f t="shared" si="8"/>
        <v>xlsx</v>
      </c>
      <c r="H314" s="5" t="str">
        <f>IF(AND(G314=".csv",COUNTIFS($B:$B,$B314,$G:$G,"xlsx")-COUNTIFS($B:$B,$B314,$G:$G,"xlsx",$C:$C,"~~$*")&gt;1,LEFT(C314,LEN($B314))&lt;&gt;$B314),"",IFERROR(IF(B314="FoPITY",INDEX(Customizations!$C$2:$C$19,MATCH(Sheet1!C314,Customizations!$B$2:$B$19,0),1),INDEX(About!C:C,MATCH(Sheet1!B314,About!B:B,0),1)),""))</f>
        <v>BAU Ban New Power Plants This Year.xlsx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5">
      <c r="A315" t="s">
        <v>101</v>
      </c>
      <c r="B315" t="s">
        <v>1340</v>
      </c>
      <c r="C315" t="s">
        <v>1341</v>
      </c>
      <c r="G315" t="str">
        <f t="shared" si="8"/>
        <v>xlsx</v>
      </c>
      <c r="H315" s="5" t="str">
        <f>IF(AND(G315=".csv",COUNTIFS($B:$B,$B315,$G:$G,"xlsx")-COUNTIFS($B:$B,$B315,$G:$G,"xlsx",$C:$C,"~~$*")&gt;1,LEFT(C315,LEN($B315))&lt;&gt;$B315),"",IFERROR(IF(B315="FoPITY",INDEX(Customizations!$C$2:$C$19,MATCH(Sheet1!C315,Customizations!$B$2:$B$19,0),1),INDEX(About!C:C,MATCH(Sheet1!B315,About!B:B,0),1)),""))</f>
        <v>BAU Ban Power Plant Retrofits This Year.xlsx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5">
      <c r="A316" t="s">
        <v>101</v>
      </c>
      <c r="B316" t="s">
        <v>1340</v>
      </c>
      <c r="C316" t="s">
        <v>1342</v>
      </c>
      <c r="G316" t="str">
        <f t="shared" si="8"/>
        <v>.csv</v>
      </c>
      <c r="H316" s="5" t="str">
        <f>IF(AND(G316=".csv",COUNTIFS($B:$B,$B316,$G:$G,"xlsx")-COUNTIFS($B:$B,$B316,$G:$G,"xlsx",$C:$C,"~~$*")&gt;1,LEFT(C316,LEN($B316))&lt;&gt;$B316),"",IFERROR(IF(B316="FoPITY",INDEX(Customizations!$C$2:$C$19,MATCH(Sheet1!C316,Customizations!$B$2:$B$19,0),1),INDEX(About!C:C,MATCH(Sheet1!B316,About!B:B,0),1)),""))</f>
        <v>BAU Ban Power Plant Retrofits This Year.xlsx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5">
      <c r="A317" t="s">
        <v>101</v>
      </c>
      <c r="B317" t="s">
        <v>1030</v>
      </c>
      <c r="C317" t="s">
        <v>1031</v>
      </c>
      <c r="G317" t="str">
        <f t="shared" si="8"/>
        <v>xlsx</v>
      </c>
      <c r="H317" s="5" t="str">
        <f>IF(AND(G317=".csv",COUNTIFS($B:$B,$B317,$G:$G,"xlsx")-COUNTIFS($B:$B,$B317,$G:$G,"xlsx",$C:$C,"~~$*")&gt;1,LEFT(C317,LEN($B317))&lt;&gt;$B317),"",IFERROR(IF(B317="FoPITY",INDEX(Customizations!$C$2:$C$19,MATCH(Sheet1!C317,Customizations!$B$2:$B$19,0),1),INDEX(About!C:C,MATCH(Sheet1!B317,About!B:B,0),1)),""))</f>
        <v>BAU Cost of Electricity Sector Capital.xlsx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5">
      <c r="A318" t="s">
        <v>101</v>
      </c>
      <c r="B318" t="s">
        <v>1030</v>
      </c>
      <c r="C318" t="s">
        <v>1471</v>
      </c>
      <c r="G318" t="str">
        <f t="shared" si="8"/>
        <v>.csv</v>
      </c>
      <c r="H318" s="5" t="str">
        <f>IF(AND(G318=".csv",COUNTIFS($B:$B,$B318,$G:$G,"xlsx")-COUNTIFS($B:$B,$B318,$G:$G,"xlsx",$C:$C,"~~$*")&gt;1,LEFT(C318,LEN($B318))&lt;&gt;$B318),"",IFERROR(IF(B318="FoPITY",INDEX(Customizations!$C$2:$C$19,MATCH(Sheet1!C318,Customizations!$B$2:$B$19,0),1),INDEX(About!C:C,MATCH(Sheet1!B318,About!B:B,0),1)),""))</f>
        <v>BAU Cost of Electricity Sector Capital.xlsx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5">
      <c r="A319" t="s">
        <v>101</v>
      </c>
      <c r="B319" t="s">
        <v>1030</v>
      </c>
      <c r="C319" t="s">
        <v>1032</v>
      </c>
      <c r="G319" t="str">
        <f t="shared" si="8"/>
        <v>.csv</v>
      </c>
      <c r="H319" s="5" t="str">
        <f>IF(AND(G319=".csv",COUNTIFS($B:$B,$B319,$G:$G,"xlsx")-COUNTIFS($B:$B,$B319,$G:$G,"xlsx",$C:$C,"~~$*")&gt;1,LEFT(C319,LEN($B319))&lt;&gt;$B319),"",IFERROR(IF(B319="FoPITY",INDEX(Customizations!$C$2:$C$19,MATCH(Sheet1!C319,Customizations!$B$2:$B$19,0),1),INDEX(About!C:C,MATCH(Sheet1!B319,About!B:B,0),1)),""))</f>
        <v>BAU Cost of Electricity Sector Capital.xlsx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5">
      <c r="A320" t="s">
        <v>101</v>
      </c>
      <c r="B320" t="s">
        <v>1030</v>
      </c>
      <c r="C320" t="s">
        <v>1033</v>
      </c>
      <c r="G320" t="str">
        <f t="shared" ref="G320:G379" si="10">RIGHT(C320,"4")</f>
        <v>.csv</v>
      </c>
      <c r="H320" s="5" t="str">
        <f>IF(AND(G320=".csv",COUNTIFS($B:$B,$B320,$G:$G,"xlsx")-COUNTIFS($B:$B,$B320,$G:$G,"xlsx",$C:$C,"~~$*")&gt;1,LEFT(C320,LEN($B320))&lt;&gt;$B320),"",IFERROR(IF(B320="FoPITY",INDEX(Customizations!$C$2:$C$19,MATCH(Sheet1!C320,Customizations!$B$2:$B$19,0),1),INDEX(About!C:C,MATCH(Sheet1!B320,About!B:B,0),1)),""))</f>
        <v>BAU Cost of Electricity Sector Capital.xlsx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5">
      <c r="A321" t="s">
        <v>101</v>
      </c>
      <c r="B321" t="s">
        <v>102</v>
      </c>
      <c r="C321" t="s">
        <v>103</v>
      </c>
      <c r="G321" t="str">
        <f t="shared" si="10"/>
        <v>xlsx</v>
      </c>
      <c r="H321" s="5" t="str">
        <f>IF(AND(G321=".csv",COUNTIFS($B:$B,$B321,$G:$G,"xlsx")-COUNTIFS($B:$B,$B321,$G:$G,"xlsx",$C:$C,"~~$*")&gt;1,LEFT(C321,LEN($B321))&lt;&gt;$B321),"",IFERROR(IF(B321="FoPITY",INDEX(Customizations!$C$2:$C$19,MATCH(Sheet1!C321,Customizations!$B$2:$B$19,0),1),INDEX(About!C:C,MATCH(Sheet1!B321,About!B:B,0),1)),""))</f>
        <v>Battery Cost per Unit Cap.xlsx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5">
      <c r="A322" t="s">
        <v>101</v>
      </c>
      <c r="B322" t="s">
        <v>102</v>
      </c>
      <c r="C322" t="s">
        <v>1261</v>
      </c>
      <c r="G322" t="str">
        <f t="shared" si="10"/>
        <v>.csv</v>
      </c>
      <c r="H322" s="5" t="str">
        <f>IF(AND(G322=".csv",COUNTIFS($B:$B,$B322,$G:$G,"xlsx")-COUNTIFS($B:$B,$B322,$G:$G,"xlsx",$C:$C,"~~$*")&gt;1,LEFT(C322,LEN($B322))&lt;&gt;$B322),"",IFERROR(IF(B322="FoPITY",INDEX(Customizations!$C$2:$C$19,MATCH(Sheet1!C322,Customizations!$B$2:$B$19,0),1),INDEX(About!C:C,MATCH(Sheet1!B322,About!B:B,0),1)),""))</f>
        <v>Battery Cost per Unit Cap.xlsx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5">
      <c r="A323" t="s">
        <v>101</v>
      </c>
      <c r="B323" t="s">
        <v>102</v>
      </c>
      <c r="C323" t="s">
        <v>1262</v>
      </c>
      <c r="G323" t="str">
        <f t="shared" si="10"/>
        <v>.csv</v>
      </c>
      <c r="H323" s="5" t="str">
        <f>IF(AND(G323=".csv",COUNTIFS($B:$B,$B323,$G:$G,"xlsx")-COUNTIFS($B:$B,$B323,$G:$G,"xlsx",$C:$C,"~~$*")&gt;1,LEFT(C323,LEN($B323))&lt;&gt;$B323),"",IFERROR(IF(B323="FoPITY",INDEX(Customizations!$C$2:$C$19,MATCH(Sheet1!C323,Customizations!$B$2:$B$19,0),1),INDEX(About!C:C,MATCH(Sheet1!B323,About!B:B,0),1)),""))</f>
        <v>Battery Cost per Unit Cap.xlsx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5">
      <c r="A324" t="s">
        <v>101</v>
      </c>
      <c r="B324" t="s">
        <v>102</v>
      </c>
      <c r="C324" t="s">
        <v>1263</v>
      </c>
      <c r="G324" t="str">
        <f t="shared" si="10"/>
        <v>.csv</v>
      </c>
      <c r="H324" s="5" t="str">
        <f>IF(AND(G324=".csv",COUNTIFS($B:$B,$B324,$G:$G,"xlsx")-COUNTIFS($B:$B,$B324,$G:$G,"xlsx",$C:$C,"~~$*")&gt;1,LEFT(C324,LEN($B324))&lt;&gt;$B324),"",IFERROR(IF(B324="FoPITY",INDEX(Customizations!$C$2:$C$19,MATCH(Sheet1!C324,Customizations!$B$2:$B$19,0),1),INDEX(About!C:C,MATCH(Sheet1!B324,About!B:B,0),1)),""))</f>
        <v>Battery Cost per Unit Cap.xlsx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5">
      <c r="A325" t="s">
        <v>101</v>
      </c>
      <c r="B325" t="s">
        <v>104</v>
      </c>
      <c r="C325" t="s">
        <v>105</v>
      </c>
      <c r="G325" t="str">
        <f t="shared" si="10"/>
        <v>xlsx</v>
      </c>
      <c r="H325" s="5" t="str">
        <f>IF(AND(G325=".csv",COUNTIFS($B:$B,$B325,$G:$G,"xlsx")-COUNTIFS($B:$B,$B325,$G:$G,"xlsx",$C:$C,"~~$*")&gt;1,LEFT(C325,LEN($B325))&lt;&gt;$B325),"",IFERROR(IF(B325="FoPITY",INDEX(Customizations!$C$2:$C$19,MATCH(Sheet1!C325,Customizations!$B$2:$B$19,0),1),INDEX(About!C:C,MATCH(Sheet1!B325,About!B:B,0),1)),""))</f>
        <v>BAU Cap Retirements before Quantization.xlsx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5">
      <c r="A326" t="s">
        <v>101</v>
      </c>
      <c r="B326" t="s">
        <v>104</v>
      </c>
      <c r="C326" t="s">
        <v>106</v>
      </c>
      <c r="G326" t="str">
        <f t="shared" si="10"/>
        <v>.csv</v>
      </c>
      <c r="H326" s="5" t="str">
        <f>IF(AND(G326=".csv",COUNTIFS($B:$B,$B326,$G:$G,"xlsx")-COUNTIFS($B:$B,$B326,$G:$G,"xlsx",$C:$C,"~~$*")&gt;1,LEFT(C326,LEN($B326))&lt;&gt;$B326),"",IFERROR(IF(B326="FoPITY",INDEX(Customizations!$C$2:$C$19,MATCH(Sheet1!C326,Customizations!$B$2:$B$19,0),1),INDEX(About!C:C,MATCH(Sheet1!B326,About!B:B,0),1)),""))</f>
        <v>BAU Cap Retirements before Quantization.xlsx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5">
      <c r="A327" t="s">
        <v>101</v>
      </c>
      <c r="B327" t="s">
        <v>1034</v>
      </c>
      <c r="C327" t="s">
        <v>1035</v>
      </c>
      <c r="G327" t="str">
        <f t="shared" si="10"/>
        <v>.csv</v>
      </c>
      <c r="H327" s="5" t="str">
        <f>IF(AND(G327=".csv",COUNTIFS($B:$B,$B327,$G:$G,"xlsx")-COUNTIFS($B:$B,$B327,$G:$G,"xlsx",$C:$C,"~~$*")&gt;1,LEFT(C327,LEN($B327))&lt;&gt;$B327),"",IFERROR(IF(B327="FoPITY",INDEX(Customizations!$C$2:$C$19,MATCH(Sheet1!C327,Customizations!$B$2:$B$19,0),1),INDEX(About!C:C,MATCH(Sheet1!B327,About!B:B,0),1)),""))</f>
        <v>Boolean Does This Plant Type Use Maximum Capacity Factor.xlsx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5">
      <c r="A328" t="s">
        <v>101</v>
      </c>
      <c r="B328" t="s">
        <v>1034</v>
      </c>
      <c r="C328" t="s">
        <v>1036</v>
      </c>
      <c r="G328" t="str">
        <f t="shared" si="10"/>
        <v>xlsx</v>
      </c>
      <c r="H328" s="5" t="str">
        <f>IF(AND(G328=".csv",COUNTIFS($B:$B,$B328,$G:$G,"xlsx")-COUNTIFS($B:$B,$B328,$G:$G,"xlsx",$C:$C,"~~$*")&gt;1,LEFT(C328,LEN($B328))&lt;&gt;$B328),"",IFERROR(IF(B328="FoPITY",INDEX(Customizations!$C$2:$C$19,MATCH(Sheet1!C328,Customizations!$B$2:$B$19,0),1),INDEX(About!C:C,MATCH(Sheet1!B328,About!B:B,0),1)),""))</f>
        <v>Boolean Does This Plant Type Use Maximum Capacity Factor.xlsx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5">
      <c r="A329" t="s">
        <v>101</v>
      </c>
      <c r="B329" t="s">
        <v>1198</v>
      </c>
      <c r="C329" t="s">
        <v>1199</v>
      </c>
      <c r="G329" t="str">
        <f t="shared" si="10"/>
        <v>xlsx</v>
      </c>
      <c r="H329" s="5" t="str">
        <f>IF(AND(G329=".csv",COUNTIFS($B:$B,$B329,$G:$G,"xlsx")-COUNTIFS($B:$B,$B329,$G:$G,"xlsx",$C:$C,"~~$*")&gt;1,LEFT(C329,LEN($B329))&lt;&gt;$B329),"",IFERROR(IF(B329="FoPITY",INDEX(Customizations!$C$2:$C$19,MATCH(Sheet1!C329,Customizations!$B$2:$B$19,0),1),INDEX(About!C:C,MATCH(Sheet1!B329,About!B:B,0),1)),""))</f>
        <v>BAU EV Grid Balancing.xlsx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5">
      <c r="A330" t="s">
        <v>101</v>
      </c>
      <c r="B330" t="s">
        <v>1198</v>
      </c>
      <c r="C330" t="s">
        <v>1200</v>
      </c>
      <c r="G330" t="str">
        <f t="shared" si="10"/>
        <v>.csv</v>
      </c>
      <c r="H330" s="5" t="str">
        <f>IF(AND(G330=".csv",COUNTIFS($B:$B,$B330,$G:$G,"xlsx")-COUNTIFS($B:$B,$B330,$G:$G,"xlsx",$C:$C,"~~$*")&gt;1,LEFT(C330,LEN($B330))&lt;&gt;$B330),"",IFERROR(IF(B330="FoPITY",INDEX(Customizations!$C$2:$C$19,MATCH(Sheet1!C330,Customizations!$B$2:$B$19,0),1),INDEX(About!C:C,MATCH(Sheet1!B330,About!B:B,0),1)),""))</f>
        <v>BAU EV Grid Balancing.xlsx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5">
      <c r="A331" t="s">
        <v>101</v>
      </c>
      <c r="B331" t="s">
        <v>1198</v>
      </c>
      <c r="C331" t="s">
        <v>1201</v>
      </c>
      <c r="G331" t="str">
        <f t="shared" si="10"/>
        <v>.csv</v>
      </c>
      <c r="H331" s="5" t="str">
        <f>IF(AND(G331=".csv",COUNTIFS($B:$B,$B331,$G:$G,"xlsx")-COUNTIFS($B:$B,$B331,$G:$G,"xlsx",$C:$C,"~~$*")&gt;1,LEFT(C331,LEN($B331))&lt;&gt;$B331),"",IFERROR(IF(B331="FoPITY",INDEX(Customizations!$C$2:$C$19,MATCH(Sheet1!C331,Customizations!$B$2:$B$19,0),1),INDEX(About!C:C,MATCH(Sheet1!B331,About!B:B,0),1)),""))</f>
        <v>BAU EV Grid Balancing.xlsx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5">
      <c r="A332" t="s">
        <v>101</v>
      </c>
      <c r="B332" t="s">
        <v>1904</v>
      </c>
      <c r="C332" t="s">
        <v>1905</v>
      </c>
      <c r="G332" t="str">
        <f t="shared" si="10"/>
        <v>xlsx</v>
      </c>
      <c r="H332" s="5" t="str">
        <f>IF(AND(G332=".csv",COUNTIFS($B:$B,$B332,$G:$G,"xlsx")-COUNTIFS($B:$B,$B332,$G:$G,"xlsx",$C:$C,"~~$*")&gt;1,LEFT(C332,LEN($B332))&lt;&gt;$B332),"",IFERROR(IF(B332="FoPITY",INDEX(Customizations!$C$2:$C$19,MATCH(Sheet1!C332,Customizations!$B$2:$B$19,0),1),INDEX(About!C:C,MATCH(Sheet1!B332,About!B:B,0),1)),""))</f>
        <v>BGCL BAU Gen Cap Lifetime.xlsx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5">
      <c r="A333" t="s">
        <v>101</v>
      </c>
      <c r="B333" t="s">
        <v>1904</v>
      </c>
      <c r="C333" t="s">
        <v>1906</v>
      </c>
      <c r="G333" t="str">
        <f t="shared" si="10"/>
        <v>.csv</v>
      </c>
      <c r="H333" s="5" t="str">
        <f>IF(AND(G333=".csv",COUNTIFS($B:$B,$B333,$G:$G,"xlsx")-COUNTIFS($B:$B,$B333,$G:$G,"xlsx",$C:$C,"~~$*")&gt;1,LEFT(C333,LEN($B333))&lt;&gt;$B333),"",IFERROR(IF(B333="FoPITY",INDEX(Customizations!$C$2:$C$19,MATCH(Sheet1!C333,Customizations!$B$2:$B$19,0),1),INDEX(About!C:C,MATCH(Sheet1!B333,About!B:B,0),1)),""))</f>
        <v>BGCL BAU Gen Cap Lifetime.xlsx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5">
      <c r="A334" t="s">
        <v>101</v>
      </c>
      <c r="B334" t="s">
        <v>107</v>
      </c>
      <c r="C334" t="s">
        <v>108</v>
      </c>
      <c r="G334" t="str">
        <f t="shared" si="10"/>
        <v>xlsx</v>
      </c>
      <c r="H334" s="5" t="str">
        <f>IF(AND(G334=".csv",COUNTIFS($B:$B,$B334,$G:$G,"xlsx")-COUNTIFS($B:$B,$B334,$G:$G,"xlsx",$C:$C,"~~$*")&gt;1,LEFT(C334,LEN($B334))&lt;&gt;$B334),"",IFERROR(IF(B334="FoPITY",INDEX(Customizations!$C$2:$C$19,MATCH(Sheet1!C334,Customizations!$B$2:$B$19,0),1),INDEX(About!C:C,MATCH(Sheet1!B334,About!B:B,0),1)),""))</f>
        <v>BAU Guaranteed Dispatch Perc by Elec Source.xlsx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5">
      <c r="A335" t="s">
        <v>101</v>
      </c>
      <c r="B335" t="s">
        <v>107</v>
      </c>
      <c r="C335" t="s">
        <v>109</v>
      </c>
      <c r="G335" t="str">
        <f t="shared" si="10"/>
        <v>.csv</v>
      </c>
      <c r="H335" s="5" t="str">
        <f>IF(AND(G335=".csv",COUNTIFS($B:$B,$B335,$G:$G,"xlsx")-COUNTIFS($B:$B,$B335,$G:$G,"xlsx",$C:$C,"~~$*")&gt;1,LEFT(C335,LEN($B335))&lt;&gt;$B335),"",IFERROR(IF(B335="FoPITY",INDEX(Customizations!$C$2:$C$19,MATCH(Sheet1!C335,Customizations!$B$2:$B$19,0),1),INDEX(About!C:C,MATCH(Sheet1!B335,About!B:B,0),1)),""))</f>
        <v>BAU Guaranteed Dispatch Perc by Elec Source.xlsx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5">
      <c r="A336" t="s">
        <v>101</v>
      </c>
      <c r="B336" t="s">
        <v>1037</v>
      </c>
      <c r="C336" t="s">
        <v>1038</v>
      </c>
      <c r="G336" t="str">
        <f t="shared" si="10"/>
        <v>xlsx</v>
      </c>
      <c r="H336" s="5" t="str">
        <f>IF(AND(G336=".csv",COUNTIFS($B:$B,$B336,$G:$G,"xlsx")-COUNTIFS($B:$B,$B336,$G:$G,"xlsx",$C:$C,"~~$*")&gt;1,LEFT(C336,LEN($B336))&lt;&gt;$B336),"",IFERROR(IF(B336="FoPITY",INDEX(Customizations!$C$2:$C$19,MATCH(Sheet1!C336,Customizations!$B$2:$B$19,0),1),INDEX(About!C:C,MATCH(Sheet1!B336,About!B:B,0),1)),""))</f>
        <v>BAU Heat Rates and Start Year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5">
      <c r="A337" t="s">
        <v>101</v>
      </c>
      <c r="B337" t="s">
        <v>1037</v>
      </c>
      <c r="C337" t="s">
        <v>1039</v>
      </c>
      <c r="G337" t="str">
        <f t="shared" si="10"/>
        <v>.csv</v>
      </c>
      <c r="H337" s="5" t="str">
        <f>IF(AND(G337=".csv",COUNTIFS($B:$B,$B337,$G:$G,"xlsx")-COUNTIFS($B:$B,$B337,$G:$G,"xlsx",$C:$C,"~~$*")&gt;1,LEFT(C337,LEN($B337))&lt;&gt;$B337),"",IFERROR(IF(B337="FoPITY",INDEX(Customizations!$C$2:$C$19,MATCH(Sheet1!C337,Customizations!$B$2:$B$19,0),1),INDEX(About!C:C,MATCH(Sheet1!B337,About!B:B,0),1)),""))</f>
        <v>BAU Heat Rates and Start Year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5">
      <c r="A338" t="s">
        <v>101</v>
      </c>
      <c r="B338" t="s">
        <v>1037</v>
      </c>
      <c r="C338" t="s">
        <v>1040</v>
      </c>
      <c r="G338" t="str">
        <f t="shared" si="10"/>
        <v>.csv</v>
      </c>
      <c r="H338" s="5" t="str">
        <f>IF(AND(G338=".csv",COUNTIFS($B:$B,$B338,$G:$G,"xlsx")-COUNTIFS($B:$B,$B338,$G:$G,"xlsx",$C:$C,"~~$*")&gt;1,LEFT(C338,LEN($B338))&lt;&gt;$B338),"",IFERROR(IF(B338="FoPITY",INDEX(Customizations!$C$2:$C$19,MATCH(Sheet1!C338,Customizations!$B$2:$B$19,0),1),INDEX(About!C:C,MATCH(Sheet1!B338,About!B:B,0),1)),""))</f>
        <v>BAU Heat Rates and Start Year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5">
      <c r="A339" t="s">
        <v>101</v>
      </c>
      <c r="B339" t="s">
        <v>110</v>
      </c>
      <c r="C339" t="s">
        <v>111</v>
      </c>
      <c r="G339" t="str">
        <f t="shared" si="10"/>
        <v>xlsx</v>
      </c>
      <c r="H339" s="5" t="str">
        <f>IF(AND(G339=".csv",COUNTIFS($B:$B,$B339,$G:$G,"xlsx")-COUNTIFS($B:$B,$B339,$G:$G,"xlsx",$C:$C,"~~$*")&gt;1,LEFT(C339,LEN($B339))&lt;&gt;$B339),"",IFERROR(IF(B339="FoPITY",INDEX(Customizations!$C$2:$C$19,MATCH(Sheet1!C339,Customizations!$B$2:$B$19,0),1),INDEX(About!C:C,MATCH(Sheet1!B339,About!B:B,0),1)),""))</f>
        <v>BAU Pumped Hydro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5">
      <c r="A340" t="s">
        <v>101</v>
      </c>
      <c r="B340" t="s">
        <v>110</v>
      </c>
      <c r="C340" t="s">
        <v>112</v>
      </c>
      <c r="G340" t="str">
        <f t="shared" si="10"/>
        <v>.csv</v>
      </c>
      <c r="H340" s="5" t="str">
        <f>IF(AND(G340=".csv",COUNTIFS($B:$B,$B340,$G:$G,"xlsx")-COUNTIFS($B:$B,$B340,$G:$G,"xlsx",$C:$C,"~~$*")&gt;1,LEFT(C340,LEN($B340))&lt;&gt;$B340),"",IFERROR(IF(B340="FoPITY",INDEX(Customizations!$C$2:$C$19,MATCH(Sheet1!C340,Customizations!$B$2:$B$19,0),1),INDEX(About!C:C,MATCH(Sheet1!B340,About!B:B,0),1)),""))</f>
        <v>BAU Pumped Hydro Cap.xlsx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5">
      <c r="A341" t="s">
        <v>101</v>
      </c>
      <c r="B341" t="s">
        <v>113</v>
      </c>
      <c r="C341" t="s">
        <v>114</v>
      </c>
      <c r="G341" t="str">
        <f t="shared" si="10"/>
        <v>xlsx</v>
      </c>
      <c r="H341" s="5" t="str">
        <f>IF(AND(G341=".csv",COUNTIFS($B:$B,$B341,$G:$G,"xlsx")-COUNTIFS($B:$B,$B341,$G:$G,"xlsx",$C:$C,"~~$*")&gt;1,LEFT(C341,LEN($B341))&lt;&gt;$B341),"",IFERROR(IF(B341="FoPITY",INDEX(Customizations!$C$2:$C$19,MATCH(Sheet1!C341,Customizations!$B$2:$B$19,0),1),INDEX(About!C:C,MATCH(Sheet1!B341,About!B:B,0),1)),""))</f>
        <v>BAU Pol Mandated Cap Const Sched.xlsx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5">
      <c r="A342" t="s">
        <v>101</v>
      </c>
      <c r="B342" t="s">
        <v>113</v>
      </c>
      <c r="C342" t="s">
        <v>115</v>
      </c>
      <c r="G342" t="str">
        <f t="shared" si="10"/>
        <v>.csv</v>
      </c>
      <c r="H342" s="5" t="str">
        <f>IF(AND(G342=".csv",COUNTIFS($B:$B,$B342,$G:$G,"xlsx")-COUNTIFS($B:$B,$B342,$G:$G,"xlsx",$C:$C,"~~$*")&gt;1,LEFT(C342,LEN($B342))&lt;&gt;$B342),"",IFERROR(IF(B342="FoPITY",INDEX(Customizations!$C$2:$C$19,MATCH(Sheet1!C342,Customizations!$B$2:$B$19,0),1),INDEX(About!C:C,MATCH(Sheet1!B342,About!B:B,0),1)),""))</f>
        <v>BAU Pol Mandated Cap Const Sched.xlsx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5">
      <c r="A343" t="s">
        <v>101</v>
      </c>
      <c r="B343" t="s">
        <v>1343</v>
      </c>
      <c r="C343" t="s">
        <v>1344</v>
      </c>
      <c r="G343" t="str">
        <f t="shared" si="10"/>
        <v>xlsx</v>
      </c>
      <c r="H343" s="5" t="str">
        <f>IF(AND(G343=".csv",COUNTIFS($B:$B,$B343,$G:$G,"xlsx")-COUNTIFS($B:$B,$B343,$G:$G,"xlsx",$C:$C,"~~$*")&gt;1,LEFT(C343,LEN($B343))&lt;&gt;$B343),"",IFERROR(IF(B343="FoPITY",INDEX(Customizations!$C$2:$C$19,MATCH(Sheet1!C343,Customizations!$B$2:$B$19,0),1),INDEX(About!C:C,MATCH(Sheet1!B343,About!B:B,0),1)),""))</f>
        <v>BAU Pol Mandated Cap Retro Sched.xlsx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5">
      <c r="A344" t="s">
        <v>101</v>
      </c>
      <c r="B344" t="s">
        <v>1343</v>
      </c>
      <c r="C344" t="s">
        <v>1345</v>
      </c>
      <c r="G344" t="str">
        <f t="shared" si="10"/>
        <v>.csv</v>
      </c>
      <c r="H344" s="5" t="str">
        <f>IF(AND(G344=".csv",COUNTIFS($B:$B,$B344,$G:$G,"xlsx")-COUNTIFS($B:$B,$B344,$G:$G,"xlsx",$C:$C,"~~$*")&gt;1,LEFT(C344,LEN($B344))&lt;&gt;$B344),"",IFERROR(IF(B344="FoPITY",INDEX(Customizations!$C$2:$C$19,MATCH(Sheet1!C344,Customizations!$B$2:$B$19,0),1),INDEX(About!C:C,MATCH(Sheet1!B344,About!B:B,0),1)),""))</f>
        <v>BAU Pol Mandated Cap Retro Sched.xlsx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5">
      <c r="A345" t="s">
        <v>101</v>
      </c>
      <c r="B345" t="s">
        <v>1907</v>
      </c>
      <c r="C345" t="s">
        <v>1908</v>
      </c>
      <c r="G345" t="str">
        <f t="shared" si="10"/>
        <v>xlsx</v>
      </c>
      <c r="H345" s="5" t="str">
        <f>IF(AND(G345=".csv",COUNTIFS($B:$B,$B345,$G:$G,"xlsx")-COUNTIFS($B:$B,$B345,$G:$G,"xlsx",$C:$C,"~~$*")&gt;1,LEFT(C345,LEN($B345))&lt;&gt;$B345),"",IFERROR(IF(B345="FoPITY",INDEX(Customizations!$C$2:$C$19,MATCH(Sheet1!C345,Customizations!$B$2:$B$19,0),1),INDEX(About!C:C,MATCH(Sheet1!B345,About!B:B,0),1)),""))</f>
        <v>BAU Policy Mandated Grid Battery Storage Additions.xlsx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5">
      <c r="A346" t="s">
        <v>101</v>
      </c>
      <c r="B346" t="s">
        <v>1907</v>
      </c>
      <c r="C346" t="s">
        <v>1909</v>
      </c>
      <c r="G346" t="str">
        <f t="shared" si="10"/>
        <v>.csv</v>
      </c>
      <c r="H346" s="5" t="str">
        <f>IF(AND(G346=".csv",COUNTIFS($B:$B,$B346,$G:$G,"xlsx")-COUNTIFS($B:$B,$B346,$G:$G,"xlsx",$C:$C,"~~$*")&gt;1,LEFT(C346,LEN($B346))&lt;&gt;$B346),"",IFERROR(IF(B346="FoPITY",INDEX(Customizations!$C$2:$C$19,MATCH(Sheet1!C346,Customizations!$B$2:$B$19,0),1),INDEX(About!C:C,MATCH(Sheet1!B346,About!B:B,0),1)),""))</f>
        <v>BAU Policy Mandated Grid Battery Storage Additions.xlsx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5">
      <c r="A347" t="s">
        <v>101</v>
      </c>
      <c r="B347" t="s">
        <v>1472</v>
      </c>
      <c r="C347" t="s">
        <v>1473</v>
      </c>
      <c r="G347" t="str">
        <f t="shared" si="10"/>
        <v>xlsx</v>
      </c>
      <c r="H347" s="5" t="str">
        <f>IF(AND(G347=".csv",COUNTIFS($B:$B,$B347,$G:$G,"xlsx")-COUNTIFS($B:$B,$B347,$G:$G,"xlsx",$C:$C,"~~$*")&gt;1,LEFT(C347,LEN($B347))&lt;&gt;$B347),"",IFERROR(IF(B347="FoPITY",INDEX(Customizations!$C$2:$C$19,MATCH(Sheet1!C347,Customizations!$B$2:$B$19,0),1),INDEX(About!C:C,MATCH(Sheet1!B347,About!B:B,0),1)),""))</f>
        <v>BAU Pwr Plnt Elec Own Use Perc.xlsx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5">
      <c r="A348" t="s">
        <v>101</v>
      </c>
      <c r="B348" t="s">
        <v>1472</v>
      </c>
      <c r="C348" t="s">
        <v>1474</v>
      </c>
      <c r="G348" t="str">
        <f t="shared" si="10"/>
        <v>.csv</v>
      </c>
      <c r="H348" s="5" t="str">
        <f>IF(AND(G348=".csv",COUNTIFS($B:$B,$B348,$G:$G,"xlsx")-COUNTIFS($B:$B,$B348,$G:$G,"xlsx",$C:$C,"~~$*")&gt;1,LEFT(C348,LEN($B348))&lt;&gt;$B348),"",IFERROR(IF(B348="FoPITY",INDEX(Customizations!$C$2:$C$19,MATCH(Sheet1!C348,Customizations!$B$2:$B$19,0),1),INDEX(About!C:C,MATCH(Sheet1!B348,About!B:B,0),1)),""))</f>
        <v>BAU Pwr Plnt Elec Own Use Perc.xlsx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5">
      <c r="A349" t="s">
        <v>101</v>
      </c>
      <c r="B349" t="s">
        <v>1202</v>
      </c>
      <c r="C349" t="s">
        <v>1203</v>
      </c>
      <c r="G349" t="str">
        <f t="shared" si="10"/>
        <v>xlsx</v>
      </c>
      <c r="H349" s="5" t="str">
        <f>IF(AND(G349=".csv",COUNTIFS($B:$B,$B349,$G:$G,"xlsx")-COUNTIFS($B:$B,$B349,$G:$G,"xlsx",$C:$C,"~~$*")&gt;1,LEFT(C349,LEN($B349))&lt;&gt;$B349),"",IFERROR(IF(B349="FoPITY",INDEX(Customizations!$C$2:$C$19,MATCH(Sheet1!C349,Customizations!$B$2:$B$19,0),1),INDEX(About!C:C,MATCH(Sheet1!B349,About!B:B,0),1)),""))</f>
        <v>BAU Subsidy per Unit Grid Battery Capacity Deployed.xlsx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5">
      <c r="A350" t="s">
        <v>101</v>
      </c>
      <c r="B350" t="s">
        <v>1202</v>
      </c>
      <c r="C350" t="s">
        <v>1204</v>
      </c>
      <c r="G350" t="str">
        <f t="shared" si="10"/>
        <v>.csv</v>
      </c>
      <c r="H350" s="5" t="str">
        <f>IF(AND(G350=".csv",COUNTIFS($B:$B,$B350,$G:$G,"xlsx")-COUNTIFS($B:$B,$B350,$G:$G,"xlsx",$C:$C,"~~$*")&gt;1,LEFT(C350,LEN($B350))&lt;&gt;$B350),"",IFERROR(IF(B350="FoPITY",INDEX(Customizations!$C$2:$C$19,MATCH(Sheet1!C350,Customizations!$B$2:$B$19,0),1),INDEX(About!C:C,MATCH(Sheet1!B350,About!B:B,0),1)),""))</f>
        <v>BAU Subsidy per Unit Grid Battery Capacity Deployed.xlsx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5">
      <c r="A351" t="s">
        <v>101</v>
      </c>
      <c r="B351" t="s">
        <v>1205</v>
      </c>
      <c r="C351" t="s">
        <v>1206</v>
      </c>
      <c r="G351" t="str">
        <f t="shared" si="10"/>
        <v>xlsx</v>
      </c>
      <c r="H351" s="5" t="str">
        <f>IF(AND(G351=".csv",COUNTIFS($B:$B,$B351,$G:$G,"xlsx")-COUNTIFS($B:$B,$B351,$G:$G,"xlsx",$C:$C,"~~$*")&gt;1,LEFT(C351,LEN($B351))&lt;&gt;$B351),"",IFERROR(IF(B351="FoPITY",INDEX(Customizations!$C$2:$C$19,MATCH(Sheet1!C351,Customizations!$B$2:$B$19,0),1),INDEX(About!C:C,MATCH(Sheet1!B351,About!B:B,0),1)),""))</f>
        <v>BAU RPS Data by Subregion.xlsx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5">
      <c r="A352" t="s">
        <v>101</v>
      </c>
      <c r="B352" t="s">
        <v>1205</v>
      </c>
      <c r="C352" t="s">
        <v>1910</v>
      </c>
      <c r="G352" t="str">
        <f t="shared" si="10"/>
        <v>.csv</v>
      </c>
      <c r="H352" s="5" t="str">
        <f>IF(AND(G352=".csv",COUNTIFS($B:$B,$B352,$G:$G,"xlsx")-COUNTIFS($B:$B,$B352,$G:$G,"xlsx",$C:$C,"~~$*")&gt;1,LEFT(C352,LEN($B352))&lt;&gt;$B352),"",IFERROR(IF(B352="FoPITY",INDEX(Customizations!$C$2:$C$19,MATCH(Sheet1!C352,Customizations!$B$2:$B$19,0),1),INDEX(About!C:C,MATCH(Sheet1!B352,About!B:B,0),1)),""))</f>
        <v>BAU RPS Data by Subregion.xlsx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5">
      <c r="A353" t="s">
        <v>101</v>
      </c>
      <c r="B353" t="s">
        <v>1205</v>
      </c>
      <c r="C353" t="s">
        <v>1207</v>
      </c>
      <c r="G353" t="str">
        <f t="shared" si="10"/>
        <v>.csv</v>
      </c>
      <c r="H353" s="5" t="str">
        <f>IF(AND(G353=".csv",COUNTIFS($B:$B,$B353,$G:$G,"xlsx")-COUNTIFS($B:$B,$B353,$G:$G,"xlsx",$C:$C,"~~$*")&gt;1,LEFT(C353,LEN($B353))&lt;&gt;$B353),"",IFERROR(IF(B353="FoPITY",INDEX(Customizations!$C$2:$C$19,MATCH(Sheet1!C353,Customizations!$B$2:$B$19,0),1),INDEX(About!C:C,MATCH(Sheet1!B353,About!B:B,0),1)),""))</f>
        <v>BAU RPS Data by Subregion.xlsx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5">
      <c r="A354" t="s">
        <v>101</v>
      </c>
      <c r="B354" t="s">
        <v>1205</v>
      </c>
      <c r="C354" t="s">
        <v>1208</v>
      </c>
      <c r="G354" t="str">
        <f t="shared" si="10"/>
        <v>.csv</v>
      </c>
      <c r="H354" s="5" t="str">
        <f>IF(AND(G354=".csv",COUNTIFS($B:$B,$B354,$G:$G,"xlsx")-COUNTIFS($B:$B,$B354,$G:$G,"xlsx",$C:$C,"~~$*")&gt;1,LEFT(C354,LEN($B354))&lt;&gt;$B354),"",IFERROR(IF(B354="FoPITY",INDEX(Customizations!$C$2:$C$19,MATCH(Sheet1!C354,Customizations!$B$2:$B$19,0),1),INDEX(About!C:C,MATCH(Sheet1!B354,About!B:B,0),1)),""))</f>
        <v>BAU RPS Data by Subregion.xlsx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5">
      <c r="A355" t="s">
        <v>101</v>
      </c>
      <c r="B355" t="s">
        <v>1757</v>
      </c>
      <c r="C355" t="s">
        <v>1758</v>
      </c>
      <c r="G355" t="str">
        <f t="shared" si="10"/>
        <v>xlsx</v>
      </c>
      <c r="H355" s="5" t="str">
        <f>IF(AND(G355=".csv",COUNTIFS($B:$B,$B355,$G:$G,"xlsx")-COUNTIFS($B:$B,$B355,$G:$G,"xlsx",$C:$C,"~~$*")&gt;1,LEFT(C355,LEN($B355))&lt;&gt;$B355),"",IFERROR(IF(B355="FoPITY",INDEX(Customizations!$C$2:$C$19,MATCH(Sheet1!C355,Customizations!$B$2:$B$19,0),1),INDEX(About!C:C,MATCH(Sheet1!B355,About!B:B,0),1)),""))</f>
        <v>BAU Subsidy for Grid Battery Production.xlsx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5">
      <c r="A356" t="s">
        <v>101</v>
      </c>
      <c r="B356" t="s">
        <v>1757</v>
      </c>
      <c r="C356" t="s">
        <v>1759</v>
      </c>
      <c r="G356" t="str">
        <f t="shared" si="10"/>
        <v>.csv</v>
      </c>
      <c r="H356" s="5" t="str">
        <f>IF(AND(G356=".csv",COUNTIFS($B:$B,$B356,$G:$G,"xlsx")-COUNTIFS($B:$B,$B356,$G:$G,"xlsx",$C:$C,"~~$*")&gt;1,LEFT(C356,LEN($B356))&lt;&gt;$B356),"",IFERROR(IF(B356="FoPITY",INDEX(Customizations!$C$2:$C$19,MATCH(Sheet1!C356,Customizations!$B$2:$B$19,0),1),INDEX(About!C:C,MATCH(Sheet1!B356,About!B:B,0),1)),""))</f>
        <v>BAU Subsidy for Grid Battery Production.xlsx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5">
      <c r="A357" t="s">
        <v>101</v>
      </c>
      <c r="B357" t="s">
        <v>1209</v>
      </c>
      <c r="C357" t="s">
        <v>1210</v>
      </c>
      <c r="G357" t="str">
        <f t="shared" si="10"/>
        <v>xlsx</v>
      </c>
      <c r="H357" s="5" t="str">
        <f>IF(AND(G357=".csv",COUNTIFS($B:$B,$B357,$G:$G,"xlsx")-COUNTIFS($B:$B,$B357,$G:$G,"xlsx",$C:$C,"~~$*")&gt;1,LEFT(C357,LEN($B357))&lt;&gt;$B357),"",IFERROR(IF(B357="FoPITY",INDEX(Customizations!$C$2:$C$19,MATCH(Sheet1!C357,Customizations!$B$2:$B$19,0),1),INDEX(About!C:C,MATCH(Sheet1!B357,About!B:B,0),1)),""))</f>
        <v>BAU Subsidy per Unit Electricity Supplied to the Grid by Grid Batteries.xlsx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5">
      <c r="A358" t="s">
        <v>101</v>
      </c>
      <c r="B358" t="s">
        <v>1209</v>
      </c>
      <c r="C358" t="s">
        <v>1211</v>
      </c>
      <c r="G358" t="str">
        <f t="shared" si="10"/>
        <v>.csv</v>
      </c>
      <c r="H358" s="5" t="str">
        <f>IF(AND(G358=".csv",COUNTIFS($B:$B,$B358,$G:$G,"xlsx")-COUNTIFS($B:$B,$B358,$G:$G,"xlsx",$C:$C,"~~$*")&gt;1,LEFT(C358,LEN($B358))&lt;&gt;$B358),"",IFERROR(IF(B358="FoPITY",INDEX(Customizations!$C$2:$C$19,MATCH(Sheet1!C358,Customizations!$B$2:$B$19,0),1),INDEX(About!C:C,MATCH(Sheet1!B358,About!B:B,0),1)),""))</f>
        <v>BAU Subsidy per Unit Electricity Supplied to the Grid by Grid Batteries.xlsx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5">
      <c r="A359" t="s">
        <v>101</v>
      </c>
      <c r="B359" t="s">
        <v>116</v>
      </c>
      <c r="C359" t="s">
        <v>117</v>
      </c>
      <c r="G359" t="str">
        <f t="shared" si="10"/>
        <v>xlsx</v>
      </c>
      <c r="H359" s="5" t="str">
        <f>IF(AND(G359=".csv",COUNTIFS($B:$B,$B359,$G:$G,"xlsx")-COUNTIFS($B:$B,$B359,$G:$G,"xlsx",$C:$C,"~~$*")&gt;1,LEFT(C359,LEN($B359))&lt;&gt;$B359),"",IFERROR(IF(B359="FoPITY",INDEX(Customizations!$C$2:$C$19,MATCH(Sheet1!C359,Customizations!$B$2:$B$19,0),1),INDEX(About!C:C,MATCH(Sheet1!B359,About!B:B,0),1)),""))</f>
        <v>BAU Trans and Distr Loss Perc.xlsx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5">
      <c r="A360" t="s">
        <v>101</v>
      </c>
      <c r="B360" t="s">
        <v>116</v>
      </c>
      <c r="C360" t="s">
        <v>118</v>
      </c>
      <c r="G360" t="str">
        <f t="shared" si="10"/>
        <v>.csv</v>
      </c>
      <c r="H360" s="5" t="str">
        <f>IF(AND(G360=".csv",COUNTIFS($B:$B,$B360,$G:$G,"xlsx")-COUNTIFS($B:$B,$B360,$G:$G,"xlsx",$C:$C,"~~$*")&gt;1,LEFT(C360,LEN($B360))&lt;&gt;$B360),"",IFERROR(IF(B360="FoPITY",INDEX(Customizations!$C$2:$C$19,MATCH(Sheet1!C360,Customizations!$B$2:$B$19,0),1),INDEX(About!C:C,MATCH(Sheet1!B360,About!B:B,0),1)),""))</f>
        <v>BAU Trans and Distr Loss Perc.xlsx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5">
      <c r="A361" t="s">
        <v>101</v>
      </c>
      <c r="B361" t="s">
        <v>1041</v>
      </c>
      <c r="C361" t="s">
        <v>1042</v>
      </c>
      <c r="G361" t="str">
        <f t="shared" si="10"/>
        <v>xlsx</v>
      </c>
      <c r="H361" s="5" t="str">
        <f>IF(AND(G361=".csv",COUNTIFS($B:$B,$B361,$G:$G,"xlsx")-COUNTIFS($B:$B,$B361,$G:$G,"xlsx",$C:$C,"~~$*")&gt;1,LEFT(C361,LEN($B361))&lt;&gt;$B361),"",IFERROR(IF(B361="FoPITY",INDEX(Customizations!$C$2:$C$19,MATCH(Sheet1!C361,Customizations!$B$2:$B$19,0),1),INDEX(About!C:C,MATCH(Sheet1!B361,About!B:B,0),1)),""))</f>
        <v>BAU Zero Emis Credit for Nuc Plants.xlsx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5">
      <c r="A362" t="s">
        <v>101</v>
      </c>
      <c r="B362" t="s">
        <v>1041</v>
      </c>
      <c r="C362" t="s">
        <v>1043</v>
      </c>
      <c r="G362" t="str">
        <f t="shared" si="10"/>
        <v>.csv</v>
      </c>
      <c r="H362" s="5" t="str">
        <f>IF(AND(G362=".csv",COUNTIFS($B:$B,$B362,$G:$G,"xlsx")-COUNTIFS($B:$B,$B362,$G:$G,"xlsx",$C:$C,"~~$*")&gt;1,LEFT(C362,LEN($B362))&lt;&gt;$B362),"",IFERROR(IF(B362="FoPITY",INDEX(Customizations!$C$2:$C$19,MATCH(Sheet1!C362,Customizations!$B$2:$B$19,0),1),INDEX(About!C:C,MATCH(Sheet1!B362,About!B:B,0),1)),""))</f>
        <v>BAU Zero Emis Credit for Nuc Plants.xlsx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5">
      <c r="A363" t="s">
        <v>101</v>
      </c>
      <c r="B363" t="s">
        <v>119</v>
      </c>
      <c r="C363" t="s">
        <v>120</v>
      </c>
      <c r="G363" t="str">
        <f t="shared" si="10"/>
        <v>xlsx</v>
      </c>
      <c r="H363" s="5" t="str">
        <f>IF(AND(G363=".csv",COUNTIFS($B:$B,$B363,$G:$G,"xlsx")-COUNTIFS($B:$B,$B363,$G:$G,"xlsx",$C:$C,"~~$*")&gt;1,LEFT(C363,LEN($B363))&lt;&gt;$B363),"",IFERROR(IF(B363="FoPITY",INDEX(Customizations!$C$2:$C$19,MATCH(Sheet1!C363,Customizations!$B$2:$B$19,0),1),INDEX(About!C:C,MATCH(Sheet1!B363,About!B:B,0),1)),""))</f>
        <v>Capacity Construction and Maint Costs.xlsx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5">
      <c r="A364" t="s">
        <v>101</v>
      </c>
      <c r="B364" t="s">
        <v>119</v>
      </c>
      <c r="C364" t="s">
        <v>1044</v>
      </c>
      <c r="G364" t="str">
        <f t="shared" si="10"/>
        <v>.csv</v>
      </c>
      <c r="H364" s="5" t="str">
        <f>IF(AND(G364=".csv",COUNTIFS($B:$B,$B364,$G:$G,"xlsx")-COUNTIFS($B:$B,$B364,$G:$G,"xlsx",$C:$C,"~~$*")&gt;1,LEFT(C364,LEN($B364))&lt;&gt;$B364),"",IFERROR(IF(B364="FoPITY",INDEX(Customizations!$C$2:$C$19,MATCH(Sheet1!C364,Customizations!$B$2:$B$19,0),1),INDEX(About!C:C,MATCH(Sheet1!B364,About!B:B,0),1)),""))</f>
        <v>Capacity Construction and Maint Costs.xlsx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5">
      <c r="A365" t="s">
        <v>101</v>
      </c>
      <c r="B365" t="s">
        <v>119</v>
      </c>
      <c r="C365" t="s">
        <v>1045</v>
      </c>
      <c r="G365" t="str">
        <f t="shared" si="10"/>
        <v>.csv</v>
      </c>
      <c r="H365" s="5" t="str">
        <f>IF(AND(G365=".csv",COUNTIFS($B:$B,$B365,$G:$G,"xlsx")-COUNTIFS($B:$B,$B365,$G:$G,"xlsx",$C:$C,"~~$*")&gt;1,LEFT(C365,LEN($B365))&lt;&gt;$B365),"",IFERROR(IF(B365="FoPITY",INDEX(Customizations!$C$2:$C$19,MATCH(Sheet1!C365,Customizations!$B$2:$B$19,0),1),INDEX(About!C:C,MATCH(Sheet1!B365,About!B:B,0),1)),""))</f>
        <v>Capacity Construction and Maint Costs.xlsx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5">
      <c r="A366" t="s">
        <v>101</v>
      </c>
      <c r="B366" t="s">
        <v>119</v>
      </c>
      <c r="C366" t="s">
        <v>121</v>
      </c>
      <c r="G366" t="str">
        <f t="shared" si="10"/>
        <v>.csv</v>
      </c>
      <c r="H366" s="5" t="str">
        <f>IF(AND(G366=".csv",COUNTIFS($B:$B,$B366,$G:$G,"xlsx")-COUNTIFS($B:$B,$B366,$G:$G,"xlsx",$C:$C,"~~$*")&gt;1,LEFT(C366,LEN($B366))&lt;&gt;$B366),"",IFERROR(IF(B366="FoPITY",INDEX(Customizations!$C$2:$C$19,MATCH(Sheet1!C366,Customizations!$B$2:$B$19,0),1),INDEX(About!C:C,MATCH(Sheet1!B366,About!B:B,0),1)),""))</f>
        <v>Capacity Construction and Maint Costs.xlsx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5">
      <c r="A367" t="s">
        <v>101</v>
      </c>
      <c r="B367" t="s">
        <v>119</v>
      </c>
      <c r="C367" t="s">
        <v>1212</v>
      </c>
      <c r="G367" t="str">
        <f t="shared" si="10"/>
        <v>.csv</v>
      </c>
      <c r="H367" s="5" t="str">
        <f>IF(AND(G367=".csv",COUNTIFS($B:$B,$B367,$G:$G,"xlsx")-COUNTIFS($B:$B,$B367,$G:$G,"xlsx",$C:$C,"~~$*")&gt;1,LEFT(C367,LEN($B367))&lt;&gt;$B367),"",IFERROR(IF(B367="FoPITY",INDEX(Customizations!$C$2:$C$19,MATCH(Sheet1!C367,Customizations!$B$2:$B$19,0),1),INDEX(About!C:C,MATCH(Sheet1!B367,About!B:B,0),1)),""))</f>
        <v>Capacity Construction and Maint Costs.xlsx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5">
      <c r="A368" t="s">
        <v>101</v>
      </c>
      <c r="B368" t="s">
        <v>119</v>
      </c>
      <c r="C368" t="s">
        <v>734</v>
      </c>
      <c r="G368" t="str">
        <f t="shared" si="10"/>
        <v>.csv</v>
      </c>
      <c r="H368" s="5" t="str">
        <f>IF(AND(G368=".csv",COUNTIFS($B:$B,$B368,$G:$G,"xlsx")-COUNTIFS($B:$B,$B368,$G:$G,"xlsx",$C:$C,"~~$*")&gt;1,LEFT(C368,LEN($B368))&lt;&gt;$B368),"",IFERROR(IF(B368="FoPITY",INDEX(Customizations!$C$2:$C$19,MATCH(Sheet1!C368,Customizations!$B$2:$B$19,0),1),INDEX(About!C:C,MATCH(Sheet1!B368,About!B:B,0),1)),""))</f>
        <v>Capacity Construction and Maint Costs.xlsx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5">
      <c r="A369" t="s">
        <v>101</v>
      </c>
      <c r="B369" t="s">
        <v>119</v>
      </c>
      <c r="C369" t="s">
        <v>1046</v>
      </c>
      <c r="G369" t="str">
        <f t="shared" si="10"/>
        <v>.csv</v>
      </c>
      <c r="H369" s="5" t="str">
        <f>IF(AND(G369=".csv",COUNTIFS($B:$B,$B369,$G:$G,"xlsx")-COUNTIFS($B:$B,$B369,$G:$G,"xlsx",$C:$C,"~~$*")&gt;1,LEFT(C369,LEN($B369))&lt;&gt;$B369),"",IFERROR(IF(B369="FoPITY",INDEX(Customizations!$C$2:$C$19,MATCH(Sheet1!C369,Customizations!$B$2:$B$19,0),1),INDEX(About!C:C,MATCH(Sheet1!B369,About!B:B,0),1)),""))</f>
        <v>Capacity Construction and Maint Costs.xlsx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5">
      <c r="A370" t="s">
        <v>101</v>
      </c>
      <c r="B370" t="s">
        <v>119</v>
      </c>
      <c r="C370" t="s">
        <v>1047</v>
      </c>
      <c r="G370" t="str">
        <f t="shared" si="10"/>
        <v>.csv</v>
      </c>
      <c r="H370" s="5" t="str">
        <f>IF(AND(G370=".csv",COUNTIFS($B:$B,$B370,$G:$G,"xlsx")-COUNTIFS($B:$B,$B370,$G:$G,"xlsx",$C:$C,"~~$*")&gt;1,LEFT(C370,LEN($B370))&lt;&gt;$B370),"",IFERROR(IF(B370="FoPITY",INDEX(Customizations!$C$2:$C$19,MATCH(Sheet1!C370,Customizations!$B$2:$B$19,0),1),INDEX(About!C:C,MATCH(Sheet1!B370,About!B:B,0),1)),""))</f>
        <v>Capacity Construction and Maint Costs.xlsx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5">
      <c r="A371" t="s">
        <v>101</v>
      </c>
      <c r="B371" t="s">
        <v>1264</v>
      </c>
      <c r="C371" t="s">
        <v>1265</v>
      </c>
      <c r="G371" t="str">
        <f t="shared" si="10"/>
        <v>.csv</v>
      </c>
      <c r="H371" s="5" t="str">
        <f>IF(AND(G371=".csv",COUNTIFS($B:$B,$B371,$G:$G,"xlsx")-COUNTIFS($B:$B,$B371,$G:$G,"xlsx",$C:$C,"~~$*")&gt;1,LEFT(C371,LEN($B371))&lt;&gt;$B371),"",IFERROR(IF(B371="FoPITY",INDEX(Customizations!$C$2:$C$19,MATCH(Sheet1!C371,Customizations!$B$2:$B$19,0),1),INDEX(About!C:C,MATCH(Sheet1!B371,About!B:B,0),1)),""))</f>
        <v>Cln Dsptchble Rsrc Dmnd for Rlbty Curve Param.xlsx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5">
      <c r="A372" t="s">
        <v>101</v>
      </c>
      <c r="B372" t="s">
        <v>1264</v>
      </c>
      <c r="C372" t="s">
        <v>1266</v>
      </c>
      <c r="G372" t="str">
        <f t="shared" si="10"/>
        <v>xlsx</v>
      </c>
      <c r="H372" s="5" t="str">
        <f>IF(AND(G372=".csv",COUNTIFS($B:$B,$B372,$G:$G,"xlsx")-COUNTIFS($B:$B,$B372,$G:$G,"xlsx",$C:$C,"~~$*")&gt;1,LEFT(C372,LEN($B372))&lt;&gt;$B372),"",IFERROR(IF(B372="FoPITY",INDEX(Customizations!$C$2:$C$19,MATCH(Sheet1!C372,Customizations!$B$2:$B$19,0),1),INDEX(About!C:C,MATCH(Sheet1!B372,About!B:B,0),1)),""))</f>
        <v>Cln Dsptchble Rsrc Dmnd for Rlbty Curve Param.xlsx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5">
      <c r="A373" t="s">
        <v>101</v>
      </c>
      <c r="B373" t="s">
        <v>849</v>
      </c>
      <c r="C373" t="s">
        <v>850</v>
      </c>
      <c r="G373" t="str">
        <f t="shared" si="10"/>
        <v>xlsx</v>
      </c>
      <c r="H373" s="5" t="str">
        <f>IF(AND(G373=".csv",COUNTIFS($B:$B,$B373,$G:$G,"xlsx")-COUNTIFS($B:$B,$B373,$G:$G,"xlsx",$C:$C,"~~$*")&gt;1,LEFT(C373,LEN($B373))&lt;&gt;$B373),"",IFERROR(IF(B373="FoPITY",INDEX(Customizations!$C$2:$C$19,MATCH(Sheet1!C373,Customizations!$B$2:$B$19,0),1),INDEX(About!C:C,MATCH(Sheet1!B373,About!B:B,0),1)),""))</f>
        <v>Cap Retirements before Quantization.xlsx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5">
      <c r="A374" t="s">
        <v>101</v>
      </c>
      <c r="B374" t="s">
        <v>849</v>
      </c>
      <c r="C374" t="s">
        <v>851</v>
      </c>
      <c r="G374" t="str">
        <f t="shared" si="10"/>
        <v>.csv</v>
      </c>
      <c r="H374" s="5" t="str">
        <f>IF(AND(G374=".csv",COUNTIFS($B:$B,$B374,$G:$G,"xlsx")-COUNTIFS($B:$B,$B374,$G:$G,"xlsx",$C:$C,"~~$*")&gt;1,LEFT(C374,LEN($B374))&lt;&gt;$B374),"",IFERROR(IF(B374="FoPITY",INDEX(Customizations!$C$2:$C$19,MATCH(Sheet1!C374,Customizations!$B$2:$B$19,0),1),INDEX(About!C:C,MATCH(Sheet1!B374,About!B:B,0),1)),""))</f>
        <v>Cap Retirements before Quantization.xlsx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5">
      <c r="A375" t="s">
        <v>101</v>
      </c>
      <c r="B375" t="s">
        <v>1267</v>
      </c>
      <c r="C375" t="s">
        <v>1268</v>
      </c>
      <c r="G375" t="str">
        <f t="shared" si="10"/>
        <v>xlsx</v>
      </c>
      <c r="H375" s="5" t="str">
        <f>IF(AND(G375=".csv",COUNTIFS($B:$B,$B375,$G:$G,"xlsx")-COUNTIFS($B:$B,$B375,$G:$G,"xlsx",$C:$C,"~~$*")&gt;1,LEFT(C375,LEN($B375))&lt;&gt;$B375),"",IFERROR(IF(B375="FoPITY",INDEX(Customizations!$C$2:$C$19,MATCH(Sheet1!C375,Customizations!$B$2:$B$19,0),1),INDEX(About!C:C,MATCH(Sheet1!B375,About!B:B,0),1)),""))</f>
        <v>Cap Ret per Unit Net Loss.xlsx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5">
      <c r="A376" t="s">
        <v>101</v>
      </c>
      <c r="B376" t="s">
        <v>1267</v>
      </c>
      <c r="C376" t="s">
        <v>1269</v>
      </c>
      <c r="G376" t="str">
        <f t="shared" si="10"/>
        <v>.csv</v>
      </c>
      <c r="H376" s="5" t="str">
        <f>IF(AND(G376=".csv",COUNTIFS($B:$B,$B376,$G:$G,"xlsx")-COUNTIFS($B:$B,$B376,$G:$G,"xlsx",$C:$C,"~~$*")&gt;1,LEFT(C376,LEN($B376))&lt;&gt;$B376),"",IFERROR(IF(B376="FoPITY",INDEX(Customizations!$C$2:$C$19,MATCH(Sheet1!C376,Customizations!$B$2:$B$19,0),1),INDEX(About!C:C,MATCH(Sheet1!B376,About!B:B,0),1)),""))</f>
        <v>Cap Ret per Unit Net Loss.xlsx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5">
      <c r="A377" t="s">
        <v>101</v>
      </c>
      <c r="B377" t="s">
        <v>1270</v>
      </c>
      <c r="C377" t="s">
        <v>1271</v>
      </c>
      <c r="G377" t="str">
        <f t="shared" si="10"/>
        <v>xlsx</v>
      </c>
      <c r="H377" s="5" t="str">
        <f>IF(AND(G377=".csv",COUNTIFS($B:$B,$B377,$G:$G,"xlsx")-COUNTIFS($B:$B,$B377,$G:$G,"xlsx",$C:$C,"~~$*")&gt;1,LEFT(C377,LEN($B377))&lt;&gt;$B377),"",IFERROR(IF(B377="FoPITY",INDEX(Customizations!$C$2:$C$19,MATCH(Sheet1!C377,Customizations!$B$2:$B$19,0),1),INDEX(About!C:C,MATCH(Sheet1!B377,About!B:B,0),1)),""))</f>
        <v>Capacity Supply Curve.xlsx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5">
      <c r="A378" t="s">
        <v>101</v>
      </c>
      <c r="B378" t="s">
        <v>1270</v>
      </c>
      <c r="C378" t="s">
        <v>1272</v>
      </c>
      <c r="G378" t="str">
        <f t="shared" si="10"/>
        <v>.csv</v>
      </c>
      <c r="H378" s="5" t="str">
        <f>IF(AND(G378=".csv",COUNTIFS($B:$B,$B378,$G:$G,"xlsx")-COUNTIFS($B:$B,$B378,$G:$G,"xlsx",$C:$C,"~~$*")&gt;1,LEFT(C378,LEN($B378))&lt;&gt;$B378),"",IFERROR(IF(B378="FoPITY",INDEX(Customizations!$C$2:$C$19,MATCH(Sheet1!C378,Customizations!$B$2:$B$19,0),1),INDEX(About!C:C,MATCH(Sheet1!B378,About!B:B,0),1)),""))</f>
        <v>Capacity Supply Curve.xlsx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5">
      <c r="A379" t="s">
        <v>101</v>
      </c>
      <c r="B379" t="s">
        <v>1270</v>
      </c>
      <c r="C379" t="s">
        <v>1273</v>
      </c>
      <c r="G379" t="str">
        <f t="shared" si="10"/>
        <v>.csv</v>
      </c>
      <c r="H379" s="5" t="str">
        <f>IF(AND(G379=".csv",COUNTIFS($B:$B,$B379,$G:$G,"xlsx")-COUNTIFS($B:$B,$B379,$G:$G,"xlsx",$C:$C,"~~$*")&gt;1,LEFT(C379,LEN($B379))&lt;&gt;$B379),"",IFERROR(IF(B379="FoPITY",INDEX(Customizations!$C$2:$C$19,MATCH(Sheet1!C379,Customizations!$B$2:$B$19,0),1),INDEX(About!C:C,MATCH(Sheet1!B379,About!B:B,0),1)),""))</f>
        <v>Capacity Supply Curve.xlsx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5">
      <c r="A380" t="s">
        <v>101</v>
      </c>
      <c r="B380" t="s">
        <v>1270</v>
      </c>
      <c r="C380" t="s">
        <v>1274</v>
      </c>
      <c r="G380" t="str">
        <f t="shared" ref="G380:G442" si="12">RIGHT(C380,"4")</f>
        <v>.csv</v>
      </c>
      <c r="H380" s="5" t="str">
        <f>IF(AND(G380=".csv",COUNTIFS($B:$B,$B380,$G:$G,"xlsx")-COUNTIFS($B:$B,$B380,$G:$G,"xlsx",$C:$C,"~~$*")&gt;1,LEFT(C380,LEN($B380))&lt;&gt;$B380),"",IFERROR(IF(B380="FoPITY",INDEX(Customizations!$C$2:$C$19,MATCH(Sheet1!C380,Customizations!$B$2:$B$19,0),1),INDEX(About!C:C,MATCH(Sheet1!B380,About!B:B,0),1)),""))</f>
        <v>Capacity Supply Curve.xlsx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5">
      <c r="A381" t="s">
        <v>101</v>
      </c>
      <c r="B381" t="s">
        <v>1048</v>
      </c>
      <c r="C381" t="s">
        <v>1049</v>
      </c>
      <c r="G381" t="str">
        <f t="shared" si="12"/>
        <v>.csv</v>
      </c>
      <c r="H381" s="5" t="str">
        <f>IF(AND(G381=".csv",COUNTIFS($B:$B,$B381,$G:$G,"xlsx")-COUNTIFS($B:$B,$B381,$G:$G,"xlsx",$C:$C,"~~$*")&gt;1,LEFT(C381,LEN($B381))&lt;&gt;$B381),"",IFERROR(IF(B381="FoPITY",INDEX(Customizations!$C$2:$C$19,MATCH(Sheet1!C381,Customizations!$B$2:$B$19,0),1),INDEX(About!C:C,MATCH(Sheet1!B381,About!B:B,0),1)),""))</f>
        <v>Dist Construction Cost per Unit Increase in Peak Load.xlsx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5">
      <c r="A382" t="s">
        <v>101</v>
      </c>
      <c r="B382" t="s">
        <v>1048</v>
      </c>
      <c r="C382" t="s">
        <v>1050</v>
      </c>
      <c r="G382" t="str">
        <f t="shared" si="12"/>
        <v>xlsx</v>
      </c>
      <c r="H382" s="5" t="str">
        <f>IF(AND(G382=".csv",COUNTIFS($B:$B,$B382,$G:$G,"xlsx")-COUNTIFS($B:$B,$B382,$G:$G,"xlsx",$C:$C,"~~$*")&gt;1,LEFT(C382,LEN($B382))&lt;&gt;$B382),"",IFERROR(IF(B382="FoPITY",INDEX(Customizations!$C$2:$C$19,MATCH(Sheet1!C382,Customizations!$B$2:$B$19,0),1),INDEX(About!C:C,MATCH(Sheet1!B382,About!B:B,0),1)),""))</f>
        <v>Dist Construction Cost per Unit Increase in Peak Load.xlsx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5">
      <c r="A383" t="s">
        <v>101</v>
      </c>
      <c r="B383" t="s">
        <v>122</v>
      </c>
      <c r="C383" t="s">
        <v>123</v>
      </c>
      <c r="G383" t="str">
        <f t="shared" si="12"/>
        <v>.csv</v>
      </c>
      <c r="H383" s="5" t="str">
        <f>IF(AND(G383=".csv",COUNTIFS($B:$B,$B383,$G:$G,"xlsx")-COUNTIFS($B:$B,$B383,$G:$G,"xlsx",$C:$C,"~~$*")&gt;1,LEFT(C383,LEN($B383))&lt;&gt;$B383),"",IFERROR(IF(B383="FoPITY",INDEX(Customizations!$C$2:$C$19,MATCH(Sheet1!C383,Customizations!$B$2:$B$19,0),1),INDEX(About!C:C,MATCH(Sheet1!B383,About!B:B,0),1)),""))</f>
        <v>Decommissioning Cost per Unit Cap.xlsx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5">
      <c r="A384" t="s">
        <v>101</v>
      </c>
      <c r="B384" t="s">
        <v>122</v>
      </c>
      <c r="C384" t="s">
        <v>124</v>
      </c>
      <c r="G384" t="str">
        <f t="shared" si="12"/>
        <v>xlsx</v>
      </c>
      <c r="H384" s="5" t="str">
        <f>IF(AND(G384=".csv",COUNTIFS($B:$B,$B384,$G:$G,"xlsx")-COUNTIFS($B:$B,$B384,$G:$G,"xlsx",$C:$C,"~~$*")&gt;1,LEFT(C384,LEN($B384))&lt;&gt;$B384),"",IFERROR(IF(B384="FoPITY",INDEX(Customizations!$C$2:$C$19,MATCH(Sheet1!C384,Customizations!$B$2:$B$19,0),1),INDEX(About!C:C,MATCH(Sheet1!B384,About!B:B,0),1)),""))</f>
        <v>Decommissioning Cost per Unit Cap.xlsx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5">
      <c r="A385" t="s">
        <v>101</v>
      </c>
      <c r="B385" t="s">
        <v>125</v>
      </c>
      <c r="C385" t="s">
        <v>126</v>
      </c>
      <c r="G385" t="str">
        <f t="shared" si="12"/>
        <v>xlsx</v>
      </c>
      <c r="H385" s="5" t="str">
        <f>IF(AND(G385=".csv",COUNTIFS($B:$B,$B385,$G:$G,"xlsx")-COUNTIFS($B:$B,$B385,$G:$G,"xlsx",$C:$C,"~~$*")&gt;1,LEFT(C385,LEN($B385))&lt;&gt;$B385),"",IFERROR(IF(B385="FoPITY",INDEX(Customizations!$C$2:$C$19,MATCH(Sheet1!C385,Customizations!$B$2:$B$19,0),1),INDEX(About!C:C,MATCH(Sheet1!B385,About!B:B,0),1)),""))</f>
        <v>Dispatch Priority by Elec Source.xlsx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5">
      <c r="A386" t="s">
        <v>101</v>
      </c>
      <c r="B386" t="s">
        <v>125</v>
      </c>
      <c r="C386" t="s">
        <v>127</v>
      </c>
      <c r="G386" t="str">
        <f t="shared" si="12"/>
        <v>.csv</v>
      </c>
      <c r="H386" s="5" t="str">
        <f>IF(AND(G386=".csv",COUNTIFS($B:$B,$B386,$G:$G,"xlsx")-COUNTIFS($B:$B,$B386,$G:$G,"xlsx",$C:$C,"~~$*")&gt;1,LEFT(C386,LEN($B386))&lt;&gt;$B386),"",IFERROR(IF(B386="FoPITY",INDEX(Customizations!$C$2:$C$19,MATCH(Sheet1!C386,Customizations!$B$2:$B$19,0),1),INDEX(About!C:C,MATCH(Sheet1!B386,About!B:B,0),1)),""))</f>
        <v>Dispatch Priority by Elec Source.xlsx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5">
      <c r="A387" t="s">
        <v>101</v>
      </c>
      <c r="B387" t="s">
        <v>128</v>
      </c>
      <c r="C387" t="s">
        <v>129</v>
      </c>
      <c r="G387" t="str">
        <f t="shared" si="12"/>
        <v>xlsx</v>
      </c>
      <c r="H387" s="5" t="str">
        <f>IF(AND(G387=".csv",COUNTIFS($B:$B,$B387,$G:$G,"xlsx")-COUNTIFS($B:$B,$B387,$G:$G,"xlsx",$C:$C,"~~$*")&gt;1,LEFT(C387,LEN($B387))&lt;&gt;$B387),"",IFERROR(IF(B387="FoPITY",INDEX(Customizations!$C$2:$C$19,MATCH(Sheet1!C387,Customizations!$B$2:$B$19,0),1),INDEX(About!C:C,MATCH(Sheet1!B387,About!B:B,0),1)),""))</f>
        <v>Demand Response Capacity.xlsx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5">
      <c r="A388" t="s">
        <v>101</v>
      </c>
      <c r="B388" t="s">
        <v>128</v>
      </c>
      <c r="C388" t="s">
        <v>1051</v>
      </c>
      <c r="G388" t="str">
        <f t="shared" si="12"/>
        <v>.csv</v>
      </c>
      <c r="H388" s="5" t="str">
        <f>IF(AND(G388=".csv",COUNTIFS($B:$B,$B388,$G:$G,"xlsx")-COUNTIFS($B:$B,$B388,$G:$G,"xlsx",$C:$C,"~~$*")&gt;1,LEFT(C388,LEN($B388))&lt;&gt;$B388),"",IFERROR(IF(B388="FoPITY",INDEX(Customizations!$C$2:$C$19,MATCH(Sheet1!C388,Customizations!$B$2:$B$19,0),1),INDEX(About!C:C,MATCH(Sheet1!B388,About!B:B,0),1)),""))</f>
        <v>Demand Response Capacity.xlsx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5">
      <c r="A389" t="s">
        <v>101</v>
      </c>
      <c r="B389" t="s">
        <v>128</v>
      </c>
      <c r="C389" t="s">
        <v>130</v>
      </c>
      <c r="G389" t="str">
        <f t="shared" si="12"/>
        <v>.csv</v>
      </c>
      <c r="H389" s="5" t="str">
        <f>IF(AND(G389=".csv",COUNTIFS($B:$B,$B389,$G:$G,"xlsx")-COUNTIFS($B:$B,$B389,$G:$G,"xlsx",$C:$C,"~~$*")&gt;1,LEFT(C389,LEN($B389))&lt;&gt;$B389),"",IFERROR(IF(B389="FoPITY",INDEX(Customizations!$C$2:$C$19,MATCH(Sheet1!C389,Customizations!$B$2:$B$19,0),1),INDEX(About!C:C,MATCH(Sheet1!B389,About!B:B,0),1)),""))</f>
        <v>Demand Response Capacity.xlsx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5">
      <c r="A390" t="s">
        <v>101</v>
      </c>
      <c r="B390" t="s">
        <v>128</v>
      </c>
      <c r="C390" t="s">
        <v>131</v>
      </c>
      <c r="G390" t="str">
        <f t="shared" si="12"/>
        <v>.csv</v>
      </c>
      <c r="H390" s="5" t="str">
        <f>IF(AND(G390=".csv",COUNTIFS($B:$B,$B390,$G:$G,"xlsx")-COUNTIFS($B:$B,$B390,$G:$G,"xlsx",$C:$C,"~~$*")&gt;1,LEFT(C390,LEN($B390))&lt;&gt;$B390),"",IFERROR(IF(B390="FoPITY",INDEX(Customizations!$C$2:$C$19,MATCH(Sheet1!C390,Customizations!$B$2:$B$19,0),1),INDEX(About!C:C,MATCH(Sheet1!B390,About!B:B,0),1)),""))</f>
        <v>Demand Response Capacity.xlsx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5">
      <c r="A391" t="s">
        <v>101</v>
      </c>
      <c r="B391" t="s">
        <v>132</v>
      </c>
      <c r="C391" t="s">
        <v>133</v>
      </c>
      <c r="G391" t="str">
        <f t="shared" si="12"/>
        <v>xlsx</v>
      </c>
      <c r="H391" s="5" t="str">
        <f>IF(AND(G391=".csv",COUNTIFS($B:$B,$B391,$G:$G,"xlsx")-COUNTIFS($B:$B,$B391,$G:$G,"xlsx",$C:$C,"~~$*")&gt;1,LEFT(C391,LEN($B391))&lt;&gt;$B391),"",IFERROR(IF(B391="FoPITY",INDEX(Customizations!$C$2:$C$19,MATCH(Sheet1!C391,Customizations!$B$2:$B$19,0),1),INDEX(About!C:C,MATCH(Sheet1!B391,About!B:B,0),1)),""))</f>
        <v>Demand Response Costs.xlsx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5">
      <c r="A392" t="s">
        <v>101</v>
      </c>
      <c r="B392" t="s">
        <v>132</v>
      </c>
      <c r="C392" t="s">
        <v>134</v>
      </c>
      <c r="G392" t="str">
        <f t="shared" si="12"/>
        <v>.csv</v>
      </c>
      <c r="H392" s="5" t="str">
        <f>IF(AND(G392=".csv",COUNTIFS($B:$B,$B392,$G:$G,"xlsx")-COUNTIFS($B:$B,$B392,$G:$G,"xlsx",$C:$C,"~~$*")&gt;1,LEFT(C392,LEN($B392))&lt;&gt;$B392),"",IFERROR(IF(B392="FoPITY",INDEX(Customizations!$C$2:$C$19,MATCH(Sheet1!C392,Customizations!$B$2:$B$19,0),1),INDEX(About!C:C,MATCH(Sheet1!B392,About!B:B,0),1)),""))</f>
        <v>Demand Response Costs.xlsx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5">
      <c r="A393" t="s">
        <v>101</v>
      </c>
      <c r="B393" t="s">
        <v>132</v>
      </c>
      <c r="C393" t="s">
        <v>135</v>
      </c>
      <c r="G393" t="str">
        <f t="shared" si="12"/>
        <v>.csv</v>
      </c>
      <c r="H393" s="5" t="str">
        <f>IF(AND(G393=".csv",COUNTIFS($B:$B,$B393,$G:$G,"xlsx")-COUNTIFS($B:$B,$B393,$G:$G,"xlsx",$C:$C,"~~$*")&gt;1,LEFT(C393,LEN($B393))&lt;&gt;$B393),"",IFERROR(IF(B393="FoPITY",INDEX(Customizations!$C$2:$C$19,MATCH(Sheet1!C393,Customizations!$B$2:$B$19,0),1),INDEX(About!C:C,MATCH(Sheet1!B393,About!B:B,0),1)),""))</f>
        <v>Demand Response Costs.xlsx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5">
      <c r="A394" t="s">
        <v>101</v>
      </c>
      <c r="B394" t="s">
        <v>136</v>
      </c>
      <c r="C394" t="s">
        <v>137</v>
      </c>
      <c r="G394" t="str">
        <f t="shared" si="12"/>
        <v>.csv</v>
      </c>
      <c r="H394" s="5" t="str">
        <f>IF(AND(G394=".csv",COUNTIFS($B:$B,$B394,$G:$G,"xlsx")-COUNTIFS($B:$B,$B394,$G:$G,"xlsx",$C:$C,"~~$*")&gt;1,LEFT(C394,LEN($B394))&lt;&gt;$B394),"",IFERROR(IF(B394="FoPITY",INDEX(Customizations!$C$2:$C$19,MATCH(Sheet1!C394,Customizations!$B$2:$B$19,0),1),INDEX(About!C:C,MATCH(Sheet1!B394,About!B:B,0),1)),""))</f>
        <v>Elec Imports and Exports.xlsx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5">
      <c r="A395" t="s">
        <v>101</v>
      </c>
      <c r="B395" t="s">
        <v>136</v>
      </c>
      <c r="C395" t="s">
        <v>687</v>
      </c>
      <c r="G395" t="str">
        <f t="shared" si="12"/>
        <v>.csv</v>
      </c>
      <c r="H395" s="5" t="str">
        <f>IF(AND(G395=".csv",COUNTIFS($B:$B,$B395,$G:$G,"xlsx")-COUNTIFS($B:$B,$B395,$G:$G,"xlsx",$C:$C,"~~$*")&gt;1,LEFT(C395,LEN($B395))&lt;&gt;$B395),"",IFERROR(IF(B395="FoPITY",INDEX(Customizations!$C$2:$C$19,MATCH(Sheet1!C395,Customizations!$B$2:$B$19,0),1),INDEX(About!C:C,MATCH(Sheet1!B395,About!B:B,0),1)),""))</f>
        <v>Elec Imports and Exports.xlsx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5">
      <c r="A396" t="s">
        <v>101</v>
      </c>
      <c r="B396" t="s">
        <v>136</v>
      </c>
      <c r="C396" t="s">
        <v>138</v>
      </c>
      <c r="G396" t="str">
        <f t="shared" si="12"/>
        <v>.csv</v>
      </c>
      <c r="H396" s="5" t="str">
        <f>IF(AND(G396=".csv",COUNTIFS($B:$B,$B396,$G:$G,"xlsx")-COUNTIFS($B:$B,$B396,$G:$G,"xlsx",$C:$C,"~~$*")&gt;1,LEFT(C396,LEN($B396))&lt;&gt;$B396),"",IFERROR(IF(B396="FoPITY",INDEX(Customizations!$C$2:$C$19,MATCH(Sheet1!C396,Customizations!$B$2:$B$19,0),1),INDEX(About!C:C,MATCH(Sheet1!B396,About!B:B,0),1)),""))</f>
        <v>Elec Imports and Exports.xlsx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5">
      <c r="A397" t="s">
        <v>101</v>
      </c>
      <c r="B397" t="s">
        <v>136</v>
      </c>
      <c r="C397" t="s">
        <v>688</v>
      </c>
      <c r="G397" t="str">
        <f t="shared" si="12"/>
        <v>.csv</v>
      </c>
      <c r="H397" s="5" t="str">
        <f>IF(AND(G397=".csv",COUNTIFS($B:$B,$B397,$G:$G,"xlsx")-COUNTIFS($B:$B,$B397,$G:$G,"xlsx",$C:$C,"~~$*")&gt;1,LEFT(C397,LEN($B397))&lt;&gt;$B397),"",IFERROR(IF(B397="FoPITY",INDEX(Customizations!$C$2:$C$19,MATCH(Sheet1!C397,Customizations!$B$2:$B$19,0),1),INDEX(About!C:C,MATCH(Sheet1!B397,About!B:B,0),1)),""))</f>
        <v>Elec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5">
      <c r="A398" t="s">
        <v>101</v>
      </c>
      <c r="B398" t="s">
        <v>136</v>
      </c>
      <c r="C398" t="s">
        <v>139</v>
      </c>
      <c r="G398" t="str">
        <f t="shared" si="12"/>
        <v>xlsx</v>
      </c>
      <c r="H398" s="5" t="str">
        <f>IF(AND(G398=".csv",COUNTIFS($B:$B,$B398,$G:$G,"xlsx")-COUNTIFS($B:$B,$B398,$G:$G,"xlsx",$C:$C,"~~$*")&gt;1,LEFT(C398,LEN($B398))&lt;&gt;$B398),"",IFERROR(IF(B398="FoPITY",INDEX(Customizations!$C$2:$C$19,MATCH(Sheet1!C398,Customizations!$B$2:$B$19,0),1),INDEX(About!C:C,MATCH(Sheet1!B398,About!B:B,0),1)),""))</f>
        <v>Elec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5">
      <c r="A399" t="s">
        <v>101</v>
      </c>
      <c r="B399" t="s">
        <v>1911</v>
      </c>
      <c r="C399" t="s">
        <v>1912</v>
      </c>
      <c r="G399" t="str">
        <f t="shared" si="12"/>
        <v>xlsx</v>
      </c>
      <c r="H399" s="5" t="str">
        <f>IF(AND(G399=".csv",COUNTIFS($B:$B,$B399,$G:$G,"xlsx")-COUNTIFS($B:$B,$B399,$G:$G,"xlsx",$C:$C,"~~$*")&gt;1,LEFT(C399,LEN($B399))&lt;&gt;$B399),"",IFERROR(IF(B399="FoPITY",INDEX(Customizations!$C$2:$C$19,MATCH(Sheet1!C399,Customizations!$B$2:$B$19,0),1),INDEX(About!C:C,MATCH(Sheet1!B399,About!B:B,0),1)),""))</f>
        <v>ELCCAfR ELCC Adjustment for Reliability.xlsx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5">
      <c r="A400" t="s">
        <v>101</v>
      </c>
      <c r="B400" t="s">
        <v>1911</v>
      </c>
      <c r="C400" t="s">
        <v>1913</v>
      </c>
      <c r="G400" t="str">
        <f t="shared" si="12"/>
        <v>.csv</v>
      </c>
      <c r="H400" s="5" t="str">
        <f>IF(AND(G400=".csv",COUNTIFS($B:$B,$B400,$G:$G,"xlsx")-COUNTIFS($B:$B,$B400,$G:$G,"xlsx",$C:$C,"~~$*")&gt;1,LEFT(C400,LEN($B400))&lt;&gt;$B400),"",IFERROR(IF(B400="FoPITY",INDEX(Customizations!$C$2:$C$19,MATCH(Sheet1!C400,Customizations!$B$2:$B$19,0),1),INDEX(About!C:C,MATCH(Sheet1!B400,About!B:B,0),1)),""))</f>
        <v>ELCCAfR ELCC Adjustment for Reliability.xlsx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5">
      <c r="A401" t="s">
        <v>101</v>
      </c>
      <c r="B401" t="s">
        <v>1911</v>
      </c>
      <c r="C401" t="s">
        <v>1914</v>
      </c>
      <c r="G401" t="str">
        <f t="shared" si="12"/>
        <v>.csv</v>
      </c>
      <c r="H401" s="5" t="str">
        <f>IF(AND(G401=".csv",COUNTIFS($B:$B,$B401,$G:$G,"xlsx")-COUNTIFS($B:$B,$B401,$G:$G,"xlsx",$C:$C,"~~$*")&gt;1,LEFT(C401,LEN($B401))&lt;&gt;$B401),"",IFERROR(IF(B401="FoPITY",INDEX(Customizations!$C$2:$C$19,MATCH(Sheet1!C401,Customizations!$B$2:$B$19,0),1),INDEX(About!C:C,MATCH(Sheet1!B401,About!B:B,0),1)),""))</f>
        <v>ELCCAfR ELCC Adjustment for Reliability.xlsx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5">
      <c r="A402" t="s">
        <v>101</v>
      </c>
      <c r="B402" t="s">
        <v>1911</v>
      </c>
      <c r="C402" t="s">
        <v>1915</v>
      </c>
      <c r="G402" t="str">
        <f t="shared" si="12"/>
        <v>.csv</v>
      </c>
      <c r="H402" s="5" t="str">
        <f>IF(AND(G402=".csv",COUNTIFS($B:$B,$B402,$G:$G,"xlsx")-COUNTIFS($B:$B,$B402,$G:$G,"xlsx",$C:$C,"~~$*")&gt;1,LEFT(C402,LEN($B402))&lt;&gt;$B402),"",IFERROR(IF(B402="FoPITY",INDEX(Customizations!$C$2:$C$19,MATCH(Sheet1!C402,Customizations!$B$2:$B$19,0),1),INDEX(About!C:C,MATCH(Sheet1!B402,About!B:B,0),1)),""))</f>
        <v>ELCCAfR ELCC Adjustment for Reliability.xlsx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5">
      <c r="A403" t="s">
        <v>101</v>
      </c>
      <c r="B403" t="s">
        <v>1911</v>
      </c>
      <c r="C403" t="s">
        <v>1916</v>
      </c>
      <c r="G403" t="str">
        <f t="shared" si="12"/>
        <v>.csv</v>
      </c>
      <c r="H403" s="5" t="str">
        <f>IF(AND(G403=".csv",COUNTIFS($B:$B,$B403,$G:$G,"xlsx")-COUNTIFS($B:$B,$B403,$G:$G,"xlsx",$C:$C,"~~$*")&gt;1,LEFT(C403,LEN($B403))&lt;&gt;$B403),"",IFERROR(IF(B403="FoPITY",INDEX(Customizations!$C$2:$C$19,MATCH(Sheet1!C403,Customizations!$B$2:$B$19,0),1),INDEX(About!C:C,MATCH(Sheet1!B403,About!B:B,0),1)),""))</f>
        <v>ELCCAfR ELCC Adjustment for Reliability.xlsx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5">
      <c r="A404" t="s">
        <v>101</v>
      </c>
      <c r="B404" t="s">
        <v>1911</v>
      </c>
      <c r="C404" t="s">
        <v>1917</v>
      </c>
      <c r="G404" t="str">
        <f t="shared" si="12"/>
        <v>.csv</v>
      </c>
      <c r="H404" s="5" t="str">
        <f>IF(AND(G404=".csv",COUNTIFS($B:$B,$B404,$G:$G,"xlsx")-COUNTIFS($B:$B,$B404,$G:$G,"xlsx",$C:$C,"~~$*")&gt;1,LEFT(C404,LEN($B404))&lt;&gt;$B404),"",IFERROR(IF(B404="FoPITY",INDEX(Customizations!$C$2:$C$19,MATCH(Sheet1!C404,Customizations!$B$2:$B$19,0),1),INDEX(About!C:C,MATCH(Sheet1!B404,About!B:B,0),1)),""))</f>
        <v>ELCCAfR ELCC Adjustment for Reliability.xlsx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5">
      <c r="A405" t="s">
        <v>101</v>
      </c>
      <c r="B405" t="s">
        <v>1911</v>
      </c>
      <c r="C405" t="s">
        <v>1918</v>
      </c>
      <c r="G405" t="str">
        <f t="shared" si="12"/>
        <v>.csv</v>
      </c>
      <c r="H405" s="5" t="str">
        <f>IF(AND(G405=".csv",COUNTIFS($B:$B,$B405,$G:$G,"xlsx")-COUNTIFS($B:$B,$B405,$G:$G,"xlsx",$C:$C,"~~$*")&gt;1,LEFT(C405,LEN($B405))&lt;&gt;$B405),"",IFERROR(IF(B405="FoPITY",INDEX(Customizations!$C$2:$C$19,MATCH(Sheet1!C405,Customizations!$B$2:$B$19,0),1),INDEX(About!C:C,MATCH(Sheet1!B405,About!B:B,0),1)),""))</f>
        <v>ELCCAfR ELCC Adjustment for Reliability.xlsx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5">
      <c r="A406" t="s">
        <v>101</v>
      </c>
      <c r="B406" t="s">
        <v>1911</v>
      </c>
      <c r="C406" t="s">
        <v>1919</v>
      </c>
      <c r="G406" t="str">
        <f t="shared" si="12"/>
        <v>.csv</v>
      </c>
      <c r="H406" s="5" t="str">
        <f>IF(AND(G406=".csv",COUNTIFS($B:$B,$B406,$G:$G,"xlsx")-COUNTIFS($B:$B,$B406,$G:$G,"xlsx",$C:$C,"~~$*")&gt;1,LEFT(C406,LEN($B406))&lt;&gt;$B406),"",IFERROR(IF(B406="FoPITY",INDEX(Customizations!$C$2:$C$19,MATCH(Sheet1!C406,Customizations!$B$2:$B$19,0),1),INDEX(About!C:C,MATCH(Sheet1!B406,About!B:B,0),1)),""))</f>
        <v>ELCCAfR ELCC Adjustment for Reliability.xlsx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5">
      <c r="A407" t="s">
        <v>101</v>
      </c>
      <c r="B407" t="s">
        <v>1911</v>
      </c>
      <c r="C407" t="s">
        <v>1920</v>
      </c>
      <c r="G407" t="str">
        <f t="shared" si="12"/>
        <v>.csv</v>
      </c>
      <c r="H407" s="5" t="str">
        <f>IF(AND(G407=".csv",COUNTIFS($B:$B,$B407,$G:$G,"xlsx")-COUNTIFS($B:$B,$B407,$G:$G,"xlsx",$C:$C,"~~$*")&gt;1,LEFT(C407,LEN($B407))&lt;&gt;$B407),"",IFERROR(IF(B407="FoPITY",INDEX(Customizations!$C$2:$C$19,MATCH(Sheet1!C407,Customizations!$B$2:$B$19,0),1),INDEX(About!C:C,MATCH(Sheet1!B407,About!B:B,0),1)),""))</f>
        <v>ELCCAfR ELCC Adjustment for Reliability.xlsx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5">
      <c r="A408" t="s">
        <v>101</v>
      </c>
      <c r="B408" t="s">
        <v>1911</v>
      </c>
      <c r="C408" t="s">
        <v>1921</v>
      </c>
      <c r="G408" t="str">
        <f t="shared" si="12"/>
        <v>.csv</v>
      </c>
      <c r="H408" s="5" t="str">
        <f>IF(AND(G408=".csv",COUNTIFS($B:$B,$B408,$G:$G,"xlsx")-COUNTIFS($B:$B,$B408,$G:$G,"xlsx",$C:$C,"~~$*")&gt;1,LEFT(C408,LEN($B408))&lt;&gt;$B408),"",IFERROR(IF(B408="FoPITY",INDEX(Customizations!$C$2:$C$19,MATCH(Sheet1!C408,Customizations!$B$2:$B$19,0),1),INDEX(About!C:C,MATCH(Sheet1!B408,About!B:B,0),1)),""))</f>
        <v>ELCCAfR ELCC Adjustment for Reliability.xlsx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5">
      <c r="A409" t="s">
        <v>101</v>
      </c>
      <c r="B409" t="s">
        <v>1911</v>
      </c>
      <c r="C409" t="s">
        <v>1922</v>
      </c>
      <c r="G409" t="str">
        <f t="shared" si="12"/>
        <v>.csv</v>
      </c>
      <c r="H409" s="5" t="str">
        <f>IF(AND(G409=".csv",COUNTIFS($B:$B,$B409,$G:$G,"xlsx")-COUNTIFS($B:$B,$B409,$G:$G,"xlsx",$C:$C,"~~$*")&gt;1,LEFT(C409,LEN($B409))&lt;&gt;$B409),"",IFERROR(IF(B409="FoPITY",INDEX(Customizations!$C$2:$C$19,MATCH(Sheet1!C409,Customizations!$B$2:$B$19,0),1),INDEX(About!C:C,MATCH(Sheet1!B409,About!B:B,0),1)),""))</f>
        <v>ELCCAfR ELCC Adjustment for Reliability.xlsx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5">
      <c r="A410" t="s">
        <v>101</v>
      </c>
      <c r="B410" t="s">
        <v>1911</v>
      </c>
      <c r="C410" t="s">
        <v>1923</v>
      </c>
      <c r="G410" t="str">
        <f t="shared" si="12"/>
        <v>.csv</v>
      </c>
      <c r="H410" s="5" t="str">
        <f>IF(AND(G410=".csv",COUNTIFS($B:$B,$B410,$G:$G,"xlsx")-COUNTIFS($B:$B,$B410,$G:$G,"xlsx",$C:$C,"~~$*")&gt;1,LEFT(C410,LEN($B410))&lt;&gt;$B410),"",IFERROR(IF(B410="FoPITY",INDEX(Customizations!$C$2:$C$19,MATCH(Sheet1!C410,Customizations!$B$2:$B$19,0),1),INDEX(About!C:C,MATCH(Sheet1!B410,About!B:B,0),1)),""))</f>
        <v>ELCCAfR ELCC Adjustment for Reliability.xlsx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5">
      <c r="A411" t="s">
        <v>101</v>
      </c>
      <c r="B411" t="s">
        <v>1911</v>
      </c>
      <c r="C411" t="s">
        <v>1924</v>
      </c>
      <c r="G411" t="str">
        <f t="shared" si="12"/>
        <v>.csv</v>
      </c>
      <c r="H411" s="5" t="str">
        <f>IF(AND(G411=".csv",COUNTIFS($B:$B,$B411,$G:$G,"xlsx")-COUNTIFS($B:$B,$B411,$G:$G,"xlsx",$C:$C,"~~$*")&gt;1,LEFT(C411,LEN($B411))&lt;&gt;$B411),"",IFERROR(IF(B411="FoPITY",INDEX(Customizations!$C$2:$C$19,MATCH(Sheet1!C411,Customizations!$B$2:$B$19,0),1),INDEX(About!C:C,MATCH(Sheet1!B411,About!B:B,0),1)),""))</f>
        <v>ELCCAfR ELCC Adjustment for Reliability.xlsx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5">
      <c r="A412" t="s">
        <v>101</v>
      </c>
      <c r="B412" t="s">
        <v>1911</v>
      </c>
      <c r="C412" t="s">
        <v>1925</v>
      </c>
      <c r="G412" t="str">
        <f t="shared" si="12"/>
        <v>.csv</v>
      </c>
      <c r="H412" s="5" t="str">
        <f>IF(AND(G412=".csv",COUNTIFS($B:$B,$B412,$G:$G,"xlsx")-COUNTIFS($B:$B,$B412,$G:$G,"xlsx",$C:$C,"~~$*")&gt;1,LEFT(C412,LEN($B412))&lt;&gt;$B412),"",IFERROR(IF(B412="FoPITY",INDEX(Customizations!$C$2:$C$19,MATCH(Sheet1!C412,Customizations!$B$2:$B$19,0),1),INDEX(About!C:C,MATCH(Sheet1!B412,About!B:B,0),1)),""))</f>
        <v>ELCCAfR ELCC Adjustment for Reliability.xlsx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5">
      <c r="A413" t="s">
        <v>101</v>
      </c>
      <c r="B413" t="s">
        <v>1911</v>
      </c>
      <c r="C413" t="s">
        <v>1926</v>
      </c>
      <c r="G413" t="str">
        <f t="shared" si="12"/>
        <v>.csv</v>
      </c>
      <c r="H413" s="5" t="str">
        <f>IF(AND(G413=".csv",COUNTIFS($B:$B,$B413,$G:$G,"xlsx")-COUNTIFS($B:$B,$B413,$G:$G,"xlsx",$C:$C,"~~$*")&gt;1,LEFT(C413,LEN($B413))&lt;&gt;$B413),"",IFERROR(IF(B413="FoPITY",INDEX(Customizations!$C$2:$C$19,MATCH(Sheet1!C413,Customizations!$B$2:$B$19,0),1),INDEX(About!C:C,MATCH(Sheet1!B413,About!B:B,0),1)),""))</f>
        <v>ELCCAfR ELCC Adjustment for Reliability.xlsx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5">
      <c r="A414" t="s">
        <v>101</v>
      </c>
      <c r="B414" t="s">
        <v>1911</v>
      </c>
      <c r="C414" t="s">
        <v>1927</v>
      </c>
      <c r="G414" t="str">
        <f t="shared" si="12"/>
        <v>.csv</v>
      </c>
      <c r="H414" s="5" t="str">
        <f>IF(AND(G414=".csv",COUNTIFS($B:$B,$B414,$G:$G,"xlsx")-COUNTIFS($B:$B,$B414,$G:$G,"xlsx",$C:$C,"~~$*")&gt;1,LEFT(C414,LEN($B414))&lt;&gt;$B414),"",IFERROR(IF(B414="FoPITY",INDEX(Customizations!$C$2:$C$19,MATCH(Sheet1!C414,Customizations!$B$2:$B$19,0),1),INDEX(About!C:C,MATCH(Sheet1!B414,About!B:B,0),1)),""))</f>
        <v>ELCCAfR ELCC Adjustment for Reliability.xlsx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5">
      <c r="A415" t="s">
        <v>101</v>
      </c>
      <c r="B415" t="s">
        <v>1911</v>
      </c>
      <c r="C415" t="s">
        <v>1928</v>
      </c>
      <c r="G415" t="str">
        <f t="shared" si="12"/>
        <v>.csv</v>
      </c>
      <c r="H415" s="5" t="str">
        <f>IF(AND(G415=".csv",COUNTIFS($B:$B,$B415,$G:$G,"xlsx")-COUNTIFS($B:$B,$B415,$G:$G,"xlsx",$C:$C,"~~$*")&gt;1,LEFT(C415,LEN($B415))&lt;&gt;$B415),"",IFERROR(IF(B415="FoPITY",INDEX(Customizations!$C$2:$C$19,MATCH(Sheet1!C415,Customizations!$B$2:$B$19,0),1),INDEX(About!C:C,MATCH(Sheet1!B415,About!B:B,0),1)),""))</f>
        <v>ELCCAfR ELCC Adjustment for Reliability.xlsx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5">
      <c r="A416" t="s">
        <v>101</v>
      </c>
      <c r="B416" t="s">
        <v>1911</v>
      </c>
      <c r="C416" t="s">
        <v>1929</v>
      </c>
      <c r="G416" t="str">
        <f t="shared" si="12"/>
        <v>.csv</v>
      </c>
      <c r="H416" s="5" t="str">
        <f>IF(AND(G416=".csv",COUNTIFS($B:$B,$B416,$G:$G,"xlsx")-COUNTIFS($B:$B,$B416,$G:$G,"xlsx",$C:$C,"~~$*")&gt;1,LEFT(C416,LEN($B416))&lt;&gt;$B416),"",IFERROR(IF(B416="FoPITY",INDEX(Customizations!$C$2:$C$19,MATCH(Sheet1!C416,Customizations!$B$2:$B$19,0),1),INDEX(About!C:C,MATCH(Sheet1!B416,About!B:B,0),1)),""))</f>
        <v>ELCCAfR ELCC Adjustment for Reliability.xlsx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5">
      <c r="A417" t="s">
        <v>101</v>
      </c>
      <c r="B417" t="s">
        <v>1911</v>
      </c>
      <c r="C417" t="s">
        <v>1930</v>
      </c>
      <c r="G417" t="str">
        <f t="shared" si="12"/>
        <v>.csv</v>
      </c>
      <c r="H417" s="5" t="str">
        <f>IF(AND(G417=".csv",COUNTIFS($B:$B,$B417,$G:$G,"xlsx")-COUNTIFS($B:$B,$B417,$G:$G,"xlsx",$C:$C,"~~$*")&gt;1,LEFT(C417,LEN($B417))&lt;&gt;$B417),"",IFERROR(IF(B417="FoPITY",INDEX(Customizations!$C$2:$C$19,MATCH(Sheet1!C417,Customizations!$B$2:$B$19,0),1),INDEX(About!C:C,MATCH(Sheet1!B417,About!B:B,0),1)),""))</f>
        <v>ELCCAfR ELCC Adjustment for Reliability.xlsx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5">
      <c r="A418" t="s">
        <v>101</v>
      </c>
      <c r="B418" t="s">
        <v>1911</v>
      </c>
      <c r="C418" t="s">
        <v>1931</v>
      </c>
      <c r="G418" t="str">
        <f t="shared" si="12"/>
        <v>.csv</v>
      </c>
      <c r="H418" s="5" t="str">
        <f>IF(AND(G418=".csv",COUNTIFS($B:$B,$B418,$G:$G,"xlsx")-COUNTIFS($B:$B,$B418,$G:$G,"xlsx",$C:$C,"~~$*")&gt;1,LEFT(C418,LEN($B418))&lt;&gt;$B418),"",IFERROR(IF(B418="FoPITY",INDEX(Customizations!$C$2:$C$19,MATCH(Sheet1!C418,Customizations!$B$2:$B$19,0),1),INDEX(About!C:C,MATCH(Sheet1!B418,About!B:B,0),1)),""))</f>
        <v>ELCCAfR ELCC Adjustment for Reliability.xlsx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5">
      <c r="A419" t="s">
        <v>101</v>
      </c>
      <c r="B419" t="s">
        <v>1911</v>
      </c>
      <c r="C419" t="s">
        <v>1932</v>
      </c>
      <c r="G419" t="str">
        <f t="shared" si="12"/>
        <v>.csv</v>
      </c>
      <c r="H419" s="5" t="str">
        <f>IF(AND(G419=".csv",COUNTIFS($B:$B,$B419,$G:$G,"xlsx")-COUNTIFS($B:$B,$B419,$G:$G,"xlsx",$C:$C,"~~$*")&gt;1,LEFT(C419,LEN($B419))&lt;&gt;$B419),"",IFERROR(IF(B419="FoPITY",INDEX(Customizations!$C$2:$C$19,MATCH(Sheet1!C419,Customizations!$B$2:$B$19,0),1),INDEX(About!C:C,MATCH(Sheet1!B419,About!B:B,0),1)),""))</f>
        <v>ELCCAfR ELCC Adjustment for Reliability.xlsx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5">
      <c r="A420" t="s">
        <v>101</v>
      </c>
      <c r="B420" t="s">
        <v>1911</v>
      </c>
      <c r="C420" t="s">
        <v>1933</v>
      </c>
      <c r="G420" t="str">
        <f t="shared" si="12"/>
        <v>.csv</v>
      </c>
      <c r="H420" s="5" t="str">
        <f>IF(AND(G420=".csv",COUNTIFS($B:$B,$B420,$G:$G,"xlsx")-COUNTIFS($B:$B,$B420,$G:$G,"xlsx",$C:$C,"~~$*")&gt;1,LEFT(C420,LEN($B420))&lt;&gt;$B420),"",IFERROR(IF(B420="FoPITY",INDEX(Customizations!$C$2:$C$19,MATCH(Sheet1!C420,Customizations!$B$2:$B$19,0),1),INDEX(About!C:C,MATCH(Sheet1!B420,About!B:B,0),1)),""))</f>
        <v>ELCCAfR ELCC Adjustment for Reliability.xlsx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5">
      <c r="A421" t="s">
        <v>101</v>
      </c>
      <c r="B421" t="s">
        <v>1911</v>
      </c>
      <c r="C421" t="s">
        <v>1934</v>
      </c>
      <c r="G421" t="str">
        <f t="shared" si="12"/>
        <v>.csv</v>
      </c>
      <c r="H421" s="5" t="str">
        <f>IF(AND(G421=".csv",COUNTIFS($B:$B,$B421,$G:$G,"xlsx")-COUNTIFS($B:$B,$B421,$G:$G,"xlsx",$C:$C,"~~$*")&gt;1,LEFT(C421,LEN($B421))&lt;&gt;$B421),"",IFERROR(IF(B421="FoPITY",INDEX(Customizations!$C$2:$C$19,MATCH(Sheet1!C421,Customizations!$B$2:$B$19,0),1),INDEX(About!C:C,MATCH(Sheet1!B421,About!B:B,0),1)),""))</f>
        <v>ELCCAfR ELCC Adjustment for Reliability.xlsx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5">
      <c r="A422" t="s">
        <v>101</v>
      </c>
      <c r="B422" t="s">
        <v>1911</v>
      </c>
      <c r="C422" t="s">
        <v>1935</v>
      </c>
      <c r="G422" t="str">
        <f t="shared" si="12"/>
        <v>.csv</v>
      </c>
      <c r="H422" s="5" t="str">
        <f>IF(AND(G422=".csv",COUNTIFS($B:$B,$B422,$G:$G,"xlsx")-COUNTIFS($B:$B,$B422,$G:$G,"xlsx",$C:$C,"~~$*")&gt;1,LEFT(C422,LEN($B422))&lt;&gt;$B422),"",IFERROR(IF(B422="FoPITY",INDEX(Customizations!$C$2:$C$19,MATCH(Sheet1!C422,Customizations!$B$2:$B$19,0),1),INDEX(About!C:C,MATCH(Sheet1!B422,About!B:B,0),1)),""))</f>
        <v>ELCCAfR ELCC Adjustment for Reliability.xlsx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5">
      <c r="A423" t="s">
        <v>101</v>
      </c>
      <c r="B423" t="s">
        <v>1911</v>
      </c>
      <c r="C423" t="s">
        <v>1936</v>
      </c>
      <c r="G423" t="str">
        <f t="shared" si="12"/>
        <v>.csv</v>
      </c>
      <c r="H423" s="5" t="str">
        <f>IF(AND(G423=".csv",COUNTIFS($B:$B,$B423,$G:$G,"xlsx")-COUNTIFS($B:$B,$B423,$G:$G,"xlsx",$C:$C,"~~$*")&gt;1,LEFT(C423,LEN($B423))&lt;&gt;$B423),"",IFERROR(IF(B423="FoPITY",INDEX(Customizations!$C$2:$C$19,MATCH(Sheet1!C423,Customizations!$B$2:$B$19,0),1),INDEX(About!C:C,MATCH(Sheet1!B423,About!B:B,0),1)),""))</f>
        <v>ELCCAfR ELCC Adjustment for Reliability.xlsx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5">
      <c r="A424" t="s">
        <v>101</v>
      </c>
      <c r="B424" t="s">
        <v>1911</v>
      </c>
      <c r="C424" t="s">
        <v>1937</v>
      </c>
      <c r="G424" t="str">
        <f t="shared" si="12"/>
        <v>.csv</v>
      </c>
      <c r="H424" s="5" t="str">
        <f>IF(AND(G424=".csv",COUNTIFS($B:$B,$B424,$G:$G,"xlsx")-COUNTIFS($B:$B,$B424,$G:$G,"xlsx",$C:$C,"~~$*")&gt;1,LEFT(C424,LEN($B424))&lt;&gt;$B424),"",IFERROR(IF(B424="FoPITY",INDEX(Customizations!$C$2:$C$19,MATCH(Sheet1!C424,Customizations!$B$2:$B$19,0),1),INDEX(About!C:C,MATCH(Sheet1!B424,About!B:B,0),1)),""))</f>
        <v>ELCCAfR ELCC Adjustment for Reliability.xlsx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5">
      <c r="A425" t="s">
        <v>101</v>
      </c>
      <c r="B425" t="s">
        <v>1213</v>
      </c>
      <c r="C425" t="s">
        <v>1214</v>
      </c>
      <c r="G425" t="str">
        <f t="shared" si="12"/>
        <v>xlsx</v>
      </c>
      <c r="H425" s="5" t="str">
        <f>IF(AND(G425=".csv",COUNTIFS($B:$B,$B425,$G:$G,"xlsx")-COUNTIFS($B:$B,$B425,$G:$G,"xlsx",$C:$C,"~~$*")&gt;1,LEFT(C425,LEN($B425))&lt;&gt;$B425),"",IFERROR(IF(B425="FoPITY",INDEX(Customizations!$C$2:$C$19,MATCH(Sheet1!C425,Customizations!$B$2:$B$19,0),1),INDEX(About!C:C,MATCH(Sheet1!B425,About!B:B,0),1)),""))</f>
        <v>Elec Storage Tech Round Trip Efficiency.xlsx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5">
      <c r="A426" t="s">
        <v>101</v>
      </c>
      <c r="B426" t="s">
        <v>1213</v>
      </c>
      <c r="C426" t="s">
        <v>1215</v>
      </c>
      <c r="G426" t="str">
        <f t="shared" si="12"/>
        <v>.csv</v>
      </c>
      <c r="H426" s="5" t="str">
        <f>IF(AND(G426=".csv",COUNTIFS($B:$B,$B426,$G:$G,"xlsx")-COUNTIFS($B:$B,$B426,$G:$G,"xlsx",$C:$C,"~~$*")&gt;1,LEFT(C426,LEN($B426))&lt;&gt;$B426),"",IFERROR(IF(B426="FoPITY",INDEX(Customizations!$C$2:$C$19,MATCH(Sheet1!C426,Customizations!$B$2:$B$19,0),1),INDEX(About!C:C,MATCH(Sheet1!B426,About!B:B,0),1)),""))</f>
        <v>Elec Storage Tech Round Trip Efficiency.xlsx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5">
      <c r="A427" t="s">
        <v>101</v>
      </c>
      <c r="B427" t="s">
        <v>1213</v>
      </c>
      <c r="C427" t="s">
        <v>1216</v>
      </c>
      <c r="G427" t="str">
        <f t="shared" si="12"/>
        <v>.csv</v>
      </c>
      <c r="H427" s="5" t="str">
        <f>IF(AND(G427=".csv",COUNTIFS($B:$B,$B427,$G:$G,"xlsx")-COUNTIFS($B:$B,$B427,$G:$G,"xlsx",$C:$C,"~~$*")&gt;1,LEFT(C427,LEN($B427))&lt;&gt;$B427),"",IFERROR(IF(B427="FoPITY",INDEX(Customizations!$C$2:$C$19,MATCH(Sheet1!C427,Customizations!$B$2:$B$19,0),1),INDEX(About!C:C,MATCH(Sheet1!B427,About!B:B,0),1)),""))</f>
        <v>Elec Storage Tech Round Trip Efficiency.xlsx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5">
      <c r="A428" t="s">
        <v>101</v>
      </c>
      <c r="B428" t="s">
        <v>1275</v>
      </c>
      <c r="C428" t="s">
        <v>1276</v>
      </c>
      <c r="G428" t="str">
        <f t="shared" si="12"/>
        <v>xlsx</v>
      </c>
      <c r="H428" s="5" t="str">
        <f>IF(AND(G428=".csv",COUNTIFS($B:$B,$B428,$G:$G,"xlsx")-COUNTIFS($B:$B,$B428,$G:$G,"xlsx",$C:$C,"~~$*")&gt;1,LEFT(C428,LEN($B428))&lt;&gt;$B428),"",IFERROR(IF(B428="FoPITY",INDEX(Customizations!$C$2:$C$19,MATCH(Sheet1!C428,Customizations!$B$2:$B$19,0),1),INDEX(About!C:C,MATCH(Sheet1!B428,About!B:B,0),1)),""))</f>
        <v>Elec Sources Used for Rlbty and Lst Cst Dsptch.xlsx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5">
      <c r="A429" t="s">
        <v>101</v>
      </c>
      <c r="B429" t="s">
        <v>1275</v>
      </c>
      <c r="C429" t="s">
        <v>1277</v>
      </c>
      <c r="G429" t="str">
        <f t="shared" si="12"/>
        <v>.csv</v>
      </c>
      <c r="H429" s="5" t="str">
        <f>IF(AND(G429=".csv",COUNTIFS($B:$B,$B429,$G:$G,"xlsx")-COUNTIFS($B:$B,$B429,$G:$G,"xlsx",$C:$C,"~~$*")&gt;1,LEFT(C429,LEN($B429))&lt;&gt;$B429),"",IFERROR(IF(B429="FoPITY",INDEX(Customizations!$C$2:$C$19,MATCH(Sheet1!C429,Customizations!$B$2:$B$19,0),1),INDEX(About!C:C,MATCH(Sheet1!B429,About!B:B,0),1)),""))</f>
        <v>Elec Sources Used for Rlbty and Lst Cst Dsptch.xlsx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5">
      <c r="A430" t="s">
        <v>101</v>
      </c>
      <c r="B430" t="s">
        <v>1275</v>
      </c>
      <c r="C430" t="s">
        <v>1278</v>
      </c>
      <c r="G430" t="str">
        <f t="shared" si="12"/>
        <v>.csv</v>
      </c>
      <c r="H430" s="5" t="str">
        <f>IF(AND(G430=".csv",COUNTIFS($B:$B,$B430,$G:$G,"xlsx")-COUNTIFS($B:$B,$B430,$G:$G,"xlsx",$C:$C,"~~$*")&gt;1,LEFT(C430,LEN($B430))&lt;&gt;$B430),"",IFERROR(IF(B430="FoPITY",INDEX(Customizations!$C$2:$C$19,MATCH(Sheet1!C430,Customizations!$B$2:$B$19,0),1),INDEX(About!C:C,MATCH(Sheet1!B430,About!B:B,0),1)),""))</f>
        <v>Elec Sources Used for Rlbty and Lst Cst Dsptch.xlsx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5">
      <c r="A431" t="s">
        <v>101</v>
      </c>
      <c r="B431" t="s">
        <v>1760</v>
      </c>
      <c r="C431" t="s">
        <v>1761</v>
      </c>
      <c r="G431" t="str">
        <f t="shared" si="12"/>
        <v>.csv</v>
      </c>
      <c r="H431" s="5" t="str">
        <f>IF(AND(G431=".csv",COUNTIFS($B:$B,$B431,$G:$G,"xlsx")-COUNTIFS($B:$B,$B431,$G:$G,"xlsx",$C:$C,"~~$*")&gt;1,LEFT(C431,LEN($B431))&lt;&gt;$B431),"",IFERROR(IF(B431="FoPITY",INDEX(Customizations!$C$2:$C$19,MATCH(Sheet1!C431,Customizations!$B$2:$B$19,0),1),INDEX(About!C:C,MATCH(Sheet1!B431,About!B:B,0),1)),""))</f>
        <v>Fraction of Grid Batteries Produced Domestically.xlsx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5">
      <c r="A432" t="s">
        <v>101</v>
      </c>
      <c r="B432" t="s">
        <v>1760</v>
      </c>
      <c r="C432" t="s">
        <v>1762</v>
      </c>
      <c r="G432" t="str">
        <f t="shared" si="12"/>
        <v>xlsx</v>
      </c>
      <c r="H432" s="5" t="str">
        <f>IF(AND(G432=".csv",COUNTIFS($B:$B,$B432,$G:$G,"xlsx")-COUNTIFS($B:$B,$B432,$G:$G,"xlsx",$C:$C,"~~$*")&gt;1,LEFT(C432,LEN($B432))&lt;&gt;$B432),"",IFERROR(IF(B432="FoPITY",INDEX(Customizations!$C$2:$C$19,MATCH(Sheet1!C432,Customizations!$B$2:$B$19,0),1),INDEX(About!C:C,MATCH(Sheet1!B432,About!B:B,0),1)),""))</f>
        <v>Fraction of Grid Batteries Produced Domestically.xlsx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5">
      <c r="A433" t="s">
        <v>101</v>
      </c>
      <c r="B433" t="s">
        <v>1279</v>
      </c>
      <c r="C433" t="s">
        <v>1280</v>
      </c>
      <c r="G433" t="str">
        <f t="shared" si="12"/>
        <v>.csv</v>
      </c>
      <c r="H433" s="5" t="str">
        <f>IF(AND(G433=".csv",COUNTIFS($B:$B,$B433,$G:$G,"xlsx")-COUNTIFS($B:$B,$B433,$G:$G,"xlsx",$C:$C,"~~$*")&gt;1,LEFT(C433,LEN($B433))&lt;&gt;$B433),"",IFERROR(IF(B433="FoPITY",INDEX(Customizations!$C$2:$C$19,MATCH(Sheet1!C433,Customizations!$B$2:$B$19,0),1),INDEX(About!C:C,MATCH(Sheet1!B433,About!B:B,0),1)),""))</f>
        <v>Grid Bat Cap Growth per Unit Net Revenue.xlsx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5">
      <c r="A434" t="s">
        <v>101</v>
      </c>
      <c r="B434" t="s">
        <v>1279</v>
      </c>
      <c r="C434" t="s">
        <v>1281</v>
      </c>
      <c r="G434" t="str">
        <f t="shared" si="12"/>
        <v>xlsx</v>
      </c>
      <c r="H434" s="5" t="str">
        <f>IF(AND(G434=".csv",COUNTIFS($B:$B,$B434,$G:$G,"xlsx")-COUNTIFS($B:$B,$B434,$G:$G,"xlsx",$C:$C,"~~$*")&gt;1,LEFT(C434,LEN($B434))&lt;&gt;$B434),"",IFERROR(IF(B434="FoPITY",INDEX(Customizations!$C$2:$C$19,MATCH(Sheet1!C434,Customizations!$B$2:$B$19,0),1),INDEX(About!C:C,MATCH(Sheet1!B434,About!B:B,0),1)),""))</f>
        <v>Grid Bat Cap Growth per Unit Net Revenue.xlsx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5">
      <c r="A435" t="s">
        <v>101</v>
      </c>
      <c r="B435" t="s">
        <v>821</v>
      </c>
      <c r="C435" t="s">
        <v>1052</v>
      </c>
      <c r="G435" t="str">
        <f t="shared" si="12"/>
        <v>.csv</v>
      </c>
      <c r="H435" s="5" t="str">
        <f>IF(AND(G435=".csv",COUNTIFS($B:$B,$B435,$G:$G,"xlsx")-COUNTIFS($B:$B,$B435,$G:$G,"xlsx",$C:$C,"~~$*")&gt;1,LEFT(C435,LEN($B435))&lt;&gt;$B435),"",IFERROR(IF(B435="FoPITY",INDEX(Customizations!$C$2:$C$19,MATCH(Sheet1!C435,Customizations!$B$2:$B$19,0),1),INDEX(About!C:C,MATCH(Sheet1!B435,About!B:B,0),1)),""))</f>
        <v>Grid Battery Storage Capacities.xlsx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5">
      <c r="A436" t="s">
        <v>101</v>
      </c>
      <c r="B436" t="s">
        <v>821</v>
      </c>
      <c r="C436" t="s">
        <v>822</v>
      </c>
      <c r="G436" t="str">
        <f t="shared" si="12"/>
        <v>xlsx</v>
      </c>
      <c r="H436" s="5" t="str">
        <f>IF(AND(G436=".csv",COUNTIFS($B:$B,$B436,$G:$G,"xlsx")-COUNTIFS($B:$B,$B436,$G:$G,"xlsx",$C:$C,"~~$*")&gt;1,LEFT(C436,LEN($B436))&lt;&gt;$B436),"",IFERROR(IF(B436="FoPITY",INDEX(Customizations!$C$2:$C$19,MATCH(Sheet1!C436,Customizations!$B$2:$B$19,0),1),INDEX(About!C:C,MATCH(Sheet1!B436,About!B:B,0),1)),""))</f>
        <v>Grid Battery Storage Capacities.xlsx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5">
      <c r="A437" t="s">
        <v>101</v>
      </c>
      <c r="B437" t="s">
        <v>821</v>
      </c>
      <c r="C437" t="s">
        <v>694</v>
      </c>
      <c r="G437" t="str">
        <f t="shared" ref="G437" si="14">RIGHT(C437,"4")</f>
        <v>.csv</v>
      </c>
      <c r="H437" s="5" t="str">
        <f>IF(AND(G437=".csv",COUNTIFS($B:$B,$B437,$G:$G,"xlsx")-COUNTIFS($B:$B,$B437,$G:$G,"xlsx",$C:$C,"~~$*")&gt;1,LEFT(C437,LEN($B437))&lt;&gt;$B437),"",IFERROR(IF(B437="FoPITY",INDEX(Customizations!$C$2:$C$19,MATCH(Sheet1!C437,Customizations!$B$2:$B$19,0),1),INDEX(About!C:C,MATCH(Sheet1!B437,About!B:B,0),1)),""))</f>
        <v>Grid Battery Storage Capacities.xlsx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5">
      <c r="A438" t="s">
        <v>101</v>
      </c>
      <c r="B438" t="s">
        <v>140</v>
      </c>
      <c r="C438" t="s">
        <v>141</v>
      </c>
      <c r="G438" t="str">
        <f t="shared" si="12"/>
        <v>.csv</v>
      </c>
      <c r="H438" s="5" t="str">
        <f>IF(AND(G438=".csv",COUNTIFS($B:$B,$B438,$G:$G,"xlsx")-COUNTIFS($B:$B,$B438,$G:$G,"xlsx",$C:$C,"~~$*")&gt;1,LEFT(C438,LEN($B438))&lt;&gt;$B438),"",IFERROR(IF(B438="FoPITY",INDEX(Customizations!$C$2:$C$19,MATCH(Sheet1!C438,Customizations!$B$2:$B$19,0),1),INDEX(About!C:C,MATCH(Sheet1!B438,About!B:B,0),1)),""))</f>
        <v>Guaranteed Dispatch Perc by Elec Source.xlsx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5">
      <c r="A439" t="s">
        <v>101</v>
      </c>
      <c r="B439" t="s">
        <v>140</v>
      </c>
      <c r="C439" t="s">
        <v>142</v>
      </c>
      <c r="G439" t="str">
        <f t="shared" si="12"/>
        <v>xlsx</v>
      </c>
      <c r="H439" s="5" t="str">
        <f>IF(AND(G439=".csv",COUNTIFS($B:$B,$B439,$G:$G,"xlsx")-COUNTIFS($B:$B,$B439,$G:$G,"xlsx",$C:$C,"~~$*")&gt;1,LEFT(C439,LEN($B439))&lt;&gt;$B439),"",IFERROR(IF(B439="FoPITY",INDEX(Customizations!$C$2:$C$19,MATCH(Sheet1!C439,Customizations!$B$2:$B$19,0),1),INDEX(About!C:C,MATCH(Sheet1!B439,About!B:B,0),1)),""))</f>
        <v>Guaranteed Dispatch Perc by Elec Source.xlsx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5">
      <c r="A440" t="s">
        <v>101</v>
      </c>
      <c r="B440" t="s">
        <v>1475</v>
      </c>
      <c r="C440" t="s">
        <v>1476</v>
      </c>
      <c r="G440" t="str">
        <f t="shared" si="12"/>
        <v>.csv</v>
      </c>
      <c r="H440" s="5" t="str">
        <f>IF(AND(G440=".csv",COUNTIFS($B:$B,$B440,$G:$G,"xlsx")-COUNTIFS($B:$B,$B440,$G:$G,"xlsx",$C:$C,"~~$*")&gt;1,LEFT(C440,LEN($B440))&lt;&gt;$B440),"",IFERROR(IF(B440="FoPITY",INDEX(Customizations!$C$2:$C$19,MATCH(Sheet1!C440,Customizations!$B$2:$B$19,0),1),INDEX(About!C:C,MATCH(Sheet1!B440,About!B:B,0),1)),""))</f>
        <v>Green Hydrogen Electricity Supply Logit Exponent.xlsx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5">
      <c r="A441" t="s">
        <v>101</v>
      </c>
      <c r="B441" t="s">
        <v>1475</v>
      </c>
      <c r="C441" t="s">
        <v>1477</v>
      </c>
      <c r="G441" t="str">
        <f t="shared" si="12"/>
        <v>xlsx</v>
      </c>
      <c r="H441" s="5" t="str">
        <f>IF(AND(G441=".csv",COUNTIFS($B:$B,$B441,$G:$G,"xlsx")-COUNTIFS($B:$B,$B441,$G:$G,"xlsx",$C:$C,"~~$*")&gt;1,LEFT(C441,LEN($B441))&lt;&gt;$B441),"",IFERROR(IF(B441="FoPITY",INDEX(Customizations!$C$2:$C$19,MATCH(Sheet1!C441,Customizations!$B$2:$B$19,0),1),INDEX(About!C:C,MATCH(Sheet1!B441,About!B:B,0),1)),""))</f>
        <v>Green Hydrogen Electricity Supply Logit Exponent.xlsx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5">
      <c r="A442" t="s">
        <v>101</v>
      </c>
      <c r="B442" t="s">
        <v>1478</v>
      </c>
      <c r="C442" t="s">
        <v>1479</v>
      </c>
      <c r="G442" t="str">
        <f t="shared" si="12"/>
        <v>.csv</v>
      </c>
      <c r="H442" s="5" t="str">
        <f>IF(AND(G442=".csv",COUNTIFS($B:$B,$B442,$G:$G,"xlsx")-COUNTIFS($B:$B,$B442,$G:$G,"xlsx",$C:$C,"~~$*")&gt;1,LEFT(C442,LEN($B442))&lt;&gt;$B442),"",IFERROR(IF(B442="FoPITY",INDEX(Customizations!$C$2:$C$19,MATCH(Sheet1!C442,Customizations!$B$2:$B$19,0),1),INDEX(About!C:C,MATCH(Sheet1!B442,About!B:B,0),1)),""))</f>
        <v>Green Hydrogen Electricity Supply Shareweights.xlsx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5">
      <c r="A443" t="s">
        <v>101</v>
      </c>
      <c r="B443" t="s">
        <v>1478</v>
      </c>
      <c r="C443" t="s">
        <v>1480</v>
      </c>
      <c r="G443" t="str">
        <f t="shared" ref="G443:G502" si="15">RIGHT(C443,"4")</f>
        <v>xlsx</v>
      </c>
      <c r="H443" s="5" t="str">
        <f>IF(AND(G443=".csv",COUNTIFS($B:$B,$B443,$G:$G,"xlsx")-COUNTIFS($B:$B,$B443,$G:$G,"xlsx",$C:$C,"~~$*")&gt;1,LEFT(C443,LEN($B443))&lt;&gt;$B443),"",IFERROR(IF(B443="FoPITY",INDEX(Customizations!$C$2:$C$19,MATCH(Sheet1!C443,Customizations!$B$2:$B$19,0),1),INDEX(About!C:C,MATCH(Sheet1!B443,About!B:B,0),1)),""))</f>
        <v>Green Hydrogen Electricity Supply Shareweights.xlsx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5">
      <c r="A444" t="s">
        <v>101</v>
      </c>
      <c r="B444" t="s">
        <v>1938</v>
      </c>
      <c r="C444" t="s">
        <v>1939</v>
      </c>
      <c r="G444" t="str">
        <f t="shared" si="15"/>
        <v>xlsx</v>
      </c>
      <c r="H444" s="5" t="str">
        <f>IF(AND(G444=".csv",COUNTIFS($B:$B,$B444,$G:$G,"xlsx")-COUNTIFS($B:$B,$B444,$G:$G,"xlsx",$C:$C,"~~$*")&gt;1,LEFT(C444,LEN($B444))&lt;&gt;$B444),"",IFERROR(IF(B444="FoPITY",INDEX(Customizations!$C$2:$C$19,MATCH(Sheet1!C444,Customizations!$B$2:$B$19,0),1),INDEX(About!C:C,MATCH(Sheet1!B444,About!B:B,0),1)),""))</f>
        <v>Hard Cap Frac of Total Capacity.xlsx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5">
      <c r="A445" t="s">
        <v>101</v>
      </c>
      <c r="B445" t="s">
        <v>1938</v>
      </c>
      <c r="C445" t="s">
        <v>1940</v>
      </c>
      <c r="G445" t="str">
        <f t="shared" si="15"/>
        <v>.csv</v>
      </c>
      <c r="H445" s="5" t="str">
        <f>IF(AND(G445=".csv",COUNTIFS($B:$B,$B445,$G:$G,"xlsx")-COUNTIFS($B:$B,$B445,$G:$G,"xlsx",$C:$C,"~~$*")&gt;1,LEFT(C445,LEN($B445))&lt;&gt;$B445),"",IFERROR(IF(B445="FoPITY",INDEX(Customizations!$C$2:$C$19,MATCH(Sheet1!C445,Customizations!$B$2:$B$19,0),1),INDEX(About!C:C,MATCH(Sheet1!B445,About!B:B,0),1)),""))</f>
        <v>Hard Cap Frac of Total Capacity.xlsx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5">
      <c r="A446" t="s">
        <v>101</v>
      </c>
      <c r="B446" t="s">
        <v>1282</v>
      </c>
      <c r="C446" t="s">
        <v>1283</v>
      </c>
      <c r="G446" t="str">
        <f t="shared" ref="G446" si="17">RIGHT(C446,"4")</f>
        <v>.csv</v>
      </c>
      <c r="H446" s="5" t="str">
        <f>IF(AND(G446=".csv",COUNTIFS($B:$B,$B446,$G:$G,"xlsx")-COUNTIFS($B:$B,$B446,$G:$G,"xlsx",$C:$C,"~~$*")&gt;1,LEFT(C446,LEN($B446))&lt;&gt;$B446),"",IFERROR(IF(B446="FoPITY",INDEX(Customizations!$C$2:$C$19,MATCH(Sheet1!C446,Customizations!$B$2:$B$19,0),1),INDEX(About!C:C,MATCH(Sheet1!B446,About!B:B,0),1)),""))</f>
        <v>Hybrid Electricity Source Battery Capacity per Unit Electricity Capacity.xlsx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5">
      <c r="A447" t="s">
        <v>101</v>
      </c>
      <c r="B447" t="s">
        <v>1282</v>
      </c>
      <c r="C447" t="s">
        <v>1284</v>
      </c>
      <c r="G447" t="str">
        <f t="shared" si="15"/>
        <v>xlsx</v>
      </c>
      <c r="H447" s="5" t="str">
        <f>IF(AND(G447=".csv",COUNTIFS($B:$B,$B447,$G:$G,"xlsx")-COUNTIFS($B:$B,$B447,$G:$G,"xlsx",$C:$C,"~~$*")&gt;1,LEFT(C447,LEN($B447))&lt;&gt;$B447),"",IFERROR(IF(B447="FoPITY",INDEX(Customizations!$C$2:$C$19,MATCH(Sheet1!C447,Customizations!$B$2:$B$19,0),1),INDEX(About!C:C,MATCH(Sheet1!B447,About!B:B,0),1)),""))</f>
        <v>Hybrid Electricity Source Battery Capacity per Unit Electricity Capacity.xlsx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5">
      <c r="A448" t="s">
        <v>101</v>
      </c>
      <c r="B448" t="s">
        <v>1285</v>
      </c>
      <c r="C448" t="s">
        <v>1286</v>
      </c>
      <c r="G448" t="str">
        <f t="shared" si="15"/>
        <v>xlsx</v>
      </c>
      <c r="H448" s="5" t="str">
        <f>IF(AND(G448=".csv",COUNTIFS($B:$B,$B448,$G:$G,"xlsx")-COUNTIFS($B:$B,$B448,$G:$G,"xlsx",$C:$C,"~~$*")&gt;1,LEFT(C448,LEN($B448))&lt;&gt;$B448),"",IFERROR(IF(B448="FoPITY",INDEX(Customizations!$C$2:$C$19,MATCH(Sheet1!C448,Customizations!$B$2:$B$19,0),1),INDEX(About!C:C,MATCH(Sheet1!B448,About!B:B,0),1)),""))</f>
        <v>HOC Hydro Opportunity Costs.xlsx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5">
      <c r="A449" t="s">
        <v>101</v>
      </c>
      <c r="B449" t="s">
        <v>1285</v>
      </c>
      <c r="C449" t="s">
        <v>1287</v>
      </c>
      <c r="G449" t="str">
        <f t="shared" si="15"/>
        <v>.csv</v>
      </c>
      <c r="H449" s="5" t="str">
        <f>IF(AND(G449=".csv",COUNTIFS($B:$B,$B449,$G:$G,"xlsx")-COUNTIFS($B:$B,$B449,$G:$G,"xlsx",$C:$C,"~~$*")&gt;1,LEFT(C449,LEN($B449))&lt;&gt;$B449),"",IFERROR(IF(B449="FoPITY",INDEX(Customizations!$C$2:$C$19,MATCH(Sheet1!C449,Customizations!$B$2:$B$19,0),1),INDEX(About!C:C,MATCH(Sheet1!B449,About!B:B,0),1)),""))</f>
        <v>HOC Hydro Opportunity Costs.xlsx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5">
      <c r="A450" t="s">
        <v>101</v>
      </c>
      <c r="B450" t="s">
        <v>1053</v>
      </c>
      <c r="C450" t="s">
        <v>1054</v>
      </c>
      <c r="G450" t="str">
        <f t="shared" si="15"/>
        <v>.csv</v>
      </c>
      <c r="H450" s="5" t="str">
        <f>IF(AND(G450=".csv",COUNTIFS($B:$B,$B450,$G:$G,"xlsx")-COUNTIFS($B:$B,$B450,$G:$G,"xlsx",$C:$C,"~~$*")&gt;1,LEFT(C450,LEN($B450))&lt;&gt;$B450),"",IFERROR(IF(B450="FoPITY",INDEX(Customizations!$C$2:$C$19,MATCH(Sheet1!C450,Customizations!$B$2:$B$19,0),1),INDEX(About!C:C,MATCH(Sheet1!B450,About!B:B,0),1)),""))</f>
        <v>Inc in Cap Factors due to Tech Imprv.xlsx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5">
      <c r="A451" t="s">
        <v>101</v>
      </c>
      <c r="B451" t="s">
        <v>1053</v>
      </c>
      <c r="C451" t="s">
        <v>1055</v>
      </c>
      <c r="G451" t="str">
        <f t="shared" si="15"/>
        <v>xlsx</v>
      </c>
      <c r="H451" s="5" t="str">
        <f>IF(AND(G451=".csv",COUNTIFS($B:$B,$B451,$G:$G,"xlsx")-COUNTIFS($B:$B,$B451,$G:$G,"xlsx",$C:$C,"~~$*")&gt;1,LEFT(C451,LEN($B451))&lt;&gt;$B451),"",IFERROR(IF(B451="FoPITY",INDEX(Customizations!$C$2:$C$19,MATCH(Sheet1!C451,Customizations!$B$2:$B$19,0),1),INDEX(About!C:C,MATCH(Sheet1!B451,About!B:B,0),1)),""))</f>
        <v>Inc in Cap Factors due to Tech Imprv.xlsx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5">
      <c r="A452" t="s">
        <v>101</v>
      </c>
      <c r="B452" t="s">
        <v>1056</v>
      </c>
      <c r="C452" t="s">
        <v>1057</v>
      </c>
      <c r="G452" t="str">
        <f t="shared" si="15"/>
        <v>.csv</v>
      </c>
      <c r="H452" s="5" t="str">
        <f>IF(AND(G452=".csv",COUNTIFS($B:$B,$B452,$G:$G,"xlsx")-COUNTIFS($B:$B,$B452,$G:$G,"xlsx",$C:$C,"~~$*")&gt;1,LEFT(C452,LEN($B452))&lt;&gt;$B452),"",IFERROR(IF(B452="FoPITY",INDEX(Customizations!$C$2:$C$19,MATCH(Sheet1!C452,Customizations!$B$2:$B$19,0),1),INDEX(About!C:C,MATCH(Sheet1!B452,About!B:B,0),1)),""))</f>
        <v>Load Factor Hourly Variance Multiplier.xlsx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5">
      <c r="A453" t="s">
        <v>101</v>
      </c>
      <c r="B453" t="s">
        <v>1056</v>
      </c>
      <c r="C453" t="s">
        <v>1058</v>
      </c>
      <c r="G453" t="str">
        <f t="shared" si="15"/>
        <v>xlsx</v>
      </c>
      <c r="H453" s="5" t="str">
        <f>IF(AND(G453=".csv",COUNTIFS($B:$B,$B453,$G:$G,"xlsx")-COUNTIFS($B:$B,$B453,$G:$G,"xlsx",$C:$C,"~~$*")&gt;1,LEFT(C453,LEN($B453))&lt;&gt;$B453),"",IFERROR(IF(B453="FoPITY",INDEX(Customizations!$C$2:$C$19,MATCH(Sheet1!C453,Customizations!$B$2:$B$19,0),1),INDEX(About!C:C,MATCH(Sheet1!B453,About!B:B,0),1)),""))</f>
        <v>Load Factor Hourly Variance Multiplier.xlsx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5">
      <c r="A454" t="s">
        <v>101</v>
      </c>
      <c r="B454" t="s">
        <v>1346</v>
      </c>
      <c r="C454" t="s">
        <v>1347</v>
      </c>
      <c r="G454" t="str">
        <f t="shared" si="15"/>
        <v>.csv</v>
      </c>
      <c r="H454" s="5" t="str">
        <f>IF(AND(G454=".csv",COUNTIFS($B:$B,$B454,$G:$G,"xlsx")-COUNTIFS($B:$B,$B454,$G:$G,"xlsx",$C:$C,"~~$*")&gt;1,LEFT(C454,LEN($B454))&lt;&gt;$B454),"",IFERROR(IF(B454="FoPITY",INDEX(Customizations!$C$2:$C$19,MATCH(Sheet1!C454,Customizations!$B$2:$B$19,0),1),INDEX(About!C:C,MATCH(Sheet1!B454,About!B:B,0),1)),""))</f>
        <v>Max and Min Hourly Elec Imp and Exp.xlsx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5">
      <c r="A455" t="s">
        <v>101</v>
      </c>
      <c r="B455" t="s">
        <v>1346</v>
      </c>
      <c r="C455" t="s">
        <v>1348</v>
      </c>
      <c r="G455" t="str">
        <f t="shared" si="15"/>
        <v>.csv</v>
      </c>
      <c r="H455" s="5" t="str">
        <f>IF(AND(G455=".csv",COUNTIFS($B:$B,$B455,$G:$G,"xlsx")-COUNTIFS($B:$B,$B455,$G:$G,"xlsx",$C:$C,"~~$*")&gt;1,LEFT(C455,LEN($B455))&lt;&gt;$B455),"",IFERROR(IF(B455="FoPITY",INDEX(Customizations!$C$2:$C$19,MATCH(Sheet1!C455,Customizations!$B$2:$B$19,0),1),INDEX(About!C:C,MATCH(Sheet1!B455,About!B:B,0),1)),""))</f>
        <v>Max and Min Hourly Elec Imp and Exp.xlsx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5">
      <c r="A456" t="s">
        <v>101</v>
      </c>
      <c r="B456" t="s">
        <v>1346</v>
      </c>
      <c r="C456" t="s">
        <v>1349</v>
      </c>
      <c r="G456" t="str">
        <f t="shared" si="15"/>
        <v>xlsx</v>
      </c>
      <c r="H456" s="5" t="str">
        <f>IF(AND(G456=".csv",COUNTIFS($B:$B,$B456,$G:$G,"xlsx")-COUNTIFS($B:$B,$B456,$G:$G,"xlsx",$C:$C,"~~$*")&gt;1,LEFT(C456,LEN($B456))&lt;&gt;$B456),"",IFERROR(IF(B456="FoPITY",INDEX(Customizations!$C$2:$C$19,MATCH(Sheet1!C456,Customizations!$B$2:$B$19,0),1),INDEX(About!C:C,MATCH(Sheet1!B456,About!B:B,0),1)),""))</f>
        <v>Max and Min Hourly Elec Imp and Exp.xlsx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5">
      <c r="A457" t="s">
        <v>101</v>
      </c>
      <c r="B457" t="s">
        <v>1059</v>
      </c>
      <c r="C457" t="s">
        <v>1060</v>
      </c>
      <c r="G457" t="str">
        <f t="shared" si="15"/>
        <v>xlsx</v>
      </c>
      <c r="H457" s="5" t="str">
        <f>IF(AND(G457=".csv",COUNTIFS($B:$B,$B457,$G:$G,"xlsx")-COUNTIFS($B:$B,$B457,$G:$G,"xlsx",$C:$C,"~~$*")&gt;1,LEFT(C457,LEN($B457))&lt;&gt;$B457),"",IFERROR(IF(B457="FoPITY",INDEX(Customizations!$C$2:$C$19,MATCH(Sheet1!C457,Customizations!$B$2:$B$19,0),1),INDEX(About!C:C,MATCH(Sheet1!B457,About!B:B,0),1)),""))</f>
        <v>Maximum Capacity Factor.xlsx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5">
      <c r="A458" t="s">
        <v>101</v>
      </c>
      <c r="B458" t="s">
        <v>1059</v>
      </c>
      <c r="C458" t="s">
        <v>1061</v>
      </c>
      <c r="G458" t="str">
        <f t="shared" si="15"/>
        <v>.csv</v>
      </c>
      <c r="H458" s="5" t="str">
        <f>IF(AND(G458=".csv",COUNTIFS($B:$B,$B458,$G:$G,"xlsx")-COUNTIFS($B:$B,$B458,$G:$G,"xlsx",$C:$C,"~~$*")&gt;1,LEFT(C458,LEN($B458))&lt;&gt;$B458),"",IFERROR(IF(B458="FoPITY",INDEX(Customizations!$C$2:$C$19,MATCH(Sheet1!C458,Customizations!$B$2:$B$19,0),1),INDEX(About!C:C,MATCH(Sheet1!B458,About!B:B,0),1)),""))</f>
        <v>Maximum Capacity Factor.xlsx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5">
      <c r="A459" t="s">
        <v>101</v>
      </c>
      <c r="B459" t="s">
        <v>1062</v>
      </c>
      <c r="C459" t="s">
        <v>1063</v>
      </c>
      <c r="G459" t="str">
        <f t="shared" si="15"/>
        <v>xlsx</v>
      </c>
      <c r="H459" s="5" t="str">
        <f>IF(AND(G459=".csv",COUNTIFS($B:$B,$B459,$G:$G,"xlsx")-COUNTIFS($B:$B,$B459,$G:$G,"xlsx",$C:$C,"~~$*")&gt;1,LEFT(C459,LEN($B459))&lt;&gt;$B459),"",IFERROR(IF(B459="FoPITY",INDEX(Customizations!$C$2:$C$19,MATCH(Sheet1!C459,Customizations!$B$2:$B$19,0),1),INDEX(About!C:C,MATCH(Sheet1!B459,About!B:B,0),1)),""))</f>
        <v>Min Life for Pwr Plnt Rtmnts.xlsx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5">
      <c r="A460" t="s">
        <v>101</v>
      </c>
      <c r="B460" t="s">
        <v>1062</v>
      </c>
      <c r="C460" t="s">
        <v>1064</v>
      </c>
      <c r="G460" t="str">
        <f t="shared" si="15"/>
        <v>.csv</v>
      </c>
      <c r="H460" s="5" t="str">
        <f>IF(AND(G460=".csv",COUNTIFS($B:$B,$B460,$G:$G,"xlsx")-COUNTIFS($B:$B,$B460,$G:$G,"xlsx",$C:$C,"~~$*")&gt;1,LEFT(C460,LEN($B460))&lt;&gt;$B460),"",IFERROR(IF(B460="FoPITY",INDEX(Customizations!$C$2:$C$19,MATCH(Sheet1!C460,Customizations!$B$2:$B$19,0),1),INDEX(About!C:C,MATCH(Sheet1!B460,About!B:B,0),1)),""))</f>
        <v>Min Life for Pwr Plnt Rtmnts.xlsx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5">
      <c r="A461" t="s">
        <v>101</v>
      </c>
      <c r="B461" t="s">
        <v>143</v>
      </c>
      <c r="C461" t="s">
        <v>144</v>
      </c>
      <c r="G461" t="str">
        <f t="shared" si="15"/>
        <v>xlsx</v>
      </c>
      <c r="H461" s="5" t="str">
        <f>IF(AND(G461=".csv",COUNTIFS($B:$B,$B461,$G:$G,"xlsx")-COUNTIFS($B:$B,$B461,$G:$G,"xlsx",$C:$C,"~~$*")&gt;1,LEFT(C461,LEN($B461))&lt;&gt;$B461),"",IFERROR(IF(B461="FoPITY",INDEX(Customizations!$C$2:$C$19,MATCH(Sheet1!C461,Customizations!$B$2:$B$19,0),1),INDEX(About!C:C,MATCH(Sheet1!B461,About!B:B,0),1)),""))</f>
        <v>Max Potential Capacity by Source.xlsx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5">
      <c r="A462" t="s">
        <v>101</v>
      </c>
      <c r="B462" t="s">
        <v>143</v>
      </c>
      <c r="C462" t="s">
        <v>145</v>
      </c>
      <c r="G462" t="str">
        <f t="shared" si="15"/>
        <v>.csv</v>
      </c>
      <c r="H462" s="5" t="str">
        <f>IF(AND(G462=".csv",COUNTIFS($B:$B,$B462,$G:$G,"xlsx")-COUNTIFS($B:$B,$B462,$G:$G,"xlsx",$C:$C,"~~$*")&gt;1,LEFT(C462,LEN($B462))&lt;&gt;$B462),"",IFERROR(IF(B462="FoPITY",INDEX(Customizations!$C$2:$C$19,MATCH(Sheet1!C462,Customizations!$B$2:$B$19,0),1),INDEX(About!C:C,MATCH(Sheet1!B462,About!B:B,0),1)),""))</f>
        <v>Max Potential Capacity by Source.xlsx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5">
      <c r="A463" t="s">
        <v>101</v>
      </c>
      <c r="B463" t="s">
        <v>146</v>
      </c>
      <c r="C463" t="s">
        <v>147</v>
      </c>
      <c r="G463" t="str">
        <f t="shared" si="15"/>
        <v>xlsx</v>
      </c>
      <c r="H463" s="5" t="str">
        <f>IF(AND(G463=".csv",COUNTIFS($B:$B,$B463,$G:$G,"xlsx")-COUNTIFS($B:$B,$B463,$G:$G,"xlsx",$C:$C,"~~$*")&gt;1,LEFT(C463,LEN($B463))&lt;&gt;$B463),"",IFERROR(IF(B463="FoPITY",INDEX(Customizations!$C$2:$C$19,MATCH(Sheet1!C463,Customizations!$B$2:$B$19,0),1),INDEX(About!C:C,MATCH(Sheet1!B463,About!B:B,0),1)),""))</f>
        <v>Minimum Power Plant Capacity.xlsx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5">
      <c r="A464" t="s">
        <v>101</v>
      </c>
      <c r="B464" t="s">
        <v>146</v>
      </c>
      <c r="C464" t="s">
        <v>148</v>
      </c>
      <c r="G464" t="str">
        <f t="shared" si="15"/>
        <v>.csv</v>
      </c>
      <c r="H464" s="5" t="str">
        <f>IF(AND(G464=".csv",COUNTIFS($B:$B,$B464,$G:$G,"xlsx")-COUNTIFS($B:$B,$B464,$G:$G,"xlsx",$C:$C,"~~$*")&gt;1,LEFT(C464,LEN($B464))&lt;&gt;$B464),"",IFERROR(IF(B464="FoPITY",INDEX(Customizations!$C$2:$C$19,MATCH(Sheet1!C464,Customizations!$B$2:$B$19,0),1),INDEX(About!C:C,MATCH(Sheet1!B464,About!B:B,0),1)),""))</f>
        <v>Minimum Power Plant Capacity.xlsx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5">
      <c r="A465" t="s">
        <v>101</v>
      </c>
      <c r="B465" t="s">
        <v>1763</v>
      </c>
      <c r="C465" t="s">
        <v>1764</v>
      </c>
      <c r="G465" t="str">
        <f t="shared" si="15"/>
        <v>xlsx</v>
      </c>
      <c r="H465" s="5" t="str">
        <f>IF(AND(G465=".csv",COUNTIFS($B:$B,$B465,$G:$G,"xlsx")-COUNTIFS($B:$B,$B465,$G:$G,"xlsx",$C:$C,"~~$*")&gt;1,LEFT(C465,LEN($B465))&lt;&gt;$B465),"",IFERROR(IF(B465="FoPITY",INDEX(Customizations!$C$2:$C$19,MATCH(Sheet1!C465,Customizations!$B$2:$B$19,0),1),INDEX(About!C:C,MATCH(Sheet1!B465,About!B:B,0),1)),""))</f>
        <v>Normalized Std Dev of Dispatch Costs.xlsx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5">
      <c r="A466" t="s">
        <v>101</v>
      </c>
      <c r="B466" t="s">
        <v>1763</v>
      </c>
      <c r="C466" t="s">
        <v>1765</v>
      </c>
      <c r="G466" t="str">
        <f t="shared" si="15"/>
        <v>.csv</v>
      </c>
      <c r="H466" s="5" t="str">
        <f>IF(AND(G466=".csv",COUNTIFS($B:$B,$B466,$G:$G,"xlsx")-COUNTIFS($B:$B,$B466,$G:$G,"xlsx",$C:$C,"~~$*")&gt;1,LEFT(C466,LEN($B466))&lt;&gt;$B466),"",IFERROR(IF(B466="FoPITY",INDEX(Customizations!$C$2:$C$19,MATCH(Sheet1!C466,Customizations!$B$2:$B$19,0),1),INDEX(About!C:C,MATCH(Sheet1!B466,About!B:B,0),1)),""))</f>
        <v>Normalized Std Dev of Dispatch Costs.xlsx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5">
      <c r="A467" t="s">
        <v>101</v>
      </c>
      <c r="B467" t="s">
        <v>149</v>
      </c>
      <c r="C467" t="s">
        <v>150</v>
      </c>
      <c r="G467" t="str">
        <f t="shared" si="15"/>
        <v>.csv</v>
      </c>
      <c r="H467" s="5" t="str">
        <f>IF(AND(G467=".csv",COUNTIFS($B:$B,$B467,$G:$G,"xlsx")-COUNTIFS($B:$B,$B467,$G:$G,"xlsx",$C:$C,"~~$*")&gt;1,LEFT(C467,LEN($B467))&lt;&gt;$B467),"",IFERROR(IF(B467="FoPITY",INDEX(Customizations!$C$2:$C$19,MATCH(Sheet1!C467,Customizations!$B$2:$B$19,0),1),INDEX(About!C:C,MATCH(Sheet1!B467,About!B:B,0),1)),""))</f>
        <v>Pol Mandated Cap Const Sched.xlsx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5">
      <c r="A468" t="s">
        <v>101</v>
      </c>
      <c r="B468" t="s">
        <v>149</v>
      </c>
      <c r="C468" t="s">
        <v>151</v>
      </c>
      <c r="G468" t="str">
        <f t="shared" si="15"/>
        <v>xlsx</v>
      </c>
      <c r="H468" s="5" t="str">
        <f>IF(AND(G468=".csv",COUNTIFS($B:$B,$B468,$G:$G,"xlsx")-COUNTIFS($B:$B,$B468,$G:$G,"xlsx",$C:$C,"~~$*")&gt;1,LEFT(C468,LEN($B468))&lt;&gt;$B468),"",IFERROR(IF(B468="FoPITY",INDEX(Customizations!$C$2:$C$19,MATCH(Sheet1!C468,Customizations!$B$2:$B$19,0),1),INDEX(About!C:C,MATCH(Sheet1!B468,About!B:B,0),1)),""))</f>
        <v>Pol Mandated Cap Const Sched.xlsx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5">
      <c r="A469" t="s">
        <v>101</v>
      </c>
      <c r="B469" t="s">
        <v>1350</v>
      </c>
      <c r="C469" t="s">
        <v>1351</v>
      </c>
      <c r="G469" t="str">
        <f t="shared" si="15"/>
        <v>.csv</v>
      </c>
      <c r="H469" s="5" t="str">
        <f>IF(AND(G469=".csv",COUNTIFS($B:$B,$B469,$G:$G,"xlsx")-COUNTIFS($B:$B,$B469,$G:$G,"xlsx",$C:$C,"~~$*")&gt;1,LEFT(C469,LEN($B469))&lt;&gt;$B469),"",IFERROR(IF(B469="FoPITY",INDEX(Customizations!$C$2:$C$19,MATCH(Sheet1!C469,Customizations!$B$2:$B$19,0),1),INDEX(About!C:C,MATCH(Sheet1!B469,About!B:B,0),1)),""))</f>
        <v>Pol Mandated Cap Retro Sched.xlsx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5">
      <c r="A470" t="s">
        <v>101</v>
      </c>
      <c r="B470" t="s">
        <v>1350</v>
      </c>
      <c r="C470" t="s">
        <v>1352</v>
      </c>
      <c r="G470" t="str">
        <f t="shared" si="15"/>
        <v>xlsx</v>
      </c>
      <c r="H470" s="5" t="str">
        <f>IF(AND(G470=".csv",COUNTIFS($B:$B,$B470,$G:$G,"xlsx")-COUNTIFS($B:$B,$B470,$G:$G,"xlsx",$C:$C,"~~$*")&gt;1,LEFT(C470,LEN($B470))&lt;&gt;$B470),"",IFERROR(IF(B470="FoPITY",INDEX(Customizations!$C$2:$C$19,MATCH(Sheet1!C470,Customizations!$B$2:$B$19,0),1),INDEX(About!C:C,MATCH(Sheet1!B470,About!B:B,0),1)),""))</f>
        <v>Pol Mandated Cap Retro Sched.xlsx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5">
      <c r="A471" t="s">
        <v>101</v>
      </c>
      <c r="B471" t="s">
        <v>1941</v>
      </c>
      <c r="C471" t="s">
        <v>1942</v>
      </c>
      <c r="G471" t="str">
        <f t="shared" si="15"/>
        <v>.csv</v>
      </c>
      <c r="H471" s="5" t="str">
        <f>IF(AND(G471=".csv",COUNTIFS($B:$B,$B471,$G:$G,"xlsx")-COUNTIFS($B:$B,$B471,$G:$G,"xlsx",$C:$C,"~~$*")&gt;1,LEFT(C471,LEN($B471))&lt;&gt;$B471),"",IFERROR(IF(B471="FoPITY",INDEX(Customizations!$C$2:$C$19,MATCH(Sheet1!C471,Customizations!$B$2:$B$19,0),1),INDEX(About!C:C,MATCH(Sheet1!B471,About!B:B,0),1)),""))</f>
        <v>Policy Mandated Grid Battery Storage Additions.xlsx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5">
      <c r="A472" t="s">
        <v>101</v>
      </c>
      <c r="B472" t="s">
        <v>1941</v>
      </c>
      <c r="C472" t="s">
        <v>1943</v>
      </c>
      <c r="G472" t="str">
        <f t="shared" si="15"/>
        <v>xlsx</v>
      </c>
      <c r="H472" s="5" t="str">
        <f>IF(AND(G472=".csv",COUNTIFS($B:$B,$B472,$G:$G,"xlsx")-COUNTIFS($B:$B,$B472,$G:$G,"xlsx",$C:$C,"~~$*")&gt;1,LEFT(C472,LEN($B472))&lt;&gt;$B472),"",IFERROR(IF(B472="FoPITY",INDEX(Customizations!$C$2:$C$19,MATCH(Sheet1!C472,Customizations!$B$2:$B$19,0),1),INDEX(About!C:C,MATCH(Sheet1!B472,About!B:B,0),1)),""))</f>
        <v>Policy Mandated Grid Battery Storage Additions.xlsx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5">
      <c r="A473" t="s">
        <v>101</v>
      </c>
      <c r="B473" t="s">
        <v>1259</v>
      </c>
      <c r="C473" t="s">
        <v>1481</v>
      </c>
      <c r="G473" t="str">
        <f t="shared" si="15"/>
        <v>.csv</v>
      </c>
      <c r="H473" s="5" t="str">
        <f>IF(AND(G473=".csv",COUNTIFS($B:$B,$B473,$G:$G,"xlsx")-COUNTIFS($B:$B,$B473,$G:$G,"xlsx",$C:$C,"~~$*")&gt;1,LEFT(C473,LEN($B473))&lt;&gt;$B473),"",IFERROR(IF(B473="FoPITY",INDEX(Customizations!$C$2:$C$19,MATCH(Sheet1!C473,Customizations!$B$2:$B$19,0),1),INDEX(About!C:C,MATCH(Sheet1!B473,About!B:B,0),1)),""))</f>
        <v>RPS Alternative Compliance Payment.xlsx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5">
      <c r="A474" t="s">
        <v>101</v>
      </c>
      <c r="B474" t="s">
        <v>1259</v>
      </c>
      <c r="C474" t="s">
        <v>1482</v>
      </c>
      <c r="G474" t="str">
        <f t="shared" si="15"/>
        <v>.csv</v>
      </c>
      <c r="H474" s="5" t="str">
        <f>IF(AND(G474=".csv",COUNTIFS($B:$B,$B474,$G:$G,"xlsx")-COUNTIFS($B:$B,$B474,$G:$G,"xlsx",$C:$C,"~~$*")&gt;1,LEFT(C474,LEN($B474))&lt;&gt;$B474),"",IFERROR(IF(B474="FoPITY",INDEX(Customizations!$C$2:$C$19,MATCH(Sheet1!C474,Customizations!$B$2:$B$19,0),1),INDEX(About!C:C,MATCH(Sheet1!B474,About!B:B,0),1)),""))</f>
        <v>RPS Alternative Compliance Payment.xlsx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5">
      <c r="A475" t="s">
        <v>101</v>
      </c>
      <c r="B475" t="s">
        <v>1259</v>
      </c>
      <c r="C475" t="s">
        <v>1260</v>
      </c>
      <c r="G475" t="str">
        <f t="shared" si="15"/>
        <v>xlsx</v>
      </c>
      <c r="H475" s="5" t="str">
        <f>IF(AND(G475=".csv",COUNTIFS($B:$B,$B475,$G:$G,"xlsx")-COUNTIFS($B:$B,$B475,$G:$G,"xlsx",$C:$C,"~~$*")&gt;1,LEFT(C475,LEN($B475))&lt;&gt;$B475),"",IFERROR(IF(B475="FoPITY",INDEX(Customizations!$C$2:$C$19,MATCH(Sheet1!C475,Customizations!$B$2:$B$19,0),1),INDEX(About!C:C,MATCH(Sheet1!B475,About!B:B,0),1)),""))</f>
        <v>RPS Alternative Compliance Payment.xlsx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5">
      <c r="A476" t="s">
        <v>101</v>
      </c>
      <c r="B476" t="s">
        <v>1217</v>
      </c>
      <c r="C476" t="s">
        <v>1218</v>
      </c>
      <c r="G476" t="str">
        <f t="shared" si="15"/>
        <v>.csv</v>
      </c>
      <c r="H476" s="5" t="str">
        <f>IF(AND(G476=".csv",COUNTIFS($B:$B,$B476,$G:$G,"xlsx")-COUNTIFS($B:$B,$B476,$G:$G,"xlsx",$C:$C,"~~$*")&gt;1,LEFT(C476,LEN($B476))&lt;&gt;$B476),"",IFERROR(IF(B476="FoPITY",INDEX(Customizations!$C$2:$C$19,MATCH(Sheet1!C476,Customizations!$B$2:$B$19,0),1),INDEX(About!C:C,MATCH(Sheet1!B476,About!B:B,0),1)),""))</f>
        <v>Regional Availability Factor.xlsx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5">
      <c r="A477" t="s">
        <v>101</v>
      </c>
      <c r="B477" t="s">
        <v>1217</v>
      </c>
      <c r="C477" t="s">
        <v>1219</v>
      </c>
      <c r="G477" t="str">
        <f t="shared" si="15"/>
        <v>.csv</v>
      </c>
      <c r="H477" s="5" t="str">
        <f>IF(AND(G477=".csv",COUNTIFS($B:$B,$B477,$G:$G,"xlsx")-COUNTIFS($B:$B,$B477,$G:$G,"xlsx",$C:$C,"~~$*")&gt;1,LEFT(C477,LEN($B477))&lt;&gt;$B477),"",IFERROR(IF(B477="FoPITY",INDEX(Customizations!$C$2:$C$19,MATCH(Sheet1!C477,Customizations!$B$2:$B$19,0),1),INDEX(About!C:C,MATCH(Sheet1!B477,About!B:B,0),1)),""))</f>
        <v>Regional Availability Factor.xlsx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5">
      <c r="A478" t="s">
        <v>101</v>
      </c>
      <c r="B478" t="s">
        <v>1217</v>
      </c>
      <c r="C478" t="s">
        <v>1220</v>
      </c>
      <c r="G478" t="str">
        <f t="shared" si="15"/>
        <v>xlsx</v>
      </c>
      <c r="H478" s="5" t="str">
        <f>IF(AND(G478=".csv",COUNTIFS($B:$B,$B478,$G:$G,"xlsx")-COUNTIFS($B:$B,$B478,$G:$G,"xlsx",$C:$C,"~~$*")&gt;1,LEFT(C478,LEN($B478))&lt;&gt;$B478),"",IFERROR(IF(B478="FoPITY",INDEX(Customizations!$C$2:$C$19,MATCH(Sheet1!C478,Customizations!$B$2:$B$19,0),1),INDEX(About!C:C,MATCH(Sheet1!B478,About!B:B,0),1)),""))</f>
        <v>Regional Availability Factor.xlsx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5">
      <c r="A479" t="s">
        <v>101</v>
      </c>
      <c r="B479" t="s">
        <v>152</v>
      </c>
      <c r="C479" t="s">
        <v>153</v>
      </c>
      <c r="G479" t="str">
        <f t="shared" si="15"/>
        <v>xlsx</v>
      </c>
      <c r="H479" s="5" t="str">
        <f>IF(AND(G479=".csv",COUNTIFS($B:$B,$B479,$G:$G,"xlsx")-COUNTIFS($B:$B,$B479,$G:$G,"xlsx",$C:$C,"~~$*")&gt;1,LEFT(C479,LEN($B479))&lt;&gt;$B479),"",IFERROR(IF(B479="FoPITY",INDEX(Customizations!$C$2:$C$19,MATCH(Sheet1!C479,Customizations!$B$2:$B$19,0),1),INDEX(About!C:C,MATCH(Sheet1!B479,About!B:B,0),1)),""))</f>
        <v>Reserve Margin.xlsx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5">
      <c r="A480" t="s">
        <v>101</v>
      </c>
      <c r="B480" t="s">
        <v>152</v>
      </c>
      <c r="C480" t="s">
        <v>154</v>
      </c>
      <c r="G480" t="str">
        <f t="shared" si="15"/>
        <v>.csv</v>
      </c>
      <c r="H480" s="5" t="str">
        <f>IF(AND(G480=".csv",COUNTIFS($B:$B,$B480,$G:$G,"xlsx")-COUNTIFS($B:$B,$B480,$G:$G,"xlsx",$C:$C,"~~$*")&gt;1,LEFT(C480,LEN($B480))&lt;&gt;$B480),"",IFERROR(IF(B480="FoPITY",INDEX(Customizations!$C$2:$C$19,MATCH(Sheet1!C480,Customizations!$B$2:$B$19,0),1),INDEX(About!C:C,MATCH(Sheet1!B480,About!B:B,0),1)),""))</f>
        <v>Reserve Margin.xlsx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5">
      <c r="A481" t="s">
        <v>101</v>
      </c>
      <c r="B481" t="s">
        <v>977</v>
      </c>
      <c r="C481" t="s">
        <v>978</v>
      </c>
      <c r="G481" t="str">
        <f t="shared" si="15"/>
        <v>xlsx</v>
      </c>
      <c r="H481" s="5" t="str">
        <f>IF(AND(G481=".csv",COUNTIFS($B:$B,$B481,$G:$G,"xlsx")-COUNTIFS($B:$B,$B481,$G:$G,"xlsx",$C:$C,"~~$*")&gt;1,LEFT(C481,LEN($B481))&lt;&gt;$B481),"",IFERROR(IF(B481="FoPITY",INDEX(Customizations!$C$2:$C$19,MATCH(Sheet1!C481,Customizations!$B$2:$B$19,0),1),INDEX(About!C:C,MATCH(Sheet1!B481,About!B:B,0),1)),""))</f>
        <v>RPfFESCC Repayment Period for Financed Elec Sector Capital Costs.xlsx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5">
      <c r="A482" t="s">
        <v>101</v>
      </c>
      <c r="B482" t="s">
        <v>977</v>
      </c>
      <c r="C482" t="s">
        <v>979</v>
      </c>
      <c r="G482" t="str">
        <f t="shared" si="15"/>
        <v>.csv</v>
      </c>
      <c r="H482" s="5" t="str">
        <f>IF(AND(G482=".csv",COUNTIFS($B:$B,$B482,$G:$G,"xlsx")-COUNTIFS($B:$B,$B482,$G:$G,"xlsx",$C:$C,"~~$*")&gt;1,LEFT(C482,LEN($B482))&lt;&gt;$B482),"",IFERROR(IF(B482="FoPITY",INDEX(Customizations!$C$2:$C$19,MATCH(Sheet1!C482,Customizations!$B$2:$B$19,0),1),INDEX(About!C:C,MATCH(Sheet1!B482,About!B:B,0),1)),""))</f>
        <v>RPfFESCC Repayment Period for Financed Elec Sector Capital Costs.xlsx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5">
      <c r="A483" t="s">
        <v>101</v>
      </c>
      <c r="B483" t="s">
        <v>155</v>
      </c>
      <c r="C483" t="s">
        <v>156</v>
      </c>
      <c r="G483" t="str">
        <f t="shared" si="15"/>
        <v>xlsx</v>
      </c>
      <c r="H483" s="5" t="str">
        <f>IF(AND(G483=".csv",COUNTIFS($B:$B,$B483,$G:$G,"xlsx")-COUNTIFS($B:$B,$B483,$G:$G,"xlsx",$C:$C,"~~$*")&gt;1,LEFT(C483,LEN($B483))&lt;&gt;$B483),"",IFERROR(IF(B483="FoPITY",INDEX(Customizations!$C$2:$C$19,MATCH(Sheet1!C483,Customizations!$B$2:$B$19,0),1),INDEX(About!C:C,MATCH(Sheet1!B483,About!B:B,0),1)),""))</f>
        <v>RPS Qualifying Source Definitions.xlsx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5">
      <c r="A484" t="s">
        <v>101</v>
      </c>
      <c r="B484" t="s">
        <v>155</v>
      </c>
      <c r="C484" t="s">
        <v>1944</v>
      </c>
      <c r="G484" t="str">
        <f t="shared" si="15"/>
        <v>.csv</v>
      </c>
      <c r="H484" s="5" t="str">
        <f>IF(AND(G484=".csv",COUNTIFS($B:$B,$B484,$G:$G,"xlsx")-COUNTIFS($B:$B,$B484,$G:$G,"xlsx",$C:$C,"~~$*")&gt;1,LEFT(C484,LEN($B484))&lt;&gt;$B484),"",IFERROR(IF(B484="FoPITY",INDEX(Customizations!$C$2:$C$19,MATCH(Sheet1!C484,Customizations!$B$2:$B$19,0),1),INDEX(About!C:C,MATCH(Sheet1!B484,About!B:B,0),1)),""))</f>
        <v>RPS Qualifying Source Definitions.xlsx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5">
      <c r="A485" t="s">
        <v>101</v>
      </c>
      <c r="B485" t="s">
        <v>155</v>
      </c>
      <c r="C485" t="s">
        <v>157</v>
      </c>
      <c r="G485" t="str">
        <f t="shared" si="15"/>
        <v>.csv</v>
      </c>
      <c r="H485" s="5" t="str">
        <f>IF(AND(G485=".csv",COUNTIFS($B:$B,$B485,$G:$G,"xlsx")-COUNTIFS($B:$B,$B485,$G:$G,"xlsx",$C:$C,"~~$*")&gt;1,LEFT(C485,LEN($B485))&lt;&gt;$B485),"",IFERROR(IF(B485="FoPITY",INDEX(Customizations!$C$2:$C$19,MATCH(Sheet1!C485,Customizations!$B$2:$B$19,0),1),INDEX(About!C:C,MATCH(Sheet1!B485,About!B:B,0),1)),""))</f>
        <v>RPS Qualifying Source Definitions.xlsx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5">
      <c r="A486" t="s">
        <v>101</v>
      </c>
      <c r="B486" t="s">
        <v>1945</v>
      </c>
      <c r="C486" t="s">
        <v>1946</v>
      </c>
      <c r="G486" t="str">
        <f t="shared" si="15"/>
        <v>.csv</v>
      </c>
      <c r="H486" s="5" t="str">
        <f>IF(AND(G486=".csv",COUNTIFS($B:$B,$B486,$G:$G,"xlsx")-COUNTIFS($B:$B,$B486,$G:$G,"xlsx",$C:$C,"~~$*")&gt;1,LEFT(C486,LEN($B486))&lt;&gt;$B486),"",IFERROR(IF(B486="FoPITY",INDEX(Customizations!$C$2:$C$19,MATCH(Sheet1!C486,Customizations!$B$2:$B$19,0),1),INDEX(About!C:C,MATCH(Sheet1!B486,About!B:B,0),1)),""))</f>
        <v>Soft Cap Growth Fraction.xlsx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5">
      <c r="A487" t="s">
        <v>101</v>
      </c>
      <c r="B487" t="s">
        <v>1945</v>
      </c>
      <c r="C487" t="s">
        <v>1947</v>
      </c>
      <c r="G487" t="str">
        <f t="shared" si="15"/>
        <v>xlsx</v>
      </c>
      <c r="H487" s="5" t="str">
        <f>IF(AND(G487=".csv",COUNTIFS($B:$B,$B487,$G:$G,"xlsx")-COUNTIFS($B:$B,$B487,$G:$G,"xlsx",$C:$C,"~~$*")&gt;1,LEFT(C487,LEN($B487))&lt;&gt;$B487),"",IFERROR(IF(B487="FoPITY",INDEX(Customizations!$C$2:$C$19,MATCH(Sheet1!C487,Customizations!$B$2:$B$19,0),1),INDEX(About!C:C,MATCH(Sheet1!B487,About!B:B,0),1)),""))</f>
        <v>Soft Cap Growth Fraction.xlsx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5">
      <c r="A488" t="s">
        <v>101</v>
      </c>
      <c r="B488" t="s">
        <v>1221</v>
      </c>
      <c r="C488" t="s">
        <v>1222</v>
      </c>
      <c r="G488" t="str">
        <f t="shared" si="15"/>
        <v>xlsx</v>
      </c>
      <c r="H488" s="5" t="str">
        <f>IF(AND(G488=".csv",COUNTIFS($B:$B,$B488,$G:$G,"xlsx")-COUNTIFS($B:$B,$B488,$G:$G,"xlsx",$C:$C,"~~$*")&gt;1,LEFT(C488,LEN($B488))&lt;&gt;$B488),"",IFERROR(IF(B488="FoPITY",INDEX(Customizations!$C$2:$C$19,MATCH(Sheet1!C488,Customizations!$B$2:$B$19,0),1),INDEX(About!C:C,MATCH(Sheet1!B488,About!B:B,0),1)),""))</f>
        <v>Seasonal Electricity Storage.xlsx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5">
      <c r="A489" t="s">
        <v>101</v>
      </c>
      <c r="B489" t="s">
        <v>1221</v>
      </c>
      <c r="C489" t="s">
        <v>1223</v>
      </c>
      <c r="G489" t="str">
        <f t="shared" si="15"/>
        <v>.csv</v>
      </c>
      <c r="H489" s="5" t="str">
        <f>IF(AND(G489=".csv",COUNTIFS($B:$B,$B489,$G:$G,"xlsx")-COUNTIFS($B:$B,$B489,$G:$G,"xlsx",$C:$C,"~~$*")&gt;1,LEFT(C489,LEN($B489))&lt;&gt;$B489),"",IFERROR(IF(B489="FoPITY",INDEX(Customizations!$C$2:$C$19,MATCH(Sheet1!C489,Customizations!$B$2:$B$19,0),1),INDEX(About!C:C,MATCH(Sheet1!B489,About!B:B,0),1)),""))</f>
        <v>Seasonal Electricity Storage.xlsx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5">
      <c r="A490" t="s">
        <v>101</v>
      </c>
      <c r="B490" t="s">
        <v>1221</v>
      </c>
      <c r="C490" t="s">
        <v>1224</v>
      </c>
      <c r="G490" t="str">
        <f t="shared" si="15"/>
        <v>.csv</v>
      </c>
      <c r="H490" s="5" t="str">
        <f>IF(AND(G490=".csv",COUNTIFS($B:$B,$B490,$G:$G,"xlsx")-COUNTIFS($B:$B,$B490,$G:$G,"xlsx",$C:$C,"~~$*")&gt;1,LEFT(C490,LEN($B490))&lt;&gt;$B490),"",IFERROR(IF(B490="FoPITY",INDEX(Customizations!$C$2:$C$19,MATCH(Sheet1!C490,Customizations!$B$2:$B$19,0),1),INDEX(About!C:C,MATCH(Sheet1!B490,About!B:B,0),1)),""))</f>
        <v>Seasonal Electricity Storage.xlsx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5">
      <c r="A491" t="s">
        <v>101</v>
      </c>
      <c r="B491" t="s">
        <v>1221</v>
      </c>
      <c r="C491" t="s">
        <v>1225</v>
      </c>
      <c r="G491" t="str">
        <f t="shared" si="15"/>
        <v>.csv</v>
      </c>
      <c r="H491" s="5" t="str">
        <f>IF(AND(G491=".csv",COUNTIFS($B:$B,$B491,$G:$G,"xlsx")-COUNTIFS($B:$B,$B491,$G:$G,"xlsx",$C:$C,"~~$*")&gt;1,LEFT(C491,LEN($B491))&lt;&gt;$B491),"",IFERROR(IF(B491="FoPITY",INDEX(Customizations!$C$2:$C$19,MATCH(Sheet1!C491,Customizations!$B$2:$B$19,0),1),INDEX(About!C:C,MATCH(Sheet1!B491,About!B:B,0),1)),""))</f>
        <v>Seasonal Electricity Storage.xlsx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5">
      <c r="A492" t="s">
        <v>101</v>
      </c>
      <c r="B492" t="s">
        <v>1065</v>
      </c>
      <c r="C492" t="s">
        <v>1066</v>
      </c>
      <c r="G492" t="str">
        <f t="shared" si="15"/>
        <v>xlsx</v>
      </c>
      <c r="H492" s="5" t="str">
        <f>IF(AND(G492=".csv",COUNTIFS($B:$B,$B492,$G:$G,"xlsx")-COUNTIFS($B:$B,$B492,$G:$G,"xlsx",$C:$C,"~~$*")&gt;1,LEFT(C492,LEN($B492))&lt;&gt;$B492),"",IFERROR(IF(B492="FoPITY",INDEX(Customizations!$C$2:$C$19,MATCH(Sheet1!C492,Customizations!$B$2:$B$19,0),1),INDEX(About!C:C,MATCH(Sheet1!B492,About!B:B,0),1)),""))</f>
        <v>Seasonal Hourly Equipment Load Factors by End Use.xlsx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5">
      <c r="A493" t="s">
        <v>101</v>
      </c>
      <c r="B493" t="s">
        <v>1065</v>
      </c>
      <c r="C493" t="s">
        <v>1067</v>
      </c>
      <c r="G493" t="str">
        <f t="shared" si="15"/>
        <v>.csv</v>
      </c>
      <c r="H493" s="5" t="str">
        <f>IF(AND(G493=".csv",COUNTIFS($B:$B,$B493,$G:$G,"xlsx")-COUNTIFS($B:$B,$B493,$G:$G,"xlsx",$C:$C,"~~$*")&gt;1,LEFT(C493,LEN($B493))&lt;&gt;$B493),"",IFERROR(IF(B493="FoPITY",INDEX(Customizations!$C$2:$C$19,MATCH(Sheet1!C493,Customizations!$B$2:$B$19,0),1),INDEX(About!C:C,MATCH(Sheet1!B493,About!B:B,0),1)),""))</f>
        <v>Seasonal Hourly Equipment Load Factors by End Use.xlsx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5">
      <c r="A494" t="s">
        <v>101</v>
      </c>
      <c r="B494" t="s">
        <v>1065</v>
      </c>
      <c r="C494" t="s">
        <v>1068</v>
      </c>
      <c r="G494" t="str">
        <f t="shared" si="15"/>
        <v>.csv</v>
      </c>
      <c r="H494" s="5" t="str">
        <f>IF(AND(G494=".csv",COUNTIFS($B:$B,$B494,$G:$G,"xlsx")-COUNTIFS($B:$B,$B494,$G:$G,"xlsx",$C:$C,"~~$*")&gt;1,LEFT(C494,LEN($B494))&lt;&gt;$B494),"",IFERROR(IF(B494="FoPITY",INDEX(Customizations!$C$2:$C$19,MATCH(Sheet1!C494,Customizations!$B$2:$B$19,0),1),INDEX(About!C:C,MATCH(Sheet1!B494,About!B:B,0),1)),""))</f>
        <v>Seasonal Hourly Equipment Load Factors by End Use.xlsx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5">
      <c r="A495" t="s">
        <v>101</v>
      </c>
      <c r="B495" t="s">
        <v>1065</v>
      </c>
      <c r="C495" t="s">
        <v>1069</v>
      </c>
      <c r="G495" t="str">
        <f t="shared" si="15"/>
        <v>.csv</v>
      </c>
      <c r="H495" s="5" t="str">
        <f>IF(AND(G495=".csv",COUNTIFS($B:$B,$B495,$G:$G,"xlsx")-COUNTIFS($B:$B,$B495,$G:$G,"xlsx",$C:$C,"~~$*")&gt;1,LEFT(C495,LEN($B495))&lt;&gt;$B495),"",IFERROR(IF(B495="FoPITY",INDEX(Customizations!$C$2:$C$19,MATCH(Sheet1!C495,Customizations!$B$2:$B$19,0),1),INDEX(About!C:C,MATCH(Sheet1!B495,About!B:B,0),1)),""))</f>
        <v>Seasonal Hourly Equipment Load Factors by End Use.xlsx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5">
      <c r="A496" t="s">
        <v>101</v>
      </c>
      <c r="B496" t="s">
        <v>1065</v>
      </c>
      <c r="C496" t="s">
        <v>1070</v>
      </c>
      <c r="G496" t="str">
        <f t="shared" si="15"/>
        <v>.csv</v>
      </c>
      <c r="H496" s="5" t="str">
        <f>IF(AND(G496=".csv",COUNTIFS($B:$B,$B496,$G:$G,"xlsx")-COUNTIFS($B:$B,$B496,$G:$G,"xlsx",$C:$C,"~~$*")&gt;1,LEFT(C496,LEN($B496))&lt;&gt;$B496),"",IFERROR(IF(B496="FoPITY",INDEX(Customizations!$C$2:$C$19,MATCH(Sheet1!C496,Customizations!$B$2:$B$19,0),1),INDEX(About!C:C,MATCH(Sheet1!B496,About!B:B,0),1)),""))</f>
        <v>Seasonal Hourly Equipment Load Factors by End Use.xlsx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5">
      <c r="A497" t="s">
        <v>101</v>
      </c>
      <c r="B497" t="s">
        <v>1065</v>
      </c>
      <c r="C497" t="s">
        <v>1071</v>
      </c>
      <c r="G497" t="str">
        <f t="shared" si="15"/>
        <v>.csv</v>
      </c>
      <c r="H497" s="5" t="str">
        <f>IF(AND(G497=".csv",COUNTIFS($B:$B,$B497,$G:$G,"xlsx")-COUNTIFS($B:$B,$B497,$G:$G,"xlsx",$C:$C,"~~$*")&gt;1,LEFT(C497,LEN($B497))&lt;&gt;$B497),"",IFERROR(IF(B497="FoPITY",INDEX(Customizations!$C$2:$C$19,MATCH(Sheet1!C497,Customizations!$B$2:$B$19,0),1),INDEX(About!C:C,MATCH(Sheet1!B497,About!B:B,0),1)),""))</f>
        <v>Seasonal Hourly Equipment Load Factors by End Use.xlsx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5">
      <c r="A498" t="s">
        <v>101</v>
      </c>
      <c r="B498" t="s">
        <v>1065</v>
      </c>
      <c r="C498" t="s">
        <v>1072</v>
      </c>
      <c r="G498" t="str">
        <f t="shared" si="15"/>
        <v>.csv</v>
      </c>
      <c r="H498" s="5" t="str">
        <f>IF(AND(G498=".csv",COUNTIFS($B:$B,$B498,$G:$G,"xlsx")-COUNTIFS($B:$B,$B498,$G:$G,"xlsx",$C:$C,"~~$*")&gt;1,LEFT(C498,LEN($B498))&lt;&gt;$B498),"",IFERROR(IF(B498="FoPITY",INDEX(Customizations!$C$2:$C$19,MATCH(Sheet1!C498,Customizations!$B$2:$B$19,0),1),INDEX(About!C:C,MATCH(Sheet1!B498,About!B:B,0),1)),""))</f>
        <v>Seasonal Hourly Equipment Load Factors by End Use.xlsx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5">
      <c r="A499" t="s">
        <v>101</v>
      </c>
      <c r="B499" t="s">
        <v>1065</v>
      </c>
      <c r="C499" t="s">
        <v>1073</v>
      </c>
      <c r="G499" t="str">
        <f t="shared" si="15"/>
        <v>.csv</v>
      </c>
      <c r="H499" s="5" t="str">
        <f>IF(AND(G499=".csv",COUNTIFS($B:$B,$B499,$G:$G,"xlsx")-COUNTIFS($B:$B,$B499,$G:$G,"xlsx",$C:$C,"~~$*")&gt;1,LEFT(C499,LEN($B499))&lt;&gt;$B499),"",IFERROR(IF(B499="FoPITY",INDEX(Customizations!$C$2:$C$19,MATCH(Sheet1!C499,Customizations!$B$2:$B$19,0),1),INDEX(About!C:C,MATCH(Sheet1!B499,About!B:B,0),1)),""))</f>
        <v>Seasonal Hourly Equipment Load Factors by End Use.xlsx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5">
      <c r="A500" t="s">
        <v>101</v>
      </c>
      <c r="B500" t="s">
        <v>1065</v>
      </c>
      <c r="C500" t="s">
        <v>1766</v>
      </c>
      <c r="G500" t="str">
        <f t="shared" si="15"/>
        <v>.csv</v>
      </c>
      <c r="H500" s="5" t="str">
        <f>IF(AND(G500=".csv",COUNTIFS($B:$B,$B500,$G:$G,"xlsx")-COUNTIFS($B:$B,$B500,$G:$G,"xlsx",$C:$C,"~~$*")&gt;1,LEFT(C500,LEN($B500))&lt;&gt;$B500),"",IFERROR(IF(B500="FoPITY",INDEX(Customizations!$C$2:$C$19,MATCH(Sheet1!C500,Customizations!$B$2:$B$19,0),1),INDEX(About!C:C,MATCH(Sheet1!B500,About!B:B,0),1)),""))</f>
        <v>Seasonal Hourly Equipment Load Factors by End Use.xlsx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5">
      <c r="A501" t="s">
        <v>101</v>
      </c>
      <c r="B501" t="s">
        <v>1065</v>
      </c>
      <c r="C501" t="s">
        <v>1074</v>
      </c>
      <c r="G501" t="str">
        <f t="shared" si="15"/>
        <v>.csv</v>
      </c>
      <c r="H501" s="5" t="str">
        <f>IF(AND(G501=".csv",COUNTIFS($B:$B,$B501,$G:$G,"xlsx")-COUNTIFS($B:$B,$B501,$G:$G,"xlsx",$C:$C,"~~$*")&gt;1,LEFT(C501,LEN($B501))&lt;&gt;$B501),"",IFERROR(IF(B501="FoPITY",INDEX(Customizations!$C$2:$C$19,MATCH(Sheet1!C501,Customizations!$B$2:$B$19,0),1),INDEX(About!C:C,MATCH(Sheet1!B501,About!B:B,0),1)),""))</f>
        <v>Seasonal Hourly Equipment Load Factors by End Use.xlsx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5">
      <c r="A502" t="s">
        <v>101</v>
      </c>
      <c r="B502" t="s">
        <v>1065</v>
      </c>
      <c r="C502" t="s">
        <v>1075</v>
      </c>
      <c r="G502" t="str">
        <f t="shared" si="15"/>
        <v>.csv</v>
      </c>
      <c r="H502" s="5" t="str">
        <f>IF(AND(G502=".csv",COUNTIFS($B:$B,$B502,$G:$G,"xlsx")-COUNTIFS($B:$B,$B502,$G:$G,"xlsx",$C:$C,"~~$*")&gt;1,LEFT(C502,LEN($B502))&lt;&gt;$B502),"",IFERROR(IF(B502="FoPITY",INDEX(Customizations!$C$2:$C$19,MATCH(Sheet1!C502,Customizations!$B$2:$B$19,0),1),INDEX(About!C:C,MATCH(Sheet1!B502,About!B:B,0),1)),""))</f>
        <v>Seasonal Hourly Equipment Load Factors by End Use.xlsx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5">
      <c r="A503" t="s">
        <v>101</v>
      </c>
      <c r="B503" t="s">
        <v>1065</v>
      </c>
      <c r="C503" t="s">
        <v>1076</v>
      </c>
      <c r="G503" t="str">
        <f t="shared" ref="G503:G562" si="18">RIGHT(C503,"4")</f>
        <v>.csv</v>
      </c>
      <c r="H503" s="5" t="str">
        <f>IF(AND(G503=".csv",COUNTIFS($B:$B,$B503,$G:$G,"xlsx")-COUNTIFS($B:$B,$B503,$G:$G,"xlsx",$C:$C,"~~$*")&gt;1,LEFT(C503,LEN($B503))&lt;&gt;$B503),"",IFERROR(IF(B503="FoPITY",INDEX(Customizations!$C$2:$C$19,MATCH(Sheet1!C503,Customizations!$B$2:$B$19,0),1),INDEX(About!C:C,MATCH(Sheet1!B503,About!B:B,0),1)),""))</f>
        <v>Seasonal Hourly Equipment Load Factors by End Use.xlsx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5">
      <c r="A504" t="s">
        <v>101</v>
      </c>
      <c r="B504" t="s">
        <v>1065</v>
      </c>
      <c r="C504" t="s">
        <v>1077</v>
      </c>
      <c r="G504" t="str">
        <f t="shared" si="18"/>
        <v>.csv</v>
      </c>
      <c r="H504" s="5" t="str">
        <f>IF(AND(G504=".csv",COUNTIFS($B:$B,$B504,$G:$G,"xlsx")-COUNTIFS($B:$B,$B504,$G:$G,"xlsx",$C:$C,"~~$*")&gt;1,LEFT(C504,LEN($B504))&lt;&gt;$B504),"",IFERROR(IF(B504="FoPITY",INDEX(Customizations!$C$2:$C$19,MATCH(Sheet1!C504,Customizations!$B$2:$B$19,0),1),INDEX(About!C:C,MATCH(Sheet1!B504,About!B:B,0),1)),""))</f>
        <v>Seasonal Hourly Equipment Load Factors by End Use.xlsx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5">
      <c r="A505" t="s">
        <v>101</v>
      </c>
      <c r="B505" t="s">
        <v>1065</v>
      </c>
      <c r="C505" t="s">
        <v>1866</v>
      </c>
      <c r="G505" t="str">
        <f t="shared" si="18"/>
        <v>.csv</v>
      </c>
      <c r="H505" s="5" t="str">
        <f>IF(AND(G505=".csv",COUNTIFS($B:$B,$B505,$G:$G,"xlsx")-COUNTIFS($B:$B,$B505,$G:$G,"xlsx",$C:$C,"~~$*")&gt;1,LEFT(C505,LEN($B505))&lt;&gt;$B505),"",IFERROR(IF(B505="FoPITY",INDEX(Customizations!$C$2:$C$19,MATCH(Sheet1!C505,Customizations!$B$2:$B$19,0),1),INDEX(About!C:C,MATCH(Sheet1!B505,About!B:B,0),1)),""))</f>
        <v>Seasonal Hourly Equipment Load Factors by End Use.xlsx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5">
      <c r="A506" t="s">
        <v>101</v>
      </c>
      <c r="B506" t="s">
        <v>1065</v>
      </c>
      <c r="C506" t="s">
        <v>1867</v>
      </c>
      <c r="G506" t="str">
        <f t="shared" si="18"/>
        <v>.csv</v>
      </c>
      <c r="H506" s="5" t="str">
        <f>IF(AND(G506=".csv",COUNTIFS($B:$B,$B506,$G:$G,"xlsx")-COUNTIFS($B:$B,$B506,$G:$G,"xlsx",$C:$C,"~~$*")&gt;1,LEFT(C506,LEN($B506))&lt;&gt;$B506),"",IFERROR(IF(B506="FoPITY",INDEX(Customizations!$C$2:$C$19,MATCH(Sheet1!C506,Customizations!$B$2:$B$19,0),1),INDEX(About!C:C,MATCH(Sheet1!B506,About!B:B,0),1)),""))</f>
        <v>Seasonal Hourly Equipment Load Factors by End Use.xlsx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5">
      <c r="A507" t="s">
        <v>101</v>
      </c>
      <c r="B507" t="s">
        <v>1065</v>
      </c>
      <c r="C507" t="s">
        <v>1868</v>
      </c>
      <c r="G507" t="str">
        <f t="shared" si="18"/>
        <v>.csv</v>
      </c>
      <c r="H507" s="5" t="str">
        <f>IF(AND(G507=".csv",COUNTIFS($B:$B,$B507,$G:$G,"xlsx")-COUNTIFS($B:$B,$B507,$G:$G,"xlsx",$C:$C,"~~$*")&gt;1,LEFT(C507,LEN($B507))&lt;&gt;$B507),"",IFERROR(IF(B507="FoPITY",INDEX(Customizations!$C$2:$C$19,MATCH(Sheet1!C507,Customizations!$B$2:$B$19,0),1),INDEX(About!C:C,MATCH(Sheet1!B507,About!B:B,0),1)),""))</f>
        <v>Seasonal Hourly Equipment Load Factors by End Use.xlsx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5">
      <c r="A508" t="s">
        <v>101</v>
      </c>
      <c r="B508" t="s">
        <v>1065</v>
      </c>
      <c r="C508" t="s">
        <v>1869</v>
      </c>
      <c r="G508" t="str">
        <f t="shared" si="18"/>
        <v>.csv</v>
      </c>
      <c r="H508" s="5" t="str">
        <f>IF(AND(G508=".csv",COUNTIFS($B:$B,$B508,$G:$G,"xlsx")-COUNTIFS($B:$B,$B508,$G:$G,"xlsx",$C:$C,"~~$*")&gt;1,LEFT(C508,LEN($B508))&lt;&gt;$B508),"",IFERROR(IF(B508="FoPITY",INDEX(Customizations!$C$2:$C$19,MATCH(Sheet1!C508,Customizations!$B$2:$B$19,0),1),INDEX(About!C:C,MATCH(Sheet1!B508,About!B:B,0),1)),""))</f>
        <v>Seasonal Hourly Equipment Load Factors by End Use.xlsx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5">
      <c r="A509" t="s">
        <v>101</v>
      </c>
      <c r="B509" t="s">
        <v>1065</v>
      </c>
      <c r="C509" t="s">
        <v>1870</v>
      </c>
      <c r="G509" t="str">
        <f t="shared" si="18"/>
        <v>.csv</v>
      </c>
      <c r="H509" s="5" t="str">
        <f>IF(AND(G509=".csv",COUNTIFS($B:$B,$B509,$G:$G,"xlsx")-COUNTIFS($B:$B,$B509,$G:$G,"xlsx",$C:$C,"~~$*")&gt;1,LEFT(C509,LEN($B509))&lt;&gt;$B509),"",IFERROR(IF(B509="FoPITY",INDEX(Customizations!$C$2:$C$19,MATCH(Sheet1!C509,Customizations!$B$2:$B$19,0),1),INDEX(About!C:C,MATCH(Sheet1!B509,About!B:B,0),1)),""))</f>
        <v>Seasonal Hourly Equipment Load Factors by End Use.xlsx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5">
      <c r="A510" t="s">
        <v>101</v>
      </c>
      <c r="B510" t="s">
        <v>1065</v>
      </c>
      <c r="C510" t="s">
        <v>1871</v>
      </c>
      <c r="G510" t="str">
        <f t="shared" si="18"/>
        <v>.csv</v>
      </c>
      <c r="H510" s="5" t="str">
        <f>IF(AND(G510=".csv",COUNTIFS($B:$B,$B510,$G:$G,"xlsx")-COUNTIFS($B:$B,$B510,$G:$G,"xlsx",$C:$C,"~~$*")&gt;1,LEFT(C510,LEN($B510))&lt;&gt;$B510),"",IFERROR(IF(B510="FoPITY",INDEX(Customizations!$C$2:$C$19,MATCH(Sheet1!C510,Customizations!$B$2:$B$19,0),1),INDEX(About!C:C,MATCH(Sheet1!B510,About!B:B,0),1)),""))</f>
        <v>Seasonal Hourly Equipment Load Factors by End Use.xlsx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5">
      <c r="A511" t="s">
        <v>101</v>
      </c>
      <c r="B511" t="s">
        <v>1065</v>
      </c>
      <c r="C511" t="s">
        <v>1872</v>
      </c>
      <c r="G511" t="str">
        <f t="shared" si="18"/>
        <v>.csv</v>
      </c>
      <c r="H511" s="5" t="str">
        <f>IF(AND(G511=".csv",COUNTIFS($B:$B,$B511,$G:$G,"xlsx")-COUNTIFS($B:$B,$B511,$G:$G,"xlsx",$C:$C,"~~$*")&gt;1,LEFT(C511,LEN($B511))&lt;&gt;$B511),"",IFERROR(IF(B511="FoPITY",INDEX(Customizations!$C$2:$C$19,MATCH(Sheet1!C511,Customizations!$B$2:$B$19,0),1),INDEX(About!C:C,MATCH(Sheet1!B511,About!B:B,0),1)),""))</f>
        <v>Seasonal Hourly Equipment Load Factors by End Use.xlsx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5">
      <c r="A512" t="s">
        <v>101</v>
      </c>
      <c r="B512" t="s">
        <v>1065</v>
      </c>
      <c r="C512" t="s">
        <v>1873</v>
      </c>
      <c r="G512" t="str">
        <f t="shared" si="18"/>
        <v>.csv</v>
      </c>
      <c r="H512" s="5" t="str">
        <f>IF(AND(G512=".csv",COUNTIFS($B:$B,$B512,$G:$G,"xlsx")-COUNTIFS($B:$B,$B512,$G:$G,"xlsx",$C:$C,"~~$*")&gt;1,LEFT(C512,LEN($B512))&lt;&gt;$B512),"",IFERROR(IF(B512="FoPITY",INDEX(Customizations!$C$2:$C$19,MATCH(Sheet1!C512,Customizations!$B$2:$B$19,0),1),INDEX(About!C:C,MATCH(Sheet1!B512,About!B:B,0),1)),""))</f>
        <v>Seasonal Hourly Equipment Load Factors by End Use.xlsx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5">
      <c r="A513" t="s">
        <v>101</v>
      </c>
      <c r="B513" t="s">
        <v>1065</v>
      </c>
      <c r="C513" t="s">
        <v>1874</v>
      </c>
      <c r="G513" t="str">
        <f t="shared" si="18"/>
        <v>.csv</v>
      </c>
      <c r="H513" s="5" t="str">
        <f>IF(AND(G513=".csv",COUNTIFS($B:$B,$B513,$G:$G,"xlsx")-COUNTIFS($B:$B,$B513,$G:$G,"xlsx",$C:$C,"~~$*")&gt;1,LEFT(C513,LEN($B513))&lt;&gt;$B513),"",IFERROR(IF(B513="FoPITY",INDEX(Customizations!$C$2:$C$19,MATCH(Sheet1!C513,Customizations!$B$2:$B$19,0),1),INDEX(About!C:C,MATCH(Sheet1!B513,About!B:B,0),1)),""))</f>
        <v>Seasonal Hourly Equipment Load Factors by End Use.xlsx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5">
      <c r="A514" t="s">
        <v>101</v>
      </c>
      <c r="B514" t="s">
        <v>1065</v>
      </c>
      <c r="C514" t="s">
        <v>1875</v>
      </c>
      <c r="G514" t="str">
        <f t="shared" si="18"/>
        <v>.csv</v>
      </c>
      <c r="H514" s="5" t="str">
        <f>IF(AND(G514=".csv",COUNTIFS($B:$B,$B514,$G:$G,"xlsx")-COUNTIFS($B:$B,$B514,$G:$G,"xlsx",$C:$C,"~~$*")&gt;1,LEFT(C514,LEN($B514))&lt;&gt;$B514),"",IFERROR(IF(B514="FoPITY",INDEX(Customizations!$C$2:$C$19,MATCH(Sheet1!C514,Customizations!$B$2:$B$19,0),1),INDEX(About!C:C,MATCH(Sheet1!B514,About!B:B,0),1)),""))</f>
        <v>Seasonal Hourly Equipment Load Factors by End Use.xlsx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5">
      <c r="A515" t="s">
        <v>101</v>
      </c>
      <c r="B515" t="s">
        <v>1065</v>
      </c>
      <c r="C515" t="s">
        <v>1876</v>
      </c>
      <c r="G515" t="str">
        <f t="shared" si="18"/>
        <v>.csv</v>
      </c>
      <c r="H515" s="5" t="str">
        <f>IF(AND(G515=".csv",COUNTIFS($B:$B,$B515,$G:$G,"xlsx")-COUNTIFS($B:$B,$B515,$G:$G,"xlsx",$C:$C,"~~$*")&gt;1,LEFT(C515,LEN($B515))&lt;&gt;$B515),"",IFERROR(IF(B515="FoPITY",INDEX(Customizations!$C$2:$C$19,MATCH(Sheet1!C515,Customizations!$B$2:$B$19,0),1),INDEX(About!C:C,MATCH(Sheet1!B515,About!B:B,0),1)),""))</f>
        <v>Seasonal Hourly Equipment Load Factors by End Use.xlsx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5">
      <c r="A516" t="s">
        <v>101</v>
      </c>
      <c r="B516" t="s">
        <v>1065</v>
      </c>
      <c r="C516" t="s">
        <v>1877</v>
      </c>
      <c r="G516" t="str">
        <f t="shared" si="18"/>
        <v>.csv</v>
      </c>
      <c r="H516" s="5" t="str">
        <f>IF(AND(G516=".csv",COUNTIFS($B:$B,$B516,$G:$G,"xlsx")-COUNTIFS($B:$B,$B516,$G:$G,"xlsx",$C:$C,"~~$*")&gt;1,LEFT(C516,LEN($B516))&lt;&gt;$B516),"",IFERROR(IF(B516="FoPITY",INDEX(Customizations!$C$2:$C$19,MATCH(Sheet1!C516,Customizations!$B$2:$B$19,0),1),INDEX(About!C:C,MATCH(Sheet1!B516,About!B:B,0),1)),""))</f>
        <v>Seasonal Hourly Equipment Load Factors by End Use.xlsx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5">
      <c r="A517" t="s">
        <v>101</v>
      </c>
      <c r="B517" t="s">
        <v>1065</v>
      </c>
      <c r="C517" t="s">
        <v>1878</v>
      </c>
      <c r="G517" t="str">
        <f t="shared" si="18"/>
        <v>.csv</v>
      </c>
      <c r="H517" s="5" t="str">
        <f>IF(AND(G517=".csv",COUNTIFS($B:$B,$B517,$G:$G,"xlsx")-COUNTIFS($B:$B,$B517,$G:$G,"xlsx",$C:$C,"~~$*")&gt;1,LEFT(C517,LEN($B517))&lt;&gt;$B517),"",IFERROR(IF(B517="FoPITY",INDEX(Customizations!$C$2:$C$19,MATCH(Sheet1!C517,Customizations!$B$2:$B$19,0),1),INDEX(About!C:C,MATCH(Sheet1!B517,About!B:B,0),1)),""))</f>
        <v>Seasonal Hourly Equipment Load Factors by End Use.xlsx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5">
      <c r="A518" t="s">
        <v>101</v>
      </c>
      <c r="B518" t="s">
        <v>1065</v>
      </c>
      <c r="C518" t="s">
        <v>1078</v>
      </c>
      <c r="G518" t="str">
        <f t="shared" si="18"/>
        <v>.csv</v>
      </c>
      <c r="H518" s="5" t="str">
        <f>IF(AND(G518=".csv",COUNTIFS($B:$B,$B518,$G:$G,"xlsx")-COUNTIFS($B:$B,$B518,$G:$G,"xlsx",$C:$C,"~~$*")&gt;1,LEFT(C518,LEN($B518))&lt;&gt;$B518),"",IFERROR(IF(B518="FoPITY",INDEX(Customizations!$C$2:$C$19,MATCH(Sheet1!C518,Customizations!$B$2:$B$19,0),1),INDEX(About!C:C,MATCH(Sheet1!B518,About!B:B,0),1)),""))</f>
        <v>Seasonal Hourly Equipment Load Factors by End Use.xlsx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5">
      <c r="A519" t="s">
        <v>101</v>
      </c>
      <c r="B519" t="s">
        <v>1065</v>
      </c>
      <c r="C519" t="s">
        <v>1079</v>
      </c>
      <c r="G519" t="str">
        <f t="shared" si="18"/>
        <v>.csv</v>
      </c>
      <c r="H519" s="5" t="str">
        <f>IF(AND(G519=".csv",COUNTIFS($B:$B,$B519,$G:$G,"xlsx")-COUNTIFS($B:$B,$B519,$G:$G,"xlsx",$C:$C,"~~$*")&gt;1,LEFT(C519,LEN($B519))&lt;&gt;$B519),"",IFERROR(IF(B519="FoPITY",INDEX(Customizations!$C$2:$C$19,MATCH(Sheet1!C519,Customizations!$B$2:$B$19,0),1),INDEX(About!C:C,MATCH(Sheet1!B519,About!B:B,0),1)),""))</f>
        <v>Seasonal Hourly Equipment Load Factors by End Use.xlsx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5">
      <c r="A520" t="s">
        <v>101</v>
      </c>
      <c r="B520" t="s">
        <v>1065</v>
      </c>
      <c r="C520" t="s">
        <v>1080</v>
      </c>
      <c r="G520" t="str">
        <f t="shared" si="18"/>
        <v>.csv</v>
      </c>
      <c r="H520" s="5" t="str">
        <f>IF(AND(G520=".csv",COUNTIFS($B:$B,$B520,$G:$G,"xlsx")-COUNTIFS($B:$B,$B520,$G:$G,"xlsx",$C:$C,"~~$*")&gt;1,LEFT(C520,LEN($B520))&lt;&gt;$B520),"",IFERROR(IF(B520="FoPITY",INDEX(Customizations!$C$2:$C$19,MATCH(Sheet1!C520,Customizations!$B$2:$B$19,0),1),INDEX(About!C:C,MATCH(Sheet1!B520,About!B:B,0),1)),""))</f>
        <v>Seasonal Hourly Equipment Load Factors by End Use.xlsx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5">
      <c r="A521" t="s">
        <v>101</v>
      </c>
      <c r="B521" t="s">
        <v>1065</v>
      </c>
      <c r="C521" t="s">
        <v>1081</v>
      </c>
      <c r="G521" t="str">
        <f t="shared" si="18"/>
        <v>.csv</v>
      </c>
      <c r="H521" s="5" t="str">
        <f>IF(AND(G521=".csv",COUNTIFS($B:$B,$B521,$G:$G,"xlsx")-COUNTIFS($B:$B,$B521,$G:$G,"xlsx",$C:$C,"~~$*")&gt;1,LEFT(C521,LEN($B521))&lt;&gt;$B521),"",IFERROR(IF(B521="FoPITY",INDEX(Customizations!$C$2:$C$19,MATCH(Sheet1!C521,Customizations!$B$2:$B$19,0),1),INDEX(About!C:C,MATCH(Sheet1!B521,About!B:B,0),1)),""))</f>
        <v>Seasonal Hourly Equipment Load Factors by End Use.xlsx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5">
      <c r="A522" t="s">
        <v>101</v>
      </c>
      <c r="B522" t="s">
        <v>1065</v>
      </c>
      <c r="C522" t="s">
        <v>1082</v>
      </c>
      <c r="G522" t="str">
        <f t="shared" si="18"/>
        <v>.csv</v>
      </c>
      <c r="H522" s="5" t="str">
        <f>IF(AND(G522=".csv",COUNTIFS($B:$B,$B522,$G:$G,"xlsx")-COUNTIFS($B:$B,$B522,$G:$G,"xlsx",$C:$C,"~~$*")&gt;1,LEFT(C522,LEN($B522))&lt;&gt;$B522),"",IFERROR(IF(B522="FoPITY",INDEX(Customizations!$C$2:$C$19,MATCH(Sheet1!C522,Customizations!$B$2:$B$19,0),1),INDEX(About!C:C,MATCH(Sheet1!B522,About!B:B,0),1)),""))</f>
        <v>Seasonal Hourly Equipment Load Factors by End Use.xlsx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5">
      <c r="A523" t="s">
        <v>101</v>
      </c>
      <c r="B523" t="s">
        <v>1065</v>
      </c>
      <c r="C523" t="s">
        <v>1083</v>
      </c>
      <c r="G523" t="str">
        <f t="shared" si="18"/>
        <v>.csv</v>
      </c>
      <c r="H523" s="5" t="str">
        <f>IF(AND(G523=".csv",COUNTIFS($B:$B,$B523,$G:$G,"xlsx")-COUNTIFS($B:$B,$B523,$G:$G,"xlsx",$C:$C,"~~$*")&gt;1,LEFT(C523,LEN($B523))&lt;&gt;$B523),"",IFERROR(IF(B523="FoPITY",INDEX(Customizations!$C$2:$C$19,MATCH(Sheet1!C523,Customizations!$B$2:$B$19,0),1),INDEX(About!C:C,MATCH(Sheet1!B523,About!B:B,0),1)),""))</f>
        <v>Seasonal Hourly Equipment Load Factors by End Use.xlsx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5">
      <c r="A524" t="s">
        <v>101</v>
      </c>
      <c r="B524" t="s">
        <v>1065</v>
      </c>
      <c r="C524" t="s">
        <v>1084</v>
      </c>
      <c r="G524" t="str">
        <f t="shared" si="18"/>
        <v>.csv</v>
      </c>
      <c r="H524" s="5" t="str">
        <f>IF(AND(G524=".csv",COUNTIFS($B:$B,$B524,$G:$G,"xlsx")-COUNTIFS($B:$B,$B524,$G:$G,"xlsx",$C:$C,"~~$*")&gt;1,LEFT(C524,LEN($B524))&lt;&gt;$B524),"",IFERROR(IF(B524="FoPITY",INDEX(Customizations!$C$2:$C$19,MATCH(Sheet1!C524,Customizations!$B$2:$B$19,0),1),INDEX(About!C:C,MATCH(Sheet1!B524,About!B:B,0),1)),""))</f>
        <v>Seasonal Hourly Equipment Load Factors by End Use.xlsx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5">
      <c r="A525" t="s">
        <v>101</v>
      </c>
      <c r="B525" t="s">
        <v>1065</v>
      </c>
      <c r="C525" t="s">
        <v>1085</v>
      </c>
      <c r="G525" t="str">
        <f t="shared" si="18"/>
        <v>.csv</v>
      </c>
      <c r="H525" s="5" t="str">
        <f>IF(AND(G525=".csv",COUNTIFS($B:$B,$B525,$G:$G,"xlsx")-COUNTIFS($B:$B,$B525,$G:$G,"xlsx",$C:$C,"~~$*")&gt;1,LEFT(C525,LEN($B525))&lt;&gt;$B525),"",IFERROR(IF(B525="FoPITY",INDEX(Customizations!$C$2:$C$19,MATCH(Sheet1!C525,Customizations!$B$2:$B$19,0),1),INDEX(About!C:C,MATCH(Sheet1!B525,About!B:B,0),1)),""))</f>
        <v>Seasonal Hourly Equipment Load Factors by End Use.xlsx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5">
      <c r="A526" t="s">
        <v>101</v>
      </c>
      <c r="B526" t="s">
        <v>1065</v>
      </c>
      <c r="C526" t="s">
        <v>1086</v>
      </c>
      <c r="G526" t="str">
        <f t="shared" si="18"/>
        <v>.csv</v>
      </c>
      <c r="H526" s="5" t="str">
        <f>IF(AND(G526=".csv",COUNTIFS($B:$B,$B526,$G:$G,"xlsx")-COUNTIFS($B:$B,$B526,$G:$G,"xlsx",$C:$C,"~~$*")&gt;1,LEFT(C526,LEN($B526))&lt;&gt;$B526),"",IFERROR(IF(B526="FoPITY",INDEX(Customizations!$C$2:$C$19,MATCH(Sheet1!C526,Customizations!$B$2:$B$19,0),1),INDEX(About!C:C,MATCH(Sheet1!B526,About!B:B,0),1)),""))</f>
        <v>Seasonal Hourly Equipment Load Factors by End Use.xlsx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5">
      <c r="A527" t="s">
        <v>101</v>
      </c>
      <c r="B527" t="s">
        <v>1065</v>
      </c>
      <c r="C527" t="s">
        <v>1087</v>
      </c>
      <c r="G527" t="str">
        <f t="shared" si="18"/>
        <v>.csv</v>
      </c>
      <c r="H527" s="5" t="str">
        <f>IF(AND(G527=".csv",COUNTIFS($B:$B,$B527,$G:$G,"xlsx")-COUNTIFS($B:$B,$B527,$G:$G,"xlsx",$C:$C,"~~$*")&gt;1,LEFT(C527,LEN($B527))&lt;&gt;$B527),"",IFERROR(IF(B527="FoPITY",INDEX(Customizations!$C$2:$C$19,MATCH(Sheet1!C527,Customizations!$B$2:$B$19,0),1),INDEX(About!C:C,MATCH(Sheet1!B527,About!B:B,0),1)),""))</f>
        <v>Seasonal Hourly Equipment Load Factors by End Use.xlsx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5">
      <c r="A528" t="s">
        <v>101</v>
      </c>
      <c r="B528" t="s">
        <v>1065</v>
      </c>
      <c r="C528" t="s">
        <v>1879</v>
      </c>
      <c r="G528" t="str">
        <f t="shared" si="18"/>
        <v>xlsx</v>
      </c>
      <c r="H528" s="5" t="str">
        <f>IF(AND(G528=".csv",COUNTIFS($B:$B,$B528,$G:$G,"xlsx")-COUNTIFS($B:$B,$B528,$G:$G,"xlsx",$C:$C,"~~$*")&gt;1,LEFT(C528,LEN($B528))&lt;&gt;$B528),"",IFERROR(IF(B528="FoPITY",INDEX(Customizations!$C$2:$C$19,MATCH(Sheet1!C528,Customizations!$B$2:$B$19,0),1),INDEX(About!C:C,MATCH(Sheet1!B528,About!B:B,0),1)),""))</f>
        <v>Seasonal Hourly Equipment Load Factors by End Use.xlsx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5">
      <c r="A529" t="s">
        <v>101</v>
      </c>
      <c r="B529" t="s">
        <v>1353</v>
      </c>
      <c r="C529" t="s">
        <v>1226</v>
      </c>
      <c r="G529" t="str">
        <f t="shared" si="18"/>
        <v>xlsx</v>
      </c>
      <c r="H529" s="5" t="str">
        <f>IF(AND(G529=".csv",COUNTIFS($B:$B,$B529,$G:$G,"xlsx")-COUNTIFS($B:$B,$B529,$G:$G,"xlsx",$C:$C,"~~$*")&gt;1,LEFT(C529,LEN($B529))&lt;&gt;$B529),"",IFERROR(IF(B529="FoPITY",INDEX(Customizations!$C$2:$C$19,MATCH(Sheet1!C529,Customizations!$B$2:$B$19,0),1),INDEX(About!C:C,MATCH(Sheet1!B529,About!B:B,0),1)),""))</f>
        <v>Shr of Costs that Must be Covered to be Deemed Profitable.xlsx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5">
      <c r="A530" t="s">
        <v>101</v>
      </c>
      <c r="B530" t="s">
        <v>1353</v>
      </c>
      <c r="C530" t="s">
        <v>1227</v>
      </c>
      <c r="G530" t="str">
        <f t="shared" si="18"/>
        <v>.csv</v>
      </c>
      <c r="H530" s="5" t="str">
        <f>IF(AND(G530=".csv",COUNTIFS($B:$B,$B530,$G:$G,"xlsx")-COUNTIFS($B:$B,$B530,$G:$G,"xlsx",$C:$C,"~~$*")&gt;1,LEFT(C530,LEN($B530))&lt;&gt;$B530),"",IFERROR(IF(B530="FoPITY",INDEX(Customizations!$C$2:$C$19,MATCH(Sheet1!C530,Customizations!$B$2:$B$19,0),1),INDEX(About!C:C,MATCH(Sheet1!B530,About!B:B,0),1)),""))</f>
        <v>Shr of Costs that Must be Covered to be Deemed Profitable.xlsx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5">
      <c r="A531" t="s">
        <v>101</v>
      </c>
      <c r="B531" t="s">
        <v>1948</v>
      </c>
      <c r="C531" t="s">
        <v>1949</v>
      </c>
      <c r="G531" t="str">
        <f t="shared" si="18"/>
        <v>xlsx</v>
      </c>
      <c r="H531" s="5" t="str">
        <f>IF(AND(G531=".csv",COUNTIFS($B:$B,$B531,$G:$G,"xlsx")-COUNTIFS($B:$B,$B531,$G:$G,"xlsx",$C:$C,"~~$*")&gt;1,LEFT(C531,LEN($B531))&lt;&gt;$B531),"",IFERROR(IF(B531="FoPITY",INDEX(Customizations!$C$2:$C$19,MATCH(Sheet1!C531,Customizations!$B$2:$B$19,0),1),INDEX(About!C:C,MATCH(Sheet1!B531,About!B:B,0),1)),""))</f>
        <v>Share of Electricity Demand that Is Cost of Service.xlsx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5">
      <c r="A532" t="s">
        <v>101</v>
      </c>
      <c r="B532" t="s">
        <v>1948</v>
      </c>
      <c r="C532" t="s">
        <v>1950</v>
      </c>
      <c r="G532" t="str">
        <f t="shared" si="18"/>
        <v>.csv</v>
      </c>
      <c r="H532" s="5" t="str">
        <f>IF(AND(G532=".csv",COUNTIFS($B:$B,$B532,$G:$G,"xlsx")-COUNTIFS($B:$B,$B532,$G:$G,"xlsx",$C:$C,"~~$*")&gt;1,LEFT(C532,LEN($B532))&lt;&gt;$B532),"",IFERROR(IF(B532="FoPITY",INDEX(Customizations!$C$2:$C$19,MATCH(Sheet1!C532,Customizations!$B$2:$B$19,0),1),INDEX(About!C:C,MATCH(Sheet1!B532,About!B:B,0),1)),""))</f>
        <v>Share of Electricity Demand that Is Cost of Service.xlsx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5">
      <c r="A533" t="s">
        <v>101</v>
      </c>
      <c r="B533" t="s">
        <v>689</v>
      </c>
      <c r="C533" t="s">
        <v>690</v>
      </c>
      <c r="G533" t="str">
        <f t="shared" si="18"/>
        <v>xlsx</v>
      </c>
      <c r="H533" s="5" t="str">
        <f>IF(AND(G533=".csv",COUNTIFS($B:$B,$B533,$G:$G,"xlsx")-COUNTIFS($B:$B,$B533,$G:$G,"xlsx",$C:$C,"~~$*")&gt;1,LEFT(C533,LEN($B533))&lt;&gt;$B533),"",IFERROR(IF(B533="FoPITY",INDEX(Customizations!$C$2:$C$19,MATCH(Sheet1!C533,Customizations!$B$2:$B$19,0),1),INDEX(About!C:C,MATCH(Sheet1!B533,About!B:B,0),1)),""))</f>
        <v>Share of Electricity Sector Capital and OM Costs by ISIC Code.xlsx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5">
      <c r="A534" t="s">
        <v>101</v>
      </c>
      <c r="B534" t="s">
        <v>689</v>
      </c>
      <c r="C534" t="s">
        <v>691</v>
      </c>
      <c r="G534" t="str">
        <f t="shared" si="18"/>
        <v>.csv</v>
      </c>
      <c r="H534" s="5" t="str">
        <f>IF(AND(G534=".csv",COUNTIFS($B:$B,$B534,$G:$G,"xlsx")-COUNTIFS($B:$B,$B534,$G:$G,"xlsx",$C:$C,"~~$*")&gt;1,LEFT(C534,LEN($B534))&lt;&gt;$B534),"",IFERROR(IF(B534="FoPITY",INDEX(Customizations!$C$2:$C$19,MATCH(Sheet1!C534,Customizations!$B$2:$B$19,0),1),INDEX(About!C:C,MATCH(Sheet1!B534,About!B:B,0),1)),""))</f>
        <v>Share of Electricity Sector Capital and OM Costs by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5">
      <c r="A535" t="s">
        <v>101</v>
      </c>
      <c r="B535" t="s">
        <v>689</v>
      </c>
      <c r="C535" t="s">
        <v>692</v>
      </c>
      <c r="G535" t="str">
        <f t="shared" si="18"/>
        <v>.csv</v>
      </c>
      <c r="H535" s="5" t="str">
        <f>IF(AND(G535=".csv",COUNTIFS($B:$B,$B535,$G:$G,"xlsx")-COUNTIFS($B:$B,$B535,$G:$G,"xlsx",$C:$C,"~~$*")&gt;1,LEFT(C535,LEN($B535))&lt;&gt;$B535),"",IFERROR(IF(B535="FoPITY",INDEX(Customizations!$C$2:$C$19,MATCH(Sheet1!C535,Customizations!$B$2:$B$19,0),1),INDEX(About!C:C,MATCH(Sheet1!B535,About!B:B,0),1)),""))</f>
        <v>Share of Electricity Sector Capital and OM Costs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5">
      <c r="A536" t="s">
        <v>101</v>
      </c>
      <c r="B536" t="s">
        <v>689</v>
      </c>
      <c r="C536" t="s">
        <v>693</v>
      </c>
      <c r="G536" t="str">
        <f t="shared" si="18"/>
        <v>.csv</v>
      </c>
      <c r="H536" s="5" t="str">
        <f>IF(AND(G536=".csv",COUNTIFS($B:$B,$B536,$G:$G,"xlsx")-COUNTIFS($B:$B,$B536,$G:$G,"xlsx",$C:$C,"~~$*")&gt;1,LEFT(C536,LEN($B536))&lt;&gt;$B536),"",IFERROR(IF(B536="FoPITY",INDEX(Customizations!$C$2:$C$19,MATCH(Sheet1!C536,Customizations!$B$2:$B$19,0),1),INDEX(About!C:C,MATCH(Sheet1!B536,About!B:B,0),1)),""))</f>
        <v>Share of Electricity Sector Capital and OM Costs by ISIC Code.xlsx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5">
      <c r="A537" t="s">
        <v>101</v>
      </c>
      <c r="B537" t="s">
        <v>1228</v>
      </c>
      <c r="C537" t="s">
        <v>1229</v>
      </c>
      <c r="G537" t="str">
        <f t="shared" si="18"/>
        <v>xlsx</v>
      </c>
      <c r="H537" s="5" t="str">
        <f>IF(AND(G537=".csv",COUNTIFS($B:$B,$B537,$G:$G,"xlsx")-COUNTIFS($B:$B,$B537,$G:$G,"xlsx",$C:$C,"~~$*")&gt;1,LEFT(C537,LEN($B537))&lt;&gt;$B537),"",IFERROR(IF(B537="FoPITY",INDEX(Customizations!$C$2:$C$19,MATCH(Sheet1!C537,Customizations!$B$2:$B$19,0),1),INDEX(About!C:C,MATCH(Sheet1!B537,About!B:B,0),1)),""))</f>
        <v>Shr of Fwd Costs that Must be Covered to be Prevent Retirement.xlsx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5">
      <c r="A538" t="s">
        <v>101</v>
      </c>
      <c r="B538" t="s">
        <v>1228</v>
      </c>
      <c r="C538" t="s">
        <v>1230</v>
      </c>
      <c r="G538" t="str">
        <f t="shared" si="18"/>
        <v>.csv</v>
      </c>
      <c r="H538" s="5" t="str">
        <f>IF(AND(G538=".csv",COUNTIFS($B:$B,$B538,$G:$G,"xlsx")-COUNTIFS($B:$B,$B538,$G:$G,"xlsx",$C:$C,"~~$*")&gt;1,LEFT(C538,LEN($B538))&lt;&gt;$B538),"",IFERROR(IF(B538="FoPITY",INDEX(Customizations!$C$2:$C$19,MATCH(Sheet1!C538,Customizations!$B$2:$B$19,0),1),INDEX(About!C:C,MATCH(Sheet1!B538,About!B:B,0),1)),""))</f>
        <v>Shr of Fwd Costs that Must be Covered to be Prevent Retirement.xlsx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5">
      <c r="A539" t="s">
        <v>101</v>
      </c>
      <c r="B539" t="s">
        <v>1088</v>
      </c>
      <c r="C539" t="s">
        <v>1089</v>
      </c>
      <c r="G539" t="str">
        <f t="shared" si="18"/>
        <v>xlsx</v>
      </c>
      <c r="H539" s="5" t="str">
        <f>IF(AND(G539=".csv",COUNTIFS($B:$B,$B539,$G:$G,"xlsx")-COUNTIFS($B:$B,$B539,$G:$G,"xlsx",$C:$C,"~~$*")&gt;1,LEFT(C539,LEN($B539))&lt;&gt;$B539),"",IFERROR(IF(B539="FoPITY",INDEX(Customizations!$C$2:$C$19,MATCH(Sheet1!C539,Customizations!$B$2:$B$19,0),1),INDEX(About!C:C,MATCH(Sheet1!B539,About!B:B,0),1)),""))</f>
        <v>Share of Transmission and Distribution Capital Costs by ISIC Code.xlsx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5">
      <c r="A540" t="s">
        <v>101</v>
      </c>
      <c r="B540" t="s">
        <v>1088</v>
      </c>
      <c r="C540" t="s">
        <v>1090</v>
      </c>
      <c r="G540" t="str">
        <f t="shared" si="18"/>
        <v>.csv</v>
      </c>
      <c r="H540" s="5" t="str">
        <f>IF(AND(G540=".csv",COUNTIFS($B:$B,$B540,$G:$G,"xlsx")-COUNTIFS($B:$B,$B540,$G:$G,"xlsx",$C:$C,"~~$*")&gt;1,LEFT(C540,LEN($B540))&lt;&gt;$B540),"",IFERROR(IF(B540="FoPITY",INDEX(Customizations!$C$2:$C$19,MATCH(Sheet1!C540,Customizations!$B$2:$B$19,0),1),INDEX(About!C:C,MATCH(Sheet1!B540,About!B:B,0),1)),""))</f>
        <v>Share of Transmission and Distribution Capital Costs by ISIC Code.xlsx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5">
      <c r="A541" t="s">
        <v>101</v>
      </c>
      <c r="B541" t="s">
        <v>1091</v>
      </c>
      <c r="C541" t="s">
        <v>1092</v>
      </c>
      <c r="G541" t="str">
        <f t="shared" si="18"/>
        <v>xlsx</v>
      </c>
      <c r="H541" s="5" t="str">
        <f>IF(AND(G541=".csv",COUNTIFS($B:$B,$B541,$G:$G,"xlsx")-COUNTIFS($B:$B,$B541,$G:$G,"xlsx",$C:$C,"~~$*")&gt;1,LEFT(C541,LEN($B541))&lt;&gt;$B541),"",IFERROR(IF(B541="FoPITY",INDEX(Customizations!$C$2:$C$19,MATCH(Sheet1!C541,Customizations!$B$2:$B$19,0),1),INDEX(About!C:C,MATCH(Sheet1!B541,About!B:B,0),1)),""))</f>
        <v>Share of Transmission and Distribution OM Costs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5">
      <c r="A542" t="s">
        <v>101</v>
      </c>
      <c r="B542" t="s">
        <v>1091</v>
      </c>
      <c r="C542" t="s">
        <v>1093</v>
      </c>
      <c r="G542" t="str">
        <f t="shared" si="18"/>
        <v>.csv</v>
      </c>
      <c r="H542" s="5" t="str">
        <f>IF(AND(G542=".csv",COUNTIFS($B:$B,$B542,$G:$G,"xlsx")-COUNTIFS($B:$B,$B542,$G:$G,"xlsx",$C:$C,"~~$*")&gt;1,LEFT(C542,LEN($B542))&lt;&gt;$B542),"",IFERROR(IF(B542="FoPITY",INDEX(Customizations!$C$2:$C$19,MATCH(Sheet1!C542,Customizations!$B$2:$B$19,0),1),INDEX(About!C:C,MATCH(Sheet1!B542,About!B:B,0),1)),""))</f>
        <v>Share of Transmission and Distribution OM Costs by ISIC Code.xlsx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5">
      <c r="A543" t="s">
        <v>101</v>
      </c>
      <c r="B543" t="s">
        <v>937</v>
      </c>
      <c r="C543" t="s">
        <v>938</v>
      </c>
      <c r="G543" t="str">
        <f t="shared" si="18"/>
        <v>xlsx</v>
      </c>
      <c r="H543" s="5" t="str">
        <f>IF(AND(G543=".csv",COUNTIFS($B:$B,$B543,$G:$G,"xlsx")-COUNTIFS($B:$B,$B543,$G:$G,"xlsx",$C:$C,"~~$*")&gt;1,LEFT(C543,LEN($B543))&lt;&gt;$B543),"",IFERROR(IF(B543="FoPITY",INDEX(Customizations!$C$2:$C$19,MATCH(Sheet1!C543,Customizations!$B$2:$B$19,0),1),INDEX(About!C:C,MATCH(Sheet1!B543,About!B:B,0),1)),""))</f>
        <v>STfESCE Smoothing Time for Electricity Sector Capital Expenditures.xlsx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5">
      <c r="A544" t="s">
        <v>101</v>
      </c>
      <c r="B544" t="s">
        <v>937</v>
      </c>
      <c r="C544" t="s">
        <v>939</v>
      </c>
      <c r="G544" t="str">
        <f t="shared" si="18"/>
        <v>.csv</v>
      </c>
      <c r="H544" s="5" t="str">
        <f>IF(AND(G544=".csv",COUNTIFS($B:$B,$B544,$G:$G,"xlsx")-COUNTIFS($B:$B,$B544,$G:$G,"xlsx",$C:$C,"~~$*")&gt;1,LEFT(C544,LEN($B544))&lt;&gt;$B544),"",IFERROR(IF(B544="FoPITY",INDEX(Customizations!$C$2:$C$19,MATCH(Sheet1!C544,Customizations!$B$2:$B$19,0),1),INDEX(About!C:C,MATCH(Sheet1!B544,About!B:B,0),1)),""))</f>
        <v>STfESCE Smoothing Time for Electricity Sector Capital Expenditures.xlsx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5">
      <c r="A545" t="s">
        <v>101</v>
      </c>
      <c r="B545" t="s">
        <v>1094</v>
      </c>
      <c r="C545" t="s">
        <v>1095</v>
      </c>
      <c r="G545" t="str">
        <f t="shared" si="18"/>
        <v>xlsx</v>
      </c>
      <c r="H545" s="5" t="str">
        <f>IF(AND(G545=".csv",COUNTIFS($B:$B,$B545,$G:$G,"xlsx")-COUNTIFS($B:$B,$B545,$G:$G,"xlsx",$C:$C,"~~$*")&gt;1,LEFT(C545,LEN($B545))&lt;&gt;$B545),"",IFERROR(IF(B545="FoPITY",INDEX(Customizations!$C$2:$C$19,MATCH(Sheet1!C545,Customizations!$B$2:$B$19,0),1),INDEX(About!C:C,MATCH(Sheet1!B545,About!B:B,0),1)),""))</f>
        <v>Start Year Peak Electricity Load.xlsx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5">
      <c r="A546" t="s">
        <v>101</v>
      </c>
      <c r="B546" t="s">
        <v>1094</v>
      </c>
      <c r="C546" t="s">
        <v>1096</v>
      </c>
      <c r="G546" t="str">
        <f t="shared" si="18"/>
        <v>.csv</v>
      </c>
      <c r="H546" s="5" t="str">
        <f>IF(AND(G546=".csv",COUNTIFS($B:$B,$B546,$G:$G,"xlsx")-COUNTIFS($B:$B,$B546,$G:$G,"xlsx",$C:$C,"~~$*")&gt;1,LEFT(C546,LEN($B546))&lt;&gt;$B546),"",IFERROR(IF(B546="FoPITY",INDEX(Customizations!$C$2:$C$19,MATCH(Sheet1!C546,Customizations!$B$2:$B$19,0),1),INDEX(About!C:C,MATCH(Sheet1!B546,About!B:B,0),1)),""))</f>
        <v>Start Year Peak Electricity Load.xlsx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5">
      <c r="A547" t="s">
        <v>101</v>
      </c>
      <c r="B547" t="s">
        <v>1097</v>
      </c>
      <c r="C547" t="s">
        <v>1098</v>
      </c>
      <c r="G547" t="str">
        <f t="shared" si="18"/>
        <v>xlsx</v>
      </c>
      <c r="H547" s="5" t="str">
        <f>IF(AND(G547=".csv",COUNTIFS($B:$B,$B547,$G:$G,"xlsx")-COUNTIFS($B:$B,$B547,$G:$G,"xlsx",$C:$C,"~~$*")&gt;1,LEFT(C547,LEN($B547))&lt;&gt;$B547),"",IFERROR(IF(B547="FoPITY",INDEX(Customizations!$C$2:$C$19,MATCH(Sheet1!C547,Customizations!$B$2:$B$19,0),1),INDEX(About!C:C,MATCH(Sheet1!B547,About!B:B,0),1)),""))</f>
        <v>Start Year Seasonal Expected Hourly Electricity Capacity Factors.xlsx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5">
      <c r="A548" t="s">
        <v>101</v>
      </c>
      <c r="B548" t="s">
        <v>1097</v>
      </c>
      <c r="C548" t="s">
        <v>1099</v>
      </c>
      <c r="G548" t="str">
        <f t="shared" si="18"/>
        <v>.csv</v>
      </c>
      <c r="H548" s="5" t="str">
        <f>IF(AND(G548=".csv",COUNTIFS($B:$B,$B548,$G:$G,"xlsx")-COUNTIFS($B:$B,$B548,$G:$G,"xlsx",$C:$C,"~~$*")&gt;1,LEFT(C548,LEN($B548))&lt;&gt;$B548),"",IFERROR(IF(B548="FoPITY",INDEX(Customizations!$C$2:$C$19,MATCH(Sheet1!C548,Customizations!$B$2:$B$19,0),1),INDEX(About!C:C,MATCH(Sheet1!B548,About!B:B,0),1)),""))</f>
        <v>Start Year Seasonal Expected Hourly Electricity Capacity Factors.xlsx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5">
      <c r="A549" t="s">
        <v>101</v>
      </c>
      <c r="B549" t="s">
        <v>1097</v>
      </c>
      <c r="C549" t="s">
        <v>1100</v>
      </c>
      <c r="G549" t="str">
        <f t="shared" si="18"/>
        <v>.csv</v>
      </c>
      <c r="H549" s="5" t="str">
        <f>IF(AND(G549=".csv",COUNTIFS($B:$B,$B549,$G:$G,"xlsx")-COUNTIFS($B:$B,$B549,$G:$G,"xlsx",$C:$C,"~~$*")&gt;1,LEFT(C549,LEN($B549))&lt;&gt;$B549),"",IFERROR(IF(B549="FoPITY",INDEX(Customizations!$C$2:$C$19,MATCH(Sheet1!C549,Customizations!$B$2:$B$19,0),1),INDEX(About!C:C,MATCH(Sheet1!B549,About!B:B,0),1)),""))</f>
        <v>Start Year Seasonal Expected Hourly Electricity Capacity Factors.xlsx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5">
      <c r="A550" t="s">
        <v>101</v>
      </c>
      <c r="B550" t="s">
        <v>1097</v>
      </c>
      <c r="C550" t="s">
        <v>1101</v>
      </c>
      <c r="G550" t="str">
        <f t="shared" si="18"/>
        <v>.csv</v>
      </c>
      <c r="H550" s="5" t="str">
        <f>IF(AND(G550=".csv",COUNTIFS($B:$B,$B550,$G:$G,"xlsx")-COUNTIFS($B:$B,$B550,$G:$G,"xlsx",$C:$C,"~~$*")&gt;1,LEFT(C550,LEN($B550))&lt;&gt;$B550),"",IFERROR(IF(B550="FoPITY",INDEX(Customizations!$C$2:$C$19,MATCH(Sheet1!C550,Customizations!$B$2:$B$19,0),1),INDEX(About!C:C,MATCH(Sheet1!B550,About!B:B,0),1)),""))</f>
        <v>Start Year Seasonal Expected Hourly Electricity Capacity Factors.xlsx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5">
      <c r="A551" t="s">
        <v>101</v>
      </c>
      <c r="B551" t="s">
        <v>1097</v>
      </c>
      <c r="C551" t="s">
        <v>1102</v>
      </c>
      <c r="G551" t="str">
        <f t="shared" si="18"/>
        <v>.csv</v>
      </c>
      <c r="H551" s="5" t="str">
        <f>IF(AND(G551=".csv",COUNTIFS($B:$B,$B551,$G:$G,"xlsx")-COUNTIFS($B:$B,$B551,$G:$G,"xlsx",$C:$C,"~~$*")&gt;1,LEFT(C551,LEN($B551))&lt;&gt;$B551),"",IFERROR(IF(B551="FoPITY",INDEX(Customizations!$C$2:$C$19,MATCH(Sheet1!C551,Customizations!$B$2:$B$19,0),1),INDEX(About!C:C,MATCH(Sheet1!B551,About!B:B,0),1)),""))</f>
        <v>Start Year Seasonal Expected Hourly Electricity Capacity Factors.xlsx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5">
      <c r="A552" t="s">
        <v>101</v>
      </c>
      <c r="B552" t="s">
        <v>1097</v>
      </c>
      <c r="C552" t="s">
        <v>1103</v>
      </c>
      <c r="G552" t="str">
        <f t="shared" si="18"/>
        <v>.csv</v>
      </c>
      <c r="H552" s="5" t="str">
        <f>IF(AND(G552=".csv",COUNTIFS($B:$B,$B552,$G:$G,"xlsx")-COUNTIFS($B:$B,$B552,$G:$G,"xlsx",$C:$C,"~~$*")&gt;1,LEFT(C552,LEN($B552))&lt;&gt;$B552),"",IFERROR(IF(B552="FoPITY",INDEX(Customizations!$C$2:$C$19,MATCH(Sheet1!C552,Customizations!$B$2:$B$19,0),1),INDEX(About!C:C,MATCH(Sheet1!B552,About!B:B,0),1)),""))</f>
        <v>Start Year Seasonal Expected Hourly Electricity Capacity Factors.xlsx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5">
      <c r="A553" t="s">
        <v>101</v>
      </c>
      <c r="B553" t="s">
        <v>1097</v>
      </c>
      <c r="C553" t="s">
        <v>1104</v>
      </c>
      <c r="G553" t="str">
        <f t="shared" si="18"/>
        <v>.csv</v>
      </c>
      <c r="H553" s="5" t="str">
        <f>IF(AND(G553=".csv",COUNTIFS($B:$B,$B553,$G:$G,"xlsx")-COUNTIFS($B:$B,$B553,$G:$G,"xlsx",$C:$C,"~~$*")&gt;1,LEFT(C553,LEN($B553))&lt;&gt;$B553),"",IFERROR(IF(B553="FoPITY",INDEX(Customizations!$C$2:$C$19,MATCH(Sheet1!C553,Customizations!$B$2:$B$19,0),1),INDEX(About!C:C,MATCH(Sheet1!B553,About!B:B,0),1)),""))</f>
        <v>Start Year Seasonal Expected Hourly Electricity Capacity Factors.xlsx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5">
      <c r="A554" t="s">
        <v>101</v>
      </c>
      <c r="B554" t="s">
        <v>1097</v>
      </c>
      <c r="C554" t="s">
        <v>1105</v>
      </c>
      <c r="G554" t="str">
        <f t="shared" si="18"/>
        <v>.csv</v>
      </c>
      <c r="H554" s="5" t="str">
        <f>IF(AND(G554=".csv",COUNTIFS($B:$B,$B554,$G:$G,"xlsx")-COUNTIFS($B:$B,$B554,$G:$G,"xlsx",$C:$C,"~~$*")&gt;1,LEFT(C554,LEN($B554))&lt;&gt;$B554),"",IFERROR(IF(B554="FoPITY",INDEX(Customizations!$C$2:$C$19,MATCH(Sheet1!C554,Customizations!$B$2:$B$19,0),1),INDEX(About!C:C,MATCH(Sheet1!B554,About!B:B,0),1)),""))</f>
        <v>Start Year Seasonal Expected Hourly Electricity Capacity Factors.xlsx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5">
      <c r="A555" t="s">
        <v>101</v>
      </c>
      <c r="B555" t="s">
        <v>1097</v>
      </c>
      <c r="C555" t="s">
        <v>1106</v>
      </c>
      <c r="G555" t="str">
        <f t="shared" si="18"/>
        <v>.csv</v>
      </c>
      <c r="H555" s="5" t="str">
        <f>IF(AND(G555=".csv",COUNTIFS($B:$B,$B555,$G:$G,"xlsx")-COUNTIFS($B:$B,$B555,$G:$G,"xlsx",$C:$C,"~~$*")&gt;1,LEFT(C555,LEN($B555))&lt;&gt;$B555),"",IFERROR(IF(B555="FoPITY",INDEX(Customizations!$C$2:$C$19,MATCH(Sheet1!C555,Customizations!$B$2:$B$19,0),1),INDEX(About!C:C,MATCH(Sheet1!B555,About!B:B,0),1)),""))</f>
        <v>Start Year Seasonal Expected Hourly Electricity Capacity Factors.xlsx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5">
      <c r="A556" t="s">
        <v>101</v>
      </c>
      <c r="B556" t="s">
        <v>1097</v>
      </c>
      <c r="C556" t="s">
        <v>1107</v>
      </c>
      <c r="G556" t="str">
        <f t="shared" si="18"/>
        <v>.csv</v>
      </c>
      <c r="H556" s="5" t="str">
        <f>IF(AND(G556=".csv",COUNTIFS($B:$B,$B556,$G:$G,"xlsx")-COUNTIFS($B:$B,$B556,$G:$G,"xlsx",$C:$C,"~~$*")&gt;1,LEFT(C556,LEN($B556))&lt;&gt;$B556),"",IFERROR(IF(B556="FoPITY",INDEX(Customizations!$C$2:$C$19,MATCH(Sheet1!C556,Customizations!$B$2:$B$19,0),1),INDEX(About!C:C,MATCH(Sheet1!B556,About!B:B,0),1)),""))</f>
        <v>Start Year Seasonal Expected Hourly Electricity Capacity Factors.xlsx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5">
      <c r="A557" t="s">
        <v>101</v>
      </c>
      <c r="B557" t="s">
        <v>1097</v>
      </c>
      <c r="C557" t="s">
        <v>1108</v>
      </c>
      <c r="G557" t="str">
        <f t="shared" si="18"/>
        <v>.csv</v>
      </c>
      <c r="H557" s="5" t="str">
        <f>IF(AND(G557=".csv",COUNTIFS($B:$B,$B557,$G:$G,"xlsx")-COUNTIFS($B:$B,$B557,$G:$G,"xlsx",$C:$C,"~~$*")&gt;1,LEFT(C557,LEN($B557))&lt;&gt;$B557),"",IFERROR(IF(B557="FoPITY",INDEX(Customizations!$C$2:$C$19,MATCH(Sheet1!C557,Customizations!$B$2:$B$19,0),1),INDEX(About!C:C,MATCH(Sheet1!B557,About!B:B,0),1)),""))</f>
        <v>Start Year Seasonal Expected Hourly Electricity Capacity Factors.xlsx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5">
      <c r="A558" t="s">
        <v>101</v>
      </c>
      <c r="B558" t="s">
        <v>1097</v>
      </c>
      <c r="C558" t="s">
        <v>1231</v>
      </c>
      <c r="G558" t="str">
        <f t="shared" si="18"/>
        <v>.csv</v>
      </c>
      <c r="H558" s="5" t="str">
        <f>IF(AND(G558=".csv",COUNTIFS($B:$B,$B558,$G:$G,"xlsx")-COUNTIFS($B:$B,$B558,$G:$G,"xlsx",$C:$C,"~~$*")&gt;1,LEFT(C558,LEN($B558))&lt;&gt;$B558),"",IFERROR(IF(B558="FoPITY",INDEX(Customizations!$C$2:$C$19,MATCH(Sheet1!C558,Customizations!$B$2:$B$19,0),1),INDEX(About!C:C,MATCH(Sheet1!B558,About!B:B,0),1)),""))</f>
        <v>Start Year Seasonal Expected Hourly Electricity Capacity Factors.xlsx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5">
      <c r="A559" t="s">
        <v>101</v>
      </c>
      <c r="B559" t="s">
        <v>1097</v>
      </c>
      <c r="C559" t="s">
        <v>1232</v>
      </c>
      <c r="G559" t="str">
        <f t="shared" si="18"/>
        <v>.csv</v>
      </c>
      <c r="H559" s="5" t="str">
        <f>IF(AND(G559=".csv",COUNTIFS($B:$B,$B559,$G:$G,"xlsx")-COUNTIFS($B:$B,$B559,$G:$G,"xlsx",$C:$C,"~~$*")&gt;1,LEFT(C559,LEN($B559))&lt;&gt;$B559),"",IFERROR(IF(B559="FoPITY",INDEX(Customizations!$C$2:$C$19,MATCH(Sheet1!C559,Customizations!$B$2:$B$19,0),1),INDEX(About!C:C,MATCH(Sheet1!B559,About!B:B,0),1)),""))</f>
        <v>Start Year Seasonal Expected Hourly Electricity Capacity Factors.xlsx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5">
      <c r="A560" t="s">
        <v>101</v>
      </c>
      <c r="B560" t="s">
        <v>1097</v>
      </c>
      <c r="C560" t="s">
        <v>1109</v>
      </c>
      <c r="G560" t="str">
        <f t="shared" si="18"/>
        <v>.csv</v>
      </c>
      <c r="H560" s="5" t="str">
        <f>IF(AND(G560=".csv",COUNTIFS($B:$B,$B560,$G:$G,"xlsx")-COUNTIFS($B:$B,$B560,$G:$G,"xlsx",$C:$C,"~~$*")&gt;1,LEFT(C560,LEN($B560))&lt;&gt;$B560),"",IFERROR(IF(B560="FoPITY",INDEX(Customizations!$C$2:$C$19,MATCH(Sheet1!C560,Customizations!$B$2:$B$19,0),1),INDEX(About!C:C,MATCH(Sheet1!B560,About!B:B,0),1)),""))</f>
        <v>Start Year Seasonal Expected Hourly Electricity Capacity Factors.xlsx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5">
      <c r="A561" t="s">
        <v>101</v>
      </c>
      <c r="B561" t="s">
        <v>1097</v>
      </c>
      <c r="C561" t="s">
        <v>1110</v>
      </c>
      <c r="G561" t="str">
        <f t="shared" si="18"/>
        <v>.csv</v>
      </c>
      <c r="H561" s="5" t="str">
        <f>IF(AND(G561=".csv",COUNTIFS($B:$B,$B561,$G:$G,"xlsx")-COUNTIFS($B:$B,$B561,$G:$G,"xlsx",$C:$C,"~~$*")&gt;1,LEFT(C561,LEN($B561))&lt;&gt;$B561),"",IFERROR(IF(B561="FoPITY",INDEX(Customizations!$C$2:$C$19,MATCH(Sheet1!C561,Customizations!$B$2:$B$19,0),1),INDEX(About!C:C,MATCH(Sheet1!B561,About!B:B,0),1)),""))</f>
        <v>Start Year Seasonal Expected Hourly Electricity Capacity Factors.xlsx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5">
      <c r="A562" t="s">
        <v>101</v>
      </c>
      <c r="B562" t="s">
        <v>1097</v>
      </c>
      <c r="C562" t="s">
        <v>1111</v>
      </c>
      <c r="G562" t="str">
        <f t="shared" si="18"/>
        <v>.csv</v>
      </c>
      <c r="H562" s="5" t="str">
        <f>IF(AND(G562=".csv",COUNTIFS($B:$B,$B562,$G:$G,"xlsx")-COUNTIFS($B:$B,$B562,$G:$G,"xlsx",$C:$C,"~~$*")&gt;1,LEFT(C562,LEN($B562))&lt;&gt;$B562),"",IFERROR(IF(B562="FoPITY",INDEX(Customizations!$C$2:$C$19,MATCH(Sheet1!C562,Customizations!$B$2:$B$19,0),1),INDEX(About!C:C,MATCH(Sheet1!B562,About!B:B,0),1)),""))</f>
        <v>Start Year Seasonal Expected Hourly Electricity Capacity Factors.xlsx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5">
      <c r="A563" t="s">
        <v>101</v>
      </c>
      <c r="B563" t="s">
        <v>1097</v>
      </c>
      <c r="C563" t="s">
        <v>1112</v>
      </c>
      <c r="G563" t="str">
        <f t="shared" ref="G563:G621" si="20">RIGHT(C563,"4")</f>
        <v>.csv</v>
      </c>
      <c r="H563" s="5" t="str">
        <f>IF(AND(G563=".csv",COUNTIFS($B:$B,$B563,$G:$G,"xlsx")-COUNTIFS($B:$B,$B563,$G:$G,"xlsx",$C:$C,"~~$*")&gt;1,LEFT(C563,LEN($B563))&lt;&gt;$B563),"",IFERROR(IF(B563="FoPITY",INDEX(Customizations!$C$2:$C$19,MATCH(Sheet1!C563,Customizations!$B$2:$B$19,0),1),INDEX(About!C:C,MATCH(Sheet1!B563,About!B:B,0),1)),""))</f>
        <v>Start Year Seasonal Expected Hourly Electricity Capacity Factors.xlsx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5">
      <c r="A564" t="s">
        <v>101</v>
      </c>
      <c r="B564" t="s">
        <v>1097</v>
      </c>
      <c r="C564" t="s">
        <v>1113</v>
      </c>
      <c r="G564" t="str">
        <f t="shared" si="20"/>
        <v>.csv</v>
      </c>
      <c r="H564" s="5" t="str">
        <f>IF(AND(G564=".csv",COUNTIFS($B:$B,$B564,$G:$G,"xlsx")-COUNTIFS($B:$B,$B564,$G:$G,"xlsx",$C:$C,"~~$*")&gt;1,LEFT(C564,LEN($B564))&lt;&gt;$B564),"",IFERROR(IF(B564="FoPITY",INDEX(Customizations!$C$2:$C$19,MATCH(Sheet1!C564,Customizations!$B$2:$B$19,0),1),INDEX(About!C:C,MATCH(Sheet1!B564,About!B:B,0),1)),""))</f>
        <v>Start Year Seasonal Expected Hourly Electricity Capacity Factors.xlsx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5">
      <c r="A565" t="s">
        <v>101</v>
      </c>
      <c r="B565" t="s">
        <v>1097</v>
      </c>
      <c r="C565" t="s">
        <v>1114</v>
      </c>
      <c r="G565" t="str">
        <f t="shared" si="20"/>
        <v>.csv</v>
      </c>
      <c r="H565" s="5" t="str">
        <f>IF(AND(G565=".csv",COUNTIFS($B:$B,$B565,$G:$G,"xlsx")-COUNTIFS($B:$B,$B565,$G:$G,"xlsx",$C:$C,"~~$*")&gt;1,LEFT(C565,LEN($B565))&lt;&gt;$B565),"",IFERROR(IF(B565="FoPITY",INDEX(Customizations!$C$2:$C$19,MATCH(Sheet1!C565,Customizations!$B$2:$B$19,0),1),INDEX(About!C:C,MATCH(Sheet1!B565,About!B:B,0),1)),""))</f>
        <v>Start Year Seasonal Expected Hourly Electricity Capacity Factors.xlsx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5">
      <c r="A566" t="s">
        <v>101</v>
      </c>
      <c r="B566" t="s">
        <v>1097</v>
      </c>
      <c r="C566" t="s">
        <v>1115</v>
      </c>
      <c r="G566" t="str">
        <f t="shared" si="20"/>
        <v>.csv</v>
      </c>
      <c r="H566" s="5" t="str">
        <f>IF(AND(G566=".csv",COUNTIFS($B:$B,$B566,$G:$G,"xlsx")-COUNTIFS($B:$B,$B566,$G:$G,"xlsx",$C:$C,"~~$*")&gt;1,LEFT(C566,LEN($B566))&lt;&gt;$B566),"",IFERROR(IF(B566="FoPITY",INDEX(Customizations!$C$2:$C$19,MATCH(Sheet1!C566,Customizations!$B$2:$B$19,0),1),INDEX(About!C:C,MATCH(Sheet1!B566,About!B:B,0),1)),""))</f>
        <v>Start Year Seasonal Expected Hourly Electricity Capacity Factors.xlsx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5">
      <c r="A567" t="s">
        <v>101</v>
      </c>
      <c r="B567" t="s">
        <v>1097</v>
      </c>
      <c r="C567" t="s">
        <v>1116</v>
      </c>
      <c r="G567" t="str">
        <f t="shared" si="20"/>
        <v>.csv</v>
      </c>
      <c r="H567" s="5" t="str">
        <f>IF(AND(G567=".csv",COUNTIFS($B:$B,$B567,$G:$G,"xlsx")-COUNTIFS($B:$B,$B567,$G:$G,"xlsx",$C:$C,"~~$*")&gt;1,LEFT(C567,LEN($B567))&lt;&gt;$B567),"",IFERROR(IF(B567="FoPITY",INDEX(Customizations!$C$2:$C$19,MATCH(Sheet1!C567,Customizations!$B$2:$B$19,0),1),INDEX(About!C:C,MATCH(Sheet1!B567,About!B:B,0),1)),""))</f>
        <v>Start Year Seasonal Expected Hourly Electricity Capacity Factors.xlsx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5">
      <c r="A568" t="s">
        <v>101</v>
      </c>
      <c r="B568" t="s">
        <v>1097</v>
      </c>
      <c r="C568" t="s">
        <v>1288</v>
      </c>
      <c r="G568" t="str">
        <f t="shared" si="20"/>
        <v>.csv</v>
      </c>
      <c r="H568" s="5" t="str">
        <f>IF(AND(G568=".csv",COUNTIFS($B:$B,$B568,$G:$G,"xlsx")-COUNTIFS($B:$B,$B568,$G:$G,"xlsx",$C:$C,"~~$*")&gt;1,LEFT(C568,LEN($B568))&lt;&gt;$B568),"",IFERROR(IF(B568="FoPITY",INDEX(Customizations!$C$2:$C$19,MATCH(Sheet1!C568,Customizations!$B$2:$B$19,0),1),INDEX(About!C:C,MATCH(Sheet1!B568,About!B:B,0),1)),""))</f>
        <v>Start Year Seasonal Expected Hourly Electricity Capacity Factors.xlsx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5">
      <c r="A569" t="s">
        <v>101</v>
      </c>
      <c r="B569" t="s">
        <v>1097</v>
      </c>
      <c r="C569" t="s">
        <v>1117</v>
      </c>
      <c r="G569" t="str">
        <f t="shared" si="20"/>
        <v>.csv</v>
      </c>
      <c r="H569" s="5" t="str">
        <f>IF(AND(G569=".csv",COUNTIFS($B:$B,$B569,$G:$G,"xlsx")-COUNTIFS($B:$B,$B569,$G:$G,"xlsx",$C:$C,"~~$*")&gt;1,LEFT(C569,LEN($B569))&lt;&gt;$B569),"",IFERROR(IF(B569="FoPITY",INDEX(Customizations!$C$2:$C$19,MATCH(Sheet1!C569,Customizations!$B$2:$B$19,0),1),INDEX(About!C:C,MATCH(Sheet1!B569,About!B:B,0),1)),""))</f>
        <v>Start Year Seasonal Expected Hourly Electricity Capacity Factors.xlsx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5">
      <c r="A570" t="s">
        <v>101</v>
      </c>
      <c r="B570" t="s">
        <v>1097</v>
      </c>
      <c r="C570" t="s">
        <v>1233</v>
      </c>
      <c r="G570" t="str">
        <f t="shared" si="20"/>
        <v>.csv</v>
      </c>
      <c r="H570" s="5" t="str">
        <f>IF(AND(G570=".csv",COUNTIFS($B:$B,$B570,$G:$G,"xlsx")-COUNTIFS($B:$B,$B570,$G:$G,"xlsx",$C:$C,"~~$*")&gt;1,LEFT(C570,LEN($B570))&lt;&gt;$B570),"",IFERROR(IF(B570="FoPITY",INDEX(Customizations!$C$2:$C$19,MATCH(Sheet1!C570,Customizations!$B$2:$B$19,0),1),INDEX(About!C:C,MATCH(Sheet1!B570,About!B:B,0),1)),""))</f>
        <v>Start Year Seasonal Expected Hourly Electricity Capacity Factors.xlsx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5">
      <c r="A571" t="s">
        <v>101</v>
      </c>
      <c r="B571" t="s">
        <v>1097</v>
      </c>
      <c r="C571" t="s">
        <v>1118</v>
      </c>
      <c r="G571" t="str">
        <f t="shared" si="20"/>
        <v>.csv</v>
      </c>
      <c r="H571" s="5" t="str">
        <f>IF(AND(G571=".csv",COUNTIFS($B:$B,$B571,$G:$G,"xlsx")-COUNTIFS($B:$B,$B571,$G:$G,"xlsx",$C:$C,"~~$*")&gt;1,LEFT(C571,LEN($B571))&lt;&gt;$B571),"",IFERROR(IF(B571="FoPITY",INDEX(Customizations!$C$2:$C$19,MATCH(Sheet1!C571,Customizations!$B$2:$B$19,0),1),INDEX(About!C:C,MATCH(Sheet1!B571,About!B:B,0),1)),""))</f>
        <v>Start Year Seasonal Expected Hourly Electricity Capacity Factors.xlsx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5">
      <c r="A572" t="s">
        <v>101</v>
      </c>
      <c r="B572" t="s">
        <v>1097</v>
      </c>
      <c r="C572" t="s">
        <v>1119</v>
      </c>
      <c r="G572" t="str">
        <f t="shared" si="20"/>
        <v>.csv</v>
      </c>
      <c r="H572" s="5" t="str">
        <f>IF(AND(G572=".csv",COUNTIFS($B:$B,$B572,$G:$G,"xlsx")-COUNTIFS($B:$B,$B572,$G:$G,"xlsx",$C:$C,"~~$*")&gt;1,LEFT(C572,LEN($B572))&lt;&gt;$B572),"",IFERROR(IF(B572="FoPITY",INDEX(Customizations!$C$2:$C$19,MATCH(Sheet1!C572,Customizations!$B$2:$B$19,0),1),INDEX(About!C:C,MATCH(Sheet1!B572,About!B:B,0),1)),""))</f>
        <v>Start Year Seasonal Expected Hourly Electricity Capacity Factors.xlsx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5">
      <c r="A573" t="s">
        <v>101</v>
      </c>
      <c r="B573" t="s">
        <v>1097</v>
      </c>
      <c r="C573" t="s">
        <v>1120</v>
      </c>
      <c r="G573" t="str">
        <f t="shared" si="20"/>
        <v>.csv</v>
      </c>
      <c r="H573" s="5" t="str">
        <f>IF(AND(G573=".csv",COUNTIFS($B:$B,$B573,$G:$G,"xlsx")-COUNTIFS($B:$B,$B573,$G:$G,"xlsx",$C:$C,"~~$*")&gt;1,LEFT(C573,LEN($B573))&lt;&gt;$B573),"",IFERROR(IF(B573="FoPITY",INDEX(Customizations!$C$2:$C$19,MATCH(Sheet1!C573,Customizations!$B$2:$B$19,0),1),INDEX(About!C:C,MATCH(Sheet1!B573,About!B:B,0),1)),""))</f>
        <v>Start Year Seasonal Expected Hourly Electricity Capacity Factors.xlsx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5">
      <c r="A574" t="s">
        <v>101</v>
      </c>
      <c r="B574" t="s">
        <v>1289</v>
      </c>
      <c r="C574" t="s">
        <v>1290</v>
      </c>
      <c r="G574" t="str">
        <f t="shared" si="20"/>
        <v>xlsx</v>
      </c>
      <c r="H574" s="5" t="str">
        <f>IF(AND(G574=".csv",COUNTIFS($B:$B,$B574,$G:$G,"xlsx")-COUNTIFS($B:$B,$B574,$G:$G,"xlsx",$C:$C,"~~$*")&gt;1,LEFT(C574,LEN($B574))&lt;&gt;$B574),"",IFERROR(IF(B574="FoPITY",INDEX(Customizations!$C$2:$C$19,MATCH(Sheet1!C574,Customizations!$B$2:$B$19,0),1),INDEX(About!C:C,MATCH(Sheet1!B574,About!B:B,0),1)),""))</f>
        <v>Start Year Transmission and Distribution Costs.xlsx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5">
      <c r="A575" t="s">
        <v>101</v>
      </c>
      <c r="B575" t="s">
        <v>1289</v>
      </c>
      <c r="C575" t="s">
        <v>1291</v>
      </c>
      <c r="G575" t="str">
        <f t="shared" si="20"/>
        <v>.csv</v>
      </c>
      <c r="H575" s="5" t="str">
        <f>IF(AND(G575=".csv",COUNTIFS($B:$B,$B575,$G:$G,"xlsx")-COUNTIFS($B:$B,$B575,$G:$G,"xlsx",$C:$C,"~~$*")&gt;1,LEFT(C575,LEN($B575))&lt;&gt;$B575),"",IFERROR(IF(B575="FoPITY",INDEX(Customizations!$C$2:$C$19,MATCH(Sheet1!C575,Customizations!$B$2:$B$19,0),1),INDEX(About!C:C,MATCH(Sheet1!B575,About!B:B,0),1)),""))</f>
        <v>Start Year Transmission and Distribution Costs.xlsx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5">
      <c r="A576" t="s">
        <v>101</v>
      </c>
      <c r="B576" t="s">
        <v>1289</v>
      </c>
      <c r="C576" t="s">
        <v>1292</v>
      </c>
      <c r="G576" t="str">
        <f t="shared" si="20"/>
        <v>.csv</v>
      </c>
      <c r="H576" s="5" t="str">
        <f>IF(AND(G576=".csv",COUNTIFS($B:$B,$B576,$G:$G,"xlsx")-COUNTIFS($B:$B,$B576,$G:$G,"xlsx",$C:$C,"~~$*")&gt;1,LEFT(C576,LEN($B576))&lt;&gt;$B576),"",IFERROR(IF(B576="FoPITY",INDEX(Customizations!$C$2:$C$19,MATCH(Sheet1!C576,Customizations!$B$2:$B$19,0),1),INDEX(About!C:C,MATCH(Sheet1!B576,About!B:B,0),1)),""))</f>
        <v>Start Year Transmission and Distribution Costs.xlsx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5">
      <c r="A577" t="s">
        <v>101</v>
      </c>
      <c r="B577" t="s">
        <v>1289</v>
      </c>
      <c r="C577" t="s">
        <v>1293</v>
      </c>
      <c r="G577" t="str">
        <f t="shared" si="20"/>
        <v>.csv</v>
      </c>
      <c r="H577" s="5" t="str">
        <f>IF(AND(G577=".csv",COUNTIFS($B:$B,$B577,$G:$G,"xlsx")-COUNTIFS($B:$B,$B577,$G:$G,"xlsx",$C:$C,"~~$*")&gt;1,LEFT(C577,LEN($B577))&lt;&gt;$B577),"",IFERROR(IF(B577="FoPITY",INDEX(Customizations!$C$2:$C$19,MATCH(Sheet1!C577,Customizations!$B$2:$B$19,0),1),INDEX(About!C:C,MATCH(Sheet1!B577,About!B:B,0),1)),""))</f>
        <v>Start Year Transmission and Distribution Costs.xlsx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5">
      <c r="A578" t="s">
        <v>101</v>
      </c>
      <c r="B578" t="s">
        <v>1289</v>
      </c>
      <c r="C578" t="s">
        <v>1294</v>
      </c>
      <c r="G578" t="str">
        <f t="shared" si="20"/>
        <v>.csv</v>
      </c>
      <c r="H578" s="5" t="str">
        <f>IF(AND(G578=".csv",COUNTIFS($B:$B,$B578,$G:$G,"xlsx")-COUNTIFS($B:$B,$B578,$G:$G,"xlsx",$C:$C,"~~$*")&gt;1,LEFT(C578,LEN($B578))&lt;&gt;$B578),"",IFERROR(IF(B578="FoPITY",INDEX(Customizations!$C$2:$C$19,MATCH(Sheet1!C578,Customizations!$B$2:$B$19,0),1),INDEX(About!C:C,MATCH(Sheet1!B578,About!B:B,0),1)),""))</f>
        <v>Start Year Transmission and Distribution Costs.xlsx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5">
      <c r="A579" t="s">
        <v>101</v>
      </c>
      <c r="B579" t="s">
        <v>1767</v>
      </c>
      <c r="C579" t="s">
        <v>1768</v>
      </c>
      <c r="G579" t="str">
        <f t="shared" si="20"/>
        <v>.csv</v>
      </c>
      <c r="H579" s="5" t="str">
        <f>IF(AND(G579=".csv",COUNTIFS($B:$B,$B579,$G:$G,"xlsx")-COUNTIFS($B:$B,$B579,$G:$G,"xlsx",$C:$C,"~~$*")&gt;1,LEFT(C579,LEN($B579))&lt;&gt;$B579),"",IFERROR(IF(B579="FoPITY",INDEX(Customizations!$C$2:$C$19,MATCH(Sheet1!C579,Customizations!$B$2:$B$19,0),1),INDEX(About!C:C,MATCH(Sheet1!B579,About!B:B,0),1)),""))</f>
        <v>Time Adjusted Capacity Factor Multiplier for Plants Built This Year.xlsx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5">
      <c r="A580" t="s">
        <v>101</v>
      </c>
      <c r="B580" t="s">
        <v>1767</v>
      </c>
      <c r="C580" t="s">
        <v>1769</v>
      </c>
      <c r="G580" t="str">
        <f t="shared" si="20"/>
        <v>xlsx</v>
      </c>
      <c r="H580" s="5" t="str">
        <f>IF(AND(G580=".csv",COUNTIFS($B:$B,$B580,$G:$G,"xlsx")-COUNTIFS($B:$B,$B580,$G:$G,"xlsx",$C:$C,"~~$*")&gt;1,LEFT(C580,LEN($B580))&lt;&gt;$B580),"",IFERROR(IF(B580="FoPITY",INDEX(Customizations!$C$2:$C$19,MATCH(Sheet1!C580,Customizations!$B$2:$B$19,0),1),INDEX(About!C:C,MATCH(Sheet1!B580,About!B:B,0),1)),""))</f>
        <v>Time Adjusted Capacity Factor Multiplier for Plants Built This Year.xlsx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5">
      <c r="A581" t="s">
        <v>101</v>
      </c>
      <c r="B581" t="s">
        <v>1295</v>
      </c>
      <c r="C581" t="s">
        <v>1296</v>
      </c>
      <c r="G581" t="str">
        <f t="shared" si="20"/>
        <v>.csv</v>
      </c>
      <c r="H581" s="5" t="str">
        <f>IF(AND(G581=".csv",COUNTIFS($B:$B,$B581,$G:$G,"xlsx")-COUNTIFS($B:$B,$B581,$G:$G,"xlsx",$C:$C,"~~$*")&gt;1,LEFT(C581,LEN($B581))&lt;&gt;$B581),"",IFERROR(IF(B581="FoPITY",INDEX(Customizations!$C$2:$C$19,MATCH(Sheet1!C581,Customizations!$B$2:$B$19,0),1),INDEX(About!C:C,MATCH(Sheet1!B581,About!B:B,0),1)),""))</f>
        <v>Trans Const Cost per Unit New Electricity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5">
      <c r="A582" t="s">
        <v>101</v>
      </c>
      <c r="B582" t="s">
        <v>1295</v>
      </c>
      <c r="C582" t="s">
        <v>1297</v>
      </c>
      <c r="G582" t="str">
        <f t="shared" si="20"/>
        <v>xlsx</v>
      </c>
      <c r="H582" s="5" t="str">
        <f>IF(AND(G582=".csv",COUNTIFS($B:$B,$B582,$G:$G,"xlsx")-COUNTIFS($B:$B,$B582,$G:$G,"xlsx",$C:$C,"~~$*")&gt;1,LEFT(C582,LEN($B582))&lt;&gt;$B582),"",IFERROR(IF(B582="FoPITY",INDEX(Customizations!$C$2:$C$19,MATCH(Sheet1!C582,Customizations!$B$2:$B$19,0),1),INDEX(About!C:C,MATCH(Sheet1!B582,About!B:B,0),1)),""))</f>
        <v>Trans Const Cost per Unit New Electricity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5">
      <c r="A583" t="s">
        <v>101</v>
      </c>
      <c r="B583" t="s">
        <v>1951</v>
      </c>
      <c r="C583" t="s">
        <v>1952</v>
      </c>
      <c r="G583" t="str">
        <f t="shared" si="20"/>
        <v>.csv</v>
      </c>
      <c r="H583" s="5" t="str">
        <f>IF(AND(G583=".csv",COUNTIFS($B:$B,$B583,$G:$G,"xlsx")-COUNTIFS($B:$B,$B583,$G:$G,"xlsx",$C:$C,"~~$*")&gt;1,LEFT(C583,LEN($B583))&lt;&gt;$B583),"",IFERROR(IF(B583="FoPITY",INDEX(Customizations!$C$2:$C$19,MATCH(Sheet1!C583,Customizations!$B$2:$B$19,0),1),INDEX(About!C:C,MATCH(Sheet1!B583,About!B:B,0),1)),""))</f>
        <v>Usage Factor Discount for Grid Battery Storage.xlsx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5">
      <c r="A584" t="s">
        <v>101</v>
      </c>
      <c r="B584" t="s">
        <v>1951</v>
      </c>
      <c r="C584" t="s">
        <v>1953</v>
      </c>
      <c r="G584" t="str">
        <f t="shared" si="20"/>
        <v>xlsx</v>
      </c>
      <c r="H584" s="5" t="str">
        <f>IF(AND(G584=".csv",COUNTIFS($B:$B,$B584,$G:$G,"xlsx")-COUNTIFS($B:$B,$B584,$G:$G,"xlsx",$C:$C,"~~$*")&gt;1,LEFT(C584,LEN($B584))&lt;&gt;$B584),"",IFERROR(IF(B584="FoPITY",INDEX(Customizations!$C$2:$C$19,MATCH(Sheet1!C584,Customizations!$B$2:$B$19,0),1),INDEX(About!C:C,MATCH(Sheet1!B584,About!B:B,0),1)),""))</f>
        <v>Usage Factor Discount for Grid Battery Storage.xlsx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5">
      <c r="A585" t="s">
        <v>101</v>
      </c>
      <c r="B585" t="s">
        <v>158</v>
      </c>
      <c r="C585" t="s">
        <v>159</v>
      </c>
      <c r="G585" t="str">
        <f t="shared" si="20"/>
        <v>xlsx</v>
      </c>
      <c r="H585" s="5" t="str">
        <f>IF(AND(G585=".csv",COUNTIFS($B:$B,$B585,$G:$G,"xlsx")-COUNTIFS($B:$B,$B585,$G:$G,"xlsx",$C:$C,"~~$*")&gt;1,LEFT(C585,LEN($B585))&lt;&gt;$B585),"",IFERROR(IF(B585="FoPITY",INDEX(Customizations!$C$2:$C$19,MATCH(Sheet1!C585,Customizations!$B$2:$B$19,0),1),INDEX(About!C:C,MATCH(Sheet1!B585,About!B:B,0),1)),""))</f>
        <v>Water Use by Power Plant Type.xlsx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5">
      <c r="A586" t="s">
        <v>101</v>
      </c>
      <c r="B586" t="s">
        <v>158</v>
      </c>
      <c r="C586" t="s">
        <v>160</v>
      </c>
      <c r="G586" t="str">
        <f t="shared" si="20"/>
        <v>.csv</v>
      </c>
      <c r="H586" s="5" t="str">
        <f>IF(AND(G586=".csv",COUNTIFS($B:$B,$B586,$G:$G,"xlsx")-COUNTIFS($B:$B,$B586,$G:$G,"xlsx",$C:$C,"~~$*")&gt;1,LEFT(C586,LEN($B586))&lt;&gt;$B586),"",IFERROR(IF(B586="FoPITY",INDEX(Customizations!$C$2:$C$19,MATCH(Sheet1!C586,Customizations!$B$2:$B$19,0),1),INDEX(About!C:C,MATCH(Sheet1!B586,About!B:B,0),1)),""))</f>
        <v>Water Use by Power Plant Type.xlsx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5">
      <c r="A587" t="s">
        <v>101</v>
      </c>
      <c r="B587" t="s">
        <v>158</v>
      </c>
      <c r="C587" t="s">
        <v>161</v>
      </c>
      <c r="G587" t="str">
        <f t="shared" si="20"/>
        <v>.csv</v>
      </c>
      <c r="H587" s="5" t="str">
        <f>IF(AND(G587=".csv",COUNTIFS($B:$B,$B587,$G:$G,"xlsx")-COUNTIFS($B:$B,$B587,$G:$G,"xlsx",$C:$C,"~~$*")&gt;1,LEFT(C587,LEN($B587))&lt;&gt;$B587),"",IFERROR(IF(B587="FoPITY",INDEX(Customizations!$C$2:$C$19,MATCH(Sheet1!C587,Customizations!$B$2:$B$19,0),1),INDEX(About!C:C,MATCH(Sheet1!B587,About!B:B,0),1)),""))</f>
        <v>Water Use by Power Plant Type.xlsx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5">
      <c r="A588" t="s">
        <v>162</v>
      </c>
      <c r="B588" t="s">
        <v>163</v>
      </c>
      <c r="C588" t="s">
        <v>164</v>
      </c>
      <c r="G588" t="str">
        <f t="shared" si="20"/>
        <v>xlsx</v>
      </c>
      <c r="H588" s="5" t="str">
        <f>IF(AND(G588=".csv",COUNTIFS($B:$B,$B588,$G:$G,"xlsx")-COUNTIFS($B:$B,$B588,$G:$G,"xlsx",$C:$C,"~~$*")&gt;1,LEFT(C588,LEN($B588))&lt;&gt;$B588),"",IFERROR(IF(B588="FoPITY",INDEX(Customizations!$C$2:$C$19,MATCH(Sheet1!C588,Customizations!$B$2:$B$19,0),1),INDEX(About!C:C,MATCH(Sheet1!B588,About!B:B,0),1)),""))</f>
        <v>BAU CO2 Sequestered Globally.xlsx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5">
      <c r="A589" t="s">
        <v>162</v>
      </c>
      <c r="B589" t="s">
        <v>163</v>
      </c>
      <c r="C589" t="s">
        <v>165</v>
      </c>
      <c r="G589" t="str">
        <f t="shared" si="20"/>
        <v>.csv</v>
      </c>
      <c r="H589" s="5" t="str">
        <f>IF(AND(G589=".csv",COUNTIFS($B:$B,$B589,$G:$G,"xlsx")-COUNTIFS($B:$B,$B589,$G:$G,"xlsx",$C:$C,"~~$*")&gt;1,LEFT(C589,LEN($B589))&lt;&gt;$B589),"",IFERROR(IF(B589="FoPITY",INDEX(Customizations!$C$2:$C$19,MATCH(Sheet1!C589,Customizations!$B$2:$B$19,0),1),INDEX(About!C:C,MATCH(Sheet1!B589,About!B:B,0),1)),""))</f>
        <v>BAU CO2 Sequestered Globally.xlsx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5">
      <c r="A590" t="s">
        <v>162</v>
      </c>
      <c r="B590" t="s">
        <v>163</v>
      </c>
      <c r="C590" t="s">
        <v>1298</v>
      </c>
      <c r="G590" t="str">
        <f t="shared" si="20"/>
        <v>.csv</v>
      </c>
      <c r="H590" s="5" t="str">
        <f>IF(AND(G590=".csv",COUNTIFS($B:$B,$B590,$G:$G,"xlsx")-COUNTIFS($B:$B,$B590,$G:$G,"xlsx",$C:$C,"~~$*")&gt;1,LEFT(C590,LEN($B590))&lt;&gt;$B590),"",IFERROR(IF(B590="FoPITY",INDEX(Customizations!$C$2:$C$19,MATCH(Sheet1!C590,Customizations!$B$2:$B$19,0),1),INDEX(About!C:C,MATCH(Sheet1!B590,About!B:B,0),1)),""))</f>
        <v>BAU CO2 Sequestered Globally.xlsx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5">
      <c r="A591" t="s">
        <v>162</v>
      </c>
      <c r="B591" t="s">
        <v>166</v>
      </c>
      <c r="C591" t="s">
        <v>167</v>
      </c>
      <c r="G591" t="str">
        <f t="shared" si="20"/>
        <v>xlsx</v>
      </c>
      <c r="H591" s="5" t="str">
        <f>IF(AND(G591=".csv",COUNTIFS($B:$B,$B591,$G:$G,"xlsx")-COUNTIFS($B:$B,$B591,$G:$G,"xlsx",$C:$C,"~~$*")&gt;1,LEFT(C591,LEN($B591))&lt;&gt;$B591),"",IFERROR(IF(B591="FoPITY",INDEX(Customizations!$C$2:$C$19,MATCH(Sheet1!C591,Customizations!$B$2:$B$19,0),1),INDEX(About!C:C,MATCH(Sheet1!B591,About!B:B,0),1)),""))</f>
        <v>BAU Global Battery Storage Cap.xlsx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5">
      <c r="A592" t="s">
        <v>162</v>
      </c>
      <c r="B592" t="s">
        <v>166</v>
      </c>
      <c r="C592" t="s">
        <v>168</v>
      </c>
      <c r="G592" t="str">
        <f t="shared" si="20"/>
        <v>.csv</v>
      </c>
      <c r="H592" s="5" t="str">
        <f>IF(AND(G592=".csv",COUNTIFS($B:$B,$B592,$G:$G,"xlsx")-COUNTIFS($B:$B,$B592,$G:$G,"xlsx",$C:$C,"~~$*")&gt;1,LEFT(C592,LEN($B592))&lt;&gt;$B592),"",IFERROR(IF(B592="FoPITY",INDEX(Customizations!$C$2:$C$19,MATCH(Sheet1!C592,Customizations!$B$2:$B$19,0),1),INDEX(About!C:C,MATCH(Sheet1!B592,About!B:B,0),1)),""))</f>
        <v>BAU Global Battery Storage Cap.xlsx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5">
      <c r="A593" t="s">
        <v>162</v>
      </c>
      <c r="B593" t="s">
        <v>166</v>
      </c>
      <c r="C593" t="s">
        <v>694</v>
      </c>
      <c r="G593" t="str">
        <f t="shared" si="20"/>
        <v>.csv</v>
      </c>
      <c r="H593" s="5" t="str">
        <f>IF(AND(G593=".csv",COUNTIFS($B:$B,$B593,$G:$G,"xlsx")-COUNTIFS($B:$B,$B593,$G:$G,"xlsx",$C:$C,"~~$*")&gt;1,LEFT(C593,LEN($B593))&lt;&gt;$B593),"",IFERROR(IF(B593="FoPITY",INDEX(Customizations!$C$2:$C$19,MATCH(Sheet1!C593,Customizations!$B$2:$B$19,0),1),INDEX(About!C:C,MATCH(Sheet1!B593,About!B:B,0),1)),""))</f>
        <v>BAU Global Battery Storage Cap.xlsx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5">
      <c r="A594" t="s">
        <v>162</v>
      </c>
      <c r="B594" t="s">
        <v>169</v>
      </c>
      <c r="C594" t="s">
        <v>170</v>
      </c>
      <c r="G594" t="str">
        <f t="shared" si="20"/>
        <v>xlsx</v>
      </c>
      <c r="H594" s="5" t="str">
        <f>IF(AND(G594=".csv",COUNTIFS($B:$B,$B594,$G:$G,"xlsx")-COUNTIFS($B:$B,$B594,$G:$G,"xlsx",$C:$C,"~~$*")&gt;1,LEFT(C594,LEN($B594))&lt;&gt;$B594),"",IFERROR(IF(B594="FoPITY",INDEX(Customizations!$C$2:$C$19,MATCH(Sheet1!C594,Customizations!$B$2:$B$19,0),1),INDEX(About!C:C,MATCH(Sheet1!B594,About!B:B,0),1)),""))</f>
        <v>BAU Global Solar and Wind Cap.xlsx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5">
      <c r="A595" t="s">
        <v>162</v>
      </c>
      <c r="B595" t="s">
        <v>169</v>
      </c>
      <c r="C595" t="s">
        <v>171</v>
      </c>
      <c r="G595" t="str">
        <f t="shared" si="20"/>
        <v>.csv</v>
      </c>
      <c r="H595" s="5" t="str">
        <f>IF(AND(G595=".csv",COUNTIFS($B:$B,$B595,$G:$G,"xlsx")-COUNTIFS($B:$B,$B595,$G:$G,"xlsx",$C:$C,"~~$*")&gt;1,LEFT(C595,LEN($B595))&lt;&gt;$B595),"",IFERROR(IF(B595="FoPITY",INDEX(Customizations!$C$2:$C$19,MATCH(Sheet1!C595,Customizations!$B$2:$B$19,0),1),INDEX(About!C:C,MATCH(Sheet1!B595,About!B:B,0),1)),""))</f>
        <v>BAU Global Solar and Wind Cap.xlsx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5">
      <c r="A596" t="s">
        <v>162</v>
      </c>
      <c r="B596" t="s">
        <v>169</v>
      </c>
      <c r="C596" t="s">
        <v>1121</v>
      </c>
      <c r="G596" t="str">
        <f t="shared" si="20"/>
        <v>.csv</v>
      </c>
      <c r="H596" s="5" t="str">
        <f>IF(AND(G596=".csv",COUNTIFS($B:$B,$B596,$G:$G,"xlsx")-COUNTIFS($B:$B,$B596,$G:$G,"xlsx",$C:$C,"~~$*")&gt;1,LEFT(C596,LEN($B596))&lt;&gt;$B596),"",IFERROR(IF(B596="FoPITY",INDEX(Customizations!$C$2:$C$19,MATCH(Sheet1!C596,Customizations!$B$2:$B$19,0),1),INDEX(About!C:C,MATCH(Sheet1!B596,About!B:B,0),1)),""))</f>
        <v>BAU Global Solar and Wind Cap.xlsx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5">
      <c r="A597" t="s">
        <v>162</v>
      </c>
      <c r="B597" t="s">
        <v>695</v>
      </c>
      <c r="C597" t="s">
        <v>696</v>
      </c>
      <c r="G597" t="str">
        <f t="shared" si="20"/>
        <v>.csv</v>
      </c>
      <c r="H597" s="5" t="str">
        <f>IF(AND(G597=".csv",COUNTIFS($B:$B,$B597,$G:$G,"xlsx")-COUNTIFS($B:$B,$B597,$G:$G,"xlsx",$C:$C,"~~$*")&gt;1,LEFT(C597,LEN($B597))&lt;&gt;$B597),"",IFERROR(IF(B597="FoPITY",INDEX(Customizations!$C$2:$C$19,MATCH(Sheet1!C597,Customizations!$B$2:$B$19,0),1),INDEX(About!C:C,MATCH(Sheet1!B597,About!B:B,0),1)),""))</f>
        <v>Frac of Tech Outside Modeled Region Affecting Endo Learning.xlsx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5">
      <c r="A598" t="s">
        <v>162</v>
      </c>
      <c r="B598" t="s">
        <v>695</v>
      </c>
      <c r="C598" t="s">
        <v>697</v>
      </c>
      <c r="G598" t="str">
        <f t="shared" si="20"/>
        <v>xlsx</v>
      </c>
      <c r="H598" s="5" t="str">
        <f>IF(AND(G598=".csv",COUNTIFS($B:$B,$B598,$G:$G,"xlsx")-COUNTIFS($B:$B,$B598,$G:$G,"xlsx",$C:$C,"~~$*")&gt;1,LEFT(C598,LEN($B598))&lt;&gt;$B598),"",IFERROR(IF(B598="FoPITY",INDEX(Customizations!$C$2:$C$19,MATCH(Sheet1!C598,Customizations!$B$2:$B$19,0),1),INDEX(About!C:C,MATCH(Sheet1!B598,About!B:B,0),1)),""))</f>
        <v>Frac of Tech Outside Modeled Region Affecting Endo Learning.xlsx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5">
      <c r="A599" t="s">
        <v>162</v>
      </c>
      <c r="B599" t="s">
        <v>172</v>
      </c>
      <c r="C599" t="s">
        <v>173</v>
      </c>
      <c r="G599" t="str">
        <f t="shared" si="20"/>
        <v>.csv</v>
      </c>
      <c r="H599" s="5" t="str">
        <f>IF(AND(G599=".csv",COUNTIFS($B:$B,$B599,$G:$G,"xlsx")-COUNTIFS($B:$B,$B599,$G:$G,"xlsx",$C:$C,"~~$*")&gt;1,LEFT(C599,LEN($B599))&lt;&gt;$B599),"",IFERROR(IF(B599="FoPITY",INDEX(Customizations!$C$2:$C$19,MATCH(Sheet1!C599,Customizations!$B$2:$B$19,0),1),INDEX(About!C:C,MATCH(Sheet1!B599,About!B:B,0),1)),""))</f>
        <v>Perc Decline in Battery Cost per Doubling of Cap.xlsx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5">
      <c r="A600" t="s">
        <v>162</v>
      </c>
      <c r="B600" t="s">
        <v>172</v>
      </c>
      <c r="C600" t="s">
        <v>174</v>
      </c>
      <c r="G600" t="str">
        <f t="shared" si="20"/>
        <v>xlsx</v>
      </c>
      <c r="H600" s="5" t="str">
        <f>IF(AND(G600=".csv",COUNTIFS($B:$B,$B600,$G:$G,"xlsx")-COUNTIFS($B:$B,$B600,$G:$G,"xlsx",$C:$C,"~~$*")&gt;1,LEFT(C600,LEN($B600))&lt;&gt;$B600),"",IFERROR(IF(B600="FoPITY",INDEX(Customizations!$C$2:$C$19,MATCH(Sheet1!C600,Customizations!$B$2:$B$19,0),1),INDEX(About!C:C,MATCH(Sheet1!B600,About!B:B,0),1)),""))</f>
        <v>Perc Decline in Battery Cost per Doubling of Cap.xlsx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5">
      <c r="A601" t="s">
        <v>162</v>
      </c>
      <c r="B601" t="s">
        <v>175</v>
      </c>
      <c r="C601" t="s">
        <v>176</v>
      </c>
      <c r="G601" t="str">
        <f t="shared" si="20"/>
        <v>.csv</v>
      </c>
      <c r="H601" s="5" t="str">
        <f>IF(AND(G601=".csv",COUNTIFS($B:$B,$B601,$G:$G,"xlsx")-COUNTIFS($B:$B,$B601,$G:$G,"xlsx",$C:$C,"~~$*")&gt;1,LEFT(C601,LEN($B601))&lt;&gt;$B601),"",IFERROR(IF(B601="FoPITY",INDEX(Customizations!$C$2:$C$19,MATCH(Sheet1!C601,Customizations!$B$2:$B$19,0),1),INDEX(About!C:C,MATCH(Sheet1!B601,About!B:B,0),1)),""))</f>
        <v>Perc Decline in Cap Cost per Doubling of Cap.xlsx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5">
      <c r="A602" t="s">
        <v>162</v>
      </c>
      <c r="B602" t="s">
        <v>175</v>
      </c>
      <c r="C602" t="s">
        <v>177</v>
      </c>
      <c r="G602" t="str">
        <f t="shared" si="20"/>
        <v>xlsx</v>
      </c>
      <c r="H602" s="5" t="str">
        <f>IF(AND(G602=".csv",COUNTIFS($B:$B,$B602,$G:$G,"xlsx")-COUNTIFS($B:$B,$B602,$G:$G,"xlsx",$C:$C,"~~$*")&gt;1,LEFT(C602,LEN($B602))&lt;&gt;$B602),"",IFERROR(IF(B602="FoPITY",INDEX(Customizations!$C$2:$C$19,MATCH(Sheet1!C602,Customizations!$B$2:$B$19,0),1),INDEX(About!C:C,MATCH(Sheet1!B602,About!B:B,0),1)),""))</f>
        <v>Perc Decline in Cap Cost per Doubling of Cap.xlsx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5">
      <c r="A603" t="s">
        <v>162</v>
      </c>
      <c r="B603" t="s">
        <v>178</v>
      </c>
      <c r="C603" t="s">
        <v>179</v>
      </c>
      <c r="G603" t="str">
        <f t="shared" si="20"/>
        <v>.csv</v>
      </c>
      <c r="H603" s="5" t="str">
        <f>IF(AND(G603=".csv",COUNTIFS($B:$B,$B603,$G:$G,"xlsx")-COUNTIFS($B:$B,$B603,$G:$G,"xlsx",$C:$C,"~~$*")&gt;1,LEFT(C603,LEN($B603))&lt;&gt;$B603),"",IFERROR(IF(B603="FoPITY",INDEX(Customizations!$C$2:$C$19,MATCH(Sheet1!C603,Customizations!$B$2:$B$19,0),1),INDEX(About!C:C,MATCH(Sheet1!B603,About!B:B,0),1)),""))</f>
        <v>Perc Decline in CCS Eqpt Cost per Doubling of Capacity.xlsx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5">
      <c r="A604" t="s">
        <v>162</v>
      </c>
      <c r="B604" t="s">
        <v>178</v>
      </c>
      <c r="C604" t="s">
        <v>180</v>
      </c>
      <c r="G604" t="str">
        <f t="shared" si="20"/>
        <v>xlsx</v>
      </c>
      <c r="H604" s="5" t="str">
        <f>IF(AND(G604=".csv",COUNTIFS($B:$B,$B604,$G:$G,"xlsx")-COUNTIFS($B:$B,$B604,$G:$G,"xlsx",$C:$C,"~~$*")&gt;1,LEFT(C604,LEN($B604))&lt;&gt;$B604),"",IFERROR(IF(B604="FoPITY",INDEX(Customizations!$C$2:$C$19,MATCH(Sheet1!C604,Customizations!$B$2:$B$19,0),1),INDEX(About!C:C,MATCH(Sheet1!B604,About!B:B,0),1)),""))</f>
        <v>Perc Decline in CCS Eqpt Cost per Doubling of Capacity.xlsx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5">
      <c r="A605" t="s">
        <v>181</v>
      </c>
      <c r="B605" t="s">
        <v>735</v>
      </c>
      <c r="C605" t="s">
        <v>736</v>
      </c>
      <c r="G605" t="str">
        <f t="shared" si="20"/>
        <v>xlsx</v>
      </c>
      <c r="H605" s="5" t="str">
        <f>IF(AND(G605=".csv",COUNTIFS($B:$B,$B605,$G:$G,"xlsx")-COUNTIFS($B:$B,$B605,$G:$G,"xlsx",$C:$C,"~~$*")&gt;1,LEFT(C605,LEN($B605))&lt;&gt;$B605),"",IFERROR(IF(B605="FoPITY",INDEX(Customizations!$C$2:$C$19,MATCH(Sheet1!C605,Customizations!$B$2:$B$19,0),1),INDEX(About!C:C,MATCH(Sheet1!B605,About!B:B,0),1)),""))</f>
        <v>BAU Carbon Tax Rate.xlsx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5">
      <c r="A606" t="s">
        <v>181</v>
      </c>
      <c r="B606" t="s">
        <v>735</v>
      </c>
      <c r="C606" t="s">
        <v>737</v>
      </c>
      <c r="G606" t="str">
        <f t="shared" si="20"/>
        <v>.csv</v>
      </c>
      <c r="H606" s="5" t="str">
        <f>IF(AND(G606=".csv",COUNTIFS($B:$B,$B606,$G:$G,"xlsx")-COUNTIFS($B:$B,$B606,$G:$G,"xlsx",$C:$C,"~~$*")&gt;1,LEFT(C606,LEN($B606))&lt;&gt;$B606),"",IFERROR(IF(B606="FoPITY",INDEX(Customizations!$C$2:$C$19,MATCH(Sheet1!C606,Customizations!$B$2:$B$19,0),1),INDEX(About!C:C,MATCH(Sheet1!B606,About!B:B,0),1)),""))</f>
        <v>BAU Carbon Tax Rate.xlsx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5">
      <c r="A607" t="s">
        <v>181</v>
      </c>
      <c r="B607" t="s">
        <v>1354</v>
      </c>
      <c r="C607" t="s">
        <v>1355</v>
      </c>
      <c r="G607" t="str">
        <f t="shared" si="20"/>
        <v>xlsx</v>
      </c>
      <c r="H607" s="5" t="str">
        <f>IF(AND(G607=".csv",COUNTIFS($B:$B,$B607,$G:$G,"xlsx")-COUNTIFS($B:$B,$B607,$G:$G,"xlsx",$C:$C,"~~$*")&gt;1,LEFT(C607,LEN($B607))&lt;&gt;$B607),"",IFERROR(IF(B607="FoPITY",INDEX(Customizations!$C$2:$C$19,MATCH(Sheet1!C607,Customizations!$B$2:$B$19,0),1),INDEX(About!C:C,MATCH(Sheet1!B607,About!B:B,0),1)),""))</f>
        <v>BAU Fraction of Industry Covered by Carbon Tax Border Adjustment.xlsx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5">
      <c r="A608" t="s">
        <v>181</v>
      </c>
      <c r="B608" t="s">
        <v>1354</v>
      </c>
      <c r="C608" t="s">
        <v>1356</v>
      </c>
      <c r="G608" t="str">
        <f t="shared" si="20"/>
        <v>.csv</v>
      </c>
      <c r="H608" s="5" t="str">
        <f>IF(AND(G608=".csv",COUNTIFS($B:$B,$B608,$G:$G,"xlsx")-COUNTIFS($B:$B,$B608,$G:$G,"xlsx",$C:$C,"~~$*")&gt;1,LEFT(C608,LEN($B608))&lt;&gt;$B608),"",IFERROR(IF(B608="FoPITY",INDEX(Customizations!$C$2:$C$19,MATCH(Sheet1!C608,Customizations!$B$2:$B$19,0),1),INDEX(About!C:C,MATCH(Sheet1!B608,About!B:B,0),1)),""))</f>
        <v>BAU Fraction of Industry Covered by Carbon Tax Border Adjustment.xlsx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5">
      <c r="A609" t="s">
        <v>181</v>
      </c>
      <c r="B609" t="s">
        <v>1357</v>
      </c>
      <c r="C609" t="s">
        <v>1358</v>
      </c>
      <c r="G609" t="str">
        <f t="shared" si="20"/>
        <v>xlsx</v>
      </c>
      <c r="H609" s="5" t="str">
        <f>IF(AND(G609=".csv",COUNTIFS($B:$B,$B609,$G:$G,"xlsx")-COUNTIFS($B:$B,$B609,$G:$G,"xlsx",$C:$C,"~~$*")&gt;1,LEFT(C609,LEN($B609))&lt;&gt;$B609),"",IFERROR(IF(B609="FoPITY",INDEX(Customizations!$C$2:$C$19,MATCH(Sheet1!C609,Customizations!$B$2:$B$19,0),1),INDEX(About!C:C,MATCH(Sheet1!B609,About!B:B,0),1)),""))</f>
        <v>BAU Fraction of Industry Category Subject to Carbon Tax.xlsx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5">
      <c r="A610" t="s">
        <v>181</v>
      </c>
      <c r="B610" t="s">
        <v>1357</v>
      </c>
      <c r="C610" t="s">
        <v>1359</v>
      </c>
      <c r="G610" t="str">
        <f t="shared" si="20"/>
        <v>.csv</v>
      </c>
      <c r="H610" s="5" t="str">
        <f>IF(AND(G610=".csv",COUNTIFS($B:$B,$B610,$G:$G,"xlsx")-COUNTIFS($B:$B,$B610,$G:$G,"xlsx",$C:$C,"~~$*")&gt;1,LEFT(C610,LEN($B610))&lt;&gt;$B610),"",IFERROR(IF(B610="FoPITY",INDEX(Customizations!$C$2:$C$19,MATCH(Sheet1!C610,Customizations!$B$2:$B$19,0),1),INDEX(About!C:C,MATCH(Sheet1!B610,About!B:B,0),1)),""))</f>
        <v>BAU Fraction of Industry Category Subject to Carbon Tax.xlsx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5">
      <c r="A611" t="s">
        <v>181</v>
      </c>
      <c r="B611" t="s">
        <v>1360</v>
      </c>
      <c r="C611" t="s">
        <v>1361</v>
      </c>
      <c r="G611" t="str">
        <f t="shared" si="20"/>
        <v>xlsx</v>
      </c>
      <c r="H611" s="5" t="str">
        <f>IF(AND(G611=".csv",COUNTIFS($B:$B,$B611,$G:$G,"xlsx")-COUNTIFS($B:$B,$B611,$G:$G,"xlsx",$C:$C,"~~$*")&gt;1,LEFT(C611,LEN($B611))&lt;&gt;$B611),"",IFERROR(IF(B611="FoPITY",INDEX(Customizations!$C$2:$C$19,MATCH(Sheet1!C611,Customizations!$B$2:$B$19,0),1),INDEX(About!C:C,MATCH(Sheet1!B611,About!B:B,0),1)),""))</f>
        <v>BAU Fraction of Vehicle Types Subject to Carbon Tax.xlsx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5">
      <c r="A612" t="s">
        <v>181</v>
      </c>
      <c r="B612" t="s">
        <v>1360</v>
      </c>
      <c r="C612" t="s">
        <v>1362</v>
      </c>
      <c r="G612" t="str">
        <f t="shared" si="20"/>
        <v>.csv</v>
      </c>
      <c r="H612" s="5" t="str">
        <f>IF(AND(G612=".csv",COUNTIFS($B:$B,$B612,$G:$G,"xlsx")-COUNTIFS($B:$B,$B612,$G:$G,"xlsx",$C:$C,"~~$*")&gt;1,LEFT(C612,LEN($B612))&lt;&gt;$B612),"",IFERROR(IF(B612="FoPITY",INDEX(Customizations!$C$2:$C$19,MATCH(Sheet1!C612,Customizations!$B$2:$B$19,0),1),INDEX(About!C:C,MATCH(Sheet1!B612,About!B:B,0),1)),""))</f>
        <v>BAU Fraction of Vehicle Types Subject to Carbon Tax.xlsx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5">
      <c r="A613" t="s">
        <v>181</v>
      </c>
      <c r="B613" t="s">
        <v>738</v>
      </c>
      <c r="C613" t="s">
        <v>739</v>
      </c>
      <c r="G613" t="str">
        <f t="shared" si="20"/>
        <v>xlsx</v>
      </c>
      <c r="H613" s="5" t="str">
        <f>IF(AND(G613=".csv",COUNTIFS($B:$B,$B613,$G:$G,"xlsx")-COUNTIFS($B:$B,$B613,$G:$G,"xlsx",$C:$C,"~~$*")&gt;1,LEFT(C613,LEN($B613))&lt;&gt;$B613),"",IFERROR(IF(B613="FoPITY",INDEX(Customizations!$C$2:$C$19,MATCH(Sheet1!C613,Customizations!$B$2:$B$19,0),1),INDEX(About!C:C,MATCH(Sheet1!B613,About!B:B,0),1)),""))</f>
        <v>BAU Fuel Prices and Taxes.xlsx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5">
      <c r="A614" t="s">
        <v>181</v>
      </c>
      <c r="B614" t="s">
        <v>738</v>
      </c>
      <c r="C614" t="s">
        <v>746</v>
      </c>
      <c r="G614" t="str">
        <f t="shared" si="20"/>
        <v>.csv</v>
      </c>
      <c r="H614" s="5" t="str">
        <f>IF(AND(G614=".csv",COUNTIFS($B:$B,$B614,$G:$G,"xlsx")-COUNTIFS($B:$B,$B614,$G:$G,"xlsx",$C:$C,"~~$*")&gt;1,LEFT(C614,LEN($B614))&lt;&gt;$B614),"",IFERROR(IF(B614="FoPITY",INDEX(Customizations!$C$2:$C$19,MATCH(Sheet1!C614,Customizations!$B$2:$B$19,0),1),INDEX(About!C:C,MATCH(Sheet1!B614,About!B:B,0),1)),""))</f>
        <v>BAU Fuel Prices and Taxes.xlsx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5">
      <c r="A615" t="s">
        <v>181</v>
      </c>
      <c r="B615" t="s">
        <v>738</v>
      </c>
      <c r="C615" t="s">
        <v>747</v>
      </c>
      <c r="G615" t="str">
        <f t="shared" si="20"/>
        <v>.csv</v>
      </c>
      <c r="H615" s="5" t="str">
        <f>IF(AND(G615=".csv",COUNTIFS($B:$B,$B615,$G:$G,"xlsx")-COUNTIFS($B:$B,$B615,$G:$G,"xlsx",$C:$C,"~~$*")&gt;1,LEFT(C615,LEN($B615))&lt;&gt;$B615),"",IFERROR(IF(B615="FoPITY",INDEX(Customizations!$C$2:$C$19,MATCH(Sheet1!C615,Customizations!$B$2:$B$19,0),1),INDEX(About!C:C,MATCH(Sheet1!B615,About!B:B,0),1)),""))</f>
        <v>BAU Fuel Prices and Taxes.xlsx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5">
      <c r="A616" t="s">
        <v>181</v>
      </c>
      <c r="B616" t="s">
        <v>738</v>
      </c>
      <c r="C616" t="s">
        <v>748</v>
      </c>
      <c r="G616" t="str">
        <f t="shared" si="20"/>
        <v>.csv</v>
      </c>
      <c r="H616" s="5" t="str">
        <f>IF(AND(G616=".csv",COUNTIFS($B:$B,$B616,$G:$G,"xlsx")-COUNTIFS($B:$B,$B616,$G:$G,"xlsx",$C:$C,"~~$*")&gt;1,LEFT(C616,LEN($B616))&lt;&gt;$B616),"",IFERROR(IF(B616="FoPITY",INDEX(Customizations!$C$2:$C$19,MATCH(Sheet1!C616,Customizations!$B$2:$B$19,0),1),INDEX(About!C:C,MATCH(Sheet1!B616,About!B:B,0),1)),""))</f>
        <v>BAU Fuel Prices and Taxes.xlsx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5">
      <c r="A617" t="s">
        <v>181</v>
      </c>
      <c r="B617" t="s">
        <v>738</v>
      </c>
      <c r="C617" t="s">
        <v>749</v>
      </c>
      <c r="G617" t="str">
        <f t="shared" si="20"/>
        <v>.csv</v>
      </c>
      <c r="H617" s="5" t="str">
        <f>IF(AND(G617=".csv",COUNTIFS($B:$B,$B617,$G:$G,"xlsx")-COUNTIFS($B:$B,$B617,$G:$G,"xlsx",$C:$C,"~~$*")&gt;1,LEFT(C617,LEN($B617))&lt;&gt;$B617),"",IFERROR(IF(B617="FoPITY",INDEX(Customizations!$C$2:$C$19,MATCH(Sheet1!C617,Customizations!$B$2:$B$19,0),1),INDEX(About!C:C,MATCH(Sheet1!B617,About!B:B,0),1)),""))</f>
        <v>BAU Fuel Prices and Taxes.xlsx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5">
      <c r="A618" t="s">
        <v>181</v>
      </c>
      <c r="B618" t="s">
        <v>738</v>
      </c>
      <c r="C618" t="s">
        <v>750</v>
      </c>
      <c r="G618" t="str">
        <f t="shared" si="20"/>
        <v>.csv</v>
      </c>
      <c r="H618" s="5" t="str">
        <f>IF(AND(G618=".csv",COUNTIFS($B:$B,$B618,$G:$G,"xlsx")-COUNTIFS($B:$B,$B618,$G:$G,"xlsx",$C:$C,"~~$*")&gt;1,LEFT(C618,LEN($B618))&lt;&gt;$B618),"",IFERROR(IF(B618="FoPITY",INDEX(Customizations!$C$2:$C$19,MATCH(Sheet1!C618,Customizations!$B$2:$B$19,0),1),INDEX(About!C:C,MATCH(Sheet1!B618,About!B:B,0),1)),""))</f>
        <v>BAU Fuel Prices and Taxes.xlsx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5">
      <c r="A619" t="s">
        <v>181</v>
      </c>
      <c r="B619" t="s">
        <v>738</v>
      </c>
      <c r="C619" t="s">
        <v>751</v>
      </c>
      <c r="G619" t="str">
        <f t="shared" si="20"/>
        <v>.csv</v>
      </c>
      <c r="H619" s="5" t="str">
        <f>IF(AND(G619=".csv",COUNTIFS($B:$B,$B619,$G:$G,"xlsx")-COUNTIFS($B:$B,$B619,$G:$G,"xlsx",$C:$C,"~~$*")&gt;1,LEFT(C619,LEN($B619))&lt;&gt;$B619),"",IFERROR(IF(B619="FoPITY",INDEX(Customizations!$C$2:$C$19,MATCH(Sheet1!C619,Customizations!$B$2:$B$19,0),1),INDEX(About!C:C,MATCH(Sheet1!B619,About!B:B,0),1)),""))</f>
        <v>BAU Fuel Prices and Taxes.xlsx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5">
      <c r="A620" t="s">
        <v>181</v>
      </c>
      <c r="B620" t="s">
        <v>738</v>
      </c>
      <c r="C620" t="s">
        <v>752</v>
      </c>
      <c r="G620" t="str">
        <f t="shared" si="20"/>
        <v>.csv</v>
      </c>
      <c r="H620" s="5" t="str">
        <f>IF(AND(G620=".csv",COUNTIFS($B:$B,$B620,$G:$G,"xlsx")-COUNTIFS($B:$B,$B620,$G:$G,"xlsx",$C:$C,"~~$*")&gt;1,LEFT(C620,LEN($B620))&lt;&gt;$B620),"",IFERROR(IF(B620="FoPITY",INDEX(Customizations!$C$2:$C$19,MATCH(Sheet1!C620,Customizations!$B$2:$B$19,0),1),INDEX(About!C:C,MATCH(Sheet1!B620,About!B:B,0),1)),""))</f>
        <v>BAU Fuel Prices and Taxes.xlsx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5">
      <c r="A621" t="s">
        <v>181</v>
      </c>
      <c r="B621" t="s">
        <v>738</v>
      </c>
      <c r="C621" t="s">
        <v>753</v>
      </c>
      <c r="G621" t="str">
        <f t="shared" si="20"/>
        <v>.csv</v>
      </c>
      <c r="H621" s="5" t="str">
        <f>IF(AND(G621=".csv",COUNTIFS($B:$B,$B621,$G:$G,"xlsx")-COUNTIFS($B:$B,$B621,$G:$G,"xlsx",$C:$C,"~~$*")&gt;1,LEFT(C621,LEN($B621))&lt;&gt;$B621),"",IFERROR(IF(B621="FoPITY",INDEX(Customizations!$C$2:$C$19,MATCH(Sheet1!C621,Customizations!$B$2:$B$19,0),1),INDEX(About!C:C,MATCH(Sheet1!B621,About!B:B,0),1)),""))</f>
        <v>BAU Fuel Prices and Taxes.xlsx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5">
      <c r="A622" t="s">
        <v>181</v>
      </c>
      <c r="B622" t="s">
        <v>738</v>
      </c>
      <c r="C622" t="s">
        <v>754</v>
      </c>
      <c r="G622" t="str">
        <f t="shared" ref="G622:G662" si="22">RIGHT(C622,"4")</f>
        <v>.csv</v>
      </c>
      <c r="H622" s="5" t="str">
        <f>IF(AND(G622=".csv",COUNTIFS($B:$B,$B622,$G:$G,"xlsx")-COUNTIFS($B:$B,$B622,$G:$G,"xlsx",$C:$C,"~~$*")&gt;1,LEFT(C622,LEN($B622))&lt;&gt;$B622),"",IFERROR(IF(B622="FoPITY",INDEX(Customizations!$C$2:$C$19,MATCH(Sheet1!C622,Customizations!$B$2:$B$19,0),1),INDEX(About!C:C,MATCH(Sheet1!B622,About!B:B,0),1)),""))</f>
        <v>BAU Fuel Prices and Taxes.xlsx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5">
      <c r="A623" t="s">
        <v>181</v>
      </c>
      <c r="B623" t="s">
        <v>738</v>
      </c>
      <c r="C623" t="s">
        <v>755</v>
      </c>
      <c r="G623" t="str">
        <f t="shared" si="22"/>
        <v>.csv</v>
      </c>
      <c r="H623" s="5" t="str">
        <f>IF(AND(G623=".csv",COUNTIFS($B:$B,$B623,$G:$G,"xlsx")-COUNTIFS($B:$B,$B623,$G:$G,"xlsx",$C:$C,"~~$*")&gt;1,LEFT(C623,LEN($B623))&lt;&gt;$B623),"",IFERROR(IF(B623="FoPITY",INDEX(Customizations!$C$2:$C$19,MATCH(Sheet1!C623,Customizations!$B$2:$B$19,0),1),INDEX(About!C:C,MATCH(Sheet1!B623,About!B:B,0),1)),""))</f>
        <v>BAU Fuel Prices and Taxes.xlsx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5">
      <c r="A624" t="s">
        <v>181</v>
      </c>
      <c r="B624" t="s">
        <v>738</v>
      </c>
      <c r="C624" t="s">
        <v>756</v>
      </c>
      <c r="G624" t="str">
        <f t="shared" si="22"/>
        <v>.csv</v>
      </c>
      <c r="H624" s="5" t="str">
        <f>IF(AND(G624=".csv",COUNTIFS($B:$B,$B624,$G:$G,"xlsx")-COUNTIFS($B:$B,$B624,$G:$G,"xlsx",$C:$C,"~~$*")&gt;1,LEFT(C624,LEN($B624))&lt;&gt;$B624),"",IFERROR(IF(B624="FoPITY",INDEX(Customizations!$C$2:$C$19,MATCH(Sheet1!C624,Customizations!$B$2:$B$19,0),1),INDEX(About!C:C,MATCH(Sheet1!B624,About!B:B,0),1)),""))</f>
        <v>BAU Fuel Prices and Taxes.xlsx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5">
      <c r="A625" t="s">
        <v>181</v>
      </c>
      <c r="B625" t="s">
        <v>738</v>
      </c>
      <c r="C625" t="s">
        <v>757</v>
      </c>
      <c r="G625" t="str">
        <f t="shared" si="22"/>
        <v>.csv</v>
      </c>
      <c r="H625" s="5" t="str">
        <f>IF(AND(G625=".csv",COUNTIFS($B:$B,$B625,$G:$G,"xlsx")-COUNTIFS($B:$B,$B625,$G:$G,"xlsx",$C:$C,"~~$*")&gt;1,LEFT(C625,LEN($B625))&lt;&gt;$B625),"",IFERROR(IF(B625="FoPITY",INDEX(Customizations!$C$2:$C$19,MATCH(Sheet1!C625,Customizations!$B$2:$B$19,0),1),INDEX(About!C:C,MATCH(Sheet1!B625,About!B:B,0),1)),""))</f>
        <v>BAU Fuel Prices and Taxes.xlsx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5">
      <c r="A626" t="s">
        <v>181</v>
      </c>
      <c r="B626" t="s">
        <v>738</v>
      </c>
      <c r="C626" t="s">
        <v>758</v>
      </c>
      <c r="G626" t="str">
        <f t="shared" si="22"/>
        <v>.csv</v>
      </c>
      <c r="H626" s="5" t="str">
        <f>IF(AND(G626=".csv",COUNTIFS($B:$B,$B626,$G:$G,"xlsx")-COUNTIFS($B:$B,$B626,$G:$G,"xlsx",$C:$C,"~~$*")&gt;1,LEFT(C626,LEN($B626))&lt;&gt;$B626),"",IFERROR(IF(B626="FoPITY",INDEX(Customizations!$C$2:$C$19,MATCH(Sheet1!C626,Customizations!$B$2:$B$19,0),1),INDEX(About!C:C,MATCH(Sheet1!B626,About!B:B,0),1)),""))</f>
        <v>BAU Fuel Prices and Taxes.xlsx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5">
      <c r="A627" t="s">
        <v>181</v>
      </c>
      <c r="B627" t="s">
        <v>738</v>
      </c>
      <c r="C627" t="s">
        <v>759</v>
      </c>
      <c r="G627" t="str">
        <f t="shared" si="22"/>
        <v>.csv</v>
      </c>
      <c r="H627" s="5" t="str">
        <f>IF(AND(G627=".csv",COUNTIFS($B:$B,$B627,$G:$G,"xlsx")-COUNTIFS($B:$B,$B627,$G:$G,"xlsx",$C:$C,"~~$*")&gt;1,LEFT(C627,LEN($B627))&lt;&gt;$B627),"",IFERROR(IF(B627="FoPITY",INDEX(Customizations!$C$2:$C$19,MATCH(Sheet1!C627,Customizations!$B$2:$B$19,0),1),INDEX(About!C:C,MATCH(Sheet1!B627,About!B:B,0),1)),""))</f>
        <v>BAU Fuel Prices and Taxes.xlsx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5">
      <c r="A628" t="s">
        <v>181</v>
      </c>
      <c r="B628" t="s">
        <v>738</v>
      </c>
      <c r="C628" t="s">
        <v>760</v>
      </c>
      <c r="G628" t="str">
        <f t="shared" si="22"/>
        <v>.csv</v>
      </c>
      <c r="H628" s="5" t="str">
        <f>IF(AND(G628=".csv",COUNTIFS($B:$B,$B628,$G:$G,"xlsx")-COUNTIFS($B:$B,$B628,$G:$G,"xlsx",$C:$C,"~~$*")&gt;1,LEFT(C628,LEN($B628))&lt;&gt;$B628),"",IFERROR(IF(B628="FoPITY",INDEX(Customizations!$C$2:$C$19,MATCH(Sheet1!C628,Customizations!$B$2:$B$19,0),1),INDEX(About!C:C,MATCH(Sheet1!B628,About!B:B,0),1)),""))</f>
        <v>BAU Fuel Prices and Taxes.xlsx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5">
      <c r="A629" t="s">
        <v>181</v>
      </c>
      <c r="B629" t="s">
        <v>738</v>
      </c>
      <c r="C629" t="s">
        <v>761</v>
      </c>
      <c r="G629" t="str">
        <f t="shared" si="22"/>
        <v>.csv</v>
      </c>
      <c r="H629" s="5" t="str">
        <f>IF(AND(G629=".csv",COUNTIFS($B:$B,$B629,$G:$G,"xlsx")-COUNTIFS($B:$B,$B629,$G:$G,"xlsx",$C:$C,"~~$*")&gt;1,LEFT(C629,LEN($B629))&lt;&gt;$B629),"",IFERROR(IF(B629="FoPITY",INDEX(Customizations!$C$2:$C$19,MATCH(Sheet1!C629,Customizations!$B$2:$B$19,0),1),INDEX(About!C:C,MATCH(Sheet1!B629,About!B:B,0),1)),""))</f>
        <v>BAU Fuel Prices and Taxes.xlsx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5">
      <c r="A630" t="s">
        <v>181</v>
      </c>
      <c r="B630" t="s">
        <v>738</v>
      </c>
      <c r="C630" t="s">
        <v>762</v>
      </c>
      <c r="G630" t="str">
        <f t="shared" si="22"/>
        <v>.csv</v>
      </c>
      <c r="H630" s="5" t="str">
        <f>IF(AND(G630=".csv",COUNTIFS($B:$B,$B630,$G:$G,"xlsx")-COUNTIFS($B:$B,$B630,$G:$G,"xlsx",$C:$C,"~~$*")&gt;1,LEFT(C630,LEN($B630))&lt;&gt;$B630),"",IFERROR(IF(B630="FoPITY",INDEX(Customizations!$C$2:$C$19,MATCH(Sheet1!C630,Customizations!$B$2:$B$19,0),1),INDEX(About!C:C,MATCH(Sheet1!B630,About!B:B,0),1)),""))</f>
        <v>BAU Fuel Prices and Taxes.xlsx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5">
      <c r="A631" t="s">
        <v>181</v>
      </c>
      <c r="B631" t="s">
        <v>738</v>
      </c>
      <c r="C631" t="s">
        <v>763</v>
      </c>
      <c r="G631" t="str">
        <f t="shared" si="22"/>
        <v>.csv</v>
      </c>
      <c r="H631" s="5" t="str">
        <f>IF(AND(G631=".csv",COUNTIFS($B:$B,$B631,$G:$G,"xlsx")-COUNTIFS($B:$B,$B631,$G:$G,"xlsx",$C:$C,"~~$*")&gt;1,LEFT(C631,LEN($B631))&lt;&gt;$B631),"",IFERROR(IF(B631="FoPITY",INDEX(Customizations!$C$2:$C$19,MATCH(Sheet1!C631,Customizations!$B$2:$B$19,0),1),INDEX(About!C:C,MATCH(Sheet1!B631,About!B:B,0),1)),""))</f>
        <v>BAU Fuel Prices and Taxes.xlsx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5">
      <c r="A632" t="s">
        <v>181</v>
      </c>
      <c r="B632" t="s">
        <v>738</v>
      </c>
      <c r="C632" t="s">
        <v>764</v>
      </c>
      <c r="G632" t="str">
        <f t="shared" si="22"/>
        <v>.csv</v>
      </c>
      <c r="H632" s="5" t="str">
        <f>IF(AND(G632=".csv",COUNTIFS($B:$B,$B632,$G:$G,"xlsx")-COUNTIFS($B:$B,$B632,$G:$G,"xlsx",$C:$C,"~~$*")&gt;1,LEFT(C632,LEN($B632))&lt;&gt;$B632),"",IFERROR(IF(B632="FoPITY",INDEX(Customizations!$C$2:$C$19,MATCH(Sheet1!C632,Customizations!$B$2:$B$19,0),1),INDEX(About!C:C,MATCH(Sheet1!B632,About!B:B,0),1)),""))</f>
        <v>BAU Fuel Prices and Taxes.xlsx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5">
      <c r="A633" t="s">
        <v>181</v>
      </c>
      <c r="B633" t="s">
        <v>738</v>
      </c>
      <c r="C633" t="s">
        <v>765</v>
      </c>
      <c r="G633" t="str">
        <f t="shared" si="22"/>
        <v>.csv</v>
      </c>
      <c r="H633" s="5" t="str">
        <f>IF(AND(G633=".csv",COUNTIFS($B:$B,$B633,$G:$G,"xlsx")-COUNTIFS($B:$B,$B633,$G:$G,"xlsx",$C:$C,"~~$*")&gt;1,LEFT(C633,LEN($B633))&lt;&gt;$B633),"",IFERROR(IF(B633="FoPITY",INDEX(Customizations!$C$2:$C$19,MATCH(Sheet1!C633,Customizations!$B$2:$B$19,0),1),INDEX(About!C:C,MATCH(Sheet1!B633,About!B:B,0),1)),""))</f>
        <v>BAU Fuel Prices and Taxes.xlsx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5">
      <c r="A634" t="s">
        <v>181</v>
      </c>
      <c r="B634" t="s">
        <v>738</v>
      </c>
      <c r="C634" t="s">
        <v>766</v>
      </c>
      <c r="G634" t="str">
        <f t="shared" si="22"/>
        <v>.csv</v>
      </c>
      <c r="H634" s="5" t="str">
        <f>IF(AND(G634=".csv",COUNTIFS($B:$B,$B634,$G:$G,"xlsx")-COUNTIFS($B:$B,$B634,$G:$G,"xlsx",$C:$C,"~~$*")&gt;1,LEFT(C634,LEN($B634))&lt;&gt;$B634),"",IFERROR(IF(B634="FoPITY",INDEX(Customizations!$C$2:$C$19,MATCH(Sheet1!C634,Customizations!$B$2:$B$19,0),1),INDEX(About!C:C,MATCH(Sheet1!B634,About!B:B,0),1)),""))</f>
        <v>BAU Fuel Prices and Taxes.xlsx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5">
      <c r="A635" t="s">
        <v>181</v>
      </c>
      <c r="B635" t="s">
        <v>738</v>
      </c>
      <c r="C635" t="s">
        <v>767</v>
      </c>
      <c r="G635" t="str">
        <f t="shared" si="22"/>
        <v>.csv</v>
      </c>
      <c r="H635" s="5" t="str">
        <f>IF(AND(G635=".csv",COUNTIFS($B:$B,$B635,$G:$G,"xlsx")-COUNTIFS($B:$B,$B635,$G:$G,"xlsx",$C:$C,"~~$*")&gt;1,LEFT(C635,LEN($B635))&lt;&gt;$B635),"",IFERROR(IF(B635="FoPITY",INDEX(Customizations!$C$2:$C$19,MATCH(Sheet1!C635,Customizations!$B$2:$B$19,0),1),INDEX(About!C:C,MATCH(Sheet1!B635,About!B:B,0),1)),""))</f>
        <v>BAU Fuel Prices and Taxes.xlsx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5">
      <c r="A636" t="s">
        <v>181</v>
      </c>
      <c r="B636" t="s">
        <v>738</v>
      </c>
      <c r="C636" t="s">
        <v>768</v>
      </c>
      <c r="G636" t="str">
        <f t="shared" si="22"/>
        <v>.csv</v>
      </c>
      <c r="H636" s="5" t="str">
        <f>IF(AND(G636=".csv",COUNTIFS($B:$B,$B636,$G:$G,"xlsx")-COUNTIFS($B:$B,$B636,$G:$G,"xlsx",$C:$C,"~~$*")&gt;1,LEFT(C636,LEN($B636))&lt;&gt;$B636),"",IFERROR(IF(B636="FoPITY",INDEX(Customizations!$C$2:$C$19,MATCH(Sheet1!C636,Customizations!$B$2:$B$19,0),1),INDEX(About!C:C,MATCH(Sheet1!B636,About!B:B,0),1)),""))</f>
        <v>BAU Fuel Prices and Taxes.xlsx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5">
      <c r="A637" t="s">
        <v>181</v>
      </c>
      <c r="B637" t="s">
        <v>738</v>
      </c>
      <c r="C637" t="s">
        <v>769</v>
      </c>
      <c r="G637" t="str">
        <f t="shared" si="22"/>
        <v>.csv</v>
      </c>
      <c r="H637" s="5" t="str">
        <f>IF(AND(G637=".csv",COUNTIFS($B:$B,$B637,$G:$G,"xlsx")-COUNTIFS($B:$B,$B637,$G:$G,"xlsx",$C:$C,"~~$*")&gt;1,LEFT(C637,LEN($B637))&lt;&gt;$B637),"",IFERROR(IF(B637="FoPITY",INDEX(Customizations!$C$2:$C$19,MATCH(Sheet1!C637,Customizations!$B$2:$B$19,0),1),INDEX(About!C:C,MATCH(Sheet1!B637,About!B:B,0),1)),""))</f>
        <v>BAU Fuel Prices and Taxes.xlsx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5">
      <c r="A638" t="s">
        <v>181</v>
      </c>
      <c r="B638" t="s">
        <v>738</v>
      </c>
      <c r="C638" t="s">
        <v>770</v>
      </c>
      <c r="G638" t="str">
        <f t="shared" si="22"/>
        <v>.csv</v>
      </c>
      <c r="H638" s="5" t="str">
        <f>IF(AND(G638=".csv",COUNTIFS($B:$B,$B638,$G:$G,"xlsx")-COUNTIFS($B:$B,$B638,$G:$G,"xlsx",$C:$C,"~~$*")&gt;1,LEFT(C638,LEN($B638))&lt;&gt;$B638),"",IFERROR(IF(B638="FoPITY",INDEX(Customizations!$C$2:$C$19,MATCH(Sheet1!C638,Customizations!$B$2:$B$19,0),1),INDEX(About!C:C,MATCH(Sheet1!B638,About!B:B,0),1)),""))</f>
        <v>BAU Fuel Prices and Taxes.xlsx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5">
      <c r="A639" t="s">
        <v>181</v>
      </c>
      <c r="B639" t="s">
        <v>738</v>
      </c>
      <c r="C639" t="s">
        <v>771</v>
      </c>
      <c r="G639" t="str">
        <f t="shared" si="22"/>
        <v>.csv</v>
      </c>
      <c r="H639" s="5" t="str">
        <f>IF(AND(G639=".csv",COUNTIFS($B:$B,$B639,$G:$G,"xlsx")-COUNTIFS($B:$B,$B639,$G:$G,"xlsx",$C:$C,"~~$*")&gt;1,LEFT(C639,LEN($B639))&lt;&gt;$B639),"",IFERROR(IF(B639="FoPITY",INDEX(Customizations!$C$2:$C$19,MATCH(Sheet1!C639,Customizations!$B$2:$B$19,0),1),INDEX(About!C:C,MATCH(Sheet1!B639,About!B:B,0),1)),""))</f>
        <v>BAU Fuel Prices and Taxes.xlsx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5">
      <c r="A640" t="s">
        <v>181</v>
      </c>
      <c r="B640" t="s">
        <v>738</v>
      </c>
      <c r="C640" t="s">
        <v>772</v>
      </c>
      <c r="G640" t="str">
        <f t="shared" si="22"/>
        <v>.csv</v>
      </c>
      <c r="H640" s="5" t="str">
        <f>IF(AND(G640=".csv",COUNTIFS($B:$B,$B640,$G:$G,"xlsx")-COUNTIFS($B:$B,$B640,$G:$G,"xlsx",$C:$C,"~~$*")&gt;1,LEFT(C640,LEN($B640))&lt;&gt;$B640),"",IFERROR(IF(B640="FoPITY",INDEX(Customizations!$C$2:$C$19,MATCH(Sheet1!C640,Customizations!$B$2:$B$19,0),1),INDEX(About!C:C,MATCH(Sheet1!B640,About!B:B,0),1)),""))</f>
        <v>BAU Fuel Prices and Taxes.xlsx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5">
      <c r="A641" t="s">
        <v>181</v>
      </c>
      <c r="B641" t="s">
        <v>738</v>
      </c>
      <c r="C641" t="s">
        <v>773</v>
      </c>
      <c r="G641" t="str">
        <f t="shared" si="22"/>
        <v>.csv</v>
      </c>
      <c r="H641" s="5" t="str">
        <f>IF(AND(G641=".csv",COUNTIFS($B:$B,$B641,$G:$G,"xlsx")-COUNTIFS($B:$B,$B641,$G:$G,"xlsx",$C:$C,"~~$*")&gt;1,LEFT(C641,LEN($B641))&lt;&gt;$B641),"",IFERROR(IF(B641="FoPITY",INDEX(Customizations!$C$2:$C$19,MATCH(Sheet1!C641,Customizations!$B$2:$B$19,0),1),INDEX(About!C:C,MATCH(Sheet1!B641,About!B:B,0),1)),""))</f>
        <v>BAU Fuel Prices and Taxes.xlsx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5">
      <c r="A642" t="s">
        <v>181</v>
      </c>
      <c r="B642" t="s">
        <v>738</v>
      </c>
      <c r="C642" t="s">
        <v>774</v>
      </c>
      <c r="G642" t="str">
        <f t="shared" si="22"/>
        <v>.csv</v>
      </c>
      <c r="H642" s="5" t="str">
        <f>IF(AND(G642=".csv",COUNTIFS($B:$B,$B642,$G:$G,"xlsx")-COUNTIFS($B:$B,$B642,$G:$G,"xlsx",$C:$C,"~~$*")&gt;1,LEFT(C642,LEN($B642))&lt;&gt;$B642),"",IFERROR(IF(B642="FoPITY",INDEX(Customizations!$C$2:$C$19,MATCH(Sheet1!C642,Customizations!$B$2:$B$19,0),1),INDEX(About!C:C,MATCH(Sheet1!B642,About!B:B,0),1)),""))</f>
        <v>BAU Fuel Prices and Taxes.xlsx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5">
      <c r="A643" t="s">
        <v>181</v>
      </c>
      <c r="B643" t="s">
        <v>738</v>
      </c>
      <c r="C643" t="s">
        <v>775</v>
      </c>
      <c r="G643" t="str">
        <f t="shared" si="22"/>
        <v>.csv</v>
      </c>
      <c r="H643" s="5" t="str">
        <f>IF(AND(G643=".csv",COUNTIFS($B:$B,$B643,$G:$G,"xlsx")-COUNTIFS($B:$B,$B643,$G:$G,"xlsx",$C:$C,"~~$*")&gt;1,LEFT(C643,LEN($B643))&lt;&gt;$B643),"",IFERROR(IF(B643="FoPITY",INDEX(Customizations!$C$2:$C$19,MATCH(Sheet1!C643,Customizations!$B$2:$B$19,0),1),INDEX(About!C:C,MATCH(Sheet1!B643,About!B:B,0),1)),""))</f>
        <v>BAU Fuel Prices and Taxes.xlsx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5">
      <c r="A644" t="s">
        <v>181</v>
      </c>
      <c r="B644" t="s">
        <v>738</v>
      </c>
      <c r="C644" t="s">
        <v>776</v>
      </c>
      <c r="G644" t="str">
        <f t="shared" si="22"/>
        <v>.csv</v>
      </c>
      <c r="H644" s="5" t="str">
        <f>IF(AND(G644=".csv",COUNTIFS($B:$B,$B644,$G:$G,"xlsx")-COUNTIFS($B:$B,$B644,$G:$G,"xlsx",$C:$C,"~~$*")&gt;1,LEFT(C644,LEN($B644))&lt;&gt;$B644),"",IFERROR(IF(B644="FoPITY",INDEX(Customizations!$C$2:$C$19,MATCH(Sheet1!C644,Customizations!$B$2:$B$19,0),1),INDEX(About!C:C,MATCH(Sheet1!B644,About!B:B,0),1)),""))</f>
        <v>BAU Fuel Prices and Taxes.xlsx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5">
      <c r="A645" t="s">
        <v>181</v>
      </c>
      <c r="B645" t="s">
        <v>738</v>
      </c>
      <c r="C645" t="s">
        <v>777</v>
      </c>
      <c r="G645" t="str">
        <f t="shared" si="22"/>
        <v>.csv</v>
      </c>
      <c r="H645" s="5" t="str">
        <f>IF(AND(G645=".csv",COUNTIFS($B:$B,$B645,$G:$G,"xlsx")-COUNTIFS($B:$B,$B645,$G:$G,"xlsx",$C:$C,"~~$*")&gt;1,LEFT(C645,LEN($B645))&lt;&gt;$B645),"",IFERROR(IF(B645="FoPITY",INDEX(Customizations!$C$2:$C$19,MATCH(Sheet1!C645,Customizations!$B$2:$B$19,0),1),INDEX(About!C:C,MATCH(Sheet1!B645,About!B:B,0),1)),""))</f>
        <v>BAU Fuel Prices and Taxes.xlsx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5">
      <c r="A646" t="s">
        <v>181</v>
      </c>
      <c r="B646" t="s">
        <v>738</v>
      </c>
      <c r="C646" t="s">
        <v>778</v>
      </c>
      <c r="G646" t="str">
        <f t="shared" si="22"/>
        <v>.csv</v>
      </c>
      <c r="H646" s="5" t="str">
        <f>IF(AND(G646=".csv",COUNTIFS($B:$B,$B646,$G:$G,"xlsx")-COUNTIFS($B:$B,$B646,$G:$G,"xlsx",$C:$C,"~~$*")&gt;1,LEFT(C646,LEN($B646))&lt;&gt;$B646),"",IFERROR(IF(B646="FoPITY",INDEX(Customizations!$C$2:$C$19,MATCH(Sheet1!C646,Customizations!$B$2:$B$19,0),1),INDEX(About!C:C,MATCH(Sheet1!B646,About!B:B,0),1)),""))</f>
        <v>BAU Fuel Prices and Taxes.xlsx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5">
      <c r="A647" t="s">
        <v>181</v>
      </c>
      <c r="B647" t="s">
        <v>738</v>
      </c>
      <c r="C647" t="s">
        <v>779</v>
      </c>
      <c r="G647" t="str">
        <f t="shared" si="22"/>
        <v>.csv</v>
      </c>
      <c r="H647" s="5" t="str">
        <f>IF(AND(G647=".csv",COUNTIFS($B:$B,$B647,$G:$G,"xlsx")-COUNTIFS($B:$B,$B647,$G:$G,"xlsx",$C:$C,"~~$*")&gt;1,LEFT(C647,LEN($B647))&lt;&gt;$B647),"",IFERROR(IF(B647="FoPITY",INDEX(Customizations!$C$2:$C$19,MATCH(Sheet1!C647,Customizations!$B$2:$B$19,0),1),INDEX(About!C:C,MATCH(Sheet1!B647,About!B:B,0),1)),""))</f>
        <v>BAU Fuel Prices and Taxes.xlsx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5">
      <c r="A648" t="s">
        <v>181</v>
      </c>
      <c r="B648" t="s">
        <v>738</v>
      </c>
      <c r="C648" t="s">
        <v>780</v>
      </c>
      <c r="G648" t="str">
        <f t="shared" si="22"/>
        <v>.csv</v>
      </c>
      <c r="H648" s="5" t="str">
        <f>IF(AND(G648=".csv",COUNTIFS($B:$B,$B648,$G:$G,"xlsx")-COUNTIFS($B:$B,$B648,$G:$G,"xlsx",$C:$C,"~~$*")&gt;1,LEFT(C648,LEN($B648))&lt;&gt;$B648),"",IFERROR(IF(B648="FoPITY",INDEX(Customizations!$C$2:$C$19,MATCH(Sheet1!C648,Customizations!$B$2:$B$19,0),1),INDEX(About!C:C,MATCH(Sheet1!B648,About!B:B,0),1)),""))</f>
        <v>BAU Fuel Prices and Taxes.xlsx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5">
      <c r="A649" t="s">
        <v>181</v>
      </c>
      <c r="B649" t="s">
        <v>738</v>
      </c>
      <c r="C649" t="s">
        <v>781</v>
      </c>
      <c r="G649" t="str">
        <f t="shared" si="22"/>
        <v>.csv</v>
      </c>
      <c r="H649" s="5" t="str">
        <f>IF(AND(G649=".csv",COUNTIFS($B:$B,$B649,$G:$G,"xlsx")-COUNTIFS($B:$B,$B649,$G:$G,"xlsx",$C:$C,"~~$*")&gt;1,LEFT(C649,LEN($B649))&lt;&gt;$B649),"",IFERROR(IF(B649="FoPITY",INDEX(Customizations!$C$2:$C$19,MATCH(Sheet1!C649,Customizations!$B$2:$B$19,0),1),INDEX(About!C:C,MATCH(Sheet1!B649,About!B:B,0),1)),""))</f>
        <v>BAU Fuel Prices and Taxes.xlsx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5">
      <c r="A650" t="s">
        <v>181</v>
      </c>
      <c r="B650" t="s">
        <v>738</v>
      </c>
      <c r="C650" t="s">
        <v>782</v>
      </c>
      <c r="G650" t="str">
        <f t="shared" si="22"/>
        <v>.csv</v>
      </c>
      <c r="H650" s="5" t="str">
        <f>IF(AND(G650=".csv",COUNTIFS($B:$B,$B650,$G:$G,"xlsx")-COUNTIFS($B:$B,$B650,$G:$G,"xlsx",$C:$C,"~~$*")&gt;1,LEFT(C650,LEN($B650))&lt;&gt;$B650),"",IFERROR(IF(B650="FoPITY",INDEX(Customizations!$C$2:$C$19,MATCH(Sheet1!C650,Customizations!$B$2:$B$19,0),1),INDEX(About!C:C,MATCH(Sheet1!B650,About!B:B,0),1)),""))</f>
        <v>BAU Fuel Prices and Taxes.xlsx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5">
      <c r="A651" t="s">
        <v>181</v>
      </c>
      <c r="B651" t="s">
        <v>738</v>
      </c>
      <c r="C651" t="s">
        <v>783</v>
      </c>
      <c r="G651" t="str">
        <f t="shared" si="22"/>
        <v>.csv</v>
      </c>
      <c r="H651" s="5" t="str">
        <f>IF(AND(G651=".csv",COUNTIFS($B:$B,$B651,$G:$G,"xlsx")-COUNTIFS($B:$B,$B651,$G:$G,"xlsx",$C:$C,"~~$*")&gt;1,LEFT(C651,LEN($B651))&lt;&gt;$B651),"",IFERROR(IF(B651="FoPITY",INDEX(Customizations!$C$2:$C$19,MATCH(Sheet1!C651,Customizations!$B$2:$B$19,0),1),INDEX(About!C:C,MATCH(Sheet1!B651,About!B:B,0),1)),""))</f>
        <v>BAU Fuel Prices and Taxes.xlsx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5">
      <c r="A652" t="s">
        <v>181</v>
      </c>
      <c r="B652" t="s">
        <v>738</v>
      </c>
      <c r="C652" t="s">
        <v>784</v>
      </c>
      <c r="G652" t="str">
        <f t="shared" si="22"/>
        <v>.csv</v>
      </c>
      <c r="H652" s="5" t="str">
        <f>IF(AND(G652=".csv",COUNTIFS($B:$B,$B652,$G:$G,"xlsx")-COUNTIFS($B:$B,$B652,$G:$G,"xlsx",$C:$C,"~~$*")&gt;1,LEFT(C652,LEN($B652))&lt;&gt;$B652),"",IFERROR(IF(B652="FoPITY",INDEX(Customizations!$C$2:$C$19,MATCH(Sheet1!C652,Customizations!$B$2:$B$19,0),1),INDEX(About!C:C,MATCH(Sheet1!B652,About!B:B,0),1)),""))</f>
        <v>BAU Fuel Prices and Taxes.xlsx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5">
      <c r="A653" t="s">
        <v>181</v>
      </c>
      <c r="B653" t="s">
        <v>738</v>
      </c>
      <c r="C653" t="s">
        <v>785</v>
      </c>
      <c r="G653" t="str">
        <f t="shared" si="22"/>
        <v>.csv</v>
      </c>
      <c r="H653" s="5" t="str">
        <f>IF(AND(G653=".csv",COUNTIFS($B:$B,$B653,$G:$G,"xlsx")-COUNTIFS($B:$B,$B653,$G:$G,"xlsx",$C:$C,"~~$*")&gt;1,LEFT(C653,LEN($B653))&lt;&gt;$B653),"",IFERROR(IF(B653="FoPITY",INDEX(Customizations!$C$2:$C$19,MATCH(Sheet1!C653,Customizations!$B$2:$B$19,0),1),INDEX(About!C:C,MATCH(Sheet1!B653,About!B:B,0),1)),""))</f>
        <v>BAU Fuel Prices and Taxes.xlsx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5">
      <c r="A654" t="s">
        <v>181</v>
      </c>
      <c r="B654" t="s">
        <v>738</v>
      </c>
      <c r="C654" t="s">
        <v>786</v>
      </c>
      <c r="G654" t="str">
        <f t="shared" si="22"/>
        <v>.csv</v>
      </c>
      <c r="H654" s="5" t="str">
        <f>IF(AND(G654=".csv",COUNTIFS($B:$B,$B654,$G:$G,"xlsx")-COUNTIFS($B:$B,$B654,$G:$G,"xlsx",$C:$C,"~~$*")&gt;1,LEFT(C654,LEN($B654))&lt;&gt;$B654),"",IFERROR(IF(B654="FoPITY",INDEX(Customizations!$C$2:$C$19,MATCH(Sheet1!C654,Customizations!$B$2:$B$19,0),1),INDEX(About!C:C,MATCH(Sheet1!B654,About!B:B,0),1)),""))</f>
        <v>BAU Fuel Prices and Taxes.xlsx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5">
      <c r="A655" t="s">
        <v>181</v>
      </c>
      <c r="B655" t="s">
        <v>738</v>
      </c>
      <c r="C655" t="s">
        <v>787</v>
      </c>
      <c r="G655" t="str">
        <f t="shared" si="22"/>
        <v>.csv</v>
      </c>
      <c r="H655" s="5" t="str">
        <f>IF(AND(G655=".csv",COUNTIFS($B:$B,$B655,$G:$G,"xlsx")-COUNTIFS($B:$B,$B655,$G:$G,"xlsx",$C:$C,"~~$*")&gt;1,LEFT(C655,LEN($B655))&lt;&gt;$B655),"",IFERROR(IF(B655="FoPITY",INDEX(Customizations!$C$2:$C$19,MATCH(Sheet1!C655,Customizations!$B$2:$B$19,0),1),INDEX(About!C:C,MATCH(Sheet1!B655,About!B:B,0),1)),""))</f>
        <v>BAU Fuel Prices and Taxes.xlsx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5">
      <c r="A656" t="s">
        <v>181</v>
      </c>
      <c r="B656" t="s">
        <v>738</v>
      </c>
      <c r="C656" t="s">
        <v>1770</v>
      </c>
      <c r="G656" t="str">
        <f t="shared" si="22"/>
        <v>.csv</v>
      </c>
      <c r="H656" s="5" t="str">
        <f>IF(AND(G656=".csv",COUNTIFS($B:$B,$B656,$G:$G,"xlsx")-COUNTIFS($B:$B,$B656,$G:$G,"xlsx",$C:$C,"~~$*")&gt;1,LEFT(C656,LEN($B656))&lt;&gt;$B656),"",IFERROR(IF(B656="FoPITY",INDEX(Customizations!$C$2:$C$19,MATCH(Sheet1!C656,Customizations!$B$2:$B$19,0),1),INDEX(About!C:C,MATCH(Sheet1!B656,About!B:B,0),1)),""))</f>
        <v>BAU Fuel Prices and Taxes.xlsx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5">
      <c r="A657" t="s">
        <v>181</v>
      </c>
      <c r="B657" t="s">
        <v>182</v>
      </c>
      <c r="C657" t="s">
        <v>183</v>
      </c>
      <c r="G657" t="str">
        <f t="shared" si="22"/>
        <v>xlsx</v>
      </c>
      <c r="H657" s="5" t="str">
        <f>IF(AND(G657=".csv",COUNTIFS($B:$B,$B657,$G:$G,"xlsx")-COUNTIFS($B:$B,$B657,$G:$G,"xlsx",$C:$C,"~~$*")&gt;1,LEFT(C657,LEN($B657))&lt;&gt;$B657),"",IFERROR(IF(B657="FoPITY",INDEX(Customizations!$C$2:$C$19,MATCH(Sheet1!C657,Customizations!$B$2:$B$19,0),1),INDEX(About!C:C,MATCH(Sheet1!B657,About!B:B,0),1)),""))</f>
        <v>BAU Fuel Production Imports and Exports.xlsx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5">
      <c r="A658" t="s">
        <v>181</v>
      </c>
      <c r="B658" t="s">
        <v>182</v>
      </c>
      <c r="C658" t="s">
        <v>184</v>
      </c>
      <c r="G658" t="str">
        <f t="shared" si="22"/>
        <v>.csv</v>
      </c>
      <c r="H658" s="5" t="str">
        <f>IF(AND(G658=".csv",COUNTIFS($B:$B,$B658,$G:$G,"xlsx")-COUNTIFS($B:$B,$B658,$G:$G,"xlsx",$C:$C,"~~$*")&gt;1,LEFT(C658,LEN($B658))&lt;&gt;$B658),"",IFERROR(IF(B658="FoPITY",INDEX(Customizations!$C$2:$C$19,MATCH(Sheet1!C658,Customizations!$B$2:$B$19,0),1),INDEX(About!C:C,MATCH(Sheet1!B658,About!B:B,0),1)),""))</f>
        <v>BAU Fuel Production Imports and Exports.xlsx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5">
      <c r="A659" t="s">
        <v>181</v>
      </c>
      <c r="B659" t="s">
        <v>182</v>
      </c>
      <c r="C659" t="s">
        <v>185</v>
      </c>
      <c r="G659" t="str">
        <f t="shared" si="22"/>
        <v>.csv</v>
      </c>
      <c r="H659" s="5" t="str">
        <f>IF(AND(G659=".csv",COUNTIFS($B:$B,$B659,$G:$G,"xlsx")-COUNTIFS($B:$B,$B659,$G:$G,"xlsx",$C:$C,"~~$*")&gt;1,LEFT(C659,LEN($B659))&lt;&gt;$B659),"",IFERROR(IF(B659="FoPITY",INDEX(Customizations!$C$2:$C$19,MATCH(Sheet1!C659,Customizations!$B$2:$B$19,0),1),INDEX(About!C:C,MATCH(Sheet1!B659,About!B:B,0),1)),""))</f>
        <v>BAU Fuel Production Imports and Exports.xlsx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5">
      <c r="A660" t="s">
        <v>181</v>
      </c>
      <c r="B660" t="s">
        <v>182</v>
      </c>
      <c r="C660" t="s">
        <v>186</v>
      </c>
      <c r="G660" t="str">
        <f t="shared" si="22"/>
        <v>.csv</v>
      </c>
      <c r="H660" s="5" t="str">
        <f>IF(AND(G660=".csv",COUNTIFS($B:$B,$B660,$G:$G,"xlsx")-COUNTIFS($B:$B,$B660,$G:$G,"xlsx",$C:$C,"~~$*")&gt;1,LEFT(C660,LEN($B660))&lt;&gt;$B660),"",IFERROR(IF(B660="FoPITY",INDEX(Customizations!$C$2:$C$19,MATCH(Sheet1!C660,Customizations!$B$2:$B$19,0),1),INDEX(About!C:C,MATCH(Sheet1!B660,About!B:B,0),1)),""))</f>
        <v>BAU Fuel Production Imports and Exports.xlsx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5">
      <c r="A661" t="s">
        <v>181</v>
      </c>
      <c r="B661" t="s">
        <v>182</v>
      </c>
      <c r="C661" t="s">
        <v>1771</v>
      </c>
      <c r="G661" t="str">
        <f t="shared" si="22"/>
        <v>.csv</v>
      </c>
      <c r="H661" s="5" t="str">
        <f>IF(AND(G661=".csv",COUNTIFS($B:$B,$B661,$G:$G,"xlsx")-COUNTIFS($B:$B,$B661,$G:$G,"xlsx",$C:$C,"~~$*")&gt;1,LEFT(C661,LEN($B661))&lt;&gt;$B661),"",IFERROR(IF(B661="FoPITY",INDEX(Customizations!$C$2:$C$19,MATCH(Sheet1!C661,Customizations!$B$2:$B$19,0),1),INDEX(About!C:C,MATCH(Sheet1!B661,About!B:B,0),1)),""))</f>
        <v>BAU Fuel Production Imports and Exports.xlsx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5">
      <c r="A662" t="s">
        <v>181</v>
      </c>
      <c r="B662" t="s">
        <v>182</v>
      </c>
      <c r="C662" t="s">
        <v>1772</v>
      </c>
      <c r="G662" t="str">
        <f t="shared" si="22"/>
        <v>.csv</v>
      </c>
      <c r="H662" s="5" t="str">
        <f>IF(AND(G662=".csv",COUNTIFS($B:$B,$B662,$G:$G,"xlsx")-COUNTIFS($B:$B,$B662,$G:$G,"xlsx",$C:$C,"~~$*")&gt;1,LEFT(C662,LEN($B662))&lt;&gt;$B662),"",IFERROR(IF(B662="FoPITY",INDEX(Customizations!$C$2:$C$19,MATCH(Sheet1!C662,Customizations!$B$2:$B$19,0),1),INDEX(About!C:C,MATCH(Sheet1!B662,About!B:B,0),1)),""))</f>
        <v>BAU Fuel Production Imports and Exports.xlsx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5">
      <c r="A663" t="s">
        <v>181</v>
      </c>
      <c r="B663" t="s">
        <v>1483</v>
      </c>
      <c r="C663" t="s">
        <v>1484</v>
      </c>
      <c r="G663" t="str">
        <f t="shared" ref="G663:G726" si="24">RIGHT(C663,"4")</f>
        <v>xlsx</v>
      </c>
      <c r="H663" s="5" t="str">
        <f>IF(AND(G663=".csv",COUNTIFS($B:$B,$B663,$G:$G,"xlsx")-COUNTIFS($B:$B,$B663,$G:$G,"xlsx",$C:$C,"~~$*")&gt;1,LEFT(C663,LEN($B663))&lt;&gt;$B663),"",IFERROR(IF(B663="FoPITY",INDEX(Customizations!$C$2:$C$19,MATCH(Sheet1!C663,Customizations!$B$2:$B$19,0),1),INDEX(About!C:C,MATCH(Sheet1!B663,About!B:B,0),1)),""))</f>
        <v>BAU Pollutants Taxed by Carbon Pricing.xlsx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5">
      <c r="A664" t="s">
        <v>181</v>
      </c>
      <c r="B664" t="s">
        <v>1483</v>
      </c>
      <c r="C664" t="s">
        <v>1485</v>
      </c>
      <c r="G664" t="str">
        <f t="shared" si="24"/>
        <v>.csv</v>
      </c>
      <c r="H664" s="5" t="str">
        <f>IF(AND(G664=".csv",COUNTIFS($B:$B,$B664,$G:$G,"xlsx")-COUNTIFS($B:$B,$B664,$G:$G,"xlsx",$C:$C,"~~$*")&gt;1,LEFT(C664,LEN($B664))&lt;&gt;$B664),"",IFERROR(IF(B664="FoPITY",INDEX(Customizations!$C$2:$C$19,MATCH(Sheet1!C664,Customizations!$B$2:$B$19,0),1),INDEX(About!C:C,MATCH(Sheet1!B664,About!B:B,0),1)),""))</f>
        <v>BAU Pollutants Taxed by Carbon Pricing.xlsx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5">
      <c r="A665" t="s">
        <v>181</v>
      </c>
      <c r="B665" t="s">
        <v>1483</v>
      </c>
      <c r="C665" t="s">
        <v>1486</v>
      </c>
      <c r="G665" t="str">
        <f t="shared" si="24"/>
        <v>.csv</v>
      </c>
      <c r="H665" s="5" t="str">
        <f>IF(AND(G665=".csv",COUNTIFS($B:$B,$B665,$G:$G,"xlsx")-COUNTIFS($B:$B,$B665,$G:$G,"xlsx",$C:$C,"~~$*")&gt;1,LEFT(C665,LEN($B665))&lt;&gt;$B665),"",IFERROR(IF(B665="FoPITY",INDEX(Customizations!$C$2:$C$19,MATCH(Sheet1!C665,Customizations!$B$2:$B$19,0),1),INDEX(About!C:C,MATCH(Sheet1!B665,About!B:B,0),1)),""))</f>
        <v>BAU Pollutants Taxed by Carbon Pricing.xlsx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5">
      <c r="A666" t="s">
        <v>181</v>
      </c>
      <c r="B666" t="s">
        <v>1483</v>
      </c>
      <c r="C666" t="s">
        <v>1487</v>
      </c>
      <c r="G666" t="str">
        <f t="shared" si="24"/>
        <v>.csv</v>
      </c>
      <c r="H666" s="5" t="str">
        <f>IF(AND(G666=".csv",COUNTIFS($B:$B,$B666,$G:$G,"xlsx")-COUNTIFS($B:$B,$B666,$G:$G,"xlsx",$C:$C,"~~$*")&gt;1,LEFT(C666,LEN($B666))&lt;&gt;$B666),"",IFERROR(IF(B666="FoPITY",INDEX(Customizations!$C$2:$C$19,MATCH(Sheet1!C666,Customizations!$B$2:$B$19,0),1),INDEX(About!C:C,MATCH(Sheet1!B666,About!B:B,0),1)),""))</f>
        <v>BAU Pollutants Taxed by Carbon Pricing.xlsx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5">
      <c r="A667" t="s">
        <v>181</v>
      </c>
      <c r="B667" t="s">
        <v>1483</v>
      </c>
      <c r="C667" t="s">
        <v>1488</v>
      </c>
      <c r="G667" t="str">
        <f t="shared" si="24"/>
        <v>.csv</v>
      </c>
      <c r="H667" s="5" t="str">
        <f>IF(AND(G667=".csv",COUNTIFS($B:$B,$B667,$G:$G,"xlsx")-COUNTIFS($B:$B,$B667,$G:$G,"xlsx",$C:$C,"~~$*")&gt;1,LEFT(C667,LEN($B667))&lt;&gt;$B667),"",IFERROR(IF(B667="FoPITY",INDEX(Customizations!$C$2:$C$19,MATCH(Sheet1!C667,Customizations!$B$2:$B$19,0),1),INDEX(About!C:C,MATCH(Sheet1!B667,About!B:B,0),1)),""))</f>
        <v>BAU Pollutants Taxed by Carbon Pricing.xlsx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5">
      <c r="A668" t="s">
        <v>181</v>
      </c>
      <c r="B668" t="s">
        <v>1483</v>
      </c>
      <c r="C668" t="s">
        <v>1489</v>
      </c>
      <c r="G668" t="str">
        <f t="shared" si="24"/>
        <v>.csv</v>
      </c>
      <c r="H668" s="5" t="str">
        <f>IF(AND(G668=".csv",COUNTIFS($B:$B,$B668,$G:$G,"xlsx")-COUNTIFS($B:$B,$B668,$G:$G,"xlsx",$C:$C,"~~$*")&gt;1,LEFT(C668,LEN($B668))&lt;&gt;$B668),"",IFERROR(IF(B668="FoPITY",INDEX(Customizations!$C$2:$C$19,MATCH(Sheet1!C668,Customizations!$B$2:$B$19,0),1),INDEX(About!C:C,MATCH(Sheet1!B668,About!B:B,0),1)),""))</f>
        <v>BAU Pollutants Taxed by Carbon Pricing.xlsx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5">
      <c r="A669" t="s">
        <v>181</v>
      </c>
      <c r="B669" t="s">
        <v>1483</v>
      </c>
      <c r="C669" t="s">
        <v>1490</v>
      </c>
      <c r="G669" t="str">
        <f t="shared" si="24"/>
        <v>.csv</v>
      </c>
      <c r="H669" s="5" t="str">
        <f>IF(AND(G669=".csv",COUNTIFS($B:$B,$B669,$G:$G,"xlsx")-COUNTIFS($B:$B,$B669,$G:$G,"xlsx",$C:$C,"~~$*")&gt;1,LEFT(C669,LEN($B669))&lt;&gt;$B669),"",IFERROR(IF(B669="FoPITY",INDEX(Customizations!$C$2:$C$19,MATCH(Sheet1!C669,Customizations!$B$2:$B$19,0),1),INDEX(About!C:C,MATCH(Sheet1!B669,About!B:B,0),1)),""))</f>
        <v>BAU Pollutants Taxed by Carbon Pricing.xlsx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5">
      <c r="A670" t="s">
        <v>181</v>
      </c>
      <c r="B670" t="s">
        <v>187</v>
      </c>
      <c r="C670" t="s">
        <v>188</v>
      </c>
      <c r="G670" t="str">
        <f t="shared" si="24"/>
        <v>xlsx</v>
      </c>
      <c r="H670" s="5" t="str">
        <f>IF(AND(G670=".csv",COUNTIFS($B:$B,$B670,$G:$G,"xlsx")-COUNTIFS($B:$B,$B670,$G:$G,"xlsx",$C:$C,"~~$*")&gt;1,LEFT(C670,LEN($B670))&lt;&gt;$B670),"",IFERROR(IF(B670="FoPITY",INDEX(Customizations!$C$2:$C$19,MATCH(Sheet1!C670,Customizations!$B$2:$B$19,0),1),INDEX(About!C:C,MATCH(Sheet1!B670,About!B:B,0),1)),""))</f>
        <v>BAU Subsidies.xlsx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5">
      <c r="A671" t="s">
        <v>181</v>
      </c>
      <c r="B671" t="s">
        <v>187</v>
      </c>
      <c r="C671" t="s">
        <v>1491</v>
      </c>
      <c r="G671" t="str">
        <f t="shared" si="24"/>
        <v>.csv</v>
      </c>
      <c r="H671" s="5" t="str">
        <f>IF(AND(G671=".csv",COUNTIFS($B:$B,$B671,$G:$G,"xlsx")-COUNTIFS($B:$B,$B671,$G:$G,"xlsx",$C:$C,"~~$*")&gt;1,LEFT(C671,LEN($B671))&lt;&gt;$B671),"",IFERROR(IF(B671="FoPITY",INDEX(Customizations!$C$2:$C$19,MATCH(Sheet1!C671,Customizations!$B$2:$B$19,0),1),INDEX(About!C:C,MATCH(Sheet1!B671,About!B:B,0),1)),""))</f>
        <v>BAU Subsidies.xlsx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5">
      <c r="A672" t="s">
        <v>181</v>
      </c>
      <c r="B672" t="s">
        <v>187</v>
      </c>
      <c r="C672" t="s">
        <v>1492</v>
      </c>
      <c r="G672" t="str">
        <f t="shared" si="24"/>
        <v>.csv</v>
      </c>
      <c r="H672" s="5" t="str">
        <f>IF(AND(G672=".csv",COUNTIFS($B:$B,$B672,$G:$G,"xlsx")-COUNTIFS($B:$B,$B672,$G:$G,"xlsx",$C:$C,"~~$*")&gt;1,LEFT(C672,LEN($B672))&lt;&gt;$B672),"",IFERROR(IF(B672="FoPITY",INDEX(Customizations!$C$2:$C$19,MATCH(Sheet1!C672,Customizations!$B$2:$B$19,0),1),INDEX(About!C:C,MATCH(Sheet1!B672,About!B:B,0),1)),""))</f>
        <v>BAU Subsidies.xlsx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5">
      <c r="A673" t="s">
        <v>181</v>
      </c>
      <c r="B673" t="s">
        <v>187</v>
      </c>
      <c r="C673" t="s">
        <v>1493</v>
      </c>
      <c r="G673" t="str">
        <f t="shared" si="24"/>
        <v>.csv</v>
      </c>
      <c r="H673" s="5" t="str">
        <f>IF(AND(G673=".csv",COUNTIFS($B:$B,$B673,$G:$G,"xlsx")-COUNTIFS($B:$B,$B673,$G:$G,"xlsx",$C:$C,"~~$*")&gt;1,LEFT(C673,LEN($B673))&lt;&gt;$B673),"",IFERROR(IF(B673="FoPITY",INDEX(Customizations!$C$2:$C$19,MATCH(Sheet1!C673,Customizations!$B$2:$B$19,0),1),INDEX(About!C:C,MATCH(Sheet1!B673,About!B:B,0),1)),""))</f>
        <v>BAU Subsidies.xlsx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5">
      <c r="A674" t="s">
        <v>181</v>
      </c>
      <c r="B674" t="s">
        <v>187</v>
      </c>
      <c r="C674" t="s">
        <v>1494</v>
      </c>
      <c r="G674" t="str">
        <f t="shared" si="24"/>
        <v>.csv</v>
      </c>
      <c r="H674" s="5" t="str">
        <f>IF(AND(G674=".csv",COUNTIFS($B:$B,$B674,$G:$G,"xlsx")-COUNTIFS($B:$B,$B674,$G:$G,"xlsx",$C:$C,"~~$*")&gt;1,LEFT(C674,LEN($B674))&lt;&gt;$B674),"",IFERROR(IF(B674="FoPITY",INDEX(Customizations!$C$2:$C$19,MATCH(Sheet1!C674,Customizations!$B$2:$B$19,0),1),INDEX(About!C:C,MATCH(Sheet1!B674,About!B:B,0),1)),""))</f>
        <v>BAU Subsidies.xlsx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5">
      <c r="A675" t="s">
        <v>181</v>
      </c>
      <c r="B675" t="s">
        <v>187</v>
      </c>
      <c r="C675" t="s">
        <v>1495</v>
      </c>
      <c r="G675" t="str">
        <f t="shared" si="24"/>
        <v>.csv</v>
      </c>
      <c r="H675" s="5" t="str">
        <f>IF(AND(G675=".csv",COUNTIFS($B:$B,$B675,$G:$G,"xlsx")-COUNTIFS($B:$B,$B675,$G:$G,"xlsx",$C:$C,"~~$*")&gt;1,LEFT(C675,LEN($B675))&lt;&gt;$B675),"",IFERROR(IF(B675="FoPITY",INDEX(Customizations!$C$2:$C$19,MATCH(Sheet1!C675,Customizations!$B$2:$B$19,0),1),INDEX(About!C:C,MATCH(Sheet1!B675,About!B:B,0),1)),""))</f>
        <v>BAU Subsidies.xlsx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5">
      <c r="A676" t="s">
        <v>181</v>
      </c>
      <c r="B676" t="s">
        <v>187</v>
      </c>
      <c r="C676" t="s">
        <v>1496</v>
      </c>
      <c r="G676" t="str">
        <f t="shared" si="24"/>
        <v>.csv</v>
      </c>
      <c r="H676" s="5" t="str">
        <f>IF(AND(G676=".csv",COUNTIFS($B:$B,$B676,$G:$G,"xlsx")-COUNTIFS($B:$B,$B676,$G:$G,"xlsx",$C:$C,"~~$*")&gt;1,LEFT(C676,LEN($B676))&lt;&gt;$B676),"",IFERROR(IF(B676="FoPITY",INDEX(Customizations!$C$2:$C$19,MATCH(Sheet1!C676,Customizations!$B$2:$B$19,0),1),INDEX(About!C:C,MATCH(Sheet1!B676,About!B:B,0),1)),""))</f>
        <v>BAU Subsidies.xlsx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5">
      <c r="A677" t="s">
        <v>181</v>
      </c>
      <c r="B677" t="s">
        <v>187</v>
      </c>
      <c r="C677" t="s">
        <v>1497</v>
      </c>
      <c r="G677" t="str">
        <f t="shared" si="24"/>
        <v>.csv</v>
      </c>
      <c r="H677" s="5" t="str">
        <f>IF(AND(G677=".csv",COUNTIFS($B:$B,$B677,$G:$G,"xlsx")-COUNTIFS($B:$B,$B677,$G:$G,"xlsx",$C:$C,"~~$*")&gt;1,LEFT(C677,LEN($B677))&lt;&gt;$B677),"",IFERROR(IF(B677="FoPITY",INDEX(Customizations!$C$2:$C$19,MATCH(Sheet1!C677,Customizations!$B$2:$B$19,0),1),INDEX(About!C:C,MATCH(Sheet1!B677,About!B:B,0),1)),""))</f>
        <v>BAU Subsidies.xlsx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5">
      <c r="A678" t="s">
        <v>181</v>
      </c>
      <c r="B678" t="s">
        <v>187</v>
      </c>
      <c r="C678" t="s">
        <v>189</v>
      </c>
      <c r="G678" t="str">
        <f t="shared" si="24"/>
        <v>.csv</v>
      </c>
      <c r="H678" s="5" t="str">
        <f>IF(AND(G678=".csv",COUNTIFS($B:$B,$B678,$G:$G,"xlsx")-COUNTIFS($B:$B,$B678,$G:$G,"xlsx",$C:$C,"~~$*")&gt;1,LEFT(C678,LEN($B678))&lt;&gt;$B678),"",IFERROR(IF(B678="FoPITY",INDEX(Customizations!$C$2:$C$19,MATCH(Sheet1!C678,Customizations!$B$2:$B$19,0),1),INDEX(About!C:C,MATCH(Sheet1!B678,About!B:B,0),1)),""))</f>
        <v>BAU Subsidies.xlsx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5">
      <c r="A679" t="s">
        <v>181</v>
      </c>
      <c r="B679" t="s">
        <v>187</v>
      </c>
      <c r="C679" t="s">
        <v>1122</v>
      </c>
      <c r="G679" t="str">
        <f t="shared" si="24"/>
        <v>.csv</v>
      </c>
      <c r="H679" s="5" t="str">
        <f>IF(AND(G679=".csv",COUNTIFS($B:$B,$B679,$G:$G,"xlsx")-COUNTIFS($B:$B,$B679,$G:$G,"xlsx",$C:$C,"~~$*")&gt;1,LEFT(C679,LEN($B679))&lt;&gt;$B679),"",IFERROR(IF(B679="FoPITY",INDEX(Customizations!$C$2:$C$19,MATCH(Sheet1!C679,Customizations!$B$2:$B$19,0),1),INDEX(About!C:C,MATCH(Sheet1!B679,About!B:B,0),1)),""))</f>
        <v>BAU Subsidies.xlsx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5">
      <c r="A680" t="s">
        <v>181</v>
      </c>
      <c r="B680" t="s">
        <v>187</v>
      </c>
      <c r="C680" t="s">
        <v>1773</v>
      </c>
      <c r="G680" t="str">
        <f t="shared" si="24"/>
        <v>.csv</v>
      </c>
      <c r="H680" s="5" t="str">
        <f>IF(AND(G680=".csv",COUNTIFS($B:$B,$B680,$G:$G,"xlsx")-COUNTIFS($B:$B,$B680,$G:$G,"xlsx",$C:$C,"~~$*")&gt;1,LEFT(C680,LEN($B680))&lt;&gt;$B680),"",IFERROR(IF(B680="FoPITY",INDEX(Customizations!$C$2:$C$19,MATCH(Sheet1!C680,Customizations!$B$2:$B$19,0),1),INDEX(About!C:C,MATCH(Sheet1!B680,About!B:B,0),1)),""))</f>
        <v>BAU Subsidies.xlsx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5">
      <c r="A681" t="s">
        <v>181</v>
      </c>
      <c r="B681" t="s">
        <v>187</v>
      </c>
      <c r="C681" t="s">
        <v>1363</v>
      </c>
      <c r="G681" t="str">
        <f t="shared" si="24"/>
        <v>.csv</v>
      </c>
      <c r="H681" s="5" t="str">
        <f>IF(AND(G681=".csv",COUNTIFS($B:$B,$B681,$G:$G,"xlsx")-COUNTIFS($B:$B,$B681,$G:$G,"xlsx",$C:$C,"~~$*")&gt;1,LEFT(C681,LEN($B681))&lt;&gt;$B681),"",IFERROR(IF(B681="FoPITY",INDEX(Customizations!$C$2:$C$19,MATCH(Sheet1!C681,Customizations!$B$2:$B$19,0),1),INDEX(About!C:C,MATCH(Sheet1!B681,About!B:B,0),1)),""))</f>
        <v>BAU Subsidies.xlsx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5">
      <c r="A682" t="s">
        <v>181</v>
      </c>
      <c r="B682" t="s">
        <v>190</v>
      </c>
      <c r="C682" t="s">
        <v>191</v>
      </c>
      <c r="G682" t="str">
        <f t="shared" si="24"/>
        <v>.csv</v>
      </c>
      <c r="H682" s="5" t="str">
        <f>IF(AND(G682=".csv",COUNTIFS($B:$B,$B682,$G:$G,"xlsx")-COUNTIFS($B:$B,$B682,$G:$G,"xlsx",$C:$C,"~~$*")&gt;1,LEFT(C682,LEN($B682))&lt;&gt;$B682),"",IFERROR(IF(B682="FoPITY",INDEX(Customizations!$C$2:$C$19,MATCH(Sheet1!C682,Customizations!$B$2:$B$19,0),1),INDEX(About!C:C,MATCH(Sheet1!B682,About!B:B,0),1)),""))</f>
        <v>Export Tax Rate by Fuel.xlsx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5">
      <c r="A683" t="s">
        <v>181</v>
      </c>
      <c r="B683" t="s">
        <v>190</v>
      </c>
      <c r="C683" t="s">
        <v>192</v>
      </c>
      <c r="G683" t="str">
        <f t="shared" si="24"/>
        <v>xlsx</v>
      </c>
      <c r="H683" s="5" t="str">
        <f>IF(AND(G683=".csv",COUNTIFS($B:$B,$B683,$G:$G,"xlsx")-COUNTIFS($B:$B,$B683,$G:$G,"xlsx",$C:$C,"~~$*")&gt;1,LEFT(C683,LEN($B683))&lt;&gt;$B683),"",IFERROR(IF(B683="FoPITY",INDEX(Customizations!$C$2:$C$19,MATCH(Sheet1!C683,Customizations!$B$2:$B$19,0),1),INDEX(About!C:C,MATCH(Sheet1!B683,About!B:B,0),1)),""))</f>
        <v>Export Tax Rate by Fuel.xlsx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5">
      <c r="A684" t="s">
        <v>181</v>
      </c>
      <c r="B684" t="s">
        <v>1255</v>
      </c>
      <c r="C684" t="s">
        <v>1256</v>
      </c>
      <c r="G684" t="str">
        <f t="shared" si="24"/>
        <v>.csv</v>
      </c>
      <c r="H684" s="5" t="str">
        <f>IF(AND(G684=".csv",COUNTIFS($B:$B,$B684,$G:$G,"xlsx")-COUNTIFS($B:$B,$B684,$G:$G,"xlsx",$C:$C,"~~$*")&gt;1,LEFT(C684,LEN($B684))&lt;&gt;$B684),"",IFERROR(IF(B684="FoPITY",INDEX(Customizations!$C$2:$C$19,MATCH(Sheet1!C684,Customizations!$B$2:$B$19,0),1),INDEX(About!C:C,MATCH(Sheet1!B684,About!B:B,0),1)),""))</f>
        <v>Fraction of Industry Covered by Carbon Tax Border Adjustment.xlsx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5">
      <c r="A685" t="s">
        <v>181</v>
      </c>
      <c r="B685" t="s">
        <v>1255</v>
      </c>
      <c r="C685" t="s">
        <v>1257</v>
      </c>
      <c r="G685" t="str">
        <f t="shared" si="24"/>
        <v>xlsx</v>
      </c>
      <c r="H685" s="5" t="str">
        <f>IF(AND(G685=".csv",COUNTIFS($B:$B,$B685,$G:$G,"xlsx")-COUNTIFS($B:$B,$B685,$G:$G,"xlsx",$C:$C,"~~$*")&gt;1,LEFT(C685,LEN($B685))&lt;&gt;$B685),"",IFERROR(IF(B685="FoPITY",INDEX(Customizations!$C$2:$C$19,MATCH(Sheet1!C685,Customizations!$B$2:$B$19,0),1),INDEX(About!C:C,MATCH(Sheet1!B685,About!B:B,0),1)),""))</f>
        <v>Fraction of Industry Covered by Carbon Tax Border Adjustment.xlsx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5">
      <c r="A686" t="s">
        <v>181</v>
      </c>
      <c r="B686" t="s">
        <v>1026</v>
      </c>
      <c r="C686" t="s">
        <v>1027</v>
      </c>
      <c r="G686" t="str">
        <f t="shared" si="24"/>
        <v>.csv</v>
      </c>
      <c r="H686" s="5" t="str">
        <f>IF(AND(G686=".csv",COUNTIFS($B:$B,$B686,$G:$G,"xlsx")-COUNTIFS($B:$B,$B686,$G:$G,"xlsx",$C:$C,"~~$*")&gt;1,LEFT(C686,LEN($B686))&lt;&gt;$B686),"",IFERROR(IF(B686="FoPITY",INDEX(Customizations!$C$2:$C$19,MATCH(Sheet1!C686,Customizations!$B$2:$B$19,0),1),INDEX(About!C:C,MATCH(Sheet1!B686,About!B:B,0),1)),""))</f>
        <v>Fraction of Industry Category Subject to Carbon Tax.xlsx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5">
      <c r="A687" t="s">
        <v>181</v>
      </c>
      <c r="B687" t="s">
        <v>1026</v>
      </c>
      <c r="C687" t="s">
        <v>1028</v>
      </c>
      <c r="G687" t="str">
        <f t="shared" si="24"/>
        <v>xlsx</v>
      </c>
      <c r="H687" s="5" t="str">
        <f>IF(AND(G687=".csv",COUNTIFS($B:$B,$B687,$G:$G,"xlsx")-COUNTIFS($B:$B,$B687,$G:$G,"xlsx",$C:$C,"~~$*")&gt;1,LEFT(C687,LEN($B687))&lt;&gt;$B687),"",IFERROR(IF(B687="FoPITY",INDEX(Customizations!$C$2:$C$19,MATCH(Sheet1!C687,Customizations!$B$2:$B$19,0),1),INDEX(About!C:C,MATCH(Sheet1!B687,About!B:B,0),1)),""))</f>
        <v>Fraction of Industry Category Subject to Carbon Tax.xlsx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5">
      <c r="A688" t="s">
        <v>181</v>
      </c>
      <c r="B688" t="s">
        <v>856</v>
      </c>
      <c r="C688" t="s">
        <v>857</v>
      </c>
      <c r="G688" t="str">
        <f t="shared" si="24"/>
        <v>.csv</v>
      </c>
      <c r="H688" s="5" t="str">
        <f>IF(AND(G688=".csv",COUNTIFS($B:$B,$B688,$G:$G,"xlsx")-COUNTIFS($B:$B,$B688,$G:$G,"xlsx",$C:$C,"~~$*")&gt;1,LEFT(C688,LEN($B688))&lt;&gt;$B688),"",IFERROR(IF(B688="FoPITY",INDEX(Customizations!$C$2:$C$19,MATCH(Sheet1!C688,Customizations!$B$2:$B$19,0),1),INDEX(About!C:C,MATCH(Sheet1!B688,About!B:B,0),1)),""))</f>
        <v>Fractions of Products That are Fuels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5">
      <c r="A689" t="s">
        <v>181</v>
      </c>
      <c r="B689" t="s">
        <v>856</v>
      </c>
      <c r="C689" t="s">
        <v>858</v>
      </c>
      <c r="G689" t="str">
        <f t="shared" si="24"/>
        <v>xlsx</v>
      </c>
      <c r="H689" s="5" t="str">
        <f>IF(AND(G689=".csv",COUNTIFS($B:$B,$B689,$G:$G,"xlsx")-COUNTIFS($B:$B,$B689,$G:$G,"xlsx",$C:$C,"~~$*")&gt;1,LEFT(C689,LEN($B689))&lt;&gt;$B689),"",IFERROR(IF(B689="FoPITY",INDEX(Customizations!$C$2:$C$19,MATCH(Sheet1!C689,Customizations!$B$2:$B$19,0),1),INDEX(About!C:C,MATCH(Sheet1!B689,About!B:B,0),1)),""))</f>
        <v>Fractions of Products That are Fuels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5">
      <c r="A690" t="s">
        <v>181</v>
      </c>
      <c r="B690" t="s">
        <v>1364</v>
      </c>
      <c r="C690" t="s">
        <v>1365</v>
      </c>
      <c r="G690" t="str">
        <f t="shared" si="24"/>
        <v>.csv</v>
      </c>
      <c r="H690" s="5" t="str">
        <f>IF(AND(G690=".csv",COUNTIFS($B:$B,$B690,$G:$G,"xlsx")-COUNTIFS($B:$B,$B690,$G:$G,"xlsx",$C:$C,"~~$*")&gt;1,LEFT(C690,LEN($B690))&lt;&gt;$B690),"",IFERROR(IF(B690="FoPITY",INDEX(Customizations!$C$2:$C$19,MATCH(Sheet1!C690,Customizations!$B$2:$B$19,0),1),INDEX(About!C:C,MATCH(Sheet1!B690,About!B:B,0),1)),""))</f>
        <v>Fraction of Vehicle Types Subject to Carbon Tax.xlsx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5">
      <c r="A691" t="s">
        <v>181</v>
      </c>
      <c r="B691" t="s">
        <v>1364</v>
      </c>
      <c r="C691" t="s">
        <v>1258</v>
      </c>
      <c r="G691" t="str">
        <f t="shared" si="24"/>
        <v>xlsx</v>
      </c>
      <c r="H691" s="5" t="str">
        <f>IF(AND(G691=".csv",COUNTIFS($B:$B,$B691,$G:$G,"xlsx")-COUNTIFS($B:$B,$B691,$G:$G,"xlsx",$C:$C,"~~$*")&gt;1,LEFT(C691,LEN($B691))&lt;&gt;$B691),"",IFERROR(IF(B691="FoPITY",INDEX(Customizations!$C$2:$C$19,MATCH(Sheet1!C691,Customizations!$B$2:$B$19,0),1),INDEX(About!C:C,MATCH(Sheet1!B691,About!B:B,0),1)),""))</f>
        <v>Fraction of Vehicle Types Subject to Carbon Tax.xlsx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5">
      <c r="A692" t="s">
        <v>181</v>
      </c>
      <c r="B692" t="s">
        <v>905</v>
      </c>
      <c r="C692" t="s">
        <v>906</v>
      </c>
      <c r="G692" t="str">
        <f t="shared" si="24"/>
        <v>.csv</v>
      </c>
      <c r="H692" s="5" t="str">
        <f>IF(AND(G692=".csv",COUNTIFS($B:$B,$B692,$G:$G,"xlsx")-COUNTIFS($B:$B,$B692,$G:$G,"xlsx",$C:$C,"~~$*")&gt;1,LEFT(C692,LEN($B692))&lt;&gt;$B692),"",IFERROR(IF(B692="FoPITY",INDEX(Customizations!$C$2:$C$19,MATCH(Sheet1!C692,Customizations!$B$2:$B$19,0),1),INDEX(About!C:C,MATCH(Sheet1!B692,About!B:B,0),1)),""))</f>
        <v>Fuel Prod Imp Exp Balancing Priorities.xlsx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5">
      <c r="A693" t="s">
        <v>181</v>
      </c>
      <c r="B693" t="s">
        <v>905</v>
      </c>
      <c r="C693" t="s">
        <v>907</v>
      </c>
      <c r="G693" t="str">
        <f t="shared" si="24"/>
        <v>xlsx</v>
      </c>
      <c r="H693" s="5" t="str">
        <f>IF(AND(G693=".csv",COUNTIFS($B:$B,$B693,$G:$G,"xlsx")-COUNTIFS($B:$B,$B693,$G:$G,"xlsx",$C:$C,"~~$*")&gt;1,LEFT(C693,LEN($B693))&lt;&gt;$B693),"",IFERROR(IF(B693="FoPITY",INDEX(Customizations!$C$2:$C$19,MATCH(Sheet1!C693,Customizations!$B$2:$B$19,0),1),INDEX(About!C:C,MATCH(Sheet1!B693,About!B:B,0),1)),""))</f>
        <v>Fuel Prod Imp Exp Balancing Priorities.xlsx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5">
      <c r="A694" t="s">
        <v>181</v>
      </c>
      <c r="B694" t="s">
        <v>1123</v>
      </c>
      <c r="C694" t="s">
        <v>1124</v>
      </c>
      <c r="G694" t="str">
        <f t="shared" si="24"/>
        <v>.csv</v>
      </c>
      <c r="H694" s="5" t="str">
        <f>IF(AND(G694=".csv",COUNTIFS($B:$B,$B694,$G:$G,"xlsx")-COUNTIFS($B:$B,$B694,$G:$G,"xlsx",$C:$C,"~~$*")&gt;1,LEFT(C694,LEN($B694))&lt;&gt;$B694),"",IFERROR(IF(B694="FoPITY",INDEX(Customizations!$C$2:$C$19,MATCH(Sheet1!C694,Customizations!$B$2:$B$19,0),1),INDEX(About!C:C,MATCH(Sheet1!B694,About!B:B,0),1)),""))</f>
        <v>Fuel Surcharge Perc by Power Plant Type.xlsx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5">
      <c r="A695" t="s">
        <v>181</v>
      </c>
      <c r="B695" t="s">
        <v>1123</v>
      </c>
      <c r="C695" t="s">
        <v>1125</v>
      </c>
      <c r="G695" t="str">
        <f t="shared" si="24"/>
        <v>xlsx</v>
      </c>
      <c r="H695" s="5" t="str">
        <f>IF(AND(G695=".csv",COUNTIFS($B:$B,$B695,$G:$G,"xlsx")-COUNTIFS($B:$B,$B695,$G:$G,"xlsx",$C:$C,"~~$*")&gt;1,LEFT(C695,LEN($B695))&lt;&gt;$B695),"",IFERROR(IF(B695="FoPITY",INDEX(Customizations!$C$2:$C$19,MATCH(Sheet1!C695,Customizations!$B$2:$B$19,0),1),INDEX(About!C:C,MATCH(Sheet1!B695,About!B:B,0),1)),""))</f>
        <v>Fuel Surcharge Perc by Power Plant Type.xlsx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5">
      <c r="A696" t="s">
        <v>181</v>
      </c>
      <c r="B696" t="s">
        <v>193</v>
      </c>
      <c r="C696" t="s">
        <v>194</v>
      </c>
      <c r="G696" t="str">
        <f t="shared" si="24"/>
        <v>.csv</v>
      </c>
      <c r="H696" s="5" t="str">
        <f>IF(AND(G696=".csv",COUNTIFS($B:$B,$B696,$G:$G,"xlsx")-COUNTIFS($B:$B,$B696,$G:$G,"xlsx",$C:$C,"~~$*")&gt;1,LEFT(C696,LEN($B696))&lt;&gt;$B696),"",IFERROR(IF(B696="FoPITY",INDEX(Customizations!$C$2:$C$19,MATCH(Sheet1!C696,Customizations!$B$2:$B$19,0),1),INDEX(About!C:C,MATCH(Sheet1!B696,About!B:B,0),1)),""))</f>
        <v>GWP by Pollutant by Timeframe.xlsx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5">
      <c r="A697" t="s">
        <v>181</v>
      </c>
      <c r="B697" t="s">
        <v>193</v>
      </c>
      <c r="C697" t="s">
        <v>195</v>
      </c>
      <c r="G697" t="str">
        <f t="shared" si="24"/>
        <v>xlsx</v>
      </c>
      <c r="H697" s="5" t="str">
        <f>IF(AND(G697=".csv",COUNTIFS($B:$B,$B697,$G:$G,"xlsx")-COUNTIFS($B:$B,$B697,$G:$G,"xlsx",$C:$C,"~~$*")&gt;1,LEFT(C697,LEN($B697))&lt;&gt;$B697),"",IFERROR(IF(B697="FoPITY",INDEX(Customizations!$C$2:$C$19,MATCH(Sheet1!C697,Customizations!$B$2:$B$19,0),1),INDEX(About!C:C,MATCH(Sheet1!B697,About!B:B,0),1)),""))</f>
        <v>GWP by Pollutant by Timeframe.xlsx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5">
      <c r="A698" t="s">
        <v>181</v>
      </c>
      <c r="B698" t="s">
        <v>1954</v>
      </c>
      <c r="C698" t="s">
        <v>1955</v>
      </c>
      <c r="G698" t="str">
        <f t="shared" si="24"/>
        <v>.csv</v>
      </c>
      <c r="H698" s="5" t="str">
        <f>IF(AND(G698=".csv",COUNTIFS($B:$B,$B698,$G:$G,"xlsx")-COUNTIFS($B:$B,$B698,$G:$G,"xlsx",$C:$C,"~~$*")&gt;1,LEFT(C698,LEN($B698))&lt;&gt;$B698),"",IFERROR(IF(B698="FoPITY",INDEX(Customizations!$C$2:$C$19,MATCH(Sheet1!C698,Customizations!$B$2:$B$19,0),1),INDEX(About!C:C,MATCH(Sheet1!B698,About!B:B,0),1)),""))</f>
        <v>Increase in Fuel Production from Oil and Gas Leasing.xlsx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5">
      <c r="A699" t="s">
        <v>181</v>
      </c>
      <c r="B699" t="s">
        <v>1954</v>
      </c>
      <c r="C699" t="s">
        <v>1956</v>
      </c>
      <c r="G699" t="str">
        <f t="shared" si="24"/>
        <v>xlsx</v>
      </c>
      <c r="H699" s="5" t="str">
        <f>IF(AND(G699=".csv",COUNTIFS($B:$B,$B699,$G:$G,"xlsx")-COUNTIFS($B:$B,$B699,$G:$G,"xlsx",$C:$C,"~~$*")&gt;1,LEFT(C699,LEN($B699))&lt;&gt;$B699),"",IFERROR(IF(B699="FoPITY",INDEX(Customizations!$C$2:$C$19,MATCH(Sheet1!C699,Customizations!$B$2:$B$19,0),1),INDEX(About!C:C,MATCH(Sheet1!B699,About!B:B,0),1)),""))</f>
        <v>Increase in Fuel Production from Oil and Gas Leasing.xlsx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5">
      <c r="A700" t="s">
        <v>181</v>
      </c>
      <c r="B700" t="s">
        <v>196</v>
      </c>
      <c r="C700" t="s">
        <v>1774</v>
      </c>
      <c r="G700" t="str">
        <f t="shared" si="24"/>
        <v>.csv</v>
      </c>
      <c r="H700" s="5" t="str">
        <f>IF(AND(G700=".csv",COUNTIFS($B:$B,$B700,$G:$G,"xlsx")-COUNTIFS($B:$B,$B700,$G:$G,"xlsx",$C:$C,"~~$*")&gt;1,LEFT(C700,LEN($B700))&lt;&gt;$B700),"",IFERROR(IF(B700="FoPITY",INDEX(Customizations!$C$2:$C$19,MATCH(Sheet1!C700,Customizations!$B$2:$B$19,0),1),INDEX(About!C:C,MATCH(Sheet1!B700,About!B:B,0),1)),""))</f>
        <v>Intnl Market Fuel Price by Fuel Type.xlsx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5">
      <c r="A701" t="s">
        <v>181</v>
      </c>
      <c r="B701" t="s">
        <v>196</v>
      </c>
      <c r="C701" t="s">
        <v>197</v>
      </c>
      <c r="G701" t="str">
        <f t="shared" si="24"/>
        <v>.csv</v>
      </c>
      <c r="H701" s="5" t="str">
        <f>IF(AND(G701=".csv",COUNTIFS($B:$B,$B701,$G:$G,"xlsx")-COUNTIFS($B:$B,$B701,$G:$G,"xlsx",$C:$C,"~~$*")&gt;1,LEFT(C701,LEN($B701))&lt;&gt;$B701),"",IFERROR(IF(B701="FoPITY",INDEX(Customizations!$C$2:$C$19,MATCH(Sheet1!C701,Customizations!$B$2:$B$19,0),1),INDEX(About!C:C,MATCH(Sheet1!B701,About!B:B,0),1)),""))</f>
        <v>Intnl Market Fuel Price by Fuel Type.xlsx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5">
      <c r="A702" t="s">
        <v>181</v>
      </c>
      <c r="B702" t="s">
        <v>196</v>
      </c>
      <c r="C702" t="s">
        <v>198</v>
      </c>
      <c r="G702" t="str">
        <f t="shared" si="24"/>
        <v>xlsx</v>
      </c>
      <c r="H702" s="5" t="str">
        <f>IF(AND(G702=".csv",COUNTIFS($B:$B,$B702,$G:$G,"xlsx")-COUNTIFS($B:$B,$B702,$G:$G,"xlsx",$C:$C,"~~$*")&gt;1,LEFT(C702,LEN($B702))&lt;&gt;$B702),"",IFERROR(IF(B702="FoPITY",INDEX(Customizations!$C$2:$C$19,MATCH(Sheet1!C702,Customizations!$B$2:$B$19,0),1),INDEX(About!C:C,MATCH(Sheet1!B702,About!B:B,0),1)),""))</f>
        <v>Intnl Market Fuel Price by Fuel Type.xlsx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5">
      <c r="A703" t="s">
        <v>181</v>
      </c>
      <c r="B703" t="s">
        <v>199</v>
      </c>
      <c r="C703" t="s">
        <v>200</v>
      </c>
      <c r="G703" t="str">
        <f t="shared" si="24"/>
        <v>xlsx</v>
      </c>
      <c r="H703" s="5" t="str">
        <f>IF(AND(G703=".csv",COUNTIFS($B:$B,$B703,$G:$G,"xlsx")-COUNTIFS($B:$B,$B703,$G:$G,"xlsx",$C:$C,"~~$*")&gt;1,LEFT(C703,LEN($B703))&lt;&gt;$B703),"",IFERROR(IF(B703="FoPITY",INDEX(Customizations!$C$2:$C$19,MATCH(Sheet1!C703,Customizations!$B$2:$B$19,0),1),INDEX(About!C:C,MATCH(Sheet1!B703,About!B:B,0),1)),""))</f>
        <v>Max Perc Inc in Fuel Exports.xlsx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5">
      <c r="A704" t="s">
        <v>181</v>
      </c>
      <c r="B704" t="s">
        <v>199</v>
      </c>
      <c r="C704" t="s">
        <v>201</v>
      </c>
      <c r="G704" t="str">
        <f t="shared" si="24"/>
        <v>.csv</v>
      </c>
      <c r="H704" s="5" t="str">
        <f>IF(AND(G704=".csv",COUNTIFS($B:$B,$B704,$G:$G,"xlsx")-COUNTIFS($B:$B,$B704,$G:$G,"xlsx",$C:$C,"~~$*")&gt;1,LEFT(C704,LEN($B704))&lt;&gt;$B704),"",IFERROR(IF(B704="FoPITY",INDEX(Customizations!$C$2:$C$19,MATCH(Sheet1!C704,Customizations!$B$2:$B$19,0),1),INDEX(About!C:C,MATCH(Sheet1!B704,About!B:B,0),1)),""))</f>
        <v>Max Perc Inc in Fuel Exports.xlsx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5">
      <c r="A705" t="s">
        <v>181</v>
      </c>
      <c r="B705" t="s">
        <v>202</v>
      </c>
      <c r="C705" t="s">
        <v>203</v>
      </c>
      <c r="G705" t="str">
        <f t="shared" si="24"/>
        <v>xlsx</v>
      </c>
      <c r="H705" s="5" t="str">
        <f>IF(AND(G705=".csv",COUNTIFS($B:$B,$B705,$G:$G,"xlsx")-COUNTIFS($B:$B,$B705,$G:$G,"xlsx",$C:$C,"~~$*")&gt;1,LEFT(C705,LEN($B705))&lt;&gt;$B705),"",IFERROR(IF(B705="FoPITY",INDEX(Customizations!$C$2:$C$19,MATCH(Sheet1!C705,Customizations!$B$2:$B$19,0),1),INDEX(About!C:C,MATCH(Sheet1!B705,About!B:B,0),1)),""))</f>
        <v>Max Perc Inc in Fuel Imports.xlsx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5">
      <c r="A706" t="s">
        <v>181</v>
      </c>
      <c r="B706" t="s">
        <v>202</v>
      </c>
      <c r="C706" t="s">
        <v>204</v>
      </c>
      <c r="G706" t="str">
        <f t="shared" si="24"/>
        <v>.csv</v>
      </c>
      <c r="H706" s="5" t="str">
        <f>IF(AND(G706=".csv",COUNTIFS($B:$B,$B706,$G:$G,"xlsx")-COUNTIFS($B:$B,$B706,$G:$G,"xlsx",$C:$C,"~~$*")&gt;1,LEFT(C706,LEN($B706))&lt;&gt;$B706),"",IFERROR(IF(B706="FoPITY",INDEX(Customizations!$C$2:$C$19,MATCH(Sheet1!C706,Customizations!$B$2:$B$19,0),1),INDEX(About!C:C,MATCH(Sheet1!B706,About!B:B,0),1)),""))</f>
        <v>Max Perc Inc in Fuel Imports.xlsx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5">
      <c r="A707" t="s">
        <v>181</v>
      </c>
      <c r="B707" t="s">
        <v>205</v>
      </c>
      <c r="C707" t="s">
        <v>206</v>
      </c>
      <c r="G707" t="str">
        <f t="shared" si="24"/>
        <v>xlsx</v>
      </c>
      <c r="H707" s="5" t="str">
        <f>IF(AND(G707=".csv",COUNTIFS($B:$B,$B707,$G:$G,"xlsx")-COUNTIFS($B:$B,$B707,$G:$G,"xlsx",$C:$C,"~~$*")&gt;1,LEFT(C707,LEN($B707))&lt;&gt;$B707),"",IFERROR(IF(B707="FoPITY",INDEX(Customizations!$C$2:$C$19,MATCH(Sheet1!C707,Customizations!$B$2:$B$19,0),1),INDEX(About!C:C,MATCH(Sheet1!B707,About!B:B,0),1)),""))</f>
        <v>Max Perc Inc in Fuel Production.xlsx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5">
      <c r="A708" t="s">
        <v>181</v>
      </c>
      <c r="B708" t="s">
        <v>205</v>
      </c>
      <c r="C708" t="s">
        <v>207</v>
      </c>
      <c r="G708" t="str">
        <f t="shared" si="24"/>
        <v>.csv</v>
      </c>
      <c r="H708" s="5" t="str">
        <f>IF(AND(G708=".csv",COUNTIFS($B:$B,$B708,$G:$G,"xlsx")-COUNTIFS($B:$B,$B708,$G:$G,"xlsx",$C:$C,"~~$*")&gt;1,LEFT(C708,LEN($B708))&lt;&gt;$B708),"",IFERROR(IF(B708="FoPITY",INDEX(Customizations!$C$2:$C$19,MATCH(Sheet1!C708,Customizations!$B$2:$B$19,0),1),INDEX(About!C:C,MATCH(Sheet1!B708,About!B:B,0),1)),""))</f>
        <v>Max Perc Inc in Fuel Production.xlsx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5">
      <c r="A709" t="s">
        <v>181</v>
      </c>
      <c r="B709" t="s">
        <v>208</v>
      </c>
      <c r="C709" t="s">
        <v>209</v>
      </c>
      <c r="G709" t="str">
        <f t="shared" si="24"/>
        <v>.csv</v>
      </c>
      <c r="H709" s="5" t="str">
        <f>IF(AND(G709=".csv",COUNTIFS($B:$B,$B709,$G:$G,"xlsx")-COUNTIFS($B:$B,$B709,$G:$G,"xlsx",$C:$C,"~~$*")&gt;1,LEFT(C709,LEN($B709))&lt;&gt;$B709),"",IFERROR(IF(B709="FoPITY",INDEX(Customizations!$C$2:$C$19,MATCH(Sheet1!C709,Customizations!$B$2:$B$19,0),1),INDEX(About!C:C,MATCH(Sheet1!B709,About!B:B,0),1)),""))</f>
        <v>Pollutant Emissions Intensities.xlsx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5">
      <c r="A710" t="s">
        <v>181</v>
      </c>
      <c r="B710" t="s">
        <v>208</v>
      </c>
      <c r="C710" t="s">
        <v>210</v>
      </c>
      <c r="G710" t="str">
        <f t="shared" si="24"/>
        <v>.csv</v>
      </c>
      <c r="H710" s="5" t="str">
        <f>IF(AND(G710=".csv",COUNTIFS($B:$B,$B710,$G:$G,"xlsx")-COUNTIFS($B:$B,$B710,$G:$G,"xlsx",$C:$C,"~~$*")&gt;1,LEFT(C710,LEN($B710))&lt;&gt;$B710),"",IFERROR(IF(B710="FoPITY",INDEX(Customizations!$C$2:$C$19,MATCH(Sheet1!C710,Customizations!$B$2:$B$19,0),1),INDEX(About!C:C,MATCH(Sheet1!B710,About!B:B,0),1)),""))</f>
        <v>Pollutant Emissions Intensities.xlsx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5">
      <c r="A711" t="s">
        <v>181</v>
      </c>
      <c r="B711" t="s">
        <v>208</v>
      </c>
      <c r="C711" t="s">
        <v>859</v>
      </c>
      <c r="G711" t="str">
        <f t="shared" si="24"/>
        <v>.csv</v>
      </c>
      <c r="H711" s="5" t="str">
        <f>IF(AND(G711=".csv",COUNTIFS($B:$B,$B711,$G:$G,"xlsx")-COUNTIFS($B:$B,$B711,$G:$G,"xlsx",$C:$C,"~~$*")&gt;1,LEFT(C711,LEN($B711))&lt;&gt;$B711),"",IFERROR(IF(B711="FoPITY",INDEX(Customizations!$C$2:$C$19,MATCH(Sheet1!C711,Customizations!$B$2:$B$19,0),1),INDEX(About!C:C,MATCH(Sheet1!B711,About!B:B,0),1)),""))</f>
        <v>Pollutant Emissions Intensities.xlsx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5">
      <c r="A712" t="s">
        <v>181</v>
      </c>
      <c r="B712" t="s">
        <v>208</v>
      </c>
      <c r="C712" t="s">
        <v>211</v>
      </c>
      <c r="G712" t="str">
        <f t="shared" si="24"/>
        <v>.csv</v>
      </c>
      <c r="H712" s="5" t="str">
        <f>IF(AND(G712=".csv",COUNTIFS($B:$B,$B712,$G:$G,"xlsx")-COUNTIFS($B:$B,$B712,$G:$G,"xlsx",$C:$C,"~~$*")&gt;1,LEFT(C712,LEN($B712))&lt;&gt;$B712),"",IFERROR(IF(B712="FoPITY",INDEX(Customizations!$C$2:$C$19,MATCH(Sheet1!C712,Customizations!$B$2:$B$19,0),1),INDEX(About!C:C,MATCH(Sheet1!B712,About!B:B,0),1)),""))</f>
        <v>Pollutant Emissions Intensities.xlsx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5">
      <c r="A713" t="s">
        <v>181</v>
      </c>
      <c r="B713" t="s">
        <v>208</v>
      </c>
      <c r="C713" t="s">
        <v>212</v>
      </c>
      <c r="G713" t="str">
        <f t="shared" si="24"/>
        <v>.csv</v>
      </c>
      <c r="H713" s="5" t="str">
        <f>IF(AND(G713=".csv",COUNTIFS($B:$B,$B713,$G:$G,"xlsx")-COUNTIFS($B:$B,$B713,$G:$G,"xlsx",$C:$C,"~~$*")&gt;1,LEFT(C713,LEN($B713))&lt;&gt;$B713),"",IFERROR(IF(B713="FoPITY",INDEX(Customizations!$C$2:$C$19,MATCH(Sheet1!C713,Customizations!$B$2:$B$19,0),1),INDEX(About!C:C,MATCH(Sheet1!B713,About!B:B,0),1)),""))</f>
        <v>Pollutant Emissions Intensities.xlsx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5">
      <c r="A714" t="s">
        <v>181</v>
      </c>
      <c r="B714" t="s">
        <v>208</v>
      </c>
      <c r="C714" t="s">
        <v>213</v>
      </c>
      <c r="G714" t="str">
        <f t="shared" si="24"/>
        <v>.csv</v>
      </c>
      <c r="H714" s="5" t="str">
        <f>IF(AND(G714=".csv",COUNTIFS($B:$B,$B714,$G:$G,"xlsx")-COUNTIFS($B:$B,$B714,$G:$G,"xlsx",$C:$C,"~~$*")&gt;1,LEFT(C714,LEN($B714))&lt;&gt;$B714),"",IFERROR(IF(B714="FoPITY",INDEX(Customizations!$C$2:$C$19,MATCH(Sheet1!C714,Customizations!$B$2:$B$19,0),1),INDEX(About!C:C,MATCH(Sheet1!B714,About!B:B,0),1)),""))</f>
        <v>Pollutant Emissions Intensities.xlsx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5">
      <c r="A715" t="s">
        <v>181</v>
      </c>
      <c r="B715" t="s">
        <v>208</v>
      </c>
      <c r="C715" t="s">
        <v>214</v>
      </c>
      <c r="G715" t="str">
        <f t="shared" si="24"/>
        <v>.csv</v>
      </c>
      <c r="H715" s="5" t="str">
        <f>IF(AND(G715=".csv",COUNTIFS($B:$B,$B715,$G:$G,"xlsx")-COUNTIFS($B:$B,$B715,$G:$G,"xlsx",$C:$C,"~~$*")&gt;1,LEFT(C715,LEN($B715))&lt;&gt;$B715),"",IFERROR(IF(B715="FoPITY",INDEX(Customizations!$C$2:$C$19,MATCH(Sheet1!C715,Customizations!$B$2:$B$19,0),1),INDEX(About!C:C,MATCH(Sheet1!B715,About!B:B,0),1)),""))</f>
        <v>Pollutant Emissions Intensities.xlsx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5">
      <c r="A716" t="s">
        <v>181</v>
      </c>
      <c r="B716" t="s">
        <v>208</v>
      </c>
      <c r="C716" t="s">
        <v>215</v>
      </c>
      <c r="G716" t="str">
        <f t="shared" si="24"/>
        <v>.csv</v>
      </c>
      <c r="H716" s="5" t="str">
        <f>IF(AND(G716=".csv",COUNTIFS($B:$B,$B716,$G:$G,"xlsx")-COUNTIFS($B:$B,$B716,$G:$G,"xlsx",$C:$C,"~~$*")&gt;1,LEFT(C716,LEN($B716))&lt;&gt;$B716),"",IFERROR(IF(B716="FoPITY",INDEX(Customizations!$C$2:$C$19,MATCH(Sheet1!C716,Customizations!$B$2:$B$19,0),1),INDEX(About!C:C,MATCH(Sheet1!B716,About!B:B,0),1)),""))</f>
        <v>Pollutant Emissions Intensities.xlsx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5">
      <c r="A717" t="s">
        <v>181</v>
      </c>
      <c r="B717" t="s">
        <v>208</v>
      </c>
      <c r="C717" t="s">
        <v>216</v>
      </c>
      <c r="G717" t="str">
        <f t="shared" si="24"/>
        <v>.csv</v>
      </c>
      <c r="H717" s="5" t="str">
        <f>IF(AND(G717=".csv",COUNTIFS($B:$B,$B717,$G:$G,"xlsx")-COUNTIFS($B:$B,$B717,$G:$G,"xlsx",$C:$C,"~~$*")&gt;1,LEFT(C717,LEN($B717))&lt;&gt;$B717),"",IFERROR(IF(B717="FoPITY",INDEX(Customizations!$C$2:$C$19,MATCH(Sheet1!C717,Customizations!$B$2:$B$19,0),1),INDEX(About!C:C,MATCH(Sheet1!B717,About!B:B,0),1)),""))</f>
        <v>Pollutant Emissions Intensities.xlsx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5">
      <c r="A718" t="s">
        <v>181</v>
      </c>
      <c r="B718" t="s">
        <v>208</v>
      </c>
      <c r="C718" t="s">
        <v>217</v>
      </c>
      <c r="G718" t="str">
        <f t="shared" si="24"/>
        <v>xlsx</v>
      </c>
      <c r="H718" s="5" t="str">
        <f>IF(AND(G718=".csv",COUNTIFS($B:$B,$B718,$G:$G,"xlsx")-COUNTIFS($B:$B,$B718,$G:$G,"xlsx",$C:$C,"~~$*")&gt;1,LEFT(C718,LEN($B718))&lt;&gt;$B718),"",IFERROR(IF(B718="FoPITY",INDEX(Customizations!$C$2:$C$19,MATCH(Sheet1!C718,Customizations!$B$2:$B$19,0),1),INDEX(About!C:C,MATCH(Sheet1!B718,About!B:B,0),1)),""))</f>
        <v>Pollutant Emissions Intensities.xlsx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5">
      <c r="A719" t="s">
        <v>181</v>
      </c>
      <c r="B719" t="s">
        <v>218</v>
      </c>
      <c r="C719" t="s">
        <v>219</v>
      </c>
      <c r="G719" t="str">
        <f t="shared" si="24"/>
        <v>.csv</v>
      </c>
      <c r="H719" s="5" t="str">
        <f>IF(AND(G719=".csv",COUNTIFS($B:$B,$B719,$G:$G,"xlsx")-COUNTIFS($B:$B,$B719,$G:$G,"xlsx",$C:$C,"~~$*")&gt;1,LEFT(C719,LEN($B719))&lt;&gt;$B719),"",IFERROR(IF(B719="FoPITY",INDEX(Customizations!$C$2:$C$19,MATCH(Sheet1!C719,Customizations!$B$2:$B$19,0),1),INDEX(About!C:C,MATCH(Sheet1!B719,About!B:B,0),1)),""))</f>
        <v>Pollutant Emissions Intensity Improvement Rate.xlsx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5">
      <c r="A720" t="s">
        <v>181</v>
      </c>
      <c r="B720" t="s">
        <v>218</v>
      </c>
      <c r="C720" t="s">
        <v>220</v>
      </c>
      <c r="G720" t="str">
        <f t="shared" si="24"/>
        <v>.csv</v>
      </c>
      <c r="H720" s="5" t="str">
        <f>IF(AND(G720=".csv",COUNTIFS($B:$B,$B720,$G:$G,"xlsx")-COUNTIFS($B:$B,$B720,$G:$G,"xlsx",$C:$C,"~~$*")&gt;1,LEFT(C720,LEN($B720))&lt;&gt;$B720),"",IFERROR(IF(B720="FoPITY",INDEX(Customizations!$C$2:$C$19,MATCH(Sheet1!C720,Customizations!$B$2:$B$19,0),1),INDEX(About!C:C,MATCH(Sheet1!B720,About!B:B,0),1)),""))</f>
        <v>Pollutant Emissions Intensity Improvement Rate.xlsx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5">
      <c r="A721" t="s">
        <v>181</v>
      </c>
      <c r="B721" t="s">
        <v>218</v>
      </c>
      <c r="C721" t="s">
        <v>860</v>
      </c>
      <c r="G721" t="str">
        <f t="shared" si="24"/>
        <v>.csv</v>
      </c>
      <c r="H721" s="5" t="str">
        <f>IF(AND(G721=".csv",COUNTIFS($B:$B,$B721,$G:$G,"xlsx")-COUNTIFS($B:$B,$B721,$G:$G,"xlsx",$C:$C,"~~$*")&gt;1,LEFT(C721,LEN($B721))&lt;&gt;$B721),"",IFERROR(IF(B721="FoPITY",INDEX(Customizations!$C$2:$C$19,MATCH(Sheet1!C721,Customizations!$B$2:$B$19,0),1),INDEX(About!C:C,MATCH(Sheet1!B721,About!B:B,0),1)),""))</f>
        <v>Pollutant Emissions Intensity Improvement Rate.xlsx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5">
      <c r="A722" t="s">
        <v>181</v>
      </c>
      <c r="B722" t="s">
        <v>218</v>
      </c>
      <c r="C722" t="s">
        <v>221</v>
      </c>
      <c r="G722" t="str">
        <f t="shared" si="24"/>
        <v>.csv</v>
      </c>
      <c r="H722" s="5" t="str">
        <f>IF(AND(G722=".csv",COUNTIFS($B:$B,$B722,$G:$G,"xlsx")-COUNTIFS($B:$B,$B722,$G:$G,"xlsx",$C:$C,"~~$*")&gt;1,LEFT(C722,LEN($B722))&lt;&gt;$B722),"",IFERROR(IF(B722="FoPITY",INDEX(Customizations!$C$2:$C$19,MATCH(Sheet1!C722,Customizations!$B$2:$B$19,0),1),INDEX(About!C:C,MATCH(Sheet1!B722,About!B:B,0),1)),""))</f>
        <v>Pollutant Emissions Intensity Improvement Rate.xlsx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5">
      <c r="A723" t="s">
        <v>181</v>
      </c>
      <c r="B723" t="s">
        <v>218</v>
      </c>
      <c r="C723" t="s">
        <v>222</v>
      </c>
      <c r="G723" t="str">
        <f t="shared" si="24"/>
        <v>.csv</v>
      </c>
      <c r="H723" s="5" t="str">
        <f>IF(AND(G723=".csv",COUNTIFS($B:$B,$B723,$G:$G,"xlsx")-COUNTIFS($B:$B,$B723,$G:$G,"xlsx",$C:$C,"~~$*")&gt;1,LEFT(C723,LEN($B723))&lt;&gt;$B723),"",IFERROR(IF(B723="FoPITY",INDEX(Customizations!$C$2:$C$19,MATCH(Sheet1!C723,Customizations!$B$2:$B$19,0),1),INDEX(About!C:C,MATCH(Sheet1!B723,About!B:B,0),1)),""))</f>
        <v>Pollutant Emissions Intensity Improvement Rate.xlsx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5">
      <c r="A724" t="s">
        <v>181</v>
      </c>
      <c r="B724" t="s">
        <v>218</v>
      </c>
      <c r="C724" t="s">
        <v>223</v>
      </c>
      <c r="G724" t="str">
        <f t="shared" si="24"/>
        <v>.csv</v>
      </c>
      <c r="H724" s="5" t="str">
        <f>IF(AND(G724=".csv",COUNTIFS($B:$B,$B724,$G:$G,"xlsx")-COUNTIFS($B:$B,$B724,$G:$G,"xlsx",$C:$C,"~~$*")&gt;1,LEFT(C724,LEN($B724))&lt;&gt;$B724),"",IFERROR(IF(B724="FoPITY",INDEX(Customizations!$C$2:$C$19,MATCH(Sheet1!C724,Customizations!$B$2:$B$19,0),1),INDEX(About!C:C,MATCH(Sheet1!B724,About!B:B,0),1)),""))</f>
        <v>Pollutant Emissions Intensity Improvement Rate.xlsx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5">
      <c r="A725" t="s">
        <v>181</v>
      </c>
      <c r="B725" t="s">
        <v>218</v>
      </c>
      <c r="C725" t="s">
        <v>224</v>
      </c>
      <c r="G725" t="str">
        <f t="shared" si="24"/>
        <v>.csv</v>
      </c>
      <c r="H725" s="5" t="str">
        <f>IF(AND(G725=".csv",COUNTIFS($B:$B,$B725,$G:$G,"xlsx")-COUNTIFS($B:$B,$B725,$G:$G,"xlsx",$C:$C,"~~$*")&gt;1,LEFT(C725,LEN($B725))&lt;&gt;$B725),"",IFERROR(IF(B725="FoPITY",INDEX(Customizations!$C$2:$C$19,MATCH(Sheet1!C725,Customizations!$B$2:$B$19,0),1),INDEX(About!C:C,MATCH(Sheet1!B725,About!B:B,0),1)),""))</f>
        <v>Pollutant Emissions Intensity Improvement Rate.xlsx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5">
      <c r="A726" t="s">
        <v>181</v>
      </c>
      <c r="B726" t="s">
        <v>218</v>
      </c>
      <c r="C726" t="s">
        <v>225</v>
      </c>
      <c r="G726" t="str">
        <f t="shared" si="24"/>
        <v>.csv</v>
      </c>
      <c r="H726" s="5" t="str">
        <f>IF(AND(G726=".csv",COUNTIFS($B:$B,$B726,$G:$G,"xlsx")-COUNTIFS($B:$B,$B726,$G:$G,"xlsx",$C:$C,"~~$*")&gt;1,LEFT(C726,LEN($B726))&lt;&gt;$B726),"",IFERROR(IF(B726="FoPITY",INDEX(Customizations!$C$2:$C$19,MATCH(Sheet1!C726,Customizations!$B$2:$B$19,0),1),INDEX(About!C:C,MATCH(Sheet1!B726,About!B:B,0),1)),""))</f>
        <v>Pollutant Emissions Intensity Improvement Rate.xlsx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5">
      <c r="A727" t="s">
        <v>181</v>
      </c>
      <c r="B727" t="s">
        <v>218</v>
      </c>
      <c r="C727" t="s">
        <v>226</v>
      </c>
      <c r="G727" t="str">
        <f t="shared" ref="G727:G769" si="26">RIGHT(C727,"4")</f>
        <v>.csv</v>
      </c>
      <c r="H727" s="5" t="str">
        <f>IF(AND(G727=".csv",COUNTIFS($B:$B,$B727,$G:$G,"xlsx")-COUNTIFS($B:$B,$B727,$G:$G,"xlsx",$C:$C,"~~$*")&gt;1,LEFT(C727,LEN($B727))&lt;&gt;$B727),"",IFERROR(IF(B727="FoPITY",INDEX(Customizations!$C$2:$C$19,MATCH(Sheet1!C727,Customizations!$B$2:$B$19,0),1),INDEX(About!C:C,MATCH(Sheet1!B727,About!B:B,0),1)),""))</f>
        <v>Pollutant Emissions Intensity Improvement Rate.xlsx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5">
      <c r="A728" t="s">
        <v>181</v>
      </c>
      <c r="B728" t="s">
        <v>218</v>
      </c>
      <c r="C728" t="s">
        <v>227</v>
      </c>
      <c r="G728" t="str">
        <f t="shared" si="26"/>
        <v>xlsx</v>
      </c>
      <c r="H728" s="5" t="str">
        <f>IF(AND(G728=".csv",COUNTIFS($B:$B,$B728,$G:$G,"xlsx")-COUNTIFS($B:$B,$B728,$G:$G,"xlsx",$C:$C,"~~$*")&gt;1,LEFT(C728,LEN($B728))&lt;&gt;$B728),"",IFERROR(IF(B728="FoPITY",INDEX(Customizations!$C$2:$C$19,MATCH(Sheet1!C728,Customizations!$B$2:$B$19,0),1),INDEX(About!C:C,MATCH(Sheet1!B728,About!B:B,0),1)),""))</f>
        <v>Pollutant Emissions Intensity Improvement Rate.xlsx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5">
      <c r="A729" t="s">
        <v>181</v>
      </c>
      <c r="B729" t="s">
        <v>228</v>
      </c>
      <c r="C729" t="s">
        <v>229</v>
      </c>
      <c r="G729" t="str">
        <f t="shared" si="26"/>
        <v>xlsx</v>
      </c>
      <c r="H729" s="5" t="str">
        <f>IF(AND(G729=".csv",COUNTIFS($B:$B,$B729,$G:$G,"xlsx")-COUNTIFS($B:$B,$B729,$G:$G,"xlsx",$C:$C,"~~$*")&gt;1,LEFT(C729,LEN($B729))&lt;&gt;$B729),"",IFERROR(IF(B729="FoPITY",INDEX(Customizations!$C$2:$C$19,MATCH(Sheet1!C729,Customizations!$B$2:$B$19,0),1),INDEX(About!C:C,MATCH(Sheet1!B729,About!B:B,0),1)),""))</f>
        <v>Perc of Fuel Demand Changes that Affect Exports.xlsx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5">
      <c r="A730" t="s">
        <v>181</v>
      </c>
      <c r="B730" t="s">
        <v>228</v>
      </c>
      <c r="C730" t="s">
        <v>230</v>
      </c>
      <c r="G730" t="str">
        <f t="shared" si="26"/>
        <v>.csv</v>
      </c>
      <c r="H730" s="5" t="str">
        <f>IF(AND(G730=".csv",COUNTIFS($B:$B,$B730,$G:$G,"xlsx")-COUNTIFS($B:$B,$B730,$G:$G,"xlsx",$C:$C,"~~$*")&gt;1,LEFT(C730,LEN($B730))&lt;&gt;$B730),"",IFERROR(IF(B730="FoPITY",INDEX(Customizations!$C$2:$C$19,MATCH(Sheet1!C730,Customizations!$B$2:$B$19,0),1),INDEX(About!C:C,MATCH(Sheet1!B730,About!B:B,0),1)),""))</f>
        <v>Perc of Fuel Demand Changes that Affect Exports.xlsx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5">
      <c r="A731" t="s">
        <v>181</v>
      </c>
      <c r="B731" t="s">
        <v>1498</v>
      </c>
      <c r="C731" t="s">
        <v>1499</v>
      </c>
      <c r="G731" t="str">
        <f t="shared" si="26"/>
        <v>xlsx</v>
      </c>
      <c r="H731" s="5" t="str">
        <f>IF(AND(G731=".csv",COUNTIFS($B:$B,$B731,$G:$G,"xlsx")-COUNTIFS($B:$B,$B731,$G:$G,"xlsx",$C:$C,"~~$*")&gt;1,LEFT(C731,LEN($B731))&lt;&gt;$B731),"",IFERROR(IF(B731="FoPITY",INDEX(Customizations!$C$2:$C$19,MATCH(Sheet1!C731,Customizations!$B$2:$B$19,0),1),INDEX(About!C:C,MATCH(Sheet1!B731,About!B:B,0),1)),""))</f>
        <v>Pollutants Taxed by Carbon Pricing.xlsx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5">
      <c r="A732" t="s">
        <v>181</v>
      </c>
      <c r="B732" t="s">
        <v>1498</v>
      </c>
      <c r="C732" t="s">
        <v>1500</v>
      </c>
      <c r="G732" t="str">
        <f t="shared" si="26"/>
        <v>.csv</v>
      </c>
      <c r="H732" s="5" t="str">
        <f>IF(AND(G732=".csv",COUNTIFS($B:$B,$B732,$G:$G,"xlsx")-COUNTIFS($B:$B,$B732,$G:$G,"xlsx",$C:$C,"~~$*")&gt;1,LEFT(C732,LEN($B732))&lt;&gt;$B732),"",IFERROR(IF(B732="FoPITY",INDEX(Customizations!$C$2:$C$19,MATCH(Sheet1!C732,Customizations!$B$2:$B$19,0),1),INDEX(About!C:C,MATCH(Sheet1!B732,About!B:B,0),1)),""))</f>
        <v>Pollutants Taxed by Carbon Pricing.xlsx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5">
      <c r="A733" t="s">
        <v>181</v>
      </c>
      <c r="B733" t="s">
        <v>1498</v>
      </c>
      <c r="C733" t="s">
        <v>1501</v>
      </c>
      <c r="G733" t="str">
        <f t="shared" si="26"/>
        <v>.csv</v>
      </c>
      <c r="H733" s="5" t="str">
        <f>IF(AND(G733=".csv",COUNTIFS($B:$B,$B733,$G:$G,"xlsx")-COUNTIFS($B:$B,$B733,$G:$G,"xlsx",$C:$C,"~~$*")&gt;1,LEFT(C733,LEN($B733))&lt;&gt;$B733),"",IFERROR(IF(B733="FoPITY",INDEX(Customizations!$C$2:$C$19,MATCH(Sheet1!C733,Customizations!$B$2:$B$19,0),1),INDEX(About!C:C,MATCH(Sheet1!B733,About!B:B,0),1)),""))</f>
        <v>Pollutants Taxed by Carbon Pricing.xlsx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5">
      <c r="A734" t="s">
        <v>181</v>
      </c>
      <c r="B734" t="s">
        <v>1498</v>
      </c>
      <c r="C734" t="s">
        <v>1502</v>
      </c>
      <c r="G734" t="str">
        <f t="shared" si="26"/>
        <v>.csv</v>
      </c>
      <c r="H734" s="5" t="str">
        <f>IF(AND(G734=".csv",COUNTIFS($B:$B,$B734,$G:$G,"xlsx")-COUNTIFS($B:$B,$B734,$G:$G,"xlsx",$C:$C,"~~$*")&gt;1,LEFT(C734,LEN($B734))&lt;&gt;$B734),"",IFERROR(IF(B734="FoPITY",INDEX(Customizations!$C$2:$C$19,MATCH(Sheet1!C734,Customizations!$B$2:$B$19,0),1),INDEX(About!C:C,MATCH(Sheet1!B734,About!B:B,0),1)),""))</f>
        <v>Pollutants Taxed by Carbon Pricing.xlsx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5">
      <c r="A735" t="s">
        <v>181</v>
      </c>
      <c r="B735" t="s">
        <v>1498</v>
      </c>
      <c r="C735" t="s">
        <v>1503</v>
      </c>
      <c r="G735" t="str">
        <f t="shared" si="26"/>
        <v>.csv</v>
      </c>
      <c r="H735" s="5" t="str">
        <f>IF(AND(G735=".csv",COUNTIFS($B:$B,$B735,$G:$G,"xlsx")-COUNTIFS($B:$B,$B735,$G:$G,"xlsx",$C:$C,"~~$*")&gt;1,LEFT(C735,LEN($B735))&lt;&gt;$B735),"",IFERROR(IF(B735="FoPITY",INDEX(Customizations!$C$2:$C$19,MATCH(Sheet1!C735,Customizations!$B$2:$B$19,0),1),INDEX(About!C:C,MATCH(Sheet1!B735,About!B:B,0),1)),""))</f>
        <v>Pollutants Taxed by Carbon Pricing.xlsx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5">
      <c r="A736" t="s">
        <v>181</v>
      </c>
      <c r="B736" t="s">
        <v>1498</v>
      </c>
      <c r="C736" t="s">
        <v>1504</v>
      </c>
      <c r="G736" t="str">
        <f t="shared" si="26"/>
        <v>.csv</v>
      </c>
      <c r="H736" s="5" t="str">
        <f>IF(AND(G736=".csv",COUNTIFS($B:$B,$B736,$G:$G,"xlsx")-COUNTIFS($B:$B,$B736,$G:$G,"xlsx",$C:$C,"~~$*")&gt;1,LEFT(C736,LEN($B736))&lt;&gt;$B736),"",IFERROR(IF(B736="FoPITY",INDEX(Customizations!$C$2:$C$19,MATCH(Sheet1!C736,Customizations!$B$2:$B$19,0),1),INDEX(About!C:C,MATCH(Sheet1!B736,About!B:B,0),1)),""))</f>
        <v>Pollutants Taxed by Carbon Pricing.xlsx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5">
      <c r="A737" t="s">
        <v>181</v>
      </c>
      <c r="B737" t="s">
        <v>1498</v>
      </c>
      <c r="C737" t="s">
        <v>1505</v>
      </c>
      <c r="G737" t="str">
        <f t="shared" si="26"/>
        <v>.csv</v>
      </c>
      <c r="H737" s="5" t="str">
        <f>IF(AND(G737=".csv",COUNTIFS($B:$B,$B737,$G:$G,"xlsx")-COUNTIFS($B:$B,$B737,$G:$G,"xlsx",$C:$C,"~~$*")&gt;1,LEFT(C737,LEN($B737))&lt;&gt;$B737),"",IFERROR(IF(B737="FoPITY",INDEX(Customizations!$C$2:$C$19,MATCH(Sheet1!C737,Customizations!$B$2:$B$19,0),1),INDEX(About!C:C,MATCH(Sheet1!B737,About!B:B,0),1)),""))</f>
        <v>Pollutants Taxed by Carbon Pricing.xlsx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5">
      <c r="A738" t="s">
        <v>181</v>
      </c>
      <c r="B738" t="s">
        <v>698</v>
      </c>
      <c r="C738" t="s">
        <v>699</v>
      </c>
      <c r="G738" t="str">
        <f t="shared" si="26"/>
        <v>.csv</v>
      </c>
      <c r="H738" s="5" t="str">
        <f>IF(AND(G738=".csv",COUNTIFS($B:$B,$B738,$G:$G,"xlsx")-COUNTIFS($B:$B,$B738,$G:$G,"xlsx",$C:$C,"~~$*")&gt;1,LEFT(C738,LEN($B738))&lt;&gt;$B738),"",IFERROR(IF(B738="FoPITY",INDEX(Customizations!$C$2:$C$19,MATCH(Sheet1!C738,Customizations!$B$2:$B$19,0),1),INDEX(About!C:C,MATCH(Sheet1!B738,About!B:B,0),1)),""))</f>
        <v>Quantization Size for Energy.xlsx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5">
      <c r="A739" t="s">
        <v>181</v>
      </c>
      <c r="B739" t="s">
        <v>698</v>
      </c>
      <c r="C739" t="s">
        <v>700</v>
      </c>
      <c r="G739" t="str">
        <f t="shared" si="26"/>
        <v>xlsx</v>
      </c>
      <c r="H739" s="5" t="str">
        <f>IF(AND(G739=".csv",COUNTIFS($B:$B,$B739,$G:$G,"xlsx")-COUNTIFS($B:$B,$B739,$G:$G,"xlsx",$C:$C,"~~$*")&gt;1,LEFT(C739,LEN($B739))&lt;&gt;$B739),"",IFERROR(IF(B739="FoPITY",INDEX(Customizations!$C$2:$C$19,MATCH(Sheet1!C739,Customizations!$B$2:$B$19,0),1),INDEX(About!C:C,MATCH(Sheet1!B739,About!B:B,0),1)),""))</f>
        <v>Quantization Size for Energy.xlsx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5">
      <c r="A740" t="s">
        <v>603</v>
      </c>
      <c r="B740" t="s">
        <v>1957</v>
      </c>
      <c r="C740" t="s">
        <v>1958</v>
      </c>
      <c r="G740" t="str">
        <f t="shared" si="26"/>
        <v>xlsx</v>
      </c>
      <c r="H740" s="5" t="str">
        <f>IF(AND(G740=".csv",COUNTIFS($B:$B,$B740,$G:$G,"xlsx")-COUNTIFS($B:$B,$B740,$G:$G,"xlsx",$C:$C,"~~$*")&gt;1,LEFT(C740,LEN($B740))&lt;&gt;$B740),"",IFERROR(IF(B740="FoPITY",INDEX(Customizations!$C$2:$C$19,MATCH(Sheet1!C740,Customizations!$B$2:$B$19,0),1),INDEX(About!C:C,MATCH(Sheet1!B740,About!B:B,0),1)),""))</f>
        <v>BAU Frac of Direct Air Capt Potl Achieved.xlsx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5">
      <c r="A741" t="s">
        <v>603</v>
      </c>
      <c r="B741" t="s">
        <v>1957</v>
      </c>
      <c r="C741" t="s">
        <v>1959</v>
      </c>
      <c r="G741" t="str">
        <f t="shared" si="26"/>
        <v>.csv</v>
      </c>
      <c r="H741" s="5" t="str">
        <f>IF(AND(G741=".csv",COUNTIFS($B:$B,$B741,$G:$G,"xlsx")-COUNTIFS($B:$B,$B741,$G:$G,"xlsx",$C:$C,"~~$*")&gt;1,LEFT(C741,LEN($B741))&lt;&gt;$B741),"",IFERROR(IF(B741="FoPITY",INDEX(Customizations!$C$2:$C$19,MATCH(Sheet1!C741,Customizations!$B$2:$B$19,0),1),INDEX(About!C:C,MATCH(Sheet1!B741,About!B:B,0),1)),""))</f>
        <v>BAU Frac of Direct Air Capt Potl Achieved.xlsx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5">
      <c r="A742" t="s">
        <v>603</v>
      </c>
      <c r="B742" t="s">
        <v>1960</v>
      </c>
      <c r="C742" t="s">
        <v>1961</v>
      </c>
      <c r="G742" t="str">
        <f t="shared" si="26"/>
        <v>xlsx</v>
      </c>
      <c r="H742" s="5" t="str">
        <f>IF(AND(G742=".csv",COUNTIFS($B:$B,$B742,$G:$G,"xlsx")-COUNTIFS($B:$B,$B742,$G:$G,"xlsx",$C:$C,"~~$*")&gt;1,LEFT(C742,LEN($B742))&lt;&gt;$B742),"",IFERROR(IF(B742="FoPITY",INDEX(Customizations!$C$2:$C$19,MATCH(Sheet1!C742,Customizations!$B$2:$B$19,0),1),INDEX(About!C:C,MATCH(Sheet1!B742,About!B:B,0),1)),""))</f>
        <v>BAU Frac of Enh Rock Weather Potl Achieved.xlsx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5">
      <c r="A743" t="s">
        <v>603</v>
      </c>
      <c r="B743" t="s">
        <v>1960</v>
      </c>
      <c r="C743" t="s">
        <v>1962</v>
      </c>
      <c r="G743" t="str">
        <f t="shared" si="26"/>
        <v>.csv</v>
      </c>
      <c r="H743" s="5" t="str">
        <f>IF(AND(G743=".csv",COUNTIFS($B:$B,$B743,$G:$G,"xlsx")-COUNTIFS($B:$B,$B743,$G:$G,"xlsx",$C:$C,"~~$*")&gt;1,LEFT(C743,LEN($B743))&lt;&gt;$B743),"",IFERROR(IF(B743="FoPITY",INDEX(Customizations!$C$2:$C$19,MATCH(Sheet1!C743,Customizations!$B$2:$B$19,0),1),INDEX(About!C:C,MATCH(Sheet1!B743,About!B:B,0),1)),""))</f>
        <v>BAU Frac of Enh Rock Weather Potl Achieved.xlsx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5">
      <c r="A744" t="s">
        <v>603</v>
      </c>
      <c r="B744" t="s">
        <v>604</v>
      </c>
      <c r="C744" t="s">
        <v>605</v>
      </c>
      <c r="G744" t="str">
        <f t="shared" si="26"/>
        <v>.csv</v>
      </c>
      <c r="H744" s="5" t="str">
        <f>IF(AND(G744=".csv",COUNTIFS($B:$B,$B744,$G:$G,"xlsx")-COUNTIFS($B:$B,$B744,$G:$G,"xlsx",$C:$C,"~~$*")&gt;1,LEFT(C744,LEN($B744))&lt;&gt;$B744),"",IFERROR(IF(B744="FoPITY",INDEX(Customizations!$C$2:$C$19,MATCH(Sheet1!C744,Customizations!$B$2:$B$19,0),1),INDEX(About!C:C,MATCH(Sheet1!B744,About!B:B,0),1)),""))</f>
        <v>Direct Air Capture Data.xlsx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5">
      <c r="A745" t="s">
        <v>603</v>
      </c>
      <c r="B745" t="s">
        <v>604</v>
      </c>
      <c r="C745" t="s">
        <v>606</v>
      </c>
      <c r="G745" t="str">
        <f t="shared" si="26"/>
        <v>.csv</v>
      </c>
      <c r="H745" s="5" t="str">
        <f>IF(AND(G745=".csv",COUNTIFS($B:$B,$B745,$G:$G,"xlsx")-COUNTIFS($B:$B,$B745,$G:$G,"xlsx",$C:$C,"~~$*")&gt;1,LEFT(C745,LEN($B745))&lt;&gt;$B745),"",IFERROR(IF(B745="FoPITY",INDEX(Customizations!$C$2:$C$19,MATCH(Sheet1!C745,Customizations!$B$2:$B$19,0),1),INDEX(About!C:C,MATCH(Sheet1!B745,About!B:B,0),1)),""))</f>
        <v>Direct Air Capture Data.xlsx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5">
      <c r="A746" t="s">
        <v>603</v>
      </c>
      <c r="B746" t="s">
        <v>604</v>
      </c>
      <c r="C746" t="s">
        <v>607</v>
      </c>
      <c r="G746" t="str">
        <f t="shared" si="26"/>
        <v>.csv</v>
      </c>
      <c r="H746" s="5" t="str">
        <f>IF(AND(G746=".csv",COUNTIFS($B:$B,$B746,$G:$G,"xlsx")-COUNTIFS($B:$B,$B746,$G:$G,"xlsx",$C:$C,"~~$*")&gt;1,LEFT(C746,LEN($B746))&lt;&gt;$B746),"",IFERROR(IF(B746="FoPITY",INDEX(Customizations!$C$2:$C$19,MATCH(Sheet1!C746,Customizations!$B$2:$B$19,0),1),INDEX(About!C:C,MATCH(Sheet1!B746,About!B:B,0),1)),""))</f>
        <v>Direct Air Capture Data.xlsx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5">
      <c r="A747" t="s">
        <v>603</v>
      </c>
      <c r="B747" t="s">
        <v>604</v>
      </c>
      <c r="C747" t="s">
        <v>608</v>
      </c>
      <c r="G747" t="str">
        <f t="shared" si="26"/>
        <v>xlsx</v>
      </c>
      <c r="H747" s="5" t="str">
        <f>IF(AND(G747=".csv",COUNTIFS($B:$B,$B747,$G:$G,"xlsx")-COUNTIFS($B:$B,$B747,$G:$G,"xlsx",$C:$C,"~~$*")&gt;1,LEFT(C747,LEN($B747))&lt;&gt;$B747),"",IFERROR(IF(B747="FoPITY",INDEX(Customizations!$C$2:$C$19,MATCH(Sheet1!C747,Customizations!$B$2:$B$19,0),1),INDEX(About!C:C,MATCH(Sheet1!B747,About!B:B,0),1)),""))</f>
        <v>Direct Air Capture Data.xlsx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5">
      <c r="A748" t="s">
        <v>603</v>
      </c>
      <c r="B748" t="s">
        <v>1366</v>
      </c>
      <c r="C748" t="s">
        <v>1367</v>
      </c>
      <c r="G748" t="str">
        <f t="shared" si="26"/>
        <v>xlsx</v>
      </c>
      <c r="H748" s="5" t="str">
        <f>IF(AND(G748=".csv",COUNTIFS($B:$B,$B748,$G:$G,"xlsx")-COUNTIFS($B:$B,$B748,$G:$G,"xlsx",$C:$C,"~~$*")&gt;1,LEFT(C748,LEN($B748))&lt;&gt;$B748),"",IFERROR(IF(B748="FoPITY",INDEX(Customizations!$C$2:$C$19,MATCH(Sheet1!C748,Customizations!$B$2:$B$19,0),1),INDEX(About!C:C,MATCH(Sheet1!B748,About!B:B,0),1)),""))</f>
        <v>Enhanced Rock Weathering Data.xlsx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5">
      <c r="A749" t="s">
        <v>603</v>
      </c>
      <c r="B749" t="s">
        <v>1366</v>
      </c>
      <c r="C749" t="s">
        <v>1368</v>
      </c>
      <c r="G749" t="str">
        <f t="shared" si="26"/>
        <v>.csv</v>
      </c>
      <c r="H749" s="5" t="str">
        <f>IF(AND(G749=".csv",COUNTIFS($B:$B,$B749,$G:$G,"xlsx")-COUNTIFS($B:$B,$B749,$G:$G,"xlsx",$C:$C,"~~$*")&gt;1,LEFT(C749,LEN($B749))&lt;&gt;$B749),"",IFERROR(IF(B749="FoPITY",INDEX(Customizations!$C$2:$C$19,MATCH(Sheet1!C749,Customizations!$B$2:$B$19,0),1),INDEX(About!C:C,MATCH(Sheet1!B749,About!B:B,0),1)),""))</f>
        <v>Enhanced Rock Weathering Data.xlsx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5">
      <c r="A750" t="s">
        <v>603</v>
      </c>
      <c r="B750" t="s">
        <v>1366</v>
      </c>
      <c r="C750" t="s">
        <v>1369</v>
      </c>
      <c r="G750" t="str">
        <f t="shared" si="26"/>
        <v>.csv</v>
      </c>
      <c r="H750" s="5" t="str">
        <f>IF(AND(G750=".csv",COUNTIFS($B:$B,$B750,$G:$G,"xlsx")-COUNTIFS($B:$B,$B750,$G:$G,"xlsx",$C:$C,"~~$*")&gt;1,LEFT(C750,LEN($B750))&lt;&gt;$B750),"",IFERROR(IF(B750="FoPITY",INDEX(Customizations!$C$2:$C$19,MATCH(Sheet1!C750,Customizations!$B$2:$B$19,0),1),INDEX(About!C:C,MATCH(Sheet1!B750,About!B:B,0),1)),""))</f>
        <v>Enhanced Rock Weathering Data.xlsx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5">
      <c r="A751" t="s">
        <v>603</v>
      </c>
      <c r="B751" t="s">
        <v>1366</v>
      </c>
      <c r="C751" t="s">
        <v>1370</v>
      </c>
      <c r="G751" t="str">
        <f t="shared" si="26"/>
        <v>.csv</v>
      </c>
      <c r="H751" s="5" t="str">
        <f>IF(AND(G751=".csv",COUNTIFS($B:$B,$B751,$G:$G,"xlsx")-COUNTIFS($B:$B,$B751,$G:$G,"xlsx",$C:$C,"~~$*")&gt;1,LEFT(C751,LEN($B751))&lt;&gt;$B751),"",IFERROR(IF(B751="FoPITY",INDEX(Customizations!$C$2:$C$19,MATCH(Sheet1!C751,Customizations!$B$2:$B$19,0),1),INDEX(About!C:C,MATCH(Sheet1!B751,About!B:B,0),1)),""))</f>
        <v>Enhanced Rock Weathering Data.xlsx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5">
      <c r="A752" t="s">
        <v>231</v>
      </c>
      <c r="B752" t="s">
        <v>1506</v>
      </c>
      <c r="C752" t="s">
        <v>1507</v>
      </c>
      <c r="G752" t="str">
        <f t="shared" si="26"/>
        <v>xlsx</v>
      </c>
      <c r="H752" s="5" t="str">
        <f>IF(AND(G752=".csv",COUNTIFS($B:$B,$B752,$G:$G,"xlsx")-COUNTIFS($B:$B,$B752,$G:$G,"xlsx",$C:$C,"~~$*")&gt;1,LEFT(C752,LEN($B752))&lt;&gt;$B752),"",IFERROR(IF(B752="FoPITY",INDEX(Customizations!$C$2:$C$19,MATCH(Sheet1!C752,Customizations!$B$2:$B$19,0),1),INDEX(About!C:C,MATCH(Sheet1!B752,About!B:B,0),1)),""))</f>
        <v>BAU Cost of Hydrogen Sector Capital.xlsx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5">
      <c r="A753" t="s">
        <v>231</v>
      </c>
      <c r="B753" t="s">
        <v>1506</v>
      </c>
      <c r="C753" t="s">
        <v>1508</v>
      </c>
      <c r="G753" t="str">
        <f t="shared" si="26"/>
        <v>.csv</v>
      </c>
      <c r="H753" s="5" t="str">
        <f>IF(AND(G753=".csv",COUNTIFS($B:$B,$B753,$G:$G,"xlsx")-COUNTIFS($B:$B,$B753,$G:$G,"xlsx",$C:$C,"~~$*")&gt;1,LEFT(C753,LEN($B753))&lt;&gt;$B753),"",IFERROR(IF(B753="FoPITY",INDEX(Customizations!$C$2:$C$19,MATCH(Sheet1!C753,Customizations!$B$2:$B$19,0),1),INDEX(About!C:C,MATCH(Sheet1!B753,About!B:B,0),1)),""))</f>
        <v>BAU Cost of Hydrogen Sector Capital.xlsx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5">
      <c r="A754" t="s">
        <v>231</v>
      </c>
      <c r="B754" t="s">
        <v>1963</v>
      </c>
      <c r="C754" t="s">
        <v>1964</v>
      </c>
      <c r="G754" t="str">
        <f t="shared" si="26"/>
        <v>xlsx</v>
      </c>
      <c r="H754" s="5" t="str">
        <f>IF(AND(G754=".csv",COUNTIFS($B:$B,$B754,$G:$G,"xlsx")-COUNTIFS($B:$B,$B754,$G:$G,"xlsx",$C:$C,"~~$*")&gt;1,LEFT(C754,LEN($B754))&lt;&gt;$B754),"",IFERROR(IF(B754="FoPITY",INDEX(Customizations!$C$2:$C$19,MATCH(Sheet1!C754,Customizations!$B$2:$B$19,0),1),INDEX(About!C:C,MATCH(Sheet1!B754,About!B:B,0),1)),""))</f>
        <v>BAU Hydrogen Production Shr by Pathway.xlsx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5">
      <c r="A755" t="s">
        <v>231</v>
      </c>
      <c r="B755" t="s">
        <v>1963</v>
      </c>
      <c r="C755" t="s">
        <v>1965</v>
      </c>
      <c r="G755" t="str">
        <f t="shared" si="26"/>
        <v>.csv</v>
      </c>
      <c r="H755" s="5" t="str">
        <f>IF(AND(G755=".csv",COUNTIFS($B:$B,$B755,$G:$G,"xlsx")-COUNTIFS($B:$B,$B755,$G:$G,"xlsx",$C:$C,"~~$*")&gt;1,LEFT(C755,LEN($B755))&lt;&gt;$B755),"",IFERROR(IF(B755="FoPITY",INDEX(Customizations!$C$2:$C$19,MATCH(Sheet1!C755,Customizations!$B$2:$B$19,0),1),INDEX(About!C:C,MATCH(Sheet1!B755,About!B:B,0),1)),""))</f>
        <v>BAU Hydrogen Production Shr by Pathway.xlsx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5">
      <c r="A756" t="s">
        <v>231</v>
      </c>
      <c r="B756" t="s">
        <v>1775</v>
      </c>
      <c r="C756" t="s">
        <v>1776</v>
      </c>
      <c r="G756" t="str">
        <f t="shared" si="26"/>
        <v>xlsx</v>
      </c>
      <c r="H756" s="5" t="str">
        <f>IF(AND(G756=".csv",COUNTIFS($B:$B,$B756,$G:$G,"xlsx")-COUNTIFS($B:$B,$B756,$G:$G,"xlsx",$C:$C,"~~$*")&gt;1,LEFT(C756,LEN($B756))&lt;&gt;$B756),"",IFERROR(IF(B756="FoPITY",INDEX(Customizations!$C$2:$C$19,MATCH(Sheet1!C756,Customizations!$B$2:$B$19,0),1),INDEX(About!C:C,MATCH(Sheet1!B756,About!B:B,0),1)),""))</f>
        <v>BAU Subsidy for Hydgn Prod by Pathway.xlsx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5">
      <c r="A757" t="s">
        <v>231</v>
      </c>
      <c r="B757" t="s">
        <v>1775</v>
      </c>
      <c r="C757" t="s">
        <v>1777</v>
      </c>
      <c r="G757" t="str">
        <f t="shared" si="26"/>
        <v>.csv</v>
      </c>
      <c r="H757" s="5" t="str">
        <f>IF(AND(G757=".csv",COUNTIFS($B:$B,$B757,$G:$G,"xlsx")-COUNTIFS($B:$B,$B757,$G:$G,"xlsx",$C:$C,"~~$*")&gt;1,LEFT(C757,LEN($B757))&lt;&gt;$B757),"",IFERROR(IF(B757="FoPITY",INDEX(Customizations!$C$2:$C$19,MATCH(Sheet1!C757,Customizations!$B$2:$B$19,0),1),INDEX(About!C:C,MATCH(Sheet1!B757,About!B:B,0),1)),""))</f>
        <v>BAU Subsidy for Hydgn Prod by Pathway.xlsx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5">
      <c r="A758" t="s">
        <v>231</v>
      </c>
      <c r="B758" t="s">
        <v>232</v>
      </c>
      <c r="C758" t="s">
        <v>233</v>
      </c>
      <c r="G758" t="str">
        <f t="shared" si="26"/>
        <v>.csv</v>
      </c>
      <c r="H758" s="5" t="str">
        <f>IF(AND(G758=".csv",COUNTIFS($B:$B,$B758,$G:$G,"xlsx")-COUNTIFS($B:$B,$B758,$G:$G,"xlsx",$C:$C,"~~$*")&gt;1,LEFT(C758,LEN($B758))&lt;&gt;$B758),"",IFERROR(IF(B758="FoPITY",INDEX(Customizations!$C$2:$C$19,MATCH(Sheet1!C758,Customizations!$B$2:$B$19,0),1),INDEX(About!C:C,MATCH(Sheet1!B758,About!B:B,0),1)),""))</f>
        <v>Electrolyzer Hydrogen Production per Unit Capacity.xlsx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5">
      <c r="A759" t="s">
        <v>231</v>
      </c>
      <c r="B759" t="s">
        <v>232</v>
      </c>
      <c r="C759" t="s">
        <v>234</v>
      </c>
      <c r="G759" t="str">
        <f t="shared" si="26"/>
        <v>xlsx</v>
      </c>
      <c r="H759" s="5" t="str">
        <f>IF(AND(G759=".csv",COUNTIFS($B:$B,$B759,$G:$G,"xlsx")-COUNTIFS($B:$B,$B759,$G:$G,"xlsx",$C:$C,"~~$*")&gt;1,LEFT(C759,LEN($B759))&lt;&gt;$B759),"",IFERROR(IF(B759="FoPITY",INDEX(Customizations!$C$2:$C$19,MATCH(Sheet1!C759,Customizations!$B$2:$B$19,0),1),INDEX(About!C:C,MATCH(Sheet1!B759,About!B:B,0),1)),""))</f>
        <v>Electrolyzer Hydrogen Production per Unit Capacity.xlsx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5">
      <c r="A760" t="s">
        <v>231</v>
      </c>
      <c r="B760" t="s">
        <v>1509</v>
      </c>
      <c r="C760" t="s">
        <v>1510</v>
      </c>
      <c r="G760" t="str">
        <f t="shared" si="26"/>
        <v>.csv</v>
      </c>
      <c r="H760" s="5" t="str">
        <f>IF(AND(G760=".csv",COUNTIFS($B:$B,$B760,$G:$G,"xlsx")-COUNTIFS($B:$B,$B760,$G:$G,"xlsx",$C:$C,"~~$*")&gt;1,LEFT(C760,LEN($B760))&lt;&gt;$B760),"",IFERROR(IF(B760="FoPITY",INDEX(Customizations!$C$2:$C$19,MATCH(Sheet1!C760,Customizations!$B$2:$B$19,0),1),INDEX(About!C:C,MATCH(Sheet1!B760,About!B:B,0),1)),""))</f>
        <v>Fuel Intensity of Hydrogen Production.xlsx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5">
      <c r="A761" t="s">
        <v>231</v>
      </c>
      <c r="B761" t="s">
        <v>1509</v>
      </c>
      <c r="C761" t="s">
        <v>1511</v>
      </c>
      <c r="G761" t="str">
        <f t="shared" si="26"/>
        <v>.csv</v>
      </c>
      <c r="H761" s="5" t="str">
        <f>IF(AND(G761=".csv",COUNTIFS($B:$B,$B761,$G:$G,"xlsx")-COUNTIFS($B:$B,$B761,$G:$G,"xlsx",$C:$C,"~~$*")&gt;1,LEFT(C761,LEN($B761))&lt;&gt;$B761),"",IFERROR(IF(B761="FoPITY",INDEX(Customizations!$C$2:$C$19,MATCH(Sheet1!C761,Customizations!$B$2:$B$19,0),1),INDEX(About!C:C,MATCH(Sheet1!B761,About!B:B,0),1)),""))</f>
        <v>Fuel Intensity of Hydrogen Production.xlsx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5">
      <c r="A762" t="s">
        <v>231</v>
      </c>
      <c r="B762" t="s">
        <v>1509</v>
      </c>
      <c r="C762" t="s">
        <v>1512</v>
      </c>
      <c r="G762" t="str">
        <f t="shared" si="26"/>
        <v>.csv</v>
      </c>
      <c r="H762" s="5" t="str">
        <f>IF(AND(G762=".csv",COUNTIFS($B:$B,$B762,$G:$G,"xlsx")-COUNTIFS($B:$B,$B762,$G:$G,"xlsx",$C:$C,"~~$*")&gt;1,LEFT(C762,LEN($B762))&lt;&gt;$B762),"",IFERROR(IF(B762="FoPITY",INDEX(Customizations!$C$2:$C$19,MATCH(Sheet1!C762,Customizations!$B$2:$B$19,0),1),INDEX(About!C:C,MATCH(Sheet1!B762,About!B:B,0),1)),""))</f>
        <v>Fuel Intensity of Hydrogen Production.xlsx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5">
      <c r="A763" t="s">
        <v>231</v>
      </c>
      <c r="B763" t="s">
        <v>1509</v>
      </c>
      <c r="C763" t="s">
        <v>1513</v>
      </c>
      <c r="G763" t="str">
        <f t="shared" si="26"/>
        <v>.csv</v>
      </c>
      <c r="H763" s="5" t="str">
        <f>IF(AND(G763=".csv",COUNTIFS($B:$B,$B763,$G:$G,"xlsx")-COUNTIFS($B:$B,$B763,$G:$G,"xlsx",$C:$C,"~~$*")&gt;1,LEFT(C763,LEN($B763))&lt;&gt;$B763),"",IFERROR(IF(B763="FoPITY",INDEX(Customizations!$C$2:$C$19,MATCH(Sheet1!C763,Customizations!$B$2:$B$19,0),1),INDEX(About!C:C,MATCH(Sheet1!B763,About!B:B,0),1)),""))</f>
        <v>Fuel Intensity of Hydrogen Production.xlsx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5">
      <c r="A764" t="s">
        <v>231</v>
      </c>
      <c r="B764" t="s">
        <v>1509</v>
      </c>
      <c r="C764" t="s">
        <v>1514</v>
      </c>
      <c r="G764" t="str">
        <f t="shared" si="26"/>
        <v>.csv</v>
      </c>
      <c r="H764" s="5" t="str">
        <f>IF(AND(G764=".csv",COUNTIFS($B:$B,$B764,$G:$G,"xlsx")-COUNTIFS($B:$B,$B764,$G:$G,"xlsx",$C:$C,"~~$*")&gt;1,LEFT(C764,LEN($B764))&lt;&gt;$B764),"",IFERROR(IF(B764="FoPITY",INDEX(Customizations!$C$2:$C$19,MATCH(Sheet1!C764,Customizations!$B$2:$B$19,0),1),INDEX(About!C:C,MATCH(Sheet1!B764,About!B:B,0),1)),""))</f>
        <v>Fuel Intensity of Hydrogen Production.xlsx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5">
      <c r="A765" t="s">
        <v>231</v>
      </c>
      <c r="B765" t="s">
        <v>1509</v>
      </c>
      <c r="C765" t="s">
        <v>1515</v>
      </c>
      <c r="G765" t="str">
        <f t="shared" si="26"/>
        <v>.csv</v>
      </c>
      <c r="H765" s="5" t="str">
        <f>IF(AND(G765=".csv",COUNTIFS($B:$B,$B765,$G:$G,"xlsx")-COUNTIFS($B:$B,$B765,$G:$G,"xlsx",$C:$C,"~~$*")&gt;1,LEFT(C765,LEN($B765))&lt;&gt;$B765),"",IFERROR(IF(B765="FoPITY",INDEX(Customizations!$C$2:$C$19,MATCH(Sheet1!C765,Customizations!$B$2:$B$19,0),1),INDEX(About!C:C,MATCH(Sheet1!B765,About!B:B,0),1)),""))</f>
        <v>Fuel Intensity of Hydrogen Production.xlsx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5">
      <c r="A766" t="s">
        <v>231</v>
      </c>
      <c r="B766" t="s">
        <v>1509</v>
      </c>
      <c r="C766" t="s">
        <v>1516</v>
      </c>
      <c r="G766" t="str">
        <f t="shared" si="26"/>
        <v>.csv</v>
      </c>
      <c r="H766" s="5" t="str">
        <f>IF(AND(G766=".csv",COUNTIFS($B:$B,$B766,$G:$G,"xlsx")-COUNTIFS($B:$B,$B766,$G:$G,"xlsx",$C:$C,"~~$*")&gt;1,LEFT(C766,LEN($B766))&lt;&gt;$B766),"",IFERROR(IF(B766="FoPITY",INDEX(Customizations!$C$2:$C$19,MATCH(Sheet1!C766,Customizations!$B$2:$B$19,0),1),INDEX(About!C:C,MATCH(Sheet1!B766,About!B:B,0),1)),""))</f>
        <v>Fuel Intensity of Hydrogen Production.xlsx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5">
      <c r="A767" t="s">
        <v>231</v>
      </c>
      <c r="B767" t="s">
        <v>1509</v>
      </c>
      <c r="C767" t="s">
        <v>1517</v>
      </c>
      <c r="G767" t="str">
        <f t="shared" si="26"/>
        <v>xlsx</v>
      </c>
      <c r="H767" s="5" t="str">
        <f>IF(AND(G767=".csv",COUNTIFS($B:$B,$B767,$G:$G,"xlsx")-COUNTIFS($B:$B,$B767,$G:$G,"xlsx",$C:$C,"~~$*")&gt;1,LEFT(C767,LEN($B767))&lt;&gt;$B767),"",IFERROR(IF(B767="FoPITY",INDEX(Customizations!$C$2:$C$19,MATCH(Sheet1!C767,Customizations!$B$2:$B$19,0),1),INDEX(About!C:C,MATCH(Sheet1!B767,About!B:B,0),1)),""))</f>
        <v>Fuel Intensity of Hydrogen Production.xlsx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5">
      <c r="A768" t="s">
        <v>231</v>
      </c>
      <c r="B768" t="s">
        <v>1778</v>
      </c>
      <c r="C768" t="s">
        <v>1779</v>
      </c>
      <c r="G768" t="str">
        <f t="shared" si="26"/>
        <v>.csv</v>
      </c>
      <c r="H768" s="5" t="str">
        <f>IF(AND(G768=".csv",COUNTIFS($B:$B,$B768,$G:$G,"xlsx")-COUNTIFS($B:$B,$B768,$G:$G,"xlsx",$C:$C,"~~$*")&gt;1,LEFT(C768,LEN($B768))&lt;&gt;$B768),"",IFERROR(IF(B768="FoPITY",INDEX(Customizations!$C$2:$C$19,MATCH(Sheet1!C768,Customizations!$B$2:$B$19,0),1),INDEX(About!C:C,MATCH(Sheet1!B768,About!B:B,0),1)),""))</f>
        <v>Frac of Hydgn Eqpt Retiring by Age.xlsx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5">
      <c r="A769" t="s">
        <v>231</v>
      </c>
      <c r="B769" t="s">
        <v>1778</v>
      </c>
      <c r="C769" t="s">
        <v>1780</v>
      </c>
      <c r="G769" t="str">
        <f t="shared" si="26"/>
        <v>xlsx</v>
      </c>
      <c r="H769" s="5" t="str">
        <f>IF(AND(G769=".csv",COUNTIFS($B:$B,$B769,$G:$G,"xlsx")-COUNTIFS($B:$B,$B769,$G:$G,"xlsx",$C:$C,"~~$*")&gt;1,LEFT(C769,LEN($B769))&lt;&gt;$B769),"",IFERROR(IF(B769="FoPITY",INDEX(Customizations!$C$2:$C$19,MATCH(Sheet1!C769,Customizations!$B$2:$B$19,0),1),INDEX(About!C:C,MATCH(Sheet1!B769,About!B:B,0),1)),""))</f>
        <v>Frac of Hydgn Eqpt Retiring by Age.xlsx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5">
      <c r="A770" t="s">
        <v>231</v>
      </c>
      <c r="B770" t="s">
        <v>235</v>
      </c>
      <c r="C770" t="s">
        <v>236</v>
      </c>
      <c r="G770" t="str">
        <f t="shared" ref="G770:G829" si="28">RIGHT(C770,"4")</f>
        <v>.csv</v>
      </c>
      <c r="H770" s="5" t="str">
        <f>IF(AND(G770=".csv",COUNTIFS($B:$B,$B770,$G:$G,"xlsx")-COUNTIFS($B:$B,$B770,$G:$G,"xlsx",$C:$C,"~~$*")&gt;1,LEFT(C770,LEN($B770))&lt;&gt;$B770),"",IFERROR(IF(B770="FoPITY",INDEX(Customizations!$C$2:$C$19,MATCH(Sheet1!C770,Customizations!$B$2:$B$19,0),1),INDEX(About!C:C,MATCH(Sheet1!B770,About!B:B,0),1)),""))</f>
        <v>Hydrogen Production Eqpt Costs.xlsx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5">
      <c r="A771" t="s">
        <v>231</v>
      </c>
      <c r="B771" t="s">
        <v>235</v>
      </c>
      <c r="C771" t="s">
        <v>237</v>
      </c>
      <c r="G771" t="str">
        <f t="shared" si="28"/>
        <v>.csv</v>
      </c>
      <c r="H771" s="5" t="str">
        <f>IF(AND(G771=".csv",COUNTIFS($B:$B,$B771,$G:$G,"xlsx")-COUNTIFS($B:$B,$B771,$G:$G,"xlsx",$C:$C,"~~$*")&gt;1,LEFT(C771,LEN($B771))&lt;&gt;$B771),"",IFERROR(IF(B771="FoPITY",INDEX(Customizations!$C$2:$C$19,MATCH(Sheet1!C771,Customizations!$B$2:$B$19,0),1),INDEX(About!C:C,MATCH(Sheet1!B771,About!B:B,0),1)),""))</f>
        <v>Hydrogen Production Eqpt Costs.xlsx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5">
      <c r="A772" t="s">
        <v>231</v>
      </c>
      <c r="B772" t="s">
        <v>235</v>
      </c>
      <c r="C772" t="s">
        <v>238</v>
      </c>
      <c r="G772" t="str">
        <f t="shared" si="28"/>
        <v>xlsx</v>
      </c>
      <c r="H772" s="5" t="str">
        <f>IF(AND(G772=".csv",COUNTIFS($B:$B,$B772,$G:$G,"xlsx")-COUNTIFS($B:$B,$B772,$G:$G,"xlsx",$C:$C,"~~$*")&gt;1,LEFT(C772,LEN($B772))&lt;&gt;$B772),"",IFERROR(IF(B772="FoPITY",INDEX(Customizations!$C$2:$C$19,MATCH(Sheet1!C772,Customizations!$B$2:$B$19,0),1),INDEX(About!C:C,MATCH(Sheet1!B772,About!B:B,0),1)),""))</f>
        <v>Hydrogen Production Eqpt Costs.xlsx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5">
      <c r="A773" t="s">
        <v>231</v>
      </c>
      <c r="B773" t="s">
        <v>1518</v>
      </c>
      <c r="C773" t="s">
        <v>1519</v>
      </c>
      <c r="G773" t="str">
        <f t="shared" si="28"/>
        <v>.csv</v>
      </c>
      <c r="H773" s="5" t="str">
        <f>IF(AND(G773=".csv",COUNTIFS($B:$B,$B773,$G:$G,"xlsx")-COUNTIFS($B:$B,$B773,$G:$G,"xlsx",$C:$C,"~~$*")&gt;1,LEFT(C773,LEN($B773))&lt;&gt;$B773),"",IFERROR(IF(B773="FoPITY",INDEX(Customizations!$C$2:$C$19,MATCH(Sheet1!C773,Customizations!$B$2:$B$19,0),1),INDEX(About!C:C,MATCH(Sheet1!B773,About!B:B,0),1)),""))</f>
        <v>Hydrogen Production Logit Coefficient.xlsx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5">
      <c r="A774" t="s">
        <v>231</v>
      </c>
      <c r="B774" t="s">
        <v>1518</v>
      </c>
      <c r="C774" t="s">
        <v>1520</v>
      </c>
      <c r="G774" t="str">
        <f t="shared" si="28"/>
        <v>xlsx</v>
      </c>
      <c r="H774" s="5" t="str">
        <f>IF(AND(G774=".csv",COUNTIFS($B:$B,$B774,$G:$G,"xlsx")-COUNTIFS($B:$B,$B774,$G:$G,"xlsx",$C:$C,"~~$*")&gt;1,LEFT(C774,LEN($B774))&lt;&gt;$B774),"",IFERROR(IF(B774="FoPITY",INDEX(Customizations!$C$2:$C$19,MATCH(Sheet1!C774,Customizations!$B$2:$B$19,0),1),INDEX(About!C:C,MATCH(Sheet1!B774,About!B:B,0),1)),""))</f>
        <v>Hydrogen Production Logit Coefficient.xlsx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5">
      <c r="A775" t="s">
        <v>231</v>
      </c>
      <c r="B775" t="s">
        <v>239</v>
      </c>
      <c r="C775" t="s">
        <v>240</v>
      </c>
      <c r="G775" t="str">
        <f t="shared" si="28"/>
        <v>.csv</v>
      </c>
      <c r="H775" s="5" t="str">
        <f>IF(AND(G775=".csv",COUNTIFS($B:$B,$B775,$G:$G,"xlsx")-COUNTIFS($B:$B,$B775,$G:$G,"xlsx",$C:$C,"~~$*")&gt;1,LEFT(C775,LEN($B775))&lt;&gt;$B775),"",IFERROR(IF(B775="FoPITY",INDEX(Customizations!$C$2:$C$19,MATCH(Sheet1!C775,Customizations!$B$2:$B$19,0),1),INDEX(About!C:C,MATCH(Sheet1!B775,About!B:B,0),1)),""))</f>
        <v>Hydgn Prod Perc Excess Cap by Pathway.xlsx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5">
      <c r="A776" t="s">
        <v>231</v>
      </c>
      <c r="B776" t="s">
        <v>239</v>
      </c>
      <c r="C776" t="s">
        <v>241</v>
      </c>
      <c r="G776" t="str">
        <f t="shared" si="28"/>
        <v>xlsx</v>
      </c>
      <c r="H776" s="5" t="str">
        <f>IF(AND(G776=".csv",COUNTIFS($B:$B,$B776,$G:$G,"xlsx")-COUNTIFS($B:$B,$B776,$G:$G,"xlsx",$C:$C,"~~$*")&gt;1,LEFT(C776,LEN($B776))&lt;&gt;$B776),"",IFERROR(IF(B776="FoPITY",INDEX(Customizations!$C$2:$C$19,MATCH(Sheet1!C776,Customizations!$B$2:$B$19,0),1),INDEX(About!C:C,MATCH(Sheet1!B776,About!B:B,0),1)),""))</f>
        <v>Hydgn Prod Perc Excess Cap by Pathway.xlsx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5">
      <c r="A777" t="s">
        <v>231</v>
      </c>
      <c r="B777" t="s">
        <v>1521</v>
      </c>
      <c r="C777" t="s">
        <v>1522</v>
      </c>
      <c r="G777" t="str">
        <f t="shared" si="28"/>
        <v>.csv</v>
      </c>
      <c r="H777" s="5" t="str">
        <f>IF(AND(G777=".csv",COUNTIFS($B:$B,$B777,$G:$G,"xlsx")-COUNTIFS($B:$B,$B777,$G:$G,"xlsx",$C:$C,"~~$*")&gt;1,LEFT(C777,LEN($B777))&lt;&gt;$B777),"",IFERROR(IF(B777="FoPITY",INDEX(Customizations!$C$2:$C$19,MATCH(Sheet1!C777,Customizations!$B$2:$B$19,0),1),INDEX(About!C:C,MATCH(Sheet1!B777,About!B:B,0),1)),""))</f>
        <v>Hydrogen Production Shareweights.xlsx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5">
      <c r="A778" t="s">
        <v>231</v>
      </c>
      <c r="B778" t="s">
        <v>1521</v>
      </c>
      <c r="C778" t="s">
        <v>1523</v>
      </c>
      <c r="G778" t="str">
        <f t="shared" si="28"/>
        <v>xlsx</v>
      </c>
      <c r="H778" s="5" t="str">
        <f>IF(AND(G778=".csv",COUNTIFS($B:$B,$B778,$G:$G,"xlsx")-COUNTIFS($B:$B,$B778,$G:$G,"xlsx",$C:$C,"~~$*")&gt;1,LEFT(C778,LEN($B778))&lt;&gt;$B778),"",IFERROR(IF(B778="FoPITY",INDEX(Customizations!$C$2:$C$19,MATCH(Sheet1!C778,Customizations!$B$2:$B$19,0),1),INDEX(About!C:C,MATCH(Sheet1!B778,About!B:B,0),1)),""))</f>
        <v>Hydrogen Production Shareweights.xlsx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5">
      <c r="A779" t="s">
        <v>231</v>
      </c>
      <c r="B779" t="s">
        <v>1781</v>
      </c>
      <c r="C779" t="s">
        <v>1782</v>
      </c>
      <c r="G779" t="str">
        <f t="shared" si="28"/>
        <v>.csv</v>
      </c>
      <c r="H779" s="5" t="str">
        <f>IF(AND(G779=".csv",COUNTIFS($B:$B,$B779,$G:$G,"xlsx")-COUNTIFS($B:$B,$B779,$G:$G,"xlsx",$C:$C,"~~$*")&gt;1,LEFT(C779,LEN($B779))&lt;&gt;$B779),"",IFERROR(IF(B779="FoPITY",INDEX(Customizations!$C$2:$C$19,MATCH(Sheet1!C779,Customizations!$B$2:$B$19,0),1),INDEX(About!C:C,MATCH(Sheet1!B779,About!B:B,0),1)),""))</f>
        <v>Hydgn Prod Subsidy Duration.xlsx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5">
      <c r="A780" t="s">
        <v>231</v>
      </c>
      <c r="B780" t="s">
        <v>1781</v>
      </c>
      <c r="C780" t="s">
        <v>1783</v>
      </c>
      <c r="G780" t="str">
        <f t="shared" si="28"/>
        <v>xlsx</v>
      </c>
      <c r="H780" s="5" t="str">
        <f>IF(AND(G780=".csv",COUNTIFS($B:$B,$B780,$G:$G,"xlsx")-COUNTIFS($B:$B,$B780,$G:$G,"xlsx",$C:$C,"~~$*")&gt;1,LEFT(C780,LEN($B780))&lt;&gt;$B780),"",IFERROR(IF(B780="FoPITY",INDEX(Customizations!$C$2:$C$19,MATCH(Sheet1!C780,Customizations!$B$2:$B$19,0),1),INDEX(About!C:C,MATCH(Sheet1!B780,About!B:B,0),1)),""))</f>
        <v>Hydgn Prod Subsidy Duration.xlsx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5">
      <c r="A781" t="s">
        <v>231</v>
      </c>
      <c r="B781" t="s">
        <v>1784</v>
      </c>
      <c r="C781" t="s">
        <v>1785</v>
      </c>
      <c r="G781" t="str">
        <f t="shared" si="28"/>
        <v>.csv</v>
      </c>
      <c r="H781" s="5" t="str">
        <f>IF(AND(G781=".csv",COUNTIFS($B:$B,$B781,$G:$G,"xlsx")-COUNTIFS($B:$B,$B781,$G:$G,"xlsx",$C:$C,"~~$*")&gt;1,LEFT(C781,LEN($B781))&lt;&gt;$B781),"",IFERROR(IF(B781="FoPITY",INDEX(Customizations!$C$2:$C$19,MATCH(Sheet1!C781,Customizations!$B$2:$B$19,0),1),INDEX(About!C:C,MATCH(Sheet1!B781,About!B:B,0),1)),""))</f>
        <v>Preexisting Hydgn Eqpt Retirement Profiles.xlsx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5">
      <c r="A782" t="s">
        <v>231</v>
      </c>
      <c r="B782" t="s">
        <v>1784</v>
      </c>
      <c r="C782" t="s">
        <v>1786</v>
      </c>
      <c r="G782" t="str">
        <f t="shared" si="28"/>
        <v>xlsx</v>
      </c>
      <c r="H782" s="5" t="str">
        <f>IF(AND(G782=".csv",COUNTIFS($B:$B,$B782,$G:$G,"xlsx")-COUNTIFS($B:$B,$B782,$G:$G,"xlsx",$C:$C,"~~$*")&gt;1,LEFT(C782,LEN($B782))&lt;&gt;$B782),"",IFERROR(IF(B782="FoPITY",INDEX(Customizations!$C$2:$C$19,MATCH(Sheet1!C782,Customizations!$B$2:$B$19,0),1),INDEX(About!C:C,MATCH(Sheet1!B782,About!B:B,0),1)),""))</f>
        <v>Preexisting Hydgn Eqpt Retirement Profiles.xlsx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5">
      <c r="A783" t="s">
        <v>231</v>
      </c>
      <c r="B783" t="s">
        <v>1524</v>
      </c>
      <c r="C783" t="s">
        <v>1525</v>
      </c>
      <c r="G783" t="str">
        <f t="shared" si="28"/>
        <v>xlsx</v>
      </c>
      <c r="H783" s="5" t="str">
        <f>IF(AND(G783=".csv",COUNTIFS($B:$B,$B783,$G:$G,"xlsx")-COUNTIFS($B:$B,$B783,$G:$G,"xlsx",$C:$C,"~~$*")&gt;1,LEFT(C783,LEN($B783))&lt;&gt;$B783),"",IFERROR(IF(B783="FoPITY",INDEX(Customizations!$C$2:$C$19,MATCH(Sheet1!C783,Customizations!$B$2:$B$19,0),1),INDEX(About!C:C,MATCH(Sheet1!B783,About!B:B,0),1)),""))</f>
        <v>RPfFHSCC Repayment Period for Financed Hydgn Sector Capital Costs.xlsx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5">
      <c r="A784" t="s">
        <v>231</v>
      </c>
      <c r="B784" t="s">
        <v>1524</v>
      </c>
      <c r="C784" t="s">
        <v>1526</v>
      </c>
      <c r="G784" t="str">
        <f t="shared" si="28"/>
        <v>.csv</v>
      </c>
      <c r="H784" s="5" t="str">
        <f>IF(AND(G784=".csv",COUNTIFS($B:$B,$B784,$G:$G,"xlsx")-COUNTIFS($B:$B,$B784,$G:$G,"xlsx",$C:$C,"~~$*")&gt;1,LEFT(C784,LEN($B784))&lt;&gt;$B784),"",IFERROR(IF(B784="FoPITY",INDEX(Customizations!$C$2:$C$19,MATCH(Sheet1!C784,Customizations!$B$2:$B$19,0),1),INDEX(About!C:C,MATCH(Sheet1!B784,About!B:B,0),1)),""))</f>
        <v>RPfFHSCC Repayment Period for Financed Hydgn Sector Capital Costs.xlsx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5">
      <c r="A785" t="s">
        <v>231</v>
      </c>
      <c r="B785" t="s">
        <v>1527</v>
      </c>
      <c r="C785" t="s">
        <v>1528</v>
      </c>
      <c r="G785" t="str">
        <f t="shared" si="28"/>
        <v>xlsx</v>
      </c>
      <c r="H785" s="5" t="str">
        <f>IF(AND(G785=".csv",COUNTIFS($B:$B,$B785,$G:$G,"xlsx")-COUNTIFS($B:$B,$B785,$G:$G,"xlsx",$C:$C,"~~$*")&gt;1,LEFT(C785,LEN($B785))&lt;&gt;$B785),"",IFERROR(IF(B785="FoPITY",INDEX(Customizations!$C$2:$C$19,MATCH(Sheet1!C785,Customizations!$B$2:$B$19,0),1),INDEX(About!C:C,MATCH(Sheet1!B785,About!B:B,0),1)),""))</f>
        <v>Share of Hydgn Demand That is Green and Low Carbon by Sector.xlsx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5">
      <c r="A786" t="s">
        <v>231</v>
      </c>
      <c r="B786" t="s">
        <v>1527</v>
      </c>
      <c r="C786" t="s">
        <v>1529</v>
      </c>
      <c r="G786" t="str">
        <f t="shared" si="28"/>
        <v>.csv</v>
      </c>
      <c r="H786" s="5" t="str">
        <f>IF(AND(G786=".csv",COUNTIFS($B:$B,$B786,$G:$G,"xlsx")-COUNTIFS($B:$B,$B786,$G:$G,"xlsx",$C:$C,"~~$*")&gt;1,LEFT(C786,LEN($B786))&lt;&gt;$B786),"",IFERROR(IF(B786="FoPITY",INDEX(Customizations!$C$2:$C$19,MATCH(Sheet1!C786,Customizations!$B$2:$B$19,0),1),INDEX(About!C:C,MATCH(Sheet1!B786,About!B:B,0),1)),""))</f>
        <v>Share of Hydgn Demand That is Green and Low Carbon by Sector.xlsx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5">
      <c r="A787" t="s">
        <v>231</v>
      </c>
      <c r="B787" t="s">
        <v>1527</v>
      </c>
      <c r="C787" t="s">
        <v>1530</v>
      </c>
      <c r="G787" t="str">
        <f t="shared" si="28"/>
        <v>.csv</v>
      </c>
      <c r="H787" s="5" t="str">
        <f>IF(AND(G787=".csv",COUNTIFS($B:$B,$B787,$G:$G,"xlsx")-COUNTIFS($B:$B,$B787,$G:$G,"xlsx",$C:$C,"~~$*")&gt;1,LEFT(C787,LEN($B787))&lt;&gt;$B787),"",IFERROR(IF(B787="FoPITY",INDEX(Customizations!$C$2:$C$19,MATCH(Sheet1!C787,Customizations!$B$2:$B$19,0),1),INDEX(About!C:C,MATCH(Sheet1!B787,About!B:B,0),1)),""))</f>
        <v>Share of Hydgn Demand That is Green and Low Carbon by Sector.xlsx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5">
      <c r="A788" t="s">
        <v>231</v>
      </c>
      <c r="B788" t="s">
        <v>823</v>
      </c>
      <c r="C788" t="s">
        <v>824</v>
      </c>
      <c r="G788" t="str">
        <f t="shared" si="28"/>
        <v>xlsx</v>
      </c>
      <c r="H788" s="5" t="str">
        <f>IF(AND(G788=".csv",COUNTIFS($B:$B,$B788,$G:$G,"xlsx")-COUNTIFS($B:$B,$B788,$G:$G,"xlsx",$C:$C,"~~$*")&gt;1,LEFT(C788,LEN($B788))&lt;&gt;$B788),"",IFERROR(IF(B788="FoPITY",INDEX(Customizations!$C$2:$C$19,MATCH(Sheet1!C788,Customizations!$B$2:$B$19,0),1),INDEX(About!C:C,MATCH(Sheet1!B788,About!B:B,0),1)),""))</f>
        <v>Share of Hydrogen Production Capital Costs by Recipient ISIC Code.xlsx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5">
      <c r="A789" t="s">
        <v>231</v>
      </c>
      <c r="B789" t="s">
        <v>823</v>
      </c>
      <c r="C789" t="s">
        <v>825</v>
      </c>
      <c r="G789" t="str">
        <f t="shared" si="28"/>
        <v>.csv</v>
      </c>
      <c r="H789" s="5" t="str">
        <f>IF(AND(G789=".csv",COUNTIFS($B:$B,$B789,$G:$G,"xlsx")-COUNTIFS($B:$B,$B789,$G:$G,"xlsx",$C:$C,"~~$*")&gt;1,LEFT(C789,LEN($B789))&lt;&gt;$B789),"",IFERROR(IF(B789="FoPITY",INDEX(Customizations!$C$2:$C$19,MATCH(Sheet1!C789,Customizations!$B$2:$B$19,0),1),INDEX(About!C:C,MATCH(Sheet1!B789,About!B:B,0),1)),""))</f>
        <v>Share of Hydrogen Production Capital Costs by Recipient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5">
      <c r="A790" t="s">
        <v>231</v>
      </c>
      <c r="B790" t="s">
        <v>1531</v>
      </c>
      <c r="C790" t="s">
        <v>1532</v>
      </c>
      <c r="G790" t="str">
        <f t="shared" si="28"/>
        <v>xlsx</v>
      </c>
      <c r="H790" s="5" t="str">
        <f>IF(AND(G790=".csv",COUNTIFS($B:$B,$B790,$G:$G,"xlsx")-COUNTIFS($B:$B,$B790,$G:$G,"xlsx",$C:$C,"~~$*")&gt;1,LEFT(C790,LEN($B790))&lt;&gt;$B790),"",IFERROR(IF(B790="FoPITY",INDEX(Customizations!$C$2:$C$19,MATCH(Sheet1!C790,Customizations!$B$2:$B$19,0),1),INDEX(About!C:C,MATCH(Sheet1!B790,About!B:B,0),1)),""))</f>
        <v>Start Year Annual Hydrogen Production Capacity.xlsx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5">
      <c r="A791" t="s">
        <v>231</v>
      </c>
      <c r="B791" t="s">
        <v>1531</v>
      </c>
      <c r="C791" t="s">
        <v>1533</v>
      </c>
      <c r="G791" t="str">
        <f t="shared" si="28"/>
        <v>.csv</v>
      </c>
      <c r="H791" s="5" t="str">
        <f>IF(AND(G791=".csv",COUNTIFS($B:$B,$B791,$G:$G,"xlsx")-COUNTIFS($B:$B,$B791,$G:$G,"xlsx",$C:$C,"~~$*")&gt;1,LEFT(C791,LEN($B791))&lt;&gt;$B791),"",IFERROR(IF(B791="FoPITY",INDEX(Customizations!$C$2:$C$19,MATCH(Sheet1!C791,Customizations!$B$2:$B$19,0),1),INDEX(About!C:C,MATCH(Sheet1!B791,About!B:B,0),1)),""))</f>
        <v>Start Year Annual Hydrogen Production Capacity.xlsx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5">
      <c r="A792" t="s">
        <v>231</v>
      </c>
      <c r="B792" t="s">
        <v>1787</v>
      </c>
      <c r="C792" t="s">
        <v>1788</v>
      </c>
      <c r="G792" t="str">
        <f t="shared" si="28"/>
        <v>xlsx</v>
      </c>
      <c r="H792" s="5" t="str">
        <f>IF(AND(G792=".csv",COUNTIFS($B:$B,$B792,$G:$G,"xlsx")-COUNTIFS($B:$B,$B792,$G:$G,"xlsx",$C:$C,"~~$*")&gt;1,LEFT(C792,LEN($B792))&lt;&gt;$B792),"",IFERROR(IF(B792="FoPITY",INDEX(Customizations!$C$2:$C$19,MATCH(Sheet1!C792,Customizations!$B$2:$B$19,0),1),INDEX(About!C:C,MATCH(Sheet1!B792,About!B:B,0),1)),""))</f>
        <v>Water Consumption of Hydgn Prod by Pathway.xlsx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5">
      <c r="A793" t="s">
        <v>231</v>
      </c>
      <c r="B793" t="s">
        <v>1787</v>
      </c>
      <c r="C793" t="s">
        <v>1789</v>
      </c>
      <c r="G793" t="str">
        <f t="shared" si="28"/>
        <v>.csv</v>
      </c>
      <c r="H793" s="5" t="str">
        <f>IF(AND(G793=".csv",COUNTIFS($B:$B,$B793,$G:$G,"xlsx")-COUNTIFS($B:$B,$B793,$G:$G,"xlsx",$C:$C,"~~$*")&gt;1,LEFT(C793,LEN($B793))&lt;&gt;$B793),"",IFERROR(IF(B793="FoPITY",INDEX(Customizations!$C$2:$C$19,MATCH(Sheet1!C793,Customizations!$B$2:$B$19,0),1),INDEX(About!C:C,MATCH(Sheet1!B793,About!B:B,0),1)),""))</f>
        <v>Water Consumption of Hydgn Prod by Pathway.xlsx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5">
      <c r="A794" t="s">
        <v>242</v>
      </c>
      <c r="B794" t="s">
        <v>1534</v>
      </c>
      <c r="C794" t="s">
        <v>1535</v>
      </c>
      <c r="G794" t="str">
        <f t="shared" si="28"/>
        <v>xlsx</v>
      </c>
      <c r="H794" s="5" t="str">
        <f>IF(AND(G794=".csv",COUNTIFS($B:$B,$B794,$G:$G,"xlsx")-COUNTIFS($B:$B,$B794,$G:$G,"xlsx",$C:$C,"~~$*")&gt;1,LEFT(C794,LEN($B794))&lt;&gt;$B794),"",IFERROR(IF(B794="FoPITY",INDEX(Customizations!$C$2:$C$19,MATCH(Sheet1!C794,Customizations!$B$2:$B$19,0),1),INDEX(About!C:C,MATCH(Sheet1!B794,About!B:B,0),1)),""))</f>
        <v>BAU Clean Heat PTC Duration.xlsx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5">
      <c r="A795" t="s">
        <v>242</v>
      </c>
      <c r="B795" t="s">
        <v>1534</v>
      </c>
      <c r="C795" t="s">
        <v>1536</v>
      </c>
      <c r="G795" t="str">
        <f t="shared" si="28"/>
        <v>.csv</v>
      </c>
      <c r="H795" s="5" t="str">
        <f>IF(AND(G795=".csv",COUNTIFS($B:$B,$B795,$G:$G,"xlsx")-COUNTIFS($B:$B,$B795,$G:$G,"xlsx",$C:$C,"~~$*")&gt;1,LEFT(C795,LEN($B795))&lt;&gt;$B795),"",IFERROR(IF(B795="FoPITY",INDEX(Customizations!$C$2:$C$19,MATCH(Sheet1!C795,Customizations!$B$2:$B$19,0),1),INDEX(About!C:C,MATCH(Sheet1!B795,About!B:B,0),1)),""))</f>
        <v>BAU Clean Heat PTC Duration.xlsx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5">
      <c r="A796" t="s">
        <v>242</v>
      </c>
      <c r="B796" t="s">
        <v>1537</v>
      </c>
      <c r="C796" t="s">
        <v>1538</v>
      </c>
      <c r="G796" t="str">
        <f t="shared" si="28"/>
        <v>xlsx</v>
      </c>
      <c r="H796" s="5" t="str">
        <f>IF(AND(G796=".csv",COUNTIFS($B:$B,$B796,$G:$G,"xlsx")-COUNTIFS($B:$B,$B796,$G:$G,"xlsx",$C:$C,"~~$*")&gt;1,LEFT(C796,LEN($B796))&lt;&gt;$B796),"",IFERROR(IF(B796="FoPITY",INDEX(Customizations!$C$2:$C$19,MATCH(Sheet1!C796,Customizations!$B$2:$B$19,0),1),INDEX(About!C:C,MATCH(Sheet1!B796,About!B:B,0),1)),""))</f>
        <v>BAU Clean Heat Subsidy Rate.xlsx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5">
      <c r="A797" t="s">
        <v>242</v>
      </c>
      <c r="B797" t="s">
        <v>1537</v>
      </c>
      <c r="C797" t="s">
        <v>1790</v>
      </c>
      <c r="G797" t="str">
        <f t="shared" si="28"/>
        <v>.csv</v>
      </c>
      <c r="H797" s="5" t="str">
        <f>IF(AND(G797=".csv",COUNTIFS($B:$B,$B797,$G:$G,"xlsx")-COUNTIFS($B:$B,$B797,$G:$G,"xlsx",$C:$C,"~~$*")&gt;1,LEFT(C797,LEN($B797))&lt;&gt;$B797),"",IFERROR(IF(B797="FoPITY",INDEX(Customizations!$C$2:$C$19,MATCH(Sheet1!C797,Customizations!$B$2:$B$19,0),1),INDEX(About!C:C,MATCH(Sheet1!B797,About!B:B,0),1)),""))</f>
        <v>BAU Clean Heat Subsidy Rate.xlsx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5">
      <c r="A798" t="s">
        <v>242</v>
      </c>
      <c r="B798" t="s">
        <v>1537</v>
      </c>
      <c r="C798" t="s">
        <v>1791</v>
      </c>
      <c r="G798" t="str">
        <f t="shared" si="28"/>
        <v>.csv</v>
      </c>
      <c r="H798" s="5" t="str">
        <f>IF(AND(G798=".csv",COUNTIFS($B:$B,$B798,$G:$G,"xlsx")-COUNTIFS($B:$B,$B798,$G:$G,"xlsx",$C:$C,"~~$*")&gt;1,LEFT(C798,LEN($B798))&lt;&gt;$B798),"",IFERROR(IF(B798="FoPITY",INDEX(Customizations!$C$2:$C$19,MATCH(Sheet1!C798,Customizations!$B$2:$B$19,0),1),INDEX(About!C:C,MATCH(Sheet1!B798,About!B:B,0),1)),""))</f>
        <v>BAU Clean Heat Subsidy Rate.xlsx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5">
      <c r="A799" t="s">
        <v>242</v>
      </c>
      <c r="B799" t="s">
        <v>1539</v>
      </c>
      <c r="C799" t="s">
        <v>1540</v>
      </c>
      <c r="G799" t="str">
        <f t="shared" si="28"/>
        <v>xlsx</v>
      </c>
      <c r="H799" s="5" t="str">
        <f>IF(AND(G799=".csv",COUNTIFS($B:$B,$B799,$G:$G,"xlsx")-COUNTIFS($B:$B,$B799,$G:$G,"xlsx",$C:$C,"~~$*")&gt;1,LEFT(C799,LEN($B799))&lt;&gt;$B799),"",IFERROR(IF(B799="FoPITY",INDEX(Customizations!$C$2:$C$19,MATCH(Sheet1!C799,Customizations!$B$2:$B$19,0),1),INDEX(About!C:C,MATCH(Sheet1!B799,About!B:B,0),1)),""))</f>
        <v>BAU Cost of Industry Sector Capital.xlsx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5">
      <c r="A800" t="s">
        <v>242</v>
      </c>
      <c r="B800" t="s">
        <v>1539</v>
      </c>
      <c r="C800" t="s">
        <v>1966</v>
      </c>
      <c r="G800" t="str">
        <f t="shared" si="28"/>
        <v>.csv</v>
      </c>
      <c r="H800" s="5" t="str">
        <f>IF(AND(G800=".csv",COUNTIFS($B:$B,$B800,$G:$G,"xlsx")-COUNTIFS($B:$B,$B800,$G:$G,"xlsx",$C:$C,"~~$*")&gt;1,LEFT(C800,LEN($B800))&lt;&gt;$B800),"",IFERROR(IF(B800="FoPITY",INDEX(Customizations!$C$2:$C$19,MATCH(Sheet1!C800,Customizations!$B$2:$B$19,0),1),INDEX(About!C:C,MATCH(Sheet1!B800,About!B:B,0),1)),""))</f>
        <v>BAU Cost of Industry Sector Capital.xlsx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5">
      <c r="A801" t="s">
        <v>242</v>
      </c>
      <c r="B801" t="s">
        <v>1539</v>
      </c>
      <c r="C801" t="s">
        <v>1541</v>
      </c>
      <c r="G801" t="str">
        <f t="shared" si="28"/>
        <v>.csv</v>
      </c>
      <c r="H801" s="5" t="str">
        <f>IF(AND(G801=".csv",COUNTIFS($B:$B,$B801,$G:$G,"xlsx")-COUNTIFS($B:$B,$B801,$G:$G,"xlsx",$C:$C,"~~$*")&gt;1,LEFT(C801,LEN($B801))&lt;&gt;$B801),"",IFERROR(IF(B801="FoPITY",INDEX(Customizations!$C$2:$C$19,MATCH(Sheet1!C801,Customizations!$B$2:$B$19,0),1),INDEX(About!C:C,MATCH(Sheet1!B801,About!B:B,0),1)),""))</f>
        <v>BAU Cost of Industry Sector Capital.xlsx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5">
      <c r="A802" t="s">
        <v>242</v>
      </c>
      <c r="B802" t="s">
        <v>1539</v>
      </c>
      <c r="C802" t="s">
        <v>1542</v>
      </c>
      <c r="G802" t="str">
        <f t="shared" si="28"/>
        <v>.csv</v>
      </c>
      <c r="H802" s="5" t="str">
        <f>IF(AND(G802=".csv",COUNTIFS($B:$B,$B802,$G:$G,"xlsx")-COUNTIFS($B:$B,$B802,$G:$G,"xlsx",$C:$C,"~~$*")&gt;1,LEFT(C802,LEN($B802))&lt;&gt;$B802),"",IFERROR(IF(B802="FoPITY",INDEX(Customizations!$C$2:$C$19,MATCH(Sheet1!C802,Customizations!$B$2:$B$19,0),1),INDEX(About!C:C,MATCH(Sheet1!B802,About!B:B,0),1)),""))</f>
        <v>BAU Cost of Industry Sector Capital.xlsx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5">
      <c r="A803" t="s">
        <v>242</v>
      </c>
      <c r="B803" t="s">
        <v>1792</v>
      </c>
      <c r="C803" t="s">
        <v>1793</v>
      </c>
      <c r="G803" t="str">
        <f t="shared" si="28"/>
        <v>.csv</v>
      </c>
      <c r="H803" s="5" t="str">
        <f>IF(AND(G803=".csv",COUNTIFS($B:$B,$B803,$G:$G,"xlsx")-COUNTIFS($B:$B,$B803,$G:$G,"xlsx",$C:$C,"~~$*")&gt;1,LEFT(C803,LEN($B803))&lt;&gt;$B803),"",IFERROR(IF(B803="FoPITY",INDEX(Customizations!$C$2:$C$19,MATCH(Sheet1!C803,Customizations!$B$2:$B$19,0),1),INDEX(About!C:C,MATCH(Sheet1!B803,About!B:B,0),1)),""))</f>
        <v>Bool Does Govt Pay for Process Emissions Policies.xlsx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5">
      <c r="A804" t="s">
        <v>242</v>
      </c>
      <c r="B804" t="s">
        <v>1792</v>
      </c>
      <c r="C804" t="s">
        <v>1794</v>
      </c>
      <c r="G804" t="str">
        <f t="shared" si="28"/>
        <v>xlsx</v>
      </c>
      <c r="H804" s="5" t="str">
        <f>IF(AND(G804=".csv",COUNTIFS($B:$B,$B804,$G:$G,"xlsx")-COUNTIFS($B:$B,$B804,$G:$G,"xlsx",$C:$C,"~~$*")&gt;1,LEFT(C804,LEN($B804))&lt;&gt;$B804),"",IFERROR(IF(B804="FoPITY",INDEX(Customizations!$C$2:$C$19,MATCH(Sheet1!C804,Customizations!$B$2:$B$19,0),1),INDEX(About!C:C,MATCH(Sheet1!B804,About!B:B,0),1)),""))</f>
        <v>Bool Does Govt Pay for Process Emissions Policies.xlsx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5">
      <c r="A805" t="s">
        <v>242</v>
      </c>
      <c r="B805" t="s">
        <v>1543</v>
      </c>
      <c r="C805" t="s">
        <v>1544</v>
      </c>
      <c r="G805" t="str">
        <f t="shared" si="28"/>
        <v>xlsx</v>
      </c>
      <c r="H805" s="5" t="str">
        <f>IF(AND(G805=".csv",COUNTIFS($B:$B,$B805,$G:$G,"xlsx")-COUNTIFS($B:$B,$B805,$G:$G,"xlsx",$C:$C,"~~$*")&gt;1,LEFT(C805,LEN($B805))&lt;&gt;$B805),"",IFERROR(IF(B805="FoPITY",INDEX(Customizations!$C$2:$C$19,MATCH(Sheet1!C805,Customizations!$B$2:$B$19,0),1),INDEX(About!C:C,MATCH(Sheet1!B805,About!B:B,0),1)),""))</f>
        <v>BAU Industrial Equipment Efficiency Improvement.xlsx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5">
      <c r="A806" t="s">
        <v>242</v>
      </c>
      <c r="B806" t="s">
        <v>1543</v>
      </c>
      <c r="C806" t="s">
        <v>1545</v>
      </c>
      <c r="G806" t="str">
        <f t="shared" si="28"/>
        <v>.csv</v>
      </c>
      <c r="H806" s="5" t="str">
        <f>IF(AND(G806=".csv",COUNTIFS($B:$B,$B806,$G:$G,"xlsx")-COUNTIFS($B:$B,$B806,$G:$G,"xlsx",$C:$C,"~~$*")&gt;1,LEFT(C806,LEN($B806))&lt;&gt;$B806),"",IFERROR(IF(B806="FoPITY",INDEX(Customizations!$C$2:$C$19,MATCH(Sheet1!C806,Customizations!$B$2:$B$19,0),1),INDEX(About!C:C,MATCH(Sheet1!B806,About!B:B,0),1)),""))</f>
        <v>BAU Industrial Equipment Efficiency Improvement.xlsx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5">
      <c r="A807" t="s">
        <v>242</v>
      </c>
      <c r="B807" t="s">
        <v>1543</v>
      </c>
      <c r="C807" t="s">
        <v>1546</v>
      </c>
      <c r="G807" t="str">
        <f t="shared" si="28"/>
        <v>.csv</v>
      </c>
      <c r="H807" s="5" t="str">
        <f>IF(AND(G807=".csv",COUNTIFS($B:$B,$B807,$G:$G,"xlsx")-COUNTIFS($B:$B,$B807,$G:$G,"xlsx",$C:$C,"~~$*")&gt;1,LEFT(C807,LEN($B807))&lt;&gt;$B807),"",IFERROR(IF(B807="FoPITY",INDEX(Customizations!$C$2:$C$19,MATCH(Sheet1!C807,Customizations!$B$2:$B$19,0),1),INDEX(About!C:C,MATCH(Sheet1!B807,About!B:B,0),1)),""))</f>
        <v>BAU Industrial Equipment Efficiency Improvement.xlsx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5">
      <c r="A808" t="s">
        <v>242</v>
      </c>
      <c r="B808" t="s">
        <v>1547</v>
      </c>
      <c r="C808" t="s">
        <v>1548</v>
      </c>
      <c r="G808" t="str">
        <f t="shared" si="28"/>
        <v>xlsx</v>
      </c>
      <c r="H808" s="5" t="str">
        <f>IF(AND(G808=".csv",COUNTIFS($B:$B,$B808,$G:$G,"xlsx")-COUNTIFS($B:$B,$B808,$G:$G,"xlsx",$C:$C,"~~$*")&gt;1,LEFT(C808,LEN($B808))&lt;&gt;$B808),"",IFERROR(IF(B808="FoPITY",INDEX(Customizations!$C$2:$C$19,MATCH(Sheet1!C808,Customizations!$B$2:$B$19,0),1),INDEX(About!C:C,MATCH(Sheet1!B808,About!B:B,0),1)),""))</f>
        <v>BAU Industrial Energy Use Reduction from Process Efficiency Improvements.xlsx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5">
      <c r="A809" t="s">
        <v>242</v>
      </c>
      <c r="B809" t="s">
        <v>1547</v>
      </c>
      <c r="C809" t="s">
        <v>1549</v>
      </c>
      <c r="G809" t="str">
        <f t="shared" si="28"/>
        <v>.csv</v>
      </c>
      <c r="H809" s="5" t="str">
        <f>IF(AND(G809=".csv",COUNTIFS($B:$B,$B809,$G:$G,"xlsx")-COUNTIFS($B:$B,$B809,$G:$G,"xlsx",$C:$C,"~~$*")&gt;1,LEFT(C809,LEN($B809))&lt;&gt;$B809),"",IFERROR(IF(B809="FoPITY",INDEX(Customizations!$C$2:$C$19,MATCH(Sheet1!C809,Customizations!$B$2:$B$19,0),1),INDEX(About!C:C,MATCH(Sheet1!B809,About!B:B,0),1)),""))</f>
        <v>BAU Industrial Energy Use Reduction from Process Efficiency Improvements.xlsx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5">
      <c r="A810" t="s">
        <v>242</v>
      </c>
      <c r="B810" t="s">
        <v>1547</v>
      </c>
      <c r="C810" t="s">
        <v>1550</v>
      </c>
      <c r="G810" t="str">
        <f t="shared" si="28"/>
        <v>.csv</v>
      </c>
      <c r="H810" s="5" t="str">
        <f>IF(AND(G810=".csv",COUNTIFS($B:$B,$B810,$G:$G,"xlsx")-COUNTIFS($B:$B,$B810,$G:$G,"xlsx",$C:$C,"~~$*")&gt;1,LEFT(C810,LEN($B810))&lt;&gt;$B810),"",IFERROR(IF(B810="FoPITY",INDEX(Customizations!$C$2:$C$19,MATCH(Sheet1!C810,Customizations!$B$2:$B$19,0),1),INDEX(About!C:C,MATCH(Sheet1!B810,About!B:B,0),1)),""))</f>
        <v>BAU Industrial Energy Use Reduction from Process Efficiency Improvements.xlsx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5">
      <c r="A811" t="s">
        <v>242</v>
      </c>
      <c r="B811" t="s">
        <v>1547</v>
      </c>
      <c r="C811" t="s">
        <v>1551</v>
      </c>
      <c r="G811" t="str">
        <f t="shared" si="28"/>
        <v>.csv</v>
      </c>
      <c r="H811" s="5" t="str">
        <f>IF(AND(G811=".csv",COUNTIFS($B:$B,$B811,$G:$G,"xlsx")-COUNTIFS($B:$B,$B811,$G:$G,"xlsx",$C:$C,"~~$*")&gt;1,LEFT(C811,LEN($B811))&lt;&gt;$B811),"",IFERROR(IF(B811="FoPITY",INDEX(Customizations!$C$2:$C$19,MATCH(Sheet1!C811,Customizations!$B$2:$B$19,0),1),INDEX(About!C:C,MATCH(Sheet1!B811,About!B:B,0),1)),""))</f>
        <v>BAU Industrial Energy Use Reduction from Process Efficiency Improvements.xlsx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5">
      <c r="A812" t="s">
        <v>242</v>
      </c>
      <c r="B812" t="s">
        <v>1547</v>
      </c>
      <c r="C812" t="s">
        <v>1552</v>
      </c>
      <c r="G812" t="str">
        <f t="shared" si="28"/>
        <v>.csv</v>
      </c>
      <c r="H812" s="5" t="str">
        <f>IF(AND(G812=".csv",COUNTIFS($B:$B,$B812,$G:$G,"xlsx")-COUNTIFS($B:$B,$B812,$G:$G,"xlsx",$C:$C,"~~$*")&gt;1,LEFT(C812,LEN($B812))&lt;&gt;$B812),"",IFERROR(IF(B812="FoPITY",INDEX(Customizations!$C$2:$C$19,MATCH(Sheet1!C812,Customizations!$B$2:$B$19,0),1),INDEX(About!C:C,MATCH(Sheet1!B812,About!B:B,0),1)),""))</f>
        <v>BAU Industrial Energy Use Reduction from Process Efficiency Improvements.xlsx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5">
      <c r="A813" t="s">
        <v>242</v>
      </c>
      <c r="B813" t="s">
        <v>1547</v>
      </c>
      <c r="C813" t="s">
        <v>1553</v>
      </c>
      <c r="G813" t="str">
        <f t="shared" si="28"/>
        <v>.csv</v>
      </c>
      <c r="H813" s="5" t="str">
        <f>IF(AND(G813=".csv",COUNTIFS($B:$B,$B813,$G:$G,"xlsx")-COUNTIFS($B:$B,$B813,$G:$G,"xlsx",$C:$C,"~~$*")&gt;1,LEFT(C813,LEN($B813))&lt;&gt;$B813),"",IFERROR(IF(B813="FoPITY",INDEX(Customizations!$C$2:$C$19,MATCH(Sheet1!C813,Customizations!$B$2:$B$19,0),1),INDEX(About!C:C,MATCH(Sheet1!B813,About!B:B,0),1)),""))</f>
        <v>BAU Industrial Energy Use Reduction from Process Efficiency Improvements.xlsx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5">
      <c r="A814" t="s">
        <v>242</v>
      </c>
      <c r="B814" t="s">
        <v>1547</v>
      </c>
      <c r="C814" t="s">
        <v>1554</v>
      </c>
      <c r="G814" t="str">
        <f t="shared" si="28"/>
        <v>.csv</v>
      </c>
      <c r="H814" s="5" t="str">
        <f>IF(AND(G814=".csv",COUNTIFS($B:$B,$B814,$G:$G,"xlsx")-COUNTIFS($B:$B,$B814,$G:$G,"xlsx",$C:$C,"~~$*")&gt;1,LEFT(C814,LEN($B814))&lt;&gt;$B814),"",IFERROR(IF(B814="FoPITY",INDEX(Customizations!$C$2:$C$19,MATCH(Sheet1!C814,Customizations!$B$2:$B$19,0),1),INDEX(About!C:C,MATCH(Sheet1!B814,About!B:B,0),1)),""))</f>
        <v>BAU Industrial Energy Use Reduction from Process Efficiency Improvements.xlsx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5">
      <c r="A815" t="s">
        <v>242</v>
      </c>
      <c r="B815" t="s">
        <v>1547</v>
      </c>
      <c r="C815" t="s">
        <v>1555</v>
      </c>
      <c r="G815" t="str">
        <f t="shared" si="28"/>
        <v>.csv</v>
      </c>
      <c r="H815" s="5" t="str">
        <f>IF(AND(G815=".csv",COUNTIFS($B:$B,$B815,$G:$G,"xlsx")-COUNTIFS($B:$B,$B815,$G:$G,"xlsx",$C:$C,"~~$*")&gt;1,LEFT(C815,LEN($B815))&lt;&gt;$B815),"",IFERROR(IF(B815="FoPITY",INDEX(Customizations!$C$2:$C$19,MATCH(Sheet1!C815,Customizations!$B$2:$B$19,0),1),INDEX(About!C:C,MATCH(Sheet1!B815,About!B:B,0),1)),""))</f>
        <v>BAU Industrial Energy Use Reduction from Process Efficiency Improvements.xlsx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5">
      <c r="A816" t="s">
        <v>242</v>
      </c>
      <c r="B816" t="s">
        <v>1547</v>
      </c>
      <c r="C816" t="s">
        <v>1556</v>
      </c>
      <c r="G816" t="str">
        <f t="shared" si="28"/>
        <v>.csv</v>
      </c>
      <c r="H816" s="5" t="str">
        <f>IF(AND(G816=".csv",COUNTIFS($B:$B,$B816,$G:$G,"xlsx")-COUNTIFS($B:$B,$B816,$G:$G,"xlsx",$C:$C,"~~$*")&gt;1,LEFT(C816,LEN($B816))&lt;&gt;$B816),"",IFERROR(IF(B816="FoPITY",INDEX(Customizations!$C$2:$C$19,MATCH(Sheet1!C816,Customizations!$B$2:$B$19,0),1),INDEX(About!C:C,MATCH(Sheet1!B816,About!B:B,0),1)),""))</f>
        <v>BAU Industrial Energy Use Reduction from Process Efficiency Improvements.xlsx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5">
      <c r="A817" t="s">
        <v>242</v>
      </c>
      <c r="B817" t="s">
        <v>1547</v>
      </c>
      <c r="C817" t="s">
        <v>1557</v>
      </c>
      <c r="G817" t="str">
        <f t="shared" si="28"/>
        <v>.csv</v>
      </c>
      <c r="H817" s="5" t="str">
        <f>IF(AND(G817=".csv",COUNTIFS($B:$B,$B817,$G:$G,"xlsx")-COUNTIFS($B:$B,$B817,$G:$G,"xlsx",$C:$C,"~~$*")&gt;1,LEFT(C817,LEN($B817))&lt;&gt;$B817),"",IFERROR(IF(B817="FoPITY",INDEX(Customizations!$C$2:$C$19,MATCH(Sheet1!C817,Customizations!$B$2:$B$19,0),1),INDEX(About!C:C,MATCH(Sheet1!B817,About!B:B,0),1)),""))</f>
        <v>BAU Industrial Energy Use Reduction from Process Efficiency Improvements.xlsx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5">
      <c r="A818" t="s">
        <v>242</v>
      </c>
      <c r="B818" t="s">
        <v>1547</v>
      </c>
      <c r="C818" t="s">
        <v>1558</v>
      </c>
      <c r="G818" t="str">
        <f t="shared" si="28"/>
        <v>.csv</v>
      </c>
      <c r="H818" s="5" t="str">
        <f>IF(AND(G818=".csv",COUNTIFS($B:$B,$B818,$G:$G,"xlsx")-COUNTIFS($B:$B,$B818,$G:$G,"xlsx",$C:$C,"~~$*")&gt;1,LEFT(C818,LEN($B818))&lt;&gt;$B818),"",IFERROR(IF(B818="FoPITY",INDEX(Customizations!$C$2:$C$19,MATCH(Sheet1!C818,Customizations!$B$2:$B$19,0),1),INDEX(About!C:C,MATCH(Sheet1!B818,About!B:B,0),1)),""))</f>
        <v>BAU Industrial Energy Use Reduction from Process Efficiency Improvements.xlsx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5">
      <c r="A819" t="s">
        <v>242</v>
      </c>
      <c r="B819" t="s">
        <v>1547</v>
      </c>
      <c r="C819" t="s">
        <v>1559</v>
      </c>
      <c r="G819" t="str">
        <f t="shared" si="28"/>
        <v>.csv</v>
      </c>
      <c r="H819" s="5" t="str">
        <f>IF(AND(G819=".csv",COUNTIFS($B:$B,$B819,$G:$G,"xlsx")-COUNTIFS($B:$B,$B819,$G:$G,"xlsx",$C:$C,"~~$*")&gt;1,LEFT(C819,LEN($B819))&lt;&gt;$B819),"",IFERROR(IF(B819="FoPITY",INDEX(Customizations!$C$2:$C$19,MATCH(Sheet1!C819,Customizations!$B$2:$B$19,0),1),INDEX(About!C:C,MATCH(Sheet1!B819,About!B:B,0),1)),""))</f>
        <v>BAU Industrial Energy Use Reduction from Process Efficiency Improvements.xlsx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5">
      <c r="A820" t="s">
        <v>242</v>
      </c>
      <c r="B820" t="s">
        <v>1547</v>
      </c>
      <c r="C820" t="s">
        <v>1560</v>
      </c>
      <c r="G820" t="str">
        <f t="shared" si="28"/>
        <v>.csv</v>
      </c>
      <c r="H820" s="5" t="str">
        <f>IF(AND(G820=".csv",COUNTIFS($B:$B,$B820,$G:$G,"xlsx")-COUNTIFS($B:$B,$B820,$G:$G,"xlsx",$C:$C,"~~$*")&gt;1,LEFT(C820,LEN($B820))&lt;&gt;$B820),"",IFERROR(IF(B820="FoPITY",INDEX(Customizations!$C$2:$C$19,MATCH(Sheet1!C820,Customizations!$B$2:$B$19,0),1),INDEX(About!C:C,MATCH(Sheet1!B820,About!B:B,0),1)),""))</f>
        <v>BAU Industrial Energy Use Reduction from Process Efficiency Improvements.xlsx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5">
      <c r="A821" t="s">
        <v>242</v>
      </c>
      <c r="B821" t="s">
        <v>1561</v>
      </c>
      <c r="C821" t="s">
        <v>1562</v>
      </c>
      <c r="G821" t="str">
        <f t="shared" si="28"/>
        <v>xlsx</v>
      </c>
      <c r="H821" s="5" t="str">
        <f>IF(AND(G821=".csv",COUNTIFS($B:$B,$B821,$G:$G,"xlsx")-COUNTIFS($B:$B,$B821,$G:$G,"xlsx",$C:$C,"~~$*")&gt;1,LEFT(C821,LEN($B821))&lt;&gt;$B821),"",IFERROR(IF(B821="FoPITY",INDEX(Customizations!$C$2:$C$19,MATCH(Sheet1!C821,Customizations!$B$2:$B$19,0),1),INDEX(About!C:C,MATCH(Sheet1!B821,About!B:B,0),1)),""))</f>
        <v>BAU Industrial Fuel Use.xlsx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5">
      <c r="A822" t="s">
        <v>242</v>
      </c>
      <c r="B822" t="s">
        <v>1561</v>
      </c>
      <c r="C822" t="s">
        <v>1795</v>
      </c>
      <c r="G822" t="str">
        <f t="shared" si="28"/>
        <v>.csv</v>
      </c>
      <c r="H822" s="5" t="str">
        <f>IF(AND(G822=".csv",COUNTIFS($B:$B,$B822,$G:$G,"xlsx")-COUNTIFS($B:$B,$B822,$G:$G,"xlsx",$C:$C,"~~$*")&gt;1,LEFT(C822,LEN($B822))&lt;&gt;$B822),"",IFERROR(IF(B822="FoPITY",INDEX(Customizations!$C$2:$C$19,MATCH(Sheet1!C822,Customizations!$B$2:$B$19,0),1),INDEX(About!C:C,MATCH(Sheet1!B822,About!B:B,0),1)),""))</f>
        <v>BAU Industrial Fuel Use.xlsx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5">
      <c r="A823" t="s">
        <v>242</v>
      </c>
      <c r="B823" t="s">
        <v>1561</v>
      </c>
      <c r="C823" t="s">
        <v>1563</v>
      </c>
      <c r="G823" t="str">
        <f t="shared" si="28"/>
        <v>.csv</v>
      </c>
      <c r="H823" s="5" t="str">
        <f>IF(AND(G823=".csv",COUNTIFS($B:$B,$B823,$G:$G,"xlsx")-COUNTIFS($B:$B,$B823,$G:$G,"xlsx",$C:$C,"~~$*")&gt;1,LEFT(C823,LEN($B823))&lt;&gt;$B823),"",IFERROR(IF(B823="FoPITY",INDEX(Customizations!$C$2:$C$19,MATCH(Sheet1!C823,Customizations!$B$2:$B$19,0),1),INDEX(About!C:C,MATCH(Sheet1!B823,About!B:B,0),1)),""))</f>
        <v>BAU Industrial Fuel Use.xlsx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5">
      <c r="A824" t="s">
        <v>242</v>
      </c>
      <c r="B824" t="s">
        <v>1561</v>
      </c>
      <c r="C824" t="s">
        <v>1564</v>
      </c>
      <c r="G824" t="str">
        <f t="shared" si="28"/>
        <v>.csv</v>
      </c>
      <c r="H824" s="5" t="str">
        <f>IF(AND(G824=".csv",COUNTIFS($B:$B,$B824,$G:$G,"xlsx")-COUNTIFS($B:$B,$B824,$G:$G,"xlsx",$C:$C,"~~$*")&gt;1,LEFT(C824,LEN($B824))&lt;&gt;$B824),"",IFERROR(IF(B824="FoPITY",INDEX(Customizations!$C$2:$C$19,MATCH(Sheet1!C824,Customizations!$B$2:$B$19,0),1),INDEX(About!C:C,MATCH(Sheet1!B824,About!B:B,0),1)),""))</f>
        <v>BAU Industrial Fuel Use.xlsx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5">
      <c r="A825" t="s">
        <v>242</v>
      </c>
      <c r="B825" t="s">
        <v>1561</v>
      </c>
      <c r="C825" t="s">
        <v>1565</v>
      </c>
      <c r="G825" t="str">
        <f t="shared" si="28"/>
        <v>.csv</v>
      </c>
      <c r="H825" s="5" t="str">
        <f>IF(AND(G825=".csv",COUNTIFS($B:$B,$B825,$G:$G,"xlsx")-COUNTIFS($B:$B,$B825,$G:$G,"xlsx",$C:$C,"~~$*")&gt;1,LEFT(C825,LEN($B825))&lt;&gt;$B825),"",IFERROR(IF(B825="FoPITY",INDEX(Customizations!$C$2:$C$19,MATCH(Sheet1!C825,Customizations!$B$2:$B$19,0),1),INDEX(About!C:C,MATCH(Sheet1!B825,About!B:B,0),1)),""))</f>
        <v>BAU Industrial Fuel Use.xlsx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5">
      <c r="A826" t="s">
        <v>242</v>
      </c>
      <c r="B826" t="s">
        <v>1561</v>
      </c>
      <c r="C826" t="s">
        <v>1566</v>
      </c>
      <c r="G826" t="str">
        <f t="shared" si="28"/>
        <v>.csv</v>
      </c>
      <c r="H826" s="5" t="str">
        <f>IF(AND(G826=".csv",COUNTIFS($B:$B,$B826,$G:$G,"xlsx")-COUNTIFS($B:$B,$B826,$G:$G,"xlsx",$C:$C,"~~$*")&gt;1,LEFT(C826,LEN($B826))&lt;&gt;$B826),"",IFERROR(IF(B826="FoPITY",INDEX(Customizations!$C$2:$C$19,MATCH(Sheet1!C826,Customizations!$B$2:$B$19,0),1),INDEX(About!C:C,MATCH(Sheet1!B826,About!B:B,0),1)),""))</f>
        <v>BAU Industrial Fuel Use.xlsx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5">
      <c r="A827" t="s">
        <v>242</v>
      </c>
      <c r="B827" t="s">
        <v>1561</v>
      </c>
      <c r="C827" t="s">
        <v>1567</v>
      </c>
      <c r="G827" t="str">
        <f t="shared" si="28"/>
        <v>.csv</v>
      </c>
      <c r="H827" s="5" t="str">
        <f>IF(AND(G827=".csv",COUNTIFS($B:$B,$B827,$G:$G,"xlsx")-COUNTIFS($B:$B,$B827,$G:$G,"xlsx",$C:$C,"~~$*")&gt;1,LEFT(C827,LEN($B827))&lt;&gt;$B827),"",IFERROR(IF(B827="FoPITY",INDEX(Customizations!$C$2:$C$19,MATCH(Sheet1!C827,Customizations!$B$2:$B$19,0),1),INDEX(About!C:C,MATCH(Sheet1!B827,About!B:B,0),1)),""))</f>
        <v>BAU Industrial Fuel Use.xlsx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5">
      <c r="A828" t="s">
        <v>242</v>
      </c>
      <c r="B828" t="s">
        <v>1561</v>
      </c>
      <c r="C828" t="s">
        <v>1568</v>
      </c>
      <c r="G828" t="str">
        <f t="shared" si="28"/>
        <v>.csv</v>
      </c>
      <c r="H828" s="5" t="str">
        <f>IF(AND(G828=".csv",COUNTIFS($B:$B,$B828,$G:$G,"xlsx")-COUNTIFS($B:$B,$B828,$G:$G,"xlsx",$C:$C,"~~$*")&gt;1,LEFT(C828,LEN($B828))&lt;&gt;$B828),"",IFERROR(IF(B828="FoPITY",INDEX(Customizations!$C$2:$C$19,MATCH(Sheet1!C828,Customizations!$B$2:$B$19,0),1),INDEX(About!C:C,MATCH(Sheet1!B828,About!B:B,0),1)),""))</f>
        <v>BAU Industrial Fuel Use.xlsx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5">
      <c r="A829" t="s">
        <v>242</v>
      </c>
      <c r="B829" t="s">
        <v>1561</v>
      </c>
      <c r="C829" t="s">
        <v>1569</v>
      </c>
      <c r="G829" t="str">
        <f t="shared" si="28"/>
        <v>.csv</v>
      </c>
      <c r="H829" s="5" t="str">
        <f>IF(AND(G829=".csv",COUNTIFS($B:$B,$B829,$G:$G,"xlsx")-COUNTIFS($B:$B,$B829,$G:$G,"xlsx",$C:$C,"~~$*")&gt;1,LEFT(C829,LEN($B829))&lt;&gt;$B829),"",IFERROR(IF(B829="FoPITY",INDEX(Customizations!$C$2:$C$19,MATCH(Sheet1!C829,Customizations!$B$2:$B$19,0),1),INDEX(About!C:C,MATCH(Sheet1!B829,About!B:B,0),1)),""))</f>
        <v>BAU Industrial Fuel Use.xlsx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5">
      <c r="A830" t="s">
        <v>242</v>
      </c>
      <c r="B830" t="s">
        <v>1561</v>
      </c>
      <c r="C830" t="s">
        <v>1570</v>
      </c>
      <c r="G830" t="str">
        <f t="shared" ref="G830:G832" si="30">RIGHT(C830,"4")</f>
        <v>.csv</v>
      </c>
      <c r="H830" s="5" t="str">
        <f>IF(AND(G830=".csv",COUNTIFS($B:$B,$B830,$G:$G,"xlsx")-COUNTIFS($B:$B,$B830,$G:$G,"xlsx",$C:$C,"~~$*")&gt;1,LEFT(C830,LEN($B830))&lt;&gt;$B830),"",IFERROR(IF(B830="FoPITY",INDEX(Customizations!$C$2:$C$19,MATCH(Sheet1!C830,Customizations!$B$2:$B$19,0),1),INDEX(About!C:C,MATCH(Sheet1!B830,About!B:B,0),1)),""))</f>
        <v>BAU Industrial Fuel Use.xlsx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5">
      <c r="A831" t="s">
        <v>242</v>
      </c>
      <c r="B831" t="s">
        <v>1561</v>
      </c>
      <c r="C831" t="s">
        <v>1571</v>
      </c>
      <c r="G831" t="str">
        <f t="shared" si="30"/>
        <v>.csv</v>
      </c>
      <c r="H831" s="5" t="str">
        <f>IF(AND(G831=".csv",COUNTIFS($B:$B,$B831,$G:$G,"xlsx")-COUNTIFS($B:$B,$B831,$G:$G,"xlsx",$C:$C,"~~$*")&gt;1,LEFT(C831,LEN($B831))&lt;&gt;$B831),"",IFERROR(IF(B831="FoPITY",INDEX(Customizations!$C$2:$C$19,MATCH(Sheet1!C831,Customizations!$B$2:$B$19,0),1),INDEX(About!C:C,MATCH(Sheet1!B831,About!B:B,0),1)),""))</f>
        <v>BAU Industrial Fuel Use.xlsx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5">
      <c r="A832" t="s">
        <v>242</v>
      </c>
      <c r="B832" t="s">
        <v>1561</v>
      </c>
      <c r="C832" t="s">
        <v>1572</v>
      </c>
      <c r="G832" t="str">
        <f t="shared" si="30"/>
        <v>.csv</v>
      </c>
      <c r="H832" s="5" t="str">
        <f>IF(AND(G832=".csv",COUNTIFS($B:$B,$B832,$G:$G,"xlsx")-COUNTIFS($B:$B,$B832,$G:$G,"xlsx",$C:$C,"~~$*")&gt;1,LEFT(C832,LEN($B832))&lt;&gt;$B832),"",IFERROR(IF(B832="FoPITY",INDEX(Customizations!$C$2:$C$19,MATCH(Sheet1!C832,Customizations!$B$2:$B$19,0),1),INDEX(About!C:C,MATCH(Sheet1!B832,About!B:B,0),1)),""))</f>
        <v>BAU Industrial Fuel Use.xlsx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5">
      <c r="A833" t="s">
        <v>242</v>
      </c>
      <c r="B833" t="s">
        <v>1561</v>
      </c>
      <c r="C833" t="s">
        <v>1573</v>
      </c>
      <c r="G833" t="str">
        <f t="shared" ref="G833:G896" si="32">RIGHT(C833,"4")</f>
        <v>.csv</v>
      </c>
      <c r="H833" s="5" t="str">
        <f>IF(AND(G833=".csv",COUNTIFS($B:$B,$B833,$G:$G,"xlsx")-COUNTIFS($B:$B,$B833,$G:$G,"xlsx",$C:$C,"~~$*")&gt;1,LEFT(C833,LEN($B833))&lt;&gt;$B833),"",IFERROR(IF(B833="FoPITY",INDEX(Customizations!$C$2:$C$19,MATCH(Sheet1!C833,Customizations!$B$2:$B$19,0),1),INDEX(About!C:C,MATCH(Sheet1!B833,About!B:B,0),1)),""))</f>
        <v>BAU Industrial Fuel Use.xlsx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5">
      <c r="A834" t="s">
        <v>242</v>
      </c>
      <c r="B834" t="s">
        <v>1561</v>
      </c>
      <c r="C834" t="s">
        <v>1574</v>
      </c>
      <c r="G834" t="str">
        <f t="shared" si="32"/>
        <v>.csv</v>
      </c>
      <c r="H834" s="5" t="str">
        <f>IF(AND(G834=".csv",COUNTIFS($B:$B,$B834,$G:$G,"xlsx")-COUNTIFS($B:$B,$B834,$G:$G,"xlsx",$C:$C,"~~$*")&gt;1,LEFT(C834,LEN($B834))&lt;&gt;$B834),"",IFERROR(IF(B834="FoPITY",INDEX(Customizations!$C$2:$C$19,MATCH(Sheet1!C834,Customizations!$B$2:$B$19,0),1),INDEX(About!C:C,MATCH(Sheet1!B834,About!B:B,0),1)),""))</f>
        <v>BAU Industrial Fuel Use.xlsx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5">
      <c r="A835" t="s">
        <v>242</v>
      </c>
      <c r="B835" t="s">
        <v>1561</v>
      </c>
      <c r="C835" t="s">
        <v>1575</v>
      </c>
      <c r="G835" t="str">
        <f t="shared" si="32"/>
        <v>.csv</v>
      </c>
      <c r="H835" s="5" t="str">
        <f>IF(AND(G835=".csv",COUNTIFS($B:$B,$B835,$G:$G,"xlsx")-COUNTIFS($B:$B,$B835,$G:$G,"xlsx",$C:$C,"~~$*")&gt;1,LEFT(C835,LEN($B835))&lt;&gt;$B835),"",IFERROR(IF(B835="FoPITY",INDEX(Customizations!$C$2:$C$19,MATCH(Sheet1!C835,Customizations!$B$2:$B$19,0),1),INDEX(About!C:C,MATCH(Sheet1!B835,About!B:B,0),1)),""))</f>
        <v>BAU Industrial Fuel Use.xlsx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5">
      <c r="A836" t="s">
        <v>242</v>
      </c>
      <c r="B836" t="s">
        <v>1561</v>
      </c>
      <c r="C836" t="s">
        <v>1576</v>
      </c>
      <c r="G836" t="str">
        <f t="shared" si="32"/>
        <v>.csv</v>
      </c>
      <c r="H836" s="5" t="str">
        <f>IF(AND(G836=".csv",COUNTIFS($B:$B,$B836,$G:$G,"xlsx")-COUNTIFS($B:$B,$B836,$G:$G,"xlsx",$C:$C,"~~$*")&gt;1,LEFT(C836,LEN($B836))&lt;&gt;$B836),"",IFERROR(IF(B836="FoPITY",INDEX(Customizations!$C$2:$C$19,MATCH(Sheet1!C836,Customizations!$B$2:$B$19,0),1),INDEX(About!C:C,MATCH(Sheet1!B836,About!B:B,0),1)),""))</f>
        <v>BAU Industrial Fuel Use.xlsx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5">
      <c r="A837" t="s">
        <v>242</v>
      </c>
      <c r="B837" t="s">
        <v>1561</v>
      </c>
      <c r="C837" t="s">
        <v>1577</v>
      </c>
      <c r="G837" t="str">
        <f t="shared" si="32"/>
        <v>.csv</v>
      </c>
      <c r="H837" s="5" t="str">
        <f>IF(AND(G837=".csv",COUNTIFS($B:$B,$B837,$G:$G,"xlsx")-COUNTIFS($B:$B,$B837,$G:$G,"xlsx",$C:$C,"~~$*")&gt;1,LEFT(C837,LEN($B837))&lt;&gt;$B837),"",IFERROR(IF(B837="FoPITY",INDEX(Customizations!$C$2:$C$19,MATCH(Sheet1!C837,Customizations!$B$2:$B$19,0),1),INDEX(About!C:C,MATCH(Sheet1!B837,About!B:B,0),1)),""))</f>
        <v>BAU Industrial Fuel Use.xlsx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5">
      <c r="A838" t="s">
        <v>242</v>
      </c>
      <c r="B838" t="s">
        <v>1561</v>
      </c>
      <c r="C838" t="s">
        <v>1578</v>
      </c>
      <c r="G838" t="str">
        <f t="shared" si="32"/>
        <v>.csv</v>
      </c>
      <c r="H838" s="5" t="str">
        <f>IF(AND(G838=".csv",COUNTIFS($B:$B,$B838,$G:$G,"xlsx")-COUNTIFS($B:$B,$B838,$G:$G,"xlsx",$C:$C,"~~$*")&gt;1,LEFT(C838,LEN($B838))&lt;&gt;$B838),"",IFERROR(IF(B838="FoPITY",INDEX(Customizations!$C$2:$C$19,MATCH(Sheet1!C838,Customizations!$B$2:$B$19,0),1),INDEX(About!C:C,MATCH(Sheet1!B838,About!B:B,0),1)),""))</f>
        <v>BAU Industrial Fuel Use.xlsx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5">
      <c r="A839" t="s">
        <v>242</v>
      </c>
      <c r="B839" t="s">
        <v>1561</v>
      </c>
      <c r="C839" t="s">
        <v>1579</v>
      </c>
      <c r="G839" t="str">
        <f t="shared" si="32"/>
        <v>.csv</v>
      </c>
      <c r="H839" s="5" t="str">
        <f>IF(AND(G839=".csv",COUNTIFS($B:$B,$B839,$G:$G,"xlsx")-COUNTIFS($B:$B,$B839,$G:$G,"xlsx",$C:$C,"~~$*")&gt;1,LEFT(C839,LEN($B839))&lt;&gt;$B839),"",IFERROR(IF(B839="FoPITY",INDEX(Customizations!$C$2:$C$19,MATCH(Sheet1!C839,Customizations!$B$2:$B$19,0),1),INDEX(About!C:C,MATCH(Sheet1!B839,About!B:B,0),1)),""))</f>
        <v>BAU Industrial Fuel Use.xlsx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5">
      <c r="A840" t="s">
        <v>242</v>
      </c>
      <c r="B840" t="s">
        <v>1561</v>
      </c>
      <c r="C840" t="s">
        <v>1580</v>
      </c>
      <c r="G840" t="str">
        <f t="shared" si="32"/>
        <v>.csv</v>
      </c>
      <c r="H840" s="5" t="str">
        <f>IF(AND(G840=".csv",COUNTIFS($B:$B,$B840,$G:$G,"xlsx")-COUNTIFS($B:$B,$B840,$G:$G,"xlsx",$C:$C,"~~$*")&gt;1,LEFT(C840,LEN($B840))&lt;&gt;$B840),"",IFERROR(IF(B840="FoPITY",INDEX(Customizations!$C$2:$C$19,MATCH(Sheet1!C840,Customizations!$B$2:$B$19,0),1),INDEX(About!C:C,MATCH(Sheet1!B840,About!B:B,0),1)),""))</f>
        <v>BAU Industrial Fuel Use.xlsx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5">
      <c r="A841" t="s">
        <v>242</v>
      </c>
      <c r="B841" t="s">
        <v>1561</v>
      </c>
      <c r="C841" t="s">
        <v>1581</v>
      </c>
      <c r="G841" t="str">
        <f t="shared" si="32"/>
        <v>.csv</v>
      </c>
      <c r="H841" s="5" t="str">
        <f>IF(AND(G841=".csv",COUNTIFS($B:$B,$B841,$G:$G,"xlsx")-COUNTIFS($B:$B,$B841,$G:$G,"xlsx",$C:$C,"~~$*")&gt;1,LEFT(C841,LEN($B841))&lt;&gt;$B841),"",IFERROR(IF(B841="FoPITY",INDEX(Customizations!$C$2:$C$19,MATCH(Sheet1!C841,Customizations!$B$2:$B$19,0),1),INDEX(About!C:C,MATCH(Sheet1!B841,About!B:B,0),1)),""))</f>
        <v>BAU Industrial Fuel Use.xlsx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5">
      <c r="A842" t="s">
        <v>242</v>
      </c>
      <c r="B842" t="s">
        <v>1561</v>
      </c>
      <c r="C842" t="s">
        <v>1582</v>
      </c>
      <c r="G842" t="str">
        <f t="shared" si="32"/>
        <v>.csv</v>
      </c>
      <c r="H842" s="5" t="str">
        <f>IF(AND(G842=".csv",COUNTIFS($B:$B,$B842,$G:$G,"xlsx")-COUNTIFS($B:$B,$B842,$G:$G,"xlsx",$C:$C,"~~$*")&gt;1,LEFT(C842,LEN($B842))&lt;&gt;$B842),"",IFERROR(IF(B842="FoPITY",INDEX(Customizations!$C$2:$C$19,MATCH(Sheet1!C842,Customizations!$B$2:$B$19,0),1),INDEX(About!C:C,MATCH(Sheet1!B842,About!B:B,0),1)),""))</f>
        <v>BAU Industrial Fuel Use.xlsx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5">
      <c r="A843" t="s">
        <v>242</v>
      </c>
      <c r="B843" t="s">
        <v>1561</v>
      </c>
      <c r="C843" t="s">
        <v>1583</v>
      </c>
      <c r="G843" t="str">
        <f t="shared" si="32"/>
        <v>.csv</v>
      </c>
      <c r="H843" s="5" t="str">
        <f>IF(AND(G843=".csv",COUNTIFS($B:$B,$B843,$G:$G,"xlsx")-COUNTIFS($B:$B,$B843,$G:$G,"xlsx",$C:$C,"~~$*")&gt;1,LEFT(C843,LEN($B843))&lt;&gt;$B843),"",IFERROR(IF(B843="FoPITY",INDEX(Customizations!$C$2:$C$19,MATCH(Sheet1!C843,Customizations!$B$2:$B$19,0),1),INDEX(About!C:C,MATCH(Sheet1!B843,About!B:B,0),1)),""))</f>
        <v>BAU Industrial Fuel Use.xlsx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5">
      <c r="A844" t="s">
        <v>242</v>
      </c>
      <c r="B844" t="s">
        <v>1561</v>
      </c>
      <c r="C844" t="s">
        <v>1584</v>
      </c>
      <c r="G844" t="str">
        <f t="shared" si="32"/>
        <v>.csv</v>
      </c>
      <c r="H844" s="5" t="str">
        <f>IF(AND(G844=".csv",COUNTIFS($B:$B,$B844,$G:$G,"xlsx")-COUNTIFS($B:$B,$B844,$G:$G,"xlsx",$C:$C,"~~$*")&gt;1,LEFT(C844,LEN($B844))&lt;&gt;$B844),"",IFERROR(IF(B844="FoPITY",INDEX(Customizations!$C$2:$C$19,MATCH(Sheet1!C844,Customizations!$B$2:$B$19,0),1),INDEX(About!C:C,MATCH(Sheet1!B844,About!B:B,0),1)),""))</f>
        <v>BAU Industrial Fuel Use.xlsx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5">
      <c r="A845" t="s">
        <v>242</v>
      </c>
      <c r="B845" t="s">
        <v>1561</v>
      </c>
      <c r="C845" t="s">
        <v>1585</v>
      </c>
      <c r="G845" t="str">
        <f t="shared" si="32"/>
        <v>.csv</v>
      </c>
      <c r="H845" s="5" t="str">
        <f>IF(AND(G845=".csv",COUNTIFS($B:$B,$B845,$G:$G,"xlsx")-COUNTIFS($B:$B,$B845,$G:$G,"xlsx",$C:$C,"~~$*")&gt;1,LEFT(C845,LEN($B845))&lt;&gt;$B845),"",IFERROR(IF(B845="FoPITY",INDEX(Customizations!$C$2:$C$19,MATCH(Sheet1!C845,Customizations!$B$2:$B$19,0),1),INDEX(About!C:C,MATCH(Sheet1!B845,About!B:B,0),1)),""))</f>
        <v>BAU Industrial Fuel Use.xlsx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5">
      <c r="A846" t="s">
        <v>242</v>
      </c>
      <c r="B846" t="s">
        <v>1561</v>
      </c>
      <c r="C846" t="s">
        <v>1586</v>
      </c>
      <c r="G846" t="str">
        <f t="shared" si="32"/>
        <v>.csv</v>
      </c>
      <c r="H846" s="5" t="str">
        <f>IF(AND(G846=".csv",COUNTIFS($B:$B,$B846,$G:$G,"xlsx")-COUNTIFS($B:$B,$B846,$G:$G,"xlsx",$C:$C,"~~$*")&gt;1,LEFT(C846,LEN($B846))&lt;&gt;$B846),"",IFERROR(IF(B846="FoPITY",INDEX(Customizations!$C$2:$C$19,MATCH(Sheet1!C846,Customizations!$B$2:$B$19,0),1),INDEX(About!C:C,MATCH(Sheet1!B846,About!B:B,0),1)),""))</f>
        <v>BAU Industrial Fuel Use.xlsx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5">
      <c r="A847" t="s">
        <v>242</v>
      </c>
      <c r="B847" t="s">
        <v>1796</v>
      </c>
      <c r="C847" t="s">
        <v>1797</v>
      </c>
      <c r="G847" t="str">
        <f t="shared" si="32"/>
        <v>xlsx</v>
      </c>
      <c r="H847" s="5" t="str">
        <f>IF(AND(G847=".csv",COUNTIFS($B:$B,$B847,$G:$G,"xlsx")-COUNTIFS($B:$B,$B847,$G:$G,"xlsx",$C:$C,"~~$*")&gt;1,LEFT(C847,LEN($B847))&lt;&gt;$B847),"",IFERROR(IF(B847="FoPITY",INDEX(Customizations!$C$2:$C$19,MATCH(Sheet1!C847,Customizations!$B$2:$B$19,0),1),INDEX(About!C:C,MATCH(Sheet1!B847,About!B:B,0),1)),""))</f>
        <v>BAU Individual Industrial Site Retirement Profiles.xlsx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5">
      <c r="A848" t="s">
        <v>242</v>
      </c>
      <c r="B848" t="s">
        <v>1796</v>
      </c>
      <c r="C848" t="s">
        <v>1798</v>
      </c>
      <c r="G848" t="str">
        <f t="shared" si="32"/>
        <v>.csv</v>
      </c>
      <c r="H848" s="5" t="str">
        <f>IF(AND(G848=".csv",COUNTIFS($B:$B,$B848,$G:$G,"xlsx")-COUNTIFS($B:$B,$B848,$G:$G,"xlsx",$C:$C,"~~$*")&gt;1,LEFT(C848,LEN($B848))&lt;&gt;$B848),"",IFERROR(IF(B848="FoPITY",INDEX(Customizations!$C$2:$C$19,MATCH(Sheet1!C848,Customizations!$B$2:$B$19,0),1),INDEX(About!C:C,MATCH(Sheet1!B848,About!B:B,0),1)),""))</f>
        <v>BAU Individual Industrial Site Retirement Profiles.xlsx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5">
      <c r="A849" t="s">
        <v>242</v>
      </c>
      <c r="B849" t="s">
        <v>1796</v>
      </c>
      <c r="C849" t="s">
        <v>1799</v>
      </c>
      <c r="G849" t="str">
        <f t="shared" si="32"/>
        <v>.csv</v>
      </c>
      <c r="H849" s="5" t="str">
        <f>IF(AND(G849=".csv",COUNTIFS($B:$B,$B849,$G:$G,"xlsx")-COUNTIFS($B:$B,$B849,$G:$G,"xlsx",$C:$C,"~~$*")&gt;1,LEFT(C849,LEN($B849))&lt;&gt;$B849),"",IFERROR(IF(B849="FoPITY",INDEX(Customizations!$C$2:$C$19,MATCH(Sheet1!C849,Customizations!$B$2:$B$19,0),1),INDEX(About!C:C,MATCH(Sheet1!B849,About!B:B,0),1)),""))</f>
        <v>BAU Individual Industrial Site Retirement Profiles.xlsx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5">
      <c r="A850" t="s">
        <v>242</v>
      </c>
      <c r="B850" t="s">
        <v>861</v>
      </c>
      <c r="C850" t="s">
        <v>862</v>
      </c>
      <c r="G850" t="str">
        <f t="shared" si="32"/>
        <v>xlsx</v>
      </c>
      <c r="H850" s="5" t="str">
        <f>IF(AND(G850=".csv",COUNTIFS($B:$B,$B850,$G:$G,"xlsx")-COUNTIFS($B:$B,$B850,$G:$G,"xlsx",$C:$C,"~~$*")&gt;1,LEFT(C850,LEN($B850))&lt;&gt;$B850),"",IFERROR(IF(B850="FoPITY",INDEX(Customizations!$C$2:$C$19,MATCH(Sheet1!C850,Customizations!$B$2:$B$19,0),1),INDEX(About!C:C,MATCH(Sheet1!B850,About!B:B,0),1)),""))</f>
        <v>BAU Process Emissions.xlsx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5">
      <c r="A851" t="s">
        <v>242</v>
      </c>
      <c r="B851" t="s">
        <v>861</v>
      </c>
      <c r="C851" t="s">
        <v>863</v>
      </c>
      <c r="G851" t="str">
        <f t="shared" si="32"/>
        <v>.csv</v>
      </c>
      <c r="H851" s="5" t="str">
        <f>IF(AND(G851=".csv",COUNTIFS($B:$B,$B851,$G:$G,"xlsx")-COUNTIFS($B:$B,$B851,$G:$G,"xlsx",$C:$C,"~~$*")&gt;1,LEFT(C851,LEN($B851))&lt;&gt;$B851),"",IFERROR(IF(B851="FoPITY",INDEX(Customizations!$C$2:$C$19,MATCH(Sheet1!C851,Customizations!$B$2:$B$19,0),1),INDEX(About!C:C,MATCH(Sheet1!B851,About!B:B,0),1)),""))</f>
        <v>BAU Process Emissions.xlsx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5">
      <c r="A852" t="s">
        <v>242</v>
      </c>
      <c r="B852" t="s">
        <v>861</v>
      </c>
      <c r="C852" t="s">
        <v>864</v>
      </c>
      <c r="G852" t="str">
        <f t="shared" si="32"/>
        <v>.csv</v>
      </c>
      <c r="H852" s="5" t="str">
        <f>IF(AND(G852=".csv",COUNTIFS($B:$B,$B852,$G:$G,"xlsx")-COUNTIFS($B:$B,$B852,$G:$G,"xlsx",$C:$C,"~~$*")&gt;1,LEFT(C852,LEN($B852))&lt;&gt;$B852),"",IFERROR(IF(B852="FoPITY",INDEX(Customizations!$C$2:$C$19,MATCH(Sheet1!C852,Customizations!$B$2:$B$19,0),1),INDEX(About!C:C,MATCH(Sheet1!B852,About!B:B,0),1)),""))</f>
        <v>BAU Process Emissions.xlsx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5">
      <c r="A853" t="s">
        <v>242</v>
      </c>
      <c r="B853" t="s">
        <v>861</v>
      </c>
      <c r="C853" t="s">
        <v>865</v>
      </c>
      <c r="G853" t="str">
        <f t="shared" si="32"/>
        <v>.csv</v>
      </c>
      <c r="H853" s="5" t="str">
        <f>IF(AND(G853=".csv",COUNTIFS($B:$B,$B853,$G:$G,"xlsx")-COUNTIFS($B:$B,$B853,$G:$G,"xlsx",$C:$C,"~~$*")&gt;1,LEFT(C853,LEN($B853))&lt;&gt;$B853),"",IFERROR(IF(B853="FoPITY",INDEX(Customizations!$C$2:$C$19,MATCH(Sheet1!C853,Customizations!$B$2:$B$19,0),1),INDEX(About!C:C,MATCH(Sheet1!B853,About!B:B,0),1)),""))</f>
        <v>BAU Process Emissions.xlsx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5">
      <c r="A854" t="s">
        <v>242</v>
      </c>
      <c r="B854" t="s">
        <v>861</v>
      </c>
      <c r="C854" t="s">
        <v>866</v>
      </c>
      <c r="G854" t="str">
        <f t="shared" si="32"/>
        <v>.csv</v>
      </c>
      <c r="H854" s="5" t="str">
        <f>IF(AND(G854=".csv",COUNTIFS($B:$B,$B854,$G:$G,"xlsx")-COUNTIFS($B:$B,$B854,$G:$G,"xlsx",$C:$C,"~~$*")&gt;1,LEFT(C854,LEN($B854))&lt;&gt;$B854),"",IFERROR(IF(B854="FoPITY",INDEX(Customizations!$C$2:$C$19,MATCH(Sheet1!C854,Customizations!$B$2:$B$19,0),1),INDEX(About!C:C,MATCH(Sheet1!B854,About!B:B,0),1)),""))</f>
        <v>BAU Process Emissions.xlsx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5">
      <c r="A855" t="s">
        <v>242</v>
      </c>
      <c r="B855" t="s">
        <v>861</v>
      </c>
      <c r="C855" t="s">
        <v>867</v>
      </c>
      <c r="G855" t="str">
        <f t="shared" si="32"/>
        <v>.csv</v>
      </c>
      <c r="H855" s="5" t="str">
        <f>IF(AND(G855=".csv",COUNTIFS($B:$B,$B855,$G:$G,"xlsx")-COUNTIFS($B:$B,$B855,$G:$G,"xlsx",$C:$C,"~~$*")&gt;1,LEFT(C855,LEN($B855))&lt;&gt;$B855),"",IFERROR(IF(B855="FoPITY",INDEX(Customizations!$C$2:$C$19,MATCH(Sheet1!C855,Customizations!$B$2:$B$19,0),1),INDEX(About!C:C,MATCH(Sheet1!B855,About!B:B,0),1)),""))</f>
        <v>BAU Process Emissions.xlsx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5">
      <c r="A856" t="s">
        <v>242</v>
      </c>
      <c r="B856" t="s">
        <v>861</v>
      </c>
      <c r="C856" t="s">
        <v>868</v>
      </c>
      <c r="G856" t="str">
        <f t="shared" si="32"/>
        <v>.csv</v>
      </c>
      <c r="H856" s="5" t="str">
        <f>IF(AND(G856=".csv",COUNTIFS($B:$B,$B856,$G:$G,"xlsx")-COUNTIFS($B:$B,$B856,$G:$G,"xlsx",$C:$C,"~~$*")&gt;1,LEFT(C856,LEN($B856))&lt;&gt;$B856),"",IFERROR(IF(B856="FoPITY",INDEX(Customizations!$C$2:$C$19,MATCH(Sheet1!C856,Customizations!$B$2:$B$19,0),1),INDEX(About!C:C,MATCH(Sheet1!B856,About!B:B,0),1)),""))</f>
        <v>BAU Process Emissions.xlsx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5">
      <c r="A857" t="s">
        <v>242</v>
      </c>
      <c r="B857" t="s">
        <v>861</v>
      </c>
      <c r="C857" t="s">
        <v>869</v>
      </c>
      <c r="G857" t="str">
        <f t="shared" si="32"/>
        <v>.csv</v>
      </c>
      <c r="H857" s="5" t="str">
        <f>IF(AND(G857=".csv",COUNTIFS($B:$B,$B857,$G:$G,"xlsx")-COUNTIFS($B:$B,$B857,$G:$G,"xlsx",$C:$C,"~~$*")&gt;1,LEFT(C857,LEN($B857))&lt;&gt;$B857),"",IFERROR(IF(B857="FoPITY",INDEX(Customizations!$C$2:$C$19,MATCH(Sheet1!C857,Customizations!$B$2:$B$19,0),1),INDEX(About!C:C,MATCH(Sheet1!B857,About!B:B,0),1)),""))</f>
        <v>BAU Process Emissions.xlsx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5">
      <c r="A858" t="s">
        <v>242</v>
      </c>
      <c r="B858" t="s">
        <v>861</v>
      </c>
      <c r="C858" t="s">
        <v>870</v>
      </c>
      <c r="G858" t="str">
        <f t="shared" si="32"/>
        <v>.csv</v>
      </c>
      <c r="H858" s="5" t="str">
        <f>IF(AND(G858=".csv",COUNTIFS($B:$B,$B858,$G:$G,"xlsx")-COUNTIFS($B:$B,$B858,$G:$G,"xlsx",$C:$C,"~~$*")&gt;1,LEFT(C858,LEN($B858))&lt;&gt;$B858),"",IFERROR(IF(B858="FoPITY",INDEX(Customizations!$C$2:$C$19,MATCH(Sheet1!C858,Customizations!$B$2:$B$19,0),1),INDEX(About!C:C,MATCH(Sheet1!B858,About!B:B,0),1)),""))</f>
        <v>BAU Process Emissions.xlsx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5">
      <c r="A859" t="s">
        <v>242</v>
      </c>
      <c r="B859" t="s">
        <v>861</v>
      </c>
      <c r="C859" t="s">
        <v>871</v>
      </c>
      <c r="G859" t="str">
        <f t="shared" si="32"/>
        <v>.csv</v>
      </c>
      <c r="H859" s="5" t="str">
        <f>IF(AND(G859=".csv",COUNTIFS($B:$B,$B859,$G:$G,"xlsx")-COUNTIFS($B:$B,$B859,$G:$G,"xlsx",$C:$C,"~~$*")&gt;1,LEFT(C859,LEN($B859))&lt;&gt;$B859),"",IFERROR(IF(B859="FoPITY",INDEX(Customizations!$C$2:$C$19,MATCH(Sheet1!C859,Customizations!$B$2:$B$19,0),1),INDEX(About!C:C,MATCH(Sheet1!B859,About!B:B,0),1)),""))</f>
        <v>BAU Process Emissions.xlsx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5">
      <c r="A860" t="s">
        <v>242</v>
      </c>
      <c r="B860" t="s">
        <v>861</v>
      </c>
      <c r="C860" t="s">
        <v>872</v>
      </c>
      <c r="G860" t="str">
        <f t="shared" si="32"/>
        <v>.csv</v>
      </c>
      <c r="H860" s="5" t="str">
        <f>IF(AND(G860=".csv",COUNTIFS($B:$B,$B860,$G:$G,"xlsx")-COUNTIFS($B:$B,$B860,$G:$G,"xlsx",$C:$C,"~~$*")&gt;1,LEFT(C860,LEN($B860))&lt;&gt;$B860),"",IFERROR(IF(B860="FoPITY",INDEX(Customizations!$C$2:$C$19,MATCH(Sheet1!C860,Customizations!$B$2:$B$19,0),1),INDEX(About!C:C,MATCH(Sheet1!B860,About!B:B,0),1)),""))</f>
        <v>BAU Process Emissions.xlsx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5">
      <c r="A861" t="s">
        <v>242</v>
      </c>
      <c r="B861" t="s">
        <v>861</v>
      </c>
      <c r="C861" t="s">
        <v>873</v>
      </c>
      <c r="G861" t="str">
        <f t="shared" si="32"/>
        <v>.csv</v>
      </c>
      <c r="H861" s="5" t="str">
        <f>IF(AND(G861=".csv",COUNTIFS($B:$B,$B861,$G:$G,"xlsx")-COUNTIFS($B:$B,$B861,$G:$G,"xlsx",$C:$C,"~~$*")&gt;1,LEFT(C861,LEN($B861))&lt;&gt;$B861),"",IFERROR(IF(B861="FoPITY",INDEX(Customizations!$C$2:$C$19,MATCH(Sheet1!C861,Customizations!$B$2:$B$19,0),1),INDEX(About!C:C,MATCH(Sheet1!B861,About!B:B,0),1)),""))</f>
        <v>BAU Process Emissions.xlsx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5">
      <c r="A862" t="s">
        <v>242</v>
      </c>
      <c r="B862" t="s">
        <v>861</v>
      </c>
      <c r="C862" t="s">
        <v>874</v>
      </c>
      <c r="G862" t="str">
        <f t="shared" si="32"/>
        <v>.csv</v>
      </c>
      <c r="H862" s="5" t="str">
        <f>IF(AND(G862=".csv",COUNTIFS($B:$B,$B862,$G:$G,"xlsx")-COUNTIFS($B:$B,$B862,$G:$G,"xlsx",$C:$C,"~~$*")&gt;1,LEFT(C862,LEN($B862))&lt;&gt;$B862),"",IFERROR(IF(B862="FoPITY",INDEX(Customizations!$C$2:$C$19,MATCH(Sheet1!C862,Customizations!$B$2:$B$19,0),1),INDEX(About!C:C,MATCH(Sheet1!B862,About!B:B,0),1)),""))</f>
        <v>BAU Process Emissions.xlsx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5">
      <c r="A863" t="s">
        <v>242</v>
      </c>
      <c r="B863" t="s">
        <v>861</v>
      </c>
      <c r="C863" t="s">
        <v>875</v>
      </c>
      <c r="G863" t="str">
        <f t="shared" si="32"/>
        <v>.csv</v>
      </c>
      <c r="H863" s="5" t="str">
        <f>IF(AND(G863=".csv",COUNTIFS($B:$B,$B863,$G:$G,"xlsx")-COUNTIFS($B:$B,$B863,$G:$G,"xlsx",$C:$C,"~~$*")&gt;1,LEFT(C863,LEN($B863))&lt;&gt;$B863),"",IFERROR(IF(B863="FoPITY",INDEX(Customizations!$C$2:$C$19,MATCH(Sheet1!C863,Customizations!$B$2:$B$19,0),1),INDEX(About!C:C,MATCH(Sheet1!B863,About!B:B,0),1)),""))</f>
        <v>BAU Process Emissions.xlsx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5">
      <c r="A864" t="s">
        <v>242</v>
      </c>
      <c r="B864" t="s">
        <v>861</v>
      </c>
      <c r="C864" t="s">
        <v>1967</v>
      </c>
      <c r="G864" t="str">
        <f t="shared" si="32"/>
        <v>xlsx</v>
      </c>
      <c r="H864" s="5" t="str">
        <f>IF(AND(G864=".csv",COUNTIFS($B:$B,$B864,$G:$G,"xlsx")-COUNTIFS($B:$B,$B864,$G:$G,"xlsx",$C:$C,"~~$*")&gt;1,LEFT(C864,LEN($B864))&lt;&gt;$B864),"",IFERROR(IF(B864="FoPITY",INDEX(Customizations!$C$2:$C$19,MATCH(Sheet1!C864,Customizations!$B$2:$B$19,0),1),INDEX(About!C:C,MATCH(Sheet1!B864,About!B:B,0),1)),""))</f>
        <v>BAU Process Emissions.xlsx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5">
      <c r="A865" t="s">
        <v>242</v>
      </c>
      <c r="B865" t="s">
        <v>1126</v>
      </c>
      <c r="C865" t="s">
        <v>1127</v>
      </c>
      <c r="G865" t="str">
        <f t="shared" si="32"/>
        <v>xlsx</v>
      </c>
      <c r="H865" s="5" t="str">
        <f>IF(AND(G865=".csv",COUNTIFS($B:$B,$B865,$G:$G,"xlsx")-COUNTIFS($B:$B,$B865,$G:$G,"xlsx",$C:$C,"~~$*")&gt;1,LEFT(C865,LEN($B865))&lt;&gt;$B865),"",IFERROR(IF(B865="FoPITY",INDEX(Customizations!$C$2:$C$19,MATCH(Sheet1!C865,Customizations!$B$2:$B$19,0),1),INDEX(About!C:C,MATCH(Sheet1!B865,About!B:B,0),1)),""))</f>
        <v>BAU Perc Fuel Use by Industrial Process.xlsx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5">
      <c r="A866" t="s">
        <v>242</v>
      </c>
      <c r="B866" t="s">
        <v>1126</v>
      </c>
      <c r="C866" t="s">
        <v>1587</v>
      </c>
      <c r="G866" t="str">
        <f t="shared" si="32"/>
        <v>.csv</v>
      </c>
      <c r="H866" s="5" t="str">
        <f>IF(AND(G866=".csv",COUNTIFS($B:$B,$B866,$G:$G,"xlsx")-COUNTIFS($B:$B,$B866,$G:$G,"xlsx",$C:$C,"~~$*")&gt;1,LEFT(C866,LEN($B866))&lt;&gt;$B866),"",IFERROR(IF(B866="FoPITY",INDEX(Customizations!$C$2:$C$19,MATCH(Sheet1!C866,Customizations!$B$2:$B$19,0),1),INDEX(About!C:C,MATCH(Sheet1!B866,About!B:B,0),1)),""))</f>
        <v>BAU Perc Fuel Use by Industrial Process.xlsx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5">
      <c r="A867" t="s">
        <v>242</v>
      </c>
      <c r="B867" t="s">
        <v>1126</v>
      </c>
      <c r="C867" t="s">
        <v>1588</v>
      </c>
      <c r="G867" t="str">
        <f t="shared" si="32"/>
        <v>.csv</v>
      </c>
      <c r="H867" s="5" t="str">
        <f>IF(AND(G867=".csv",COUNTIFS($B:$B,$B867,$G:$G,"xlsx")-COUNTIFS($B:$B,$B867,$G:$G,"xlsx",$C:$C,"~~$*")&gt;1,LEFT(C867,LEN($B867))&lt;&gt;$B867),"",IFERROR(IF(B867="FoPITY",INDEX(Customizations!$C$2:$C$19,MATCH(Sheet1!C867,Customizations!$B$2:$B$19,0),1),INDEX(About!C:C,MATCH(Sheet1!B867,About!B:B,0),1)),""))</f>
        <v>BAU Perc Fuel Use by Industrial Process.xlsx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5">
      <c r="A868" t="s">
        <v>242</v>
      </c>
      <c r="B868" t="s">
        <v>1126</v>
      </c>
      <c r="C868" t="s">
        <v>1299</v>
      </c>
      <c r="G868" t="str">
        <f t="shared" si="32"/>
        <v>.csv</v>
      </c>
      <c r="H868" s="5" t="str">
        <f>IF(AND(G868=".csv",COUNTIFS($B:$B,$B868,$G:$G,"xlsx")-COUNTIFS($B:$B,$B868,$G:$G,"xlsx",$C:$C,"~~$*")&gt;1,LEFT(C868,LEN($B868))&lt;&gt;$B868),"",IFERROR(IF(B868="FoPITY",INDEX(Customizations!$C$2:$C$19,MATCH(Sheet1!C868,Customizations!$B$2:$B$19,0),1),INDEX(About!C:C,MATCH(Sheet1!B868,About!B:B,0),1)),""))</f>
        <v>BAU Perc Fuel Use by Industrial Process.xlsx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5">
      <c r="A869" t="s">
        <v>242</v>
      </c>
      <c r="B869" t="s">
        <v>1126</v>
      </c>
      <c r="C869" t="s">
        <v>1589</v>
      </c>
      <c r="G869" t="str">
        <f t="shared" si="32"/>
        <v>.csv</v>
      </c>
      <c r="H869" s="5" t="str">
        <f>IF(AND(G869=".csv",COUNTIFS($B:$B,$B869,$G:$G,"xlsx")-COUNTIFS($B:$B,$B869,$G:$G,"xlsx",$C:$C,"~~$*")&gt;1,LEFT(C869,LEN($B869))&lt;&gt;$B869),"",IFERROR(IF(B869="FoPITY",INDEX(Customizations!$C$2:$C$19,MATCH(Sheet1!C869,Customizations!$B$2:$B$19,0),1),INDEX(About!C:C,MATCH(Sheet1!B869,About!B:B,0),1)),""))</f>
        <v>BAU Perc Fuel Use by Industrial Process.xlsx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5">
      <c r="A870" t="s">
        <v>242</v>
      </c>
      <c r="B870" t="s">
        <v>1126</v>
      </c>
      <c r="C870" t="s">
        <v>1590</v>
      </c>
      <c r="G870" t="str">
        <f t="shared" si="32"/>
        <v>.csv</v>
      </c>
      <c r="H870" s="5" t="str">
        <f>IF(AND(G870=".csv",COUNTIFS($B:$B,$B870,$G:$G,"xlsx")-COUNTIFS($B:$B,$B870,$G:$G,"xlsx",$C:$C,"~~$*")&gt;1,LEFT(C870,LEN($B870))&lt;&gt;$B870),"",IFERROR(IF(B870="FoPITY",INDEX(Customizations!$C$2:$C$19,MATCH(Sheet1!C870,Customizations!$B$2:$B$19,0),1),INDEX(About!C:C,MATCH(Sheet1!B870,About!B:B,0),1)),""))</f>
        <v>BAU Perc Fuel Use by Industrial Process.xlsx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5">
      <c r="A871" t="s">
        <v>242</v>
      </c>
      <c r="B871" t="s">
        <v>1126</v>
      </c>
      <c r="C871" t="s">
        <v>1591</v>
      </c>
      <c r="G871" t="str">
        <f t="shared" si="32"/>
        <v>.csv</v>
      </c>
      <c r="H871" s="5" t="str">
        <f>IF(AND(G871=".csv",COUNTIFS($B:$B,$B871,$G:$G,"xlsx")-COUNTIFS($B:$B,$B871,$G:$G,"xlsx",$C:$C,"~~$*")&gt;1,LEFT(C871,LEN($B871))&lt;&gt;$B871),"",IFERROR(IF(B871="FoPITY",INDEX(Customizations!$C$2:$C$19,MATCH(Sheet1!C871,Customizations!$B$2:$B$19,0),1),INDEX(About!C:C,MATCH(Sheet1!B871,About!B:B,0),1)),""))</f>
        <v>BAU Perc Fuel Use by Industrial Process.xlsx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5">
      <c r="A872" t="s">
        <v>242</v>
      </c>
      <c r="B872" t="s">
        <v>1126</v>
      </c>
      <c r="C872" t="s">
        <v>1592</v>
      </c>
      <c r="G872" t="str">
        <f t="shared" si="32"/>
        <v>.csv</v>
      </c>
      <c r="H872" s="5" t="str">
        <f>IF(AND(G872=".csv",COUNTIFS($B:$B,$B872,$G:$G,"xlsx")-COUNTIFS($B:$B,$B872,$G:$G,"xlsx",$C:$C,"~~$*")&gt;1,LEFT(C872,LEN($B872))&lt;&gt;$B872),"",IFERROR(IF(B872="FoPITY",INDEX(Customizations!$C$2:$C$19,MATCH(Sheet1!C872,Customizations!$B$2:$B$19,0),1),INDEX(About!C:C,MATCH(Sheet1!B872,About!B:B,0),1)),""))</f>
        <v>BAU Perc Fuel Use by Industrial Process.xlsx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5">
      <c r="A873" t="s">
        <v>242</v>
      </c>
      <c r="B873" t="s">
        <v>1126</v>
      </c>
      <c r="C873" t="s">
        <v>1593</v>
      </c>
      <c r="G873" t="str">
        <f t="shared" si="32"/>
        <v>.csv</v>
      </c>
      <c r="H873" s="5" t="str">
        <f>IF(AND(G873=".csv",COUNTIFS($B:$B,$B873,$G:$G,"xlsx")-COUNTIFS($B:$B,$B873,$G:$G,"xlsx",$C:$C,"~~$*")&gt;1,LEFT(C873,LEN($B873))&lt;&gt;$B873),"",IFERROR(IF(B873="FoPITY",INDEX(Customizations!$C$2:$C$19,MATCH(Sheet1!C873,Customizations!$B$2:$B$19,0),1),INDEX(About!C:C,MATCH(Sheet1!B873,About!B:B,0),1)),""))</f>
        <v>BAU Perc Fuel Use by Industrial Process.xlsx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5">
      <c r="A874" t="s">
        <v>242</v>
      </c>
      <c r="B874" t="s">
        <v>1126</v>
      </c>
      <c r="C874" t="s">
        <v>1594</v>
      </c>
      <c r="G874" t="str">
        <f t="shared" si="32"/>
        <v>.csv</v>
      </c>
      <c r="H874" s="5" t="str">
        <f>IF(AND(G874=".csv",COUNTIFS($B:$B,$B874,$G:$G,"xlsx")-COUNTIFS($B:$B,$B874,$G:$G,"xlsx",$C:$C,"~~$*")&gt;1,LEFT(C874,LEN($B874))&lt;&gt;$B874),"",IFERROR(IF(B874="FoPITY",INDEX(Customizations!$C$2:$C$19,MATCH(Sheet1!C874,Customizations!$B$2:$B$19,0),1),INDEX(About!C:C,MATCH(Sheet1!B874,About!B:B,0),1)),""))</f>
        <v>BAU Perc Fuel Use by Industrial Process.xlsx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5">
      <c r="A875" t="s">
        <v>242</v>
      </c>
      <c r="B875" t="s">
        <v>1126</v>
      </c>
      <c r="C875" t="s">
        <v>1595</v>
      </c>
      <c r="G875" t="str">
        <f t="shared" si="32"/>
        <v>.csv</v>
      </c>
      <c r="H875" s="5" t="str">
        <f>IF(AND(G875=".csv",COUNTIFS($B:$B,$B875,$G:$G,"xlsx")-COUNTIFS($B:$B,$B875,$G:$G,"xlsx",$C:$C,"~~$*")&gt;1,LEFT(C875,LEN($B875))&lt;&gt;$B875),"",IFERROR(IF(B875="FoPITY",INDEX(Customizations!$C$2:$C$19,MATCH(Sheet1!C875,Customizations!$B$2:$B$19,0),1),INDEX(About!C:C,MATCH(Sheet1!B875,About!B:B,0),1)),""))</f>
        <v>BAU Perc Fuel Use by Industrial Process.xlsx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5">
      <c r="A876" t="s">
        <v>242</v>
      </c>
      <c r="B876" t="s">
        <v>1126</v>
      </c>
      <c r="C876" t="s">
        <v>1596</v>
      </c>
      <c r="G876" t="str">
        <f t="shared" si="32"/>
        <v>.csv</v>
      </c>
      <c r="H876" s="5" t="str">
        <f>IF(AND(G876=".csv",COUNTIFS($B:$B,$B876,$G:$G,"xlsx")-COUNTIFS($B:$B,$B876,$G:$G,"xlsx",$C:$C,"~~$*")&gt;1,LEFT(C876,LEN($B876))&lt;&gt;$B876),"",IFERROR(IF(B876="FoPITY",INDEX(Customizations!$C$2:$C$19,MATCH(Sheet1!C876,Customizations!$B$2:$B$19,0),1),INDEX(About!C:C,MATCH(Sheet1!B876,About!B:B,0),1)),""))</f>
        <v>BAU Perc Fuel Use by Industrial Process.xlsx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5">
      <c r="A877" t="s">
        <v>242</v>
      </c>
      <c r="B877" t="s">
        <v>1126</v>
      </c>
      <c r="C877" t="s">
        <v>1597</v>
      </c>
      <c r="G877" t="str">
        <f t="shared" si="32"/>
        <v>.csv</v>
      </c>
      <c r="H877" s="5" t="str">
        <f>IF(AND(G877=".csv",COUNTIFS($B:$B,$B877,$G:$G,"xlsx")-COUNTIFS($B:$B,$B877,$G:$G,"xlsx",$C:$C,"~~$*")&gt;1,LEFT(C877,LEN($B877))&lt;&gt;$B877),"",IFERROR(IF(B877="FoPITY",INDEX(Customizations!$C$2:$C$19,MATCH(Sheet1!C877,Customizations!$B$2:$B$19,0),1),INDEX(About!C:C,MATCH(Sheet1!B877,About!B:B,0),1)),""))</f>
        <v>BAU Perc Fuel Use by Industrial Process.xlsx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5">
      <c r="A878" t="s">
        <v>242</v>
      </c>
      <c r="B878" t="s">
        <v>1126</v>
      </c>
      <c r="C878" t="s">
        <v>1598</v>
      </c>
      <c r="G878" t="str">
        <f t="shared" si="32"/>
        <v>.csv</v>
      </c>
      <c r="H878" s="5" t="str">
        <f>IF(AND(G878=".csv",COUNTIFS($B:$B,$B878,$G:$G,"xlsx")-COUNTIFS($B:$B,$B878,$G:$G,"xlsx",$C:$C,"~~$*")&gt;1,LEFT(C878,LEN($B878))&lt;&gt;$B878),"",IFERROR(IF(B878="FoPITY",INDEX(Customizations!$C$2:$C$19,MATCH(Sheet1!C878,Customizations!$B$2:$B$19,0),1),INDEX(About!C:C,MATCH(Sheet1!B878,About!B:B,0),1)),""))</f>
        <v>BAU Perc Fuel Use by Industrial Process.xlsx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5">
      <c r="A879" t="s">
        <v>242</v>
      </c>
      <c r="B879" t="s">
        <v>1126</v>
      </c>
      <c r="C879" t="s">
        <v>1800</v>
      </c>
      <c r="G879" t="str">
        <f t="shared" si="32"/>
        <v>r.py</v>
      </c>
      <c r="H879" s="5" t="str">
        <f>IF(AND(G879=".csv",COUNTIFS($B:$B,$B879,$G:$G,"xlsx")-COUNTIFS($B:$B,$B879,$G:$G,"xlsx",$C:$C,"~~$*")&gt;1,LEFT(C879,LEN($B879))&lt;&gt;$B879),"",IFERROR(IF(B879="FoPITY",INDEX(Customizations!$C$2:$C$19,MATCH(Sheet1!C879,Customizations!$B$2:$B$19,0),1),INDEX(About!C:C,MATCH(Sheet1!B879,About!B:B,0),1)),""))</f>
        <v>BAU Perc Fuel Use by Industrial Process.xlsx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5">
      <c r="A880" t="s">
        <v>242</v>
      </c>
      <c r="B880" t="s">
        <v>1126</v>
      </c>
      <c r="C880" t="s">
        <v>1801</v>
      </c>
      <c r="G880" t="str">
        <f t="shared" si="32"/>
        <v>xlsx</v>
      </c>
      <c r="H880" s="5" t="str">
        <f>IF(AND(G880=".csv",COUNTIFS($B:$B,$B880,$G:$G,"xlsx")-COUNTIFS($B:$B,$B880,$G:$G,"xlsx",$C:$C,"~~$*")&gt;1,LEFT(C880,LEN($B880))&lt;&gt;$B880),"",IFERROR(IF(B880="FoPITY",INDEX(Customizations!$C$2:$C$19,MATCH(Sheet1!C880,Customizations!$B$2:$B$19,0),1),INDEX(About!C:C,MATCH(Sheet1!B880,About!B:B,0),1)),""))</f>
        <v>BAU Perc Fuel Use by Industrial Process.xlsx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5">
      <c r="A881" t="s">
        <v>242</v>
      </c>
      <c r="B881" t="s">
        <v>1126</v>
      </c>
      <c r="C881" t="s">
        <v>1802</v>
      </c>
      <c r="G881" t="str">
        <f t="shared" si="32"/>
        <v>.csv</v>
      </c>
      <c r="H881" s="5" t="str">
        <f>IF(AND(G881=".csv",COUNTIFS($B:$B,$B881,$G:$G,"xlsx")-COUNTIFS($B:$B,$B881,$G:$G,"xlsx",$C:$C,"~~$*")&gt;1,LEFT(C881,LEN($B881))&lt;&gt;$B881),"",IFERROR(IF(B881="FoPITY",INDEX(Customizations!$C$2:$C$19,MATCH(Sheet1!C881,Customizations!$B$2:$B$19,0),1),INDEX(About!C:C,MATCH(Sheet1!B881,About!B:B,0),1)),""))</f>
        <v/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5">
      <c r="A882" t="s">
        <v>242</v>
      </c>
      <c r="B882" t="s">
        <v>243</v>
      </c>
      <c r="C882" t="s">
        <v>244</v>
      </c>
      <c r="G882" t="str">
        <f t="shared" si="32"/>
        <v>xlsx</v>
      </c>
      <c r="H882" s="5" t="str">
        <f>IF(AND(G882=".csv",COUNTIFS($B:$B,$B882,$G:$G,"xlsx")-COUNTIFS($B:$B,$B882,$G:$G,"xlsx",$C:$C,"~~$*")&gt;1,LEFT(C882,LEN($B882))&lt;&gt;$B882),"",IFERROR(IF(B882="FoPITY",INDEX(Customizations!$C$2:$C$19,MATCH(Sheet1!C882,Customizations!$B$2:$B$19,0),1),INDEX(About!C:C,MATCH(Sheet1!B882,About!B:B,0),1)),""))</f>
        <v>BAU Shr of Ag Indst Going to Anml Prdcts.xlsx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5">
      <c r="A883" t="s">
        <v>242</v>
      </c>
      <c r="B883" t="s">
        <v>243</v>
      </c>
      <c r="C883" t="s">
        <v>245</v>
      </c>
      <c r="G883" t="str">
        <f t="shared" si="32"/>
        <v>.csv</v>
      </c>
      <c r="H883" s="5" t="str">
        <f>IF(AND(G883=".csv",COUNTIFS($B:$B,$B883,$G:$G,"xlsx")-COUNTIFS($B:$B,$B883,$G:$G,"xlsx",$C:$C,"~~$*")&gt;1,LEFT(C883,LEN($B883))&lt;&gt;$B883),"",IFERROR(IF(B883="FoPITY",INDEX(Customizations!$C$2:$C$19,MATCH(Sheet1!C883,Customizations!$B$2:$B$19,0),1),INDEX(About!C:C,MATCH(Sheet1!B883,About!B:B,0),1)),""))</f>
        <v>BAU Shr of Ag Indst Going to Anml Prdcts.xlsx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5">
      <c r="A884" t="s">
        <v>242</v>
      </c>
      <c r="B884" t="s">
        <v>826</v>
      </c>
      <c r="C884" t="s">
        <v>827</v>
      </c>
      <c r="G884" t="str">
        <f t="shared" si="32"/>
        <v>xlsx</v>
      </c>
      <c r="H884" s="5" t="str">
        <f>IF(AND(G884=".csv",COUNTIFS($B:$B,$B884,$G:$G,"xlsx")-COUNTIFS($B:$B,$B884,$G:$G,"xlsx",$C:$C,"~~$*")&gt;1,LEFT(C884,LEN($B884))&lt;&gt;$B884),"",IFERROR(IF(B884="FoPITY",INDEX(Customizations!$C$2:$C$19,MATCH(Sheet1!C884,Customizations!$B$2:$B$19,0),1),INDEX(About!C:C,MATCH(Sheet1!B884,About!B:B,0),1)),""))</f>
        <v>Elasticities of Demand for Industrial Products.xlsx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5">
      <c r="A885" t="s">
        <v>242</v>
      </c>
      <c r="B885" t="s">
        <v>826</v>
      </c>
      <c r="C885" t="s">
        <v>828</v>
      </c>
      <c r="G885" t="str">
        <f t="shared" si="32"/>
        <v>.csv</v>
      </c>
      <c r="H885" s="5" t="str">
        <f>IF(AND(G885=".csv",COUNTIFS($B:$B,$B885,$G:$G,"xlsx")-COUNTIFS($B:$B,$B885,$G:$G,"xlsx",$C:$C,"~~$*")&gt;1,LEFT(C885,LEN($B885))&lt;&gt;$B885),"",IFERROR(IF(B885="FoPITY",INDEX(Customizations!$C$2:$C$19,MATCH(Sheet1!C885,Customizations!$B$2:$B$19,0),1),INDEX(About!C:C,MATCH(Sheet1!B885,About!B:B,0),1)),""))</f>
        <v>Elasticities of Demand for Industrial Products.xlsx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5">
      <c r="A886" t="s">
        <v>242</v>
      </c>
      <c r="B886" t="s">
        <v>1599</v>
      </c>
      <c r="C886" t="s">
        <v>1600</v>
      </c>
      <c r="G886" t="str">
        <f t="shared" si="32"/>
        <v>xlsx</v>
      </c>
      <c r="H886" s="5" t="str">
        <f>IF(AND(G886=".csv",COUNTIFS($B:$B,$B886,$G:$G,"xlsx")-COUNTIFS($B:$B,$B886,$G:$G,"xlsx",$C:$C,"~~$*")&gt;1,LEFT(C886,LEN($B886))&lt;&gt;$B886),"",IFERROR(IF(B886="FoPITY",INDEX(Customizations!$C$2:$C$19,MATCH(Sheet1!C886,Customizations!$B$2:$B$19,0),1),INDEX(About!C:C,MATCH(Sheet1!B886,About!B:B,0),1)),""))</f>
        <v>Elasticity of Ind Eqpt E Cons wrt E Cost.xlsx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5">
      <c r="A887" t="s">
        <v>242</v>
      </c>
      <c r="B887" t="s">
        <v>1599</v>
      </c>
      <c r="C887" t="s">
        <v>1601</v>
      </c>
      <c r="G887" t="str">
        <f t="shared" si="32"/>
        <v>.csv</v>
      </c>
      <c r="H887" s="5" t="str">
        <f>IF(AND(G887=".csv",COUNTIFS($B:$B,$B887,$G:$G,"xlsx")-COUNTIFS($B:$B,$B887,$G:$G,"xlsx",$C:$C,"~~$*")&gt;1,LEFT(C887,LEN($B887))&lt;&gt;$B887),"",IFERROR(IF(B887="FoPITY",INDEX(Customizations!$C$2:$C$19,MATCH(Sheet1!C887,Customizations!$B$2:$B$19,0),1),INDEX(About!C:C,MATCH(Sheet1!B887,About!B:B,0),1)),""))</f>
        <v>Elasticity of Ind Eqpt E Cons wrt E Cost.xlsx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5">
      <c r="A888" t="s">
        <v>242</v>
      </c>
      <c r="B888" t="s">
        <v>1803</v>
      </c>
      <c r="C888" t="s">
        <v>1968</v>
      </c>
      <c r="G888" t="str">
        <f t="shared" si="32"/>
        <v>xlsx</v>
      </c>
      <c r="H888" s="5" t="str">
        <f>IF(AND(G888=".csv",COUNTIFS($B:$B,$B888,$G:$G,"xlsx")-COUNTIFS($B:$B,$B888,$G:$G,"xlsx",$C:$C,"~~$*")&gt;1,LEFT(C888,LEN($B888))&lt;&gt;$B888),"",IFERROR(IF(B888="FoPITY",INDEX(Customizations!$C$2:$C$19,MATCH(Sheet1!C888,Customizations!$B$2:$B$19,0),1),INDEX(About!C:C,MATCH(Sheet1!B888,About!B:B,0),1)),""))</f>
        <v>Elasticity of Ind Eqpt Price wrt E Eff Improvements.xlsx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5">
      <c r="A889" t="s">
        <v>242</v>
      </c>
      <c r="B889" t="s">
        <v>1803</v>
      </c>
      <c r="C889" t="s">
        <v>1804</v>
      </c>
      <c r="G889" t="str">
        <f t="shared" si="32"/>
        <v>xlsx</v>
      </c>
      <c r="H889" s="5" t="str">
        <f>IF(AND(G889=".csv",COUNTIFS($B:$B,$B889,$G:$G,"xlsx")-COUNTIFS($B:$B,$B889,$G:$G,"xlsx",$C:$C,"~~$*")&gt;1,LEFT(C889,LEN($B889))&lt;&gt;$B889),"",IFERROR(IF(B889="FoPITY",INDEX(Customizations!$C$2:$C$19,MATCH(Sheet1!C889,Customizations!$B$2:$B$19,0),1),INDEX(About!C:C,MATCH(Sheet1!B889,About!B:B,0),1)),""))</f>
        <v>Elasticity of Ind Eqpt Price wrt E Eff Improvements.xlsx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5">
      <c r="A890" t="s">
        <v>242</v>
      </c>
      <c r="B890" t="s">
        <v>1803</v>
      </c>
      <c r="C890" t="s">
        <v>1805</v>
      </c>
      <c r="G890" t="str">
        <f t="shared" si="32"/>
        <v>.csv</v>
      </c>
      <c r="H890" s="5" t="str">
        <f>IF(AND(G890=".csv",COUNTIFS($B:$B,$B890,$G:$G,"xlsx")-COUNTIFS($B:$B,$B890,$G:$G,"xlsx",$C:$C,"~~$*")&gt;1,LEFT(C890,LEN($B890))&lt;&gt;$B890),"",IFERROR(IF(B890="FoPITY",INDEX(Customizations!$C$2:$C$19,MATCH(Sheet1!C890,Customizations!$B$2:$B$19,0),1),INDEX(About!C:C,MATCH(Sheet1!B890,About!B:B,0),1)),""))</f>
        <v>Elasticity of Ind Eqpt Price wrt E Eff Improvements.xlsx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5">
      <c r="A891" t="s">
        <v>242</v>
      </c>
      <c r="B891" t="s">
        <v>246</v>
      </c>
      <c r="C891" t="s">
        <v>247</v>
      </c>
      <c r="G891" t="str">
        <f t="shared" si="32"/>
        <v>.csv</v>
      </c>
      <c r="H891" s="5" t="str">
        <f>IF(AND(G891=".csv",COUNTIFS($B:$B,$B891,$G:$G,"xlsx")-COUNTIFS($B:$B,$B891,$G:$G,"xlsx",$C:$C,"~~$*")&gt;1,LEFT(C891,LEN($B891))&lt;&gt;$B891),"",IFERROR(IF(B891="FoPITY",INDEX(Customizations!$C$2:$C$19,MATCH(Sheet1!C891,Customizations!$B$2:$B$19,0),1),INDEX(About!C:C,MATCH(Sheet1!B891,About!B:B,0),1)),""))</f>
        <v>Foreign Leakage Rate by Industry.xlsx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5">
      <c r="A892" t="s">
        <v>242</v>
      </c>
      <c r="B892" t="s">
        <v>246</v>
      </c>
      <c r="C892" t="s">
        <v>248</v>
      </c>
      <c r="G892" t="str">
        <f t="shared" si="32"/>
        <v>xlsx</v>
      </c>
      <c r="H892" s="5" t="str">
        <f>IF(AND(G892=".csv",COUNTIFS($B:$B,$B892,$G:$G,"xlsx")-COUNTIFS($B:$B,$B892,$G:$G,"xlsx",$C:$C,"~~$*")&gt;1,LEFT(C892,LEN($B892))&lt;&gt;$B892),"",IFERROR(IF(B892="FoPITY",INDEX(Customizations!$C$2:$C$19,MATCH(Sheet1!C892,Customizations!$B$2:$B$19,0),1),INDEX(About!C:C,MATCH(Sheet1!B892,About!B:B,0),1)),""))</f>
        <v>Foreign Leakage Rate by Industry.xlsx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5">
      <c r="A893" t="s">
        <v>242</v>
      </c>
      <c r="B893" t="s">
        <v>1602</v>
      </c>
      <c r="C893" t="s">
        <v>1806</v>
      </c>
      <c r="G893" t="str">
        <f t="shared" si="32"/>
        <v>.csv</v>
      </c>
      <c r="H893" s="5" t="str">
        <f>IF(AND(G893=".csv",COUNTIFS($B:$B,$B893,$G:$G,"xlsx")-COUNTIFS($B:$B,$B893,$G:$G,"xlsx",$C:$C,"~~$*")&gt;1,LEFT(C893,LEN($B893))&lt;&gt;$B893),"",IFERROR(IF(B893="FoPITY",INDEX(Customizations!$C$2:$C$19,MATCH(Sheet1!C893,Customizations!$B$2:$B$19,0),1),INDEX(About!C:C,MATCH(Sheet1!B893,About!B:B,0),1)),""))</f>
        <v>Indst Eqpt Cap Cost per Unit Ann E Use.xlsx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5">
      <c r="A894" t="s">
        <v>242</v>
      </c>
      <c r="B894" t="s">
        <v>1602</v>
      </c>
      <c r="C894" t="s">
        <v>1603</v>
      </c>
      <c r="G894" t="str">
        <f t="shared" si="32"/>
        <v>.csv</v>
      </c>
      <c r="H894" s="5" t="str">
        <f>IF(AND(G894=".csv",COUNTIFS($B:$B,$B894,$G:$G,"xlsx")-COUNTIFS($B:$B,$B894,$G:$G,"xlsx",$C:$C,"~~$*")&gt;1,LEFT(C894,LEN($B894))&lt;&gt;$B894),"",IFERROR(IF(B894="FoPITY",INDEX(Customizations!$C$2:$C$19,MATCH(Sheet1!C894,Customizations!$B$2:$B$19,0),1),INDEX(About!C:C,MATCH(Sheet1!B894,About!B:B,0),1)),""))</f>
        <v>Indst Eqpt Cap Cost per Unit Ann E Use.xlsx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5">
      <c r="A895" t="s">
        <v>242</v>
      </c>
      <c r="B895" t="s">
        <v>1602</v>
      </c>
      <c r="C895" t="s">
        <v>1604</v>
      </c>
      <c r="G895" t="str">
        <f t="shared" si="32"/>
        <v>xlsx</v>
      </c>
      <c r="H895" s="5" t="str">
        <f>IF(AND(G895=".csv",COUNTIFS($B:$B,$B895,$G:$G,"xlsx")-COUNTIFS($B:$B,$B895,$G:$G,"xlsx",$C:$C,"~~$*")&gt;1,LEFT(C895,LEN($B895))&lt;&gt;$B895),"",IFERROR(IF(B895="FoPITY",INDEX(Customizations!$C$2:$C$19,MATCH(Sheet1!C895,Customizations!$B$2:$B$19,0),1),INDEX(About!C:C,MATCH(Sheet1!B895,About!B:B,0),1)),""))</f>
        <v>Indst Eqpt Cap Cost per Unit Ann E Use.xlsx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5">
      <c r="A896" t="s">
        <v>242</v>
      </c>
      <c r="B896" t="s">
        <v>1602</v>
      </c>
      <c r="C896" t="s">
        <v>1807</v>
      </c>
      <c r="G896" t="str">
        <f t="shared" si="32"/>
        <v>xlsx</v>
      </c>
      <c r="H896" s="5" t="str">
        <f>IF(AND(G896=".csv",COUNTIFS($B:$B,$B896,$G:$G,"xlsx")-COUNTIFS($B:$B,$B896,$G:$G,"xlsx",$C:$C,"~~$*")&gt;1,LEFT(C896,LEN($B896))&lt;&gt;$B896),"",IFERROR(IF(B896="FoPITY",INDEX(Customizations!$C$2:$C$19,MATCH(Sheet1!C896,Customizations!$B$2:$B$19,0),1),INDEX(About!C:C,MATCH(Sheet1!B896,About!B:B,0),1)),""))</f>
        <v>Indst Eqpt Cap Cost per Unit Ann E Use.xlsx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5">
      <c r="A897" t="s">
        <v>242</v>
      </c>
      <c r="B897" t="s">
        <v>1605</v>
      </c>
      <c r="C897" t="s">
        <v>1606</v>
      </c>
      <c r="G897" t="str">
        <f t="shared" ref="G897:G950" si="34">RIGHT(C897,"4")</f>
        <v>.csv</v>
      </c>
      <c r="H897" s="5" t="str">
        <f>IF(AND(G897=".csv",COUNTIFS($B:$B,$B897,$G:$G,"xlsx")-COUNTIFS($B:$B,$B897,$G:$G,"xlsx",$C:$C,"~~$*")&gt;1,LEFT(C897,LEN($B897))&lt;&gt;$B897),"",IFERROR(IF(B897="FoPITY",INDEX(Customizations!$C$2:$C$19,MATCH(Sheet1!C897,Customizations!$B$2:$B$19,0),1),INDEX(About!C:C,MATCH(Sheet1!B897,About!B:B,0),1)),""))</f>
        <v>Industrial Eqpt Logit Coefficient.xlsx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5">
      <c r="A898" t="s">
        <v>242</v>
      </c>
      <c r="B898" t="s">
        <v>1605</v>
      </c>
      <c r="C898" t="s">
        <v>1607</v>
      </c>
      <c r="G898" t="str">
        <f t="shared" si="34"/>
        <v>xlsx</v>
      </c>
      <c r="H898" s="5" t="str">
        <f>IF(AND(G898=".csv",COUNTIFS($B:$B,$B898,$G:$G,"xlsx")-COUNTIFS($B:$B,$B898,$G:$G,"xlsx",$C:$C,"~~$*")&gt;1,LEFT(C898,LEN($B898))&lt;&gt;$B898),"",IFERROR(IF(B898="FoPITY",INDEX(Customizations!$C$2:$C$19,MATCH(Sheet1!C898,Customizations!$B$2:$B$19,0),1),INDEX(About!C:C,MATCH(Sheet1!B898,About!B:B,0),1)),""))</f>
        <v>Industrial Eqpt Logit Coefficient.xlsx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5">
      <c r="A899" t="s">
        <v>242</v>
      </c>
      <c r="B899" t="s">
        <v>1608</v>
      </c>
      <c r="C899" t="s">
        <v>1609</v>
      </c>
      <c r="G899" t="str">
        <f t="shared" si="34"/>
        <v>.csv</v>
      </c>
      <c r="H899" s="5" t="str">
        <f>IF(AND(G899=".csv",COUNTIFS($B:$B,$B899,$G:$G,"xlsx")-COUNTIFS($B:$B,$B899,$G:$G,"xlsx",$C:$C,"~~$*")&gt;1,LEFT(C899,LEN($B899))&lt;&gt;$B899),"",IFERROR(IF(B899="FoPITY",INDEX(Customizations!$C$2:$C$19,MATCH(Sheet1!C899,Customizations!$B$2:$B$19,0),1),INDEX(About!C:C,MATCH(Sheet1!B899,About!B:B,0),1)),""))</f>
        <v>Indst Eqpt Min Unit E Factor.xlsx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35">
      <c r="A900" t="s">
        <v>242</v>
      </c>
      <c r="B900" t="s">
        <v>1608</v>
      </c>
      <c r="C900" t="s">
        <v>1808</v>
      </c>
      <c r="G900" t="str">
        <f t="shared" si="34"/>
        <v>xlsx</v>
      </c>
      <c r="H900" s="5" t="str">
        <f>IF(AND(G900=".csv",COUNTIFS($B:$B,$B900,$G:$G,"xlsx")-COUNTIFS($B:$B,$B900,$G:$G,"xlsx",$C:$C,"~~$*")&gt;1,LEFT(C900,LEN($B900))&lt;&gt;$B900),"",IFERROR(IF(B900="FoPITY",INDEX(Customizations!$C$2:$C$19,MATCH(Sheet1!C900,Customizations!$B$2:$B$19,0),1),INDEX(About!C:C,MATCH(Sheet1!B900,About!B:B,0),1)),""))</f>
        <v>Indst Eqpt Min Unit E Factor.xlsx</v>
      </c>
      <c r="I900" s="5">
        <f>IFERROR(INDEX(About!$D:$D,MATCH(Sheet1!H900,About!$C:$C,0),1),0)</f>
        <v>1</v>
      </c>
      <c r="J900" s="6">
        <f t="shared" si="35"/>
        <v>0</v>
      </c>
    </row>
    <row r="901" spans="1:10" x14ac:dyDescent="0.35">
      <c r="A901" t="s">
        <v>242</v>
      </c>
      <c r="B901" t="s">
        <v>1608</v>
      </c>
      <c r="C901" t="s">
        <v>1809</v>
      </c>
      <c r="G901" t="str">
        <f t="shared" si="34"/>
        <v>xlsx</v>
      </c>
      <c r="H901" s="5" t="str">
        <f>IF(AND(G901=".csv",COUNTIFS($B:$B,$B901,$G:$G,"xlsx")-COUNTIFS($B:$B,$B901,$G:$G,"xlsx",$C:$C,"~~$*")&gt;1,LEFT(C901,LEN($B901))&lt;&gt;$B901),"",IFERROR(IF(B901="FoPITY",INDEX(Customizations!$C$2:$C$19,MATCH(Sheet1!C901,Customizations!$B$2:$B$19,0),1),INDEX(About!C:C,MATCH(Sheet1!B901,About!B:B,0),1)),""))</f>
        <v>Indst Eqpt Min Unit E Factor.xlsx</v>
      </c>
      <c r="I901" s="5">
        <f>IFERROR(INDEX(About!$D:$D,MATCH(Sheet1!H901,About!$C:$C,0),1),0)</f>
        <v>1</v>
      </c>
      <c r="J901" s="6">
        <f t="shared" si="35"/>
        <v>0</v>
      </c>
    </row>
    <row r="902" spans="1:10" x14ac:dyDescent="0.35">
      <c r="A902" t="s">
        <v>242</v>
      </c>
      <c r="B902" t="s">
        <v>1610</v>
      </c>
      <c r="C902" t="s">
        <v>1611</v>
      </c>
      <c r="G902" t="str">
        <f t="shared" si="34"/>
        <v>.csv</v>
      </c>
      <c r="H902" s="5" t="str">
        <f>IF(AND(G902=".csv",COUNTIFS($B:$B,$B902,$G:$G,"xlsx")-COUNTIFS($B:$B,$B902,$G:$G,"xlsx",$C:$C,"~~$*")&gt;1,LEFT(C902,LEN($B902))&lt;&gt;$B902),"",IFERROR(IF(B902="FoPITY",INDEX(Customizations!$C$2:$C$19,MATCH(Sheet1!C902,Customizations!$B$2:$B$19,0),1),INDEX(About!C:C,MATCH(Sheet1!B902,About!B:B,0),1)),""))</f>
        <v>Industrial Equipment Shareweights.xlsm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5">
      <c r="A903" t="s">
        <v>242</v>
      </c>
      <c r="B903" t="s">
        <v>1610</v>
      </c>
      <c r="C903" t="s">
        <v>1612</v>
      </c>
      <c r="G903" t="str">
        <f t="shared" si="34"/>
        <v>.csv</v>
      </c>
      <c r="H903" s="5" t="str">
        <f>IF(AND(G903=".csv",COUNTIFS($B:$B,$B903,$G:$G,"xlsx")-COUNTIFS($B:$B,$B903,$G:$G,"xlsx",$C:$C,"~~$*")&gt;1,LEFT(C903,LEN($B903))&lt;&gt;$B903),"",IFERROR(IF(B903="FoPITY",INDEX(Customizations!$C$2:$C$19,MATCH(Sheet1!C903,Customizations!$B$2:$B$19,0),1),INDEX(About!C:C,MATCH(Sheet1!B903,About!B:B,0),1)),""))</f>
        <v>Industrial Equipment Shareweights.xlsm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5">
      <c r="A904" t="s">
        <v>242</v>
      </c>
      <c r="B904" t="s">
        <v>1610</v>
      </c>
      <c r="C904" t="s">
        <v>1613</v>
      </c>
      <c r="G904" t="str">
        <f t="shared" si="34"/>
        <v>.csv</v>
      </c>
      <c r="H904" s="5" t="str">
        <f>IF(AND(G904=".csv",COUNTIFS($B:$B,$B904,$G:$G,"xlsx")-COUNTIFS($B:$B,$B904,$G:$G,"xlsx",$C:$C,"~~$*")&gt;1,LEFT(C904,LEN($B904))&lt;&gt;$B904),"",IFERROR(IF(B904="FoPITY",INDEX(Customizations!$C$2:$C$19,MATCH(Sheet1!C904,Customizations!$B$2:$B$19,0),1),INDEX(About!C:C,MATCH(Sheet1!B904,About!B:B,0),1)),""))</f>
        <v>Industrial Equipment Shareweights.xlsm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5">
      <c r="A905" t="s">
        <v>242</v>
      </c>
      <c r="B905" t="s">
        <v>1610</v>
      </c>
      <c r="C905" t="s">
        <v>1614</v>
      </c>
      <c r="G905" t="str">
        <f t="shared" si="34"/>
        <v>.csv</v>
      </c>
      <c r="H905" s="5" t="str">
        <f>IF(AND(G905=".csv",COUNTIFS($B:$B,$B905,$G:$G,"xlsx")-COUNTIFS($B:$B,$B905,$G:$G,"xlsx",$C:$C,"~~$*")&gt;1,LEFT(C905,LEN($B905))&lt;&gt;$B905),"",IFERROR(IF(B905="FoPITY",INDEX(Customizations!$C$2:$C$19,MATCH(Sheet1!C905,Customizations!$B$2:$B$19,0),1),INDEX(About!C:C,MATCH(Sheet1!B905,About!B:B,0),1)),""))</f>
        <v>Industrial Equipment Shareweights.xlsm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5">
      <c r="A906" t="s">
        <v>242</v>
      </c>
      <c r="B906" t="s">
        <v>1610</v>
      </c>
      <c r="C906" t="s">
        <v>1615</v>
      </c>
      <c r="G906" t="str">
        <f t="shared" si="34"/>
        <v>.csv</v>
      </c>
      <c r="H906" s="5" t="str">
        <f>IF(AND(G906=".csv",COUNTIFS($B:$B,$B906,$G:$G,"xlsx")-COUNTIFS($B:$B,$B906,$G:$G,"xlsx",$C:$C,"~~$*")&gt;1,LEFT(C906,LEN($B906))&lt;&gt;$B906),"",IFERROR(IF(B906="FoPITY",INDEX(Customizations!$C$2:$C$19,MATCH(Sheet1!C906,Customizations!$B$2:$B$19,0),1),INDEX(About!C:C,MATCH(Sheet1!B906,About!B:B,0),1)),""))</f>
        <v>Industrial Equipment Shareweights.xlsm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5">
      <c r="A907" t="s">
        <v>242</v>
      </c>
      <c r="B907" t="s">
        <v>1610</v>
      </c>
      <c r="C907" t="s">
        <v>1616</v>
      </c>
      <c r="G907" t="str">
        <f t="shared" si="34"/>
        <v>.csv</v>
      </c>
      <c r="H907" s="5" t="str">
        <f>IF(AND(G907=".csv",COUNTIFS($B:$B,$B907,$G:$G,"xlsx")-COUNTIFS($B:$B,$B907,$G:$G,"xlsx",$C:$C,"~~$*")&gt;1,LEFT(C907,LEN($B907))&lt;&gt;$B907),"",IFERROR(IF(B907="FoPITY",INDEX(Customizations!$C$2:$C$19,MATCH(Sheet1!C907,Customizations!$B$2:$B$19,0),1),INDEX(About!C:C,MATCH(Sheet1!B907,About!B:B,0),1)),""))</f>
        <v>Industrial Equipment Shareweights.xlsm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5">
      <c r="A908" t="s">
        <v>242</v>
      </c>
      <c r="B908" t="s">
        <v>1610</v>
      </c>
      <c r="C908" t="s">
        <v>1617</v>
      </c>
      <c r="G908" t="str">
        <f t="shared" si="34"/>
        <v>.csv</v>
      </c>
      <c r="H908" s="5" t="str">
        <f>IF(AND(G908=".csv",COUNTIFS($B:$B,$B908,$G:$G,"xlsx")-COUNTIFS($B:$B,$B908,$G:$G,"xlsx",$C:$C,"~~$*")&gt;1,LEFT(C908,LEN($B908))&lt;&gt;$B908),"",IFERROR(IF(B908="FoPITY",INDEX(Customizations!$C$2:$C$19,MATCH(Sheet1!C908,Customizations!$B$2:$B$19,0),1),INDEX(About!C:C,MATCH(Sheet1!B908,About!B:B,0),1)),""))</f>
        <v>Industrial Equipment Shareweights.xlsm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5">
      <c r="A909" t="s">
        <v>242</v>
      </c>
      <c r="B909" t="s">
        <v>1610</v>
      </c>
      <c r="C909" t="s">
        <v>1618</v>
      </c>
      <c r="G909" t="str">
        <f t="shared" si="34"/>
        <v>.csv</v>
      </c>
      <c r="H909" s="5" t="str">
        <f>IF(AND(G909=".csv",COUNTIFS($B:$B,$B909,$G:$G,"xlsx")-COUNTIFS($B:$B,$B909,$G:$G,"xlsx",$C:$C,"~~$*")&gt;1,LEFT(C909,LEN($B909))&lt;&gt;$B909),"",IFERROR(IF(B909="FoPITY",INDEX(Customizations!$C$2:$C$19,MATCH(Sheet1!C909,Customizations!$B$2:$B$19,0),1),INDEX(About!C:C,MATCH(Sheet1!B909,About!B:B,0),1)),""))</f>
        <v>Industrial Equipment Shareweights.xlsm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5">
      <c r="A910" t="s">
        <v>242</v>
      </c>
      <c r="B910" t="s">
        <v>1610</v>
      </c>
      <c r="C910" t="s">
        <v>1619</v>
      </c>
      <c r="G910" t="str">
        <f t="shared" si="34"/>
        <v>.csv</v>
      </c>
      <c r="H910" s="5" t="str">
        <f>IF(AND(G910=".csv",COUNTIFS($B:$B,$B910,$G:$G,"xlsx")-COUNTIFS($B:$B,$B910,$G:$G,"xlsx",$C:$C,"~~$*")&gt;1,LEFT(C910,LEN($B910))&lt;&gt;$B910),"",IFERROR(IF(B910="FoPITY",INDEX(Customizations!$C$2:$C$19,MATCH(Sheet1!C910,Customizations!$B$2:$B$19,0),1),INDEX(About!C:C,MATCH(Sheet1!B910,About!B:B,0),1)),""))</f>
        <v>Industrial Equipment Shareweights.xlsm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5">
      <c r="A911" t="s">
        <v>242</v>
      </c>
      <c r="B911" t="s">
        <v>1610</v>
      </c>
      <c r="C911" t="s">
        <v>1620</v>
      </c>
      <c r="G911" t="str">
        <f t="shared" si="34"/>
        <v>.csv</v>
      </c>
      <c r="H911" s="5" t="str">
        <f>IF(AND(G911=".csv",COUNTIFS($B:$B,$B911,$G:$G,"xlsx")-COUNTIFS($B:$B,$B911,$G:$G,"xlsx",$C:$C,"~~$*")&gt;1,LEFT(C911,LEN($B911))&lt;&gt;$B911),"",IFERROR(IF(B911="FoPITY",INDEX(Customizations!$C$2:$C$19,MATCH(Sheet1!C911,Customizations!$B$2:$B$19,0),1),INDEX(About!C:C,MATCH(Sheet1!B911,About!B:B,0),1)),""))</f>
        <v>Industrial Equipment Shareweights.xlsm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5">
      <c r="A912" t="s">
        <v>242</v>
      </c>
      <c r="B912" t="s">
        <v>1610</v>
      </c>
      <c r="C912" t="s">
        <v>1621</v>
      </c>
      <c r="G912" t="str">
        <f t="shared" si="34"/>
        <v>.csv</v>
      </c>
      <c r="H912" s="5" t="str">
        <f>IF(AND(G912=".csv",COUNTIFS($B:$B,$B912,$G:$G,"xlsx")-COUNTIFS($B:$B,$B912,$G:$G,"xlsx",$C:$C,"~~$*")&gt;1,LEFT(C912,LEN($B912))&lt;&gt;$B912),"",IFERROR(IF(B912="FoPITY",INDEX(Customizations!$C$2:$C$19,MATCH(Sheet1!C912,Customizations!$B$2:$B$19,0),1),INDEX(About!C:C,MATCH(Sheet1!B912,About!B:B,0),1)),""))</f>
        <v>Industrial Equipment Shareweights.xlsm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5">
      <c r="A913" t="s">
        <v>242</v>
      </c>
      <c r="B913" t="s">
        <v>1610</v>
      </c>
      <c r="C913" t="s">
        <v>1622</v>
      </c>
      <c r="G913" t="str">
        <f t="shared" si="34"/>
        <v>.csv</v>
      </c>
      <c r="H913" s="5" t="str">
        <f>IF(AND(G913=".csv",COUNTIFS($B:$B,$B913,$G:$G,"xlsx")-COUNTIFS($B:$B,$B913,$G:$G,"xlsx",$C:$C,"~~$*")&gt;1,LEFT(C913,LEN($B913))&lt;&gt;$B913),"",IFERROR(IF(B913="FoPITY",INDEX(Customizations!$C$2:$C$19,MATCH(Sheet1!C913,Customizations!$B$2:$B$19,0),1),INDEX(About!C:C,MATCH(Sheet1!B913,About!B:B,0),1)),""))</f>
        <v>Industrial Equipment Shareweights.xlsm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5">
      <c r="A914" t="s">
        <v>242</v>
      </c>
      <c r="B914" t="s">
        <v>1610</v>
      </c>
      <c r="C914" t="s">
        <v>1969</v>
      </c>
      <c r="G914" t="str">
        <f t="shared" si="34"/>
        <v>.csv</v>
      </c>
      <c r="H914" s="5" t="str">
        <f>IF(AND(G914=".csv",COUNTIFS($B:$B,$B914,$G:$G,"xlsx")-COUNTIFS($B:$B,$B914,$G:$G,"xlsx",$C:$C,"~~$*")&gt;1,LEFT(C914,LEN($B914))&lt;&gt;$B914),"",IFERROR(IF(B914="FoPITY",INDEX(Customizations!$C$2:$C$19,MATCH(Sheet1!C914,Customizations!$B$2:$B$19,0),1),INDEX(About!C:C,MATCH(Sheet1!B914,About!B:B,0),1)),""))</f>
        <v>Industrial Equipment Shareweights.xlsm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5">
      <c r="A915" t="s">
        <v>242</v>
      </c>
      <c r="B915" t="s">
        <v>1610</v>
      </c>
      <c r="C915" t="s">
        <v>1970</v>
      </c>
      <c r="G915" t="str">
        <f t="shared" si="34"/>
        <v>.csv</v>
      </c>
      <c r="H915" s="5" t="str">
        <f>IF(AND(G915=".csv",COUNTIFS($B:$B,$B915,$G:$G,"xlsx")-COUNTIFS($B:$B,$B915,$G:$G,"xlsx",$C:$C,"~~$*")&gt;1,LEFT(C915,LEN($B915))&lt;&gt;$B915),"",IFERROR(IF(B915="FoPITY",INDEX(Customizations!$C$2:$C$19,MATCH(Sheet1!C915,Customizations!$B$2:$B$19,0),1),INDEX(About!C:C,MATCH(Sheet1!B915,About!B:B,0),1)),""))</f>
        <v>Industrial Equipment Shareweights.xlsm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5">
      <c r="A916" t="s">
        <v>242</v>
      </c>
      <c r="B916" t="s">
        <v>1610</v>
      </c>
      <c r="C916" t="s">
        <v>1971</v>
      </c>
      <c r="G916" t="str">
        <f t="shared" si="34"/>
        <v>.csv</v>
      </c>
      <c r="H916" s="5" t="str">
        <f>IF(AND(G916=".csv",COUNTIFS($B:$B,$B916,$G:$G,"xlsx")-COUNTIFS($B:$B,$B916,$G:$G,"xlsx",$C:$C,"~~$*")&gt;1,LEFT(C916,LEN($B916))&lt;&gt;$B916),"",IFERROR(IF(B916="FoPITY",INDEX(Customizations!$C$2:$C$19,MATCH(Sheet1!C916,Customizations!$B$2:$B$19,0),1),INDEX(About!C:C,MATCH(Sheet1!B916,About!B:B,0),1)),""))</f>
        <v>Industrial Equipment Shareweights.xlsm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5">
      <c r="A917" t="s">
        <v>242</v>
      </c>
      <c r="B917" t="s">
        <v>1610</v>
      </c>
      <c r="C917" t="s">
        <v>1972</v>
      </c>
      <c r="G917" t="str">
        <f t="shared" si="34"/>
        <v>.csv</v>
      </c>
      <c r="H917" s="5" t="str">
        <f>IF(AND(G917=".csv",COUNTIFS($B:$B,$B917,$G:$G,"xlsx")-COUNTIFS($B:$B,$B917,$G:$G,"xlsx",$C:$C,"~~$*")&gt;1,LEFT(C917,LEN($B917))&lt;&gt;$B917),"",IFERROR(IF(B917="FoPITY",INDEX(Customizations!$C$2:$C$19,MATCH(Sheet1!C917,Customizations!$B$2:$B$19,0),1),INDEX(About!C:C,MATCH(Sheet1!B917,About!B:B,0),1)),""))</f>
        <v>Industrial Equipment Shareweights.xlsm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5">
      <c r="A918" t="s">
        <v>242</v>
      </c>
      <c r="B918" t="s">
        <v>1610</v>
      </c>
      <c r="C918" t="s">
        <v>1973</v>
      </c>
      <c r="G918" t="str">
        <f t="shared" si="34"/>
        <v>.csv</v>
      </c>
      <c r="H918" s="5" t="str">
        <f>IF(AND(G918=".csv",COUNTIFS($B:$B,$B918,$G:$G,"xlsx")-COUNTIFS($B:$B,$B918,$G:$G,"xlsx",$C:$C,"~~$*")&gt;1,LEFT(C918,LEN($B918))&lt;&gt;$B918),"",IFERROR(IF(B918="FoPITY",INDEX(Customizations!$C$2:$C$19,MATCH(Sheet1!C918,Customizations!$B$2:$B$19,0),1),INDEX(About!C:C,MATCH(Sheet1!B918,About!B:B,0),1)),""))</f>
        <v>Industrial Equipment Shareweights.xlsm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5">
      <c r="A919" t="s">
        <v>242</v>
      </c>
      <c r="B919" t="s">
        <v>1610</v>
      </c>
      <c r="C919" t="s">
        <v>1974</v>
      </c>
      <c r="G919" t="str">
        <f t="shared" si="34"/>
        <v>.csv</v>
      </c>
      <c r="H919" s="5" t="str">
        <f>IF(AND(G919=".csv",COUNTIFS($B:$B,$B919,$G:$G,"xlsx")-COUNTIFS($B:$B,$B919,$G:$G,"xlsx",$C:$C,"~~$*")&gt;1,LEFT(C919,LEN($B919))&lt;&gt;$B919),"",IFERROR(IF(B919="FoPITY",INDEX(Customizations!$C$2:$C$19,MATCH(Sheet1!C919,Customizations!$B$2:$B$19,0),1),INDEX(About!C:C,MATCH(Sheet1!B919,About!B:B,0),1)),""))</f>
        <v>Industrial Equipment Shareweights.xlsm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5">
      <c r="A920" t="s">
        <v>242</v>
      </c>
      <c r="B920" t="s">
        <v>1610</v>
      </c>
      <c r="C920" t="s">
        <v>1975</v>
      </c>
      <c r="G920" t="str">
        <f t="shared" si="34"/>
        <v>.csv</v>
      </c>
      <c r="H920" s="5" t="str">
        <f>IF(AND(G920=".csv",COUNTIFS($B:$B,$B920,$G:$G,"xlsx")-COUNTIFS($B:$B,$B920,$G:$G,"xlsx",$C:$C,"~~$*")&gt;1,LEFT(C920,LEN($B920))&lt;&gt;$B920),"",IFERROR(IF(B920="FoPITY",INDEX(Customizations!$C$2:$C$19,MATCH(Sheet1!C920,Customizations!$B$2:$B$19,0),1),INDEX(About!C:C,MATCH(Sheet1!B920,About!B:B,0),1)),""))</f>
        <v>Industrial Equipment Shareweights.xlsm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5">
      <c r="A921" t="s">
        <v>242</v>
      </c>
      <c r="B921" t="s">
        <v>1610</v>
      </c>
      <c r="C921" t="s">
        <v>1976</v>
      </c>
      <c r="G921" t="str">
        <f t="shared" si="34"/>
        <v>.csv</v>
      </c>
      <c r="H921" s="5" t="str">
        <f>IF(AND(G921=".csv",COUNTIFS($B:$B,$B921,$G:$G,"xlsx")-COUNTIFS($B:$B,$B921,$G:$G,"xlsx",$C:$C,"~~$*")&gt;1,LEFT(C921,LEN($B921))&lt;&gt;$B921),"",IFERROR(IF(B921="FoPITY",INDEX(Customizations!$C$2:$C$19,MATCH(Sheet1!C921,Customizations!$B$2:$B$19,0),1),INDEX(About!C:C,MATCH(Sheet1!B921,About!B:B,0),1)),""))</f>
        <v>Industrial Equipment Shareweights.xlsm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5">
      <c r="A922" t="s">
        <v>242</v>
      </c>
      <c r="B922" t="s">
        <v>1610</v>
      </c>
      <c r="C922" t="s">
        <v>1977</v>
      </c>
      <c r="G922" t="str">
        <f t="shared" si="34"/>
        <v>.csv</v>
      </c>
      <c r="H922" s="5" t="str">
        <f>IF(AND(G922=".csv",COUNTIFS($B:$B,$B922,$G:$G,"xlsx")-COUNTIFS($B:$B,$B922,$G:$G,"xlsx",$C:$C,"~~$*")&gt;1,LEFT(C922,LEN($B922))&lt;&gt;$B922),"",IFERROR(IF(B922="FoPITY",INDEX(Customizations!$C$2:$C$19,MATCH(Sheet1!C922,Customizations!$B$2:$B$19,0),1),INDEX(About!C:C,MATCH(Sheet1!B922,About!B:B,0),1)),""))</f>
        <v>Industrial Equipment Shareweights.xlsm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5">
      <c r="A923" t="s">
        <v>242</v>
      </c>
      <c r="B923" t="s">
        <v>1610</v>
      </c>
      <c r="C923" t="s">
        <v>1978</v>
      </c>
      <c r="G923" t="str">
        <f t="shared" si="34"/>
        <v>.csv</v>
      </c>
      <c r="H923" s="5" t="str">
        <f>IF(AND(G923=".csv",COUNTIFS($B:$B,$B923,$G:$G,"xlsx")-COUNTIFS($B:$B,$B923,$G:$G,"xlsx",$C:$C,"~~$*")&gt;1,LEFT(C923,LEN($B923))&lt;&gt;$B923),"",IFERROR(IF(B923="FoPITY",INDEX(Customizations!$C$2:$C$19,MATCH(Sheet1!C923,Customizations!$B$2:$B$19,0),1),INDEX(About!C:C,MATCH(Sheet1!B923,About!B:B,0),1)),""))</f>
        <v>Industrial Equipment Shareweights.xlsm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5">
      <c r="A924" t="s">
        <v>242</v>
      </c>
      <c r="B924" t="s">
        <v>1610</v>
      </c>
      <c r="C924" t="s">
        <v>1979</v>
      </c>
      <c r="G924" t="str">
        <f t="shared" si="34"/>
        <v>.csv</v>
      </c>
      <c r="H924" s="5" t="str">
        <f>IF(AND(G924=".csv",COUNTIFS($B:$B,$B924,$G:$G,"xlsx")-COUNTIFS($B:$B,$B924,$G:$G,"xlsx",$C:$C,"~~$*")&gt;1,LEFT(C924,LEN($B924))&lt;&gt;$B924),"",IFERROR(IF(B924="FoPITY",INDEX(Customizations!$C$2:$C$19,MATCH(Sheet1!C924,Customizations!$B$2:$B$19,0),1),INDEX(About!C:C,MATCH(Sheet1!B924,About!B:B,0),1)),""))</f>
        <v>Industrial Equipment Shareweights.xlsm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5">
      <c r="A925" t="s">
        <v>242</v>
      </c>
      <c r="B925" t="s">
        <v>1610</v>
      </c>
      <c r="C925" t="s">
        <v>1980</v>
      </c>
      <c r="G925" t="str">
        <f t="shared" si="34"/>
        <v>.csv</v>
      </c>
      <c r="H925" s="5" t="str">
        <f>IF(AND(G925=".csv",COUNTIFS($B:$B,$B925,$G:$G,"xlsx")-COUNTIFS($B:$B,$B925,$G:$G,"xlsx",$C:$C,"~~$*")&gt;1,LEFT(C925,LEN($B925))&lt;&gt;$B925),"",IFERROR(IF(B925="FoPITY",INDEX(Customizations!$C$2:$C$19,MATCH(Sheet1!C925,Customizations!$B$2:$B$19,0),1),INDEX(About!C:C,MATCH(Sheet1!B925,About!B:B,0),1)),""))</f>
        <v>Industrial Equipment Shareweights.xlsm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5">
      <c r="A926" t="s">
        <v>242</v>
      </c>
      <c r="B926" t="s">
        <v>1610</v>
      </c>
      <c r="C926" t="s">
        <v>1981</v>
      </c>
      <c r="G926" t="str">
        <f t="shared" si="34"/>
        <v>.csv</v>
      </c>
      <c r="H926" s="5" t="str">
        <f>IF(AND(G926=".csv",COUNTIFS($B:$B,$B926,$G:$G,"xlsx")-COUNTIFS($B:$B,$B926,$G:$G,"xlsx",$C:$C,"~~$*")&gt;1,LEFT(C926,LEN($B926))&lt;&gt;$B926),"",IFERROR(IF(B926="FoPITY",INDEX(Customizations!$C$2:$C$19,MATCH(Sheet1!C926,Customizations!$B$2:$B$19,0),1),INDEX(About!C:C,MATCH(Sheet1!B926,About!B:B,0),1)),""))</f>
        <v>Industrial Equipment Shareweights.xlsm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5">
      <c r="A927" t="s">
        <v>242</v>
      </c>
      <c r="B927" t="s">
        <v>1610</v>
      </c>
      <c r="C927" t="s">
        <v>1982</v>
      </c>
      <c r="G927" t="str">
        <f t="shared" si="34"/>
        <v>.csv</v>
      </c>
      <c r="H927" s="5" t="str">
        <f>IF(AND(G927=".csv",COUNTIFS($B:$B,$B927,$G:$G,"xlsx")-COUNTIFS($B:$B,$B927,$G:$G,"xlsx",$C:$C,"~~$*")&gt;1,LEFT(C927,LEN($B927))&lt;&gt;$B927),"",IFERROR(IF(B927="FoPITY",INDEX(Customizations!$C$2:$C$19,MATCH(Sheet1!C927,Customizations!$B$2:$B$19,0),1),INDEX(About!C:C,MATCH(Sheet1!B927,About!B:B,0),1)),""))</f>
        <v>Industrial Equipment Shareweights.xlsm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5">
      <c r="A928" t="s">
        <v>242</v>
      </c>
      <c r="B928" t="s">
        <v>1610</v>
      </c>
      <c r="C928" t="s">
        <v>1983</v>
      </c>
      <c r="G928" t="str">
        <f t="shared" si="34"/>
        <v>.csv</v>
      </c>
      <c r="H928" s="5" t="str">
        <f>IF(AND(G928=".csv",COUNTIFS($B:$B,$B928,$G:$G,"xlsx")-COUNTIFS($B:$B,$B928,$G:$G,"xlsx",$C:$C,"~~$*")&gt;1,LEFT(C928,LEN($B928))&lt;&gt;$B928),"",IFERROR(IF(B928="FoPITY",INDEX(Customizations!$C$2:$C$19,MATCH(Sheet1!C928,Customizations!$B$2:$B$19,0),1),INDEX(About!C:C,MATCH(Sheet1!B928,About!B:B,0),1)),""))</f>
        <v>Industrial Equipment Shareweights.xlsm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5">
      <c r="A929" t="s">
        <v>242</v>
      </c>
      <c r="B929" t="s">
        <v>1610</v>
      </c>
      <c r="C929" t="s">
        <v>1984</v>
      </c>
      <c r="G929" t="str">
        <f t="shared" si="34"/>
        <v>.csv</v>
      </c>
      <c r="H929" s="5" t="str">
        <f>IF(AND(G929=".csv",COUNTIFS($B:$B,$B929,$G:$G,"xlsx")-COUNTIFS($B:$B,$B929,$G:$G,"xlsx",$C:$C,"~~$*")&gt;1,LEFT(C929,LEN($B929))&lt;&gt;$B929),"",IFERROR(IF(B929="FoPITY",INDEX(Customizations!$C$2:$C$19,MATCH(Sheet1!C929,Customizations!$B$2:$B$19,0),1),INDEX(About!C:C,MATCH(Sheet1!B929,About!B:B,0),1)),""))</f>
        <v>Industrial Equipment Shareweights.xlsm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5">
      <c r="A930" t="s">
        <v>242</v>
      </c>
      <c r="B930" t="s">
        <v>1610</v>
      </c>
      <c r="C930" t="s">
        <v>1985</v>
      </c>
      <c r="G930" t="str">
        <f t="shared" si="34"/>
        <v>.csv</v>
      </c>
      <c r="H930" s="5" t="str">
        <f>IF(AND(G930=".csv",COUNTIFS($B:$B,$B930,$G:$G,"xlsx")-COUNTIFS($B:$B,$B930,$G:$G,"xlsx",$C:$C,"~~$*")&gt;1,LEFT(C930,LEN($B930))&lt;&gt;$B930),"",IFERROR(IF(B930="FoPITY",INDEX(Customizations!$C$2:$C$19,MATCH(Sheet1!C930,Customizations!$B$2:$B$19,0),1),INDEX(About!C:C,MATCH(Sheet1!B930,About!B:B,0),1)),""))</f>
        <v>Industrial Equipment Shareweights.xlsm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5">
      <c r="A931" t="s">
        <v>242</v>
      </c>
      <c r="B931" t="s">
        <v>1610</v>
      </c>
      <c r="C931" t="s">
        <v>1986</v>
      </c>
      <c r="G931" t="str">
        <f t="shared" si="34"/>
        <v>.csv</v>
      </c>
      <c r="H931" s="5" t="str">
        <f>IF(AND(G931=".csv",COUNTIFS($B:$B,$B931,$G:$G,"xlsx")-COUNTIFS($B:$B,$B931,$G:$G,"xlsx",$C:$C,"~~$*")&gt;1,LEFT(C931,LEN($B931))&lt;&gt;$B931),"",IFERROR(IF(B931="FoPITY",INDEX(Customizations!$C$2:$C$19,MATCH(Sheet1!C931,Customizations!$B$2:$B$19,0),1),INDEX(About!C:C,MATCH(Sheet1!B931,About!B:B,0),1)),""))</f>
        <v>Industrial Equipment Shareweights.xlsm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5">
      <c r="A932" t="s">
        <v>242</v>
      </c>
      <c r="B932" t="s">
        <v>1610</v>
      </c>
      <c r="C932" t="s">
        <v>1987</v>
      </c>
      <c r="G932" t="str">
        <f t="shared" si="34"/>
        <v>.csv</v>
      </c>
      <c r="H932" s="5" t="str">
        <f>IF(AND(G932=".csv",COUNTIFS($B:$B,$B932,$G:$G,"xlsx")-COUNTIFS($B:$B,$B932,$G:$G,"xlsx",$C:$C,"~~$*")&gt;1,LEFT(C932,LEN($B932))&lt;&gt;$B932),"",IFERROR(IF(B932="FoPITY",INDEX(Customizations!$C$2:$C$19,MATCH(Sheet1!C932,Customizations!$B$2:$B$19,0),1),INDEX(About!C:C,MATCH(Sheet1!B932,About!B:B,0),1)),""))</f>
        <v>Industrial Equipment Shareweights.xlsm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5">
      <c r="A933" t="s">
        <v>242</v>
      </c>
      <c r="B933" t="s">
        <v>1610</v>
      </c>
      <c r="C933" t="s">
        <v>1988</v>
      </c>
      <c r="G933" t="str">
        <f t="shared" si="34"/>
        <v>.csv</v>
      </c>
      <c r="H933" s="5" t="str">
        <f>IF(AND(G933=".csv",COUNTIFS($B:$B,$B933,$G:$G,"xlsx")-COUNTIFS($B:$B,$B933,$G:$G,"xlsx",$C:$C,"~~$*")&gt;1,LEFT(C933,LEN($B933))&lt;&gt;$B933),"",IFERROR(IF(B933="FoPITY",INDEX(Customizations!$C$2:$C$19,MATCH(Sheet1!C933,Customizations!$B$2:$B$19,0),1),INDEX(About!C:C,MATCH(Sheet1!B933,About!B:B,0),1)),""))</f>
        <v>Industrial Equipment Shareweights.xlsm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5">
      <c r="A934" t="s">
        <v>242</v>
      </c>
      <c r="B934" t="s">
        <v>1610</v>
      </c>
      <c r="C934" t="s">
        <v>1989</v>
      </c>
      <c r="G934" t="str">
        <f t="shared" si="34"/>
        <v>.csv</v>
      </c>
      <c r="H934" s="5" t="str">
        <f>IF(AND(G934=".csv",COUNTIFS($B:$B,$B934,$G:$G,"xlsx")-COUNTIFS($B:$B,$B934,$G:$G,"xlsx",$C:$C,"~~$*")&gt;1,LEFT(C934,LEN($B934))&lt;&gt;$B934),"",IFERROR(IF(B934="FoPITY",INDEX(Customizations!$C$2:$C$19,MATCH(Sheet1!C934,Customizations!$B$2:$B$19,0),1),INDEX(About!C:C,MATCH(Sheet1!B934,About!B:B,0),1)),""))</f>
        <v>Industrial Equipment Shareweights.xlsm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5">
      <c r="A935" t="s">
        <v>242</v>
      </c>
      <c r="B935" t="s">
        <v>1610</v>
      </c>
      <c r="C935" t="s">
        <v>1990</v>
      </c>
      <c r="G935" t="str">
        <f t="shared" si="34"/>
        <v>.csv</v>
      </c>
      <c r="H935" s="5" t="str">
        <f>IF(AND(G935=".csv",COUNTIFS($B:$B,$B935,$G:$G,"xlsx")-COUNTIFS($B:$B,$B935,$G:$G,"xlsx",$C:$C,"~~$*")&gt;1,LEFT(C935,LEN($B935))&lt;&gt;$B935),"",IFERROR(IF(B935="FoPITY",INDEX(Customizations!$C$2:$C$19,MATCH(Sheet1!C935,Customizations!$B$2:$B$19,0),1),INDEX(About!C:C,MATCH(Sheet1!B935,About!B:B,0),1)),""))</f>
        <v>Industrial Equipment Shareweights.xlsm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5">
      <c r="A936" t="s">
        <v>242</v>
      </c>
      <c r="B936" t="s">
        <v>1610</v>
      </c>
      <c r="C936" t="s">
        <v>1991</v>
      </c>
      <c r="G936" t="str">
        <f t="shared" si="34"/>
        <v>.csv</v>
      </c>
      <c r="H936" s="5" t="str">
        <f>IF(AND(G936=".csv",COUNTIFS($B:$B,$B936,$G:$G,"xlsx")-COUNTIFS($B:$B,$B936,$G:$G,"xlsx",$C:$C,"~~$*")&gt;1,LEFT(C936,LEN($B936))&lt;&gt;$B936),"",IFERROR(IF(B936="FoPITY",INDEX(Customizations!$C$2:$C$19,MATCH(Sheet1!C936,Customizations!$B$2:$B$19,0),1),INDEX(About!C:C,MATCH(Sheet1!B936,About!B:B,0),1)),""))</f>
        <v>Industrial Equipment Shareweights.xlsm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5">
      <c r="A937" t="s">
        <v>242</v>
      </c>
      <c r="B937" t="s">
        <v>1610</v>
      </c>
      <c r="C937" t="s">
        <v>1992</v>
      </c>
      <c r="G937" t="str">
        <f t="shared" si="34"/>
        <v>.csv</v>
      </c>
      <c r="H937" s="5" t="str">
        <f>IF(AND(G937=".csv",COUNTIFS($B:$B,$B937,$G:$G,"xlsx")-COUNTIFS($B:$B,$B937,$G:$G,"xlsx",$C:$C,"~~$*")&gt;1,LEFT(C937,LEN($B937))&lt;&gt;$B937),"",IFERROR(IF(B937="FoPITY",INDEX(Customizations!$C$2:$C$19,MATCH(Sheet1!C937,Customizations!$B$2:$B$19,0),1),INDEX(About!C:C,MATCH(Sheet1!B937,About!B:B,0),1)),""))</f>
        <v>Industrial Equipment Shareweights.xlsm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5">
      <c r="A938" t="s">
        <v>242</v>
      </c>
      <c r="B938" t="s">
        <v>1610</v>
      </c>
      <c r="C938" t="s">
        <v>1993</v>
      </c>
      <c r="G938" t="str">
        <f t="shared" si="34"/>
        <v>.csv</v>
      </c>
      <c r="H938" s="5" t="str">
        <f>IF(AND(G938=".csv",COUNTIFS($B:$B,$B938,$G:$G,"xlsx")-COUNTIFS($B:$B,$B938,$G:$G,"xlsx",$C:$C,"~~$*")&gt;1,LEFT(C938,LEN($B938))&lt;&gt;$B938),"",IFERROR(IF(B938="FoPITY",INDEX(Customizations!$C$2:$C$19,MATCH(Sheet1!C938,Customizations!$B$2:$B$19,0),1),INDEX(About!C:C,MATCH(Sheet1!B938,About!B:B,0),1)),""))</f>
        <v>Industrial Equipment Shareweights.xlsm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5">
      <c r="A939" t="s">
        <v>242</v>
      </c>
      <c r="B939" t="s">
        <v>1610</v>
      </c>
      <c r="C939" t="s">
        <v>1994</v>
      </c>
      <c r="G939" t="str">
        <f t="shared" si="34"/>
        <v>.csv</v>
      </c>
      <c r="H939" s="5" t="str">
        <f>IF(AND(G939=".csv",COUNTIFS($B:$B,$B939,$G:$G,"xlsx")-COUNTIFS($B:$B,$B939,$G:$G,"xlsx",$C:$C,"~~$*")&gt;1,LEFT(C939,LEN($B939))&lt;&gt;$B939),"",IFERROR(IF(B939="FoPITY",INDEX(Customizations!$C$2:$C$19,MATCH(Sheet1!C939,Customizations!$B$2:$B$19,0),1),INDEX(About!C:C,MATCH(Sheet1!B939,About!B:B,0),1)),""))</f>
        <v>Industrial Equipment Shareweights.xlsm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5">
      <c r="A940" t="s">
        <v>242</v>
      </c>
      <c r="B940" t="s">
        <v>1610</v>
      </c>
      <c r="C940" t="s">
        <v>1995</v>
      </c>
      <c r="G940" t="str">
        <f t="shared" si="34"/>
        <v>.csv</v>
      </c>
      <c r="H940" s="5" t="str">
        <f>IF(AND(G940=".csv",COUNTIFS($B:$B,$B940,$G:$G,"xlsx")-COUNTIFS($B:$B,$B940,$G:$G,"xlsx",$C:$C,"~~$*")&gt;1,LEFT(C940,LEN($B940))&lt;&gt;$B940),"",IFERROR(IF(B940="FoPITY",INDEX(Customizations!$C$2:$C$19,MATCH(Sheet1!C940,Customizations!$B$2:$B$19,0),1),INDEX(About!C:C,MATCH(Sheet1!B940,About!B:B,0),1)),""))</f>
        <v>Industrial Equipment Shareweights.xlsm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5">
      <c r="A941" t="s">
        <v>242</v>
      </c>
      <c r="B941" t="s">
        <v>1610</v>
      </c>
      <c r="C941" t="s">
        <v>1996</v>
      </c>
      <c r="G941" t="str">
        <f t="shared" si="34"/>
        <v>.csv</v>
      </c>
      <c r="H941" s="5" t="str">
        <f>IF(AND(G941=".csv",COUNTIFS($B:$B,$B941,$G:$G,"xlsx")-COUNTIFS($B:$B,$B941,$G:$G,"xlsx",$C:$C,"~~$*")&gt;1,LEFT(C941,LEN($B941))&lt;&gt;$B941),"",IFERROR(IF(B941="FoPITY",INDEX(Customizations!$C$2:$C$19,MATCH(Sheet1!C941,Customizations!$B$2:$B$19,0),1),INDEX(About!C:C,MATCH(Sheet1!B941,About!B:B,0),1)),""))</f>
        <v>Industrial Equipment Shareweights.xlsm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5">
      <c r="A942" t="s">
        <v>242</v>
      </c>
      <c r="B942" t="s">
        <v>1610</v>
      </c>
      <c r="C942" t="s">
        <v>1997</v>
      </c>
      <c r="G942" t="str">
        <f t="shared" si="34"/>
        <v>.csv</v>
      </c>
      <c r="H942" s="5" t="str">
        <f>IF(AND(G942=".csv",COUNTIFS($B:$B,$B942,$G:$G,"xlsx")-COUNTIFS($B:$B,$B942,$G:$G,"xlsx",$C:$C,"~~$*")&gt;1,LEFT(C942,LEN($B942))&lt;&gt;$B942),"",IFERROR(IF(B942="FoPITY",INDEX(Customizations!$C$2:$C$19,MATCH(Sheet1!C942,Customizations!$B$2:$B$19,0),1),INDEX(About!C:C,MATCH(Sheet1!B942,About!B:B,0),1)),""))</f>
        <v>Industrial Equipment Shareweights.xlsm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5">
      <c r="A943" t="s">
        <v>242</v>
      </c>
      <c r="B943" t="s">
        <v>1610</v>
      </c>
      <c r="C943" t="s">
        <v>1998</v>
      </c>
      <c r="G943" t="str">
        <f t="shared" si="34"/>
        <v>.csv</v>
      </c>
      <c r="H943" s="5" t="str">
        <f>IF(AND(G943=".csv",COUNTIFS($B:$B,$B943,$G:$G,"xlsx")-COUNTIFS($B:$B,$B943,$G:$G,"xlsx",$C:$C,"~~$*")&gt;1,LEFT(C943,LEN($B943))&lt;&gt;$B943),"",IFERROR(IF(B943="FoPITY",INDEX(Customizations!$C$2:$C$19,MATCH(Sheet1!C943,Customizations!$B$2:$B$19,0),1),INDEX(About!C:C,MATCH(Sheet1!B943,About!B:B,0),1)),""))</f>
        <v>Industrial Equipment Shareweights.xlsm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5">
      <c r="A944" t="s">
        <v>242</v>
      </c>
      <c r="B944" t="s">
        <v>1610</v>
      </c>
      <c r="C944" t="s">
        <v>1999</v>
      </c>
      <c r="G944" t="str">
        <f t="shared" si="34"/>
        <v>.csv</v>
      </c>
      <c r="H944" s="5" t="str">
        <f>IF(AND(G944=".csv",COUNTIFS($B:$B,$B944,$G:$G,"xlsx")-COUNTIFS($B:$B,$B944,$G:$G,"xlsx",$C:$C,"~~$*")&gt;1,LEFT(C944,LEN($B944))&lt;&gt;$B944),"",IFERROR(IF(B944="FoPITY",INDEX(Customizations!$C$2:$C$19,MATCH(Sheet1!C944,Customizations!$B$2:$B$19,0),1),INDEX(About!C:C,MATCH(Sheet1!B944,About!B:B,0),1)),""))</f>
        <v>Industrial Equipment Shareweights.xlsm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5">
      <c r="A945" t="s">
        <v>242</v>
      </c>
      <c r="B945" t="s">
        <v>1610</v>
      </c>
      <c r="C945" t="s">
        <v>2000</v>
      </c>
      <c r="G945" t="str">
        <f t="shared" si="34"/>
        <v>.csv</v>
      </c>
      <c r="H945" s="5" t="str">
        <f>IF(AND(G945=".csv",COUNTIFS($B:$B,$B945,$G:$G,"xlsx")-COUNTIFS($B:$B,$B945,$G:$G,"xlsx",$C:$C,"~~$*")&gt;1,LEFT(C945,LEN($B945))&lt;&gt;$B945),"",IFERROR(IF(B945="FoPITY",INDEX(Customizations!$C$2:$C$19,MATCH(Sheet1!C945,Customizations!$B$2:$B$19,0),1),INDEX(About!C:C,MATCH(Sheet1!B945,About!B:B,0),1)),""))</f>
        <v>Industrial Equipment Shareweights.xlsm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5">
      <c r="A946" t="s">
        <v>242</v>
      </c>
      <c r="B946" t="s">
        <v>1610</v>
      </c>
      <c r="C946" t="s">
        <v>2001</v>
      </c>
      <c r="G946" t="str">
        <f t="shared" si="34"/>
        <v>.csv</v>
      </c>
      <c r="H946" s="5" t="str">
        <f>IF(AND(G946=".csv",COUNTIFS($B:$B,$B946,$G:$G,"xlsx")-COUNTIFS($B:$B,$B946,$G:$G,"xlsx",$C:$C,"~~$*")&gt;1,LEFT(C946,LEN($B946))&lt;&gt;$B946),"",IFERROR(IF(B946="FoPITY",INDEX(Customizations!$C$2:$C$19,MATCH(Sheet1!C946,Customizations!$B$2:$B$19,0),1),INDEX(About!C:C,MATCH(Sheet1!B946,About!B:B,0),1)),""))</f>
        <v>Industrial Equipment Shareweights.xlsm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5">
      <c r="A947" t="s">
        <v>242</v>
      </c>
      <c r="B947" t="s">
        <v>1610</v>
      </c>
      <c r="C947" t="s">
        <v>2002</v>
      </c>
      <c r="G947" t="str">
        <f t="shared" si="34"/>
        <v>.csv</v>
      </c>
      <c r="H947" s="5" t="str">
        <f>IF(AND(G947=".csv",COUNTIFS($B:$B,$B947,$G:$G,"xlsx")-COUNTIFS($B:$B,$B947,$G:$G,"xlsx",$C:$C,"~~$*")&gt;1,LEFT(C947,LEN($B947))&lt;&gt;$B947),"",IFERROR(IF(B947="FoPITY",INDEX(Customizations!$C$2:$C$19,MATCH(Sheet1!C947,Customizations!$B$2:$B$19,0),1),INDEX(About!C:C,MATCH(Sheet1!B947,About!B:B,0),1)),""))</f>
        <v>Industrial Equipment Shareweights.xlsm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5">
      <c r="A948" t="s">
        <v>242</v>
      </c>
      <c r="B948" t="s">
        <v>1610</v>
      </c>
      <c r="C948" t="s">
        <v>2003</v>
      </c>
      <c r="G948" t="str">
        <f t="shared" si="34"/>
        <v>.csv</v>
      </c>
      <c r="H948" s="5" t="str">
        <f>IF(AND(G948=".csv",COUNTIFS($B:$B,$B948,$G:$G,"xlsx")-COUNTIFS($B:$B,$B948,$G:$G,"xlsx",$C:$C,"~~$*")&gt;1,LEFT(C948,LEN($B948))&lt;&gt;$B948),"",IFERROR(IF(B948="FoPITY",INDEX(Customizations!$C$2:$C$19,MATCH(Sheet1!C948,Customizations!$B$2:$B$19,0),1),INDEX(About!C:C,MATCH(Sheet1!B948,About!B:B,0),1)),""))</f>
        <v>Industrial Equipment Shareweights.xlsm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5">
      <c r="A949" t="s">
        <v>242</v>
      </c>
      <c r="B949" t="s">
        <v>1610</v>
      </c>
      <c r="C949" t="s">
        <v>2004</v>
      </c>
      <c r="G949" t="str">
        <f t="shared" si="34"/>
        <v>.csv</v>
      </c>
      <c r="H949" s="5" t="str">
        <f>IF(AND(G949=".csv",COUNTIFS($B:$B,$B949,$G:$G,"xlsx")-COUNTIFS($B:$B,$B949,$G:$G,"xlsx",$C:$C,"~~$*")&gt;1,LEFT(C949,LEN($B949))&lt;&gt;$B949),"",IFERROR(IF(B949="FoPITY",INDEX(Customizations!$C$2:$C$19,MATCH(Sheet1!C949,Customizations!$B$2:$B$19,0),1),INDEX(About!C:C,MATCH(Sheet1!B949,About!B:B,0),1)),""))</f>
        <v>Industrial Equipment Shareweights.xlsm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5">
      <c r="A950" t="s">
        <v>242</v>
      </c>
      <c r="B950" t="s">
        <v>1610</v>
      </c>
      <c r="C950" t="s">
        <v>2005</v>
      </c>
      <c r="G950" t="str">
        <f t="shared" si="34"/>
        <v>.csv</v>
      </c>
      <c r="H950" s="5" t="str">
        <f>IF(AND(G950=".csv",COUNTIFS($B:$B,$B950,$G:$G,"xlsx")-COUNTIFS($B:$B,$B950,$G:$G,"xlsx",$C:$C,"~~$*")&gt;1,LEFT(C950,LEN($B950))&lt;&gt;$B950),"",IFERROR(IF(B950="FoPITY",INDEX(Customizations!$C$2:$C$19,MATCH(Sheet1!C950,Customizations!$B$2:$B$19,0),1),INDEX(About!C:C,MATCH(Sheet1!B950,About!B:B,0),1)),""))</f>
        <v>Industrial Equipment Shareweights.xlsm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5">
      <c r="A951" t="s">
        <v>242</v>
      </c>
      <c r="B951" t="s">
        <v>1610</v>
      </c>
      <c r="C951" t="s">
        <v>2006</v>
      </c>
      <c r="G951" t="str">
        <f t="shared" ref="G951:G1014" si="36">RIGHT(C951,"4")</f>
        <v>.csv</v>
      </c>
      <c r="H951" s="5" t="str">
        <f>IF(AND(G951=".csv",COUNTIFS($B:$B,$B951,$G:$G,"xlsx")-COUNTIFS($B:$B,$B951,$G:$G,"xlsx",$C:$C,"~~$*")&gt;1,LEFT(C951,LEN($B951))&lt;&gt;$B951),"",IFERROR(IF(B951="FoPITY",INDEX(Customizations!$C$2:$C$19,MATCH(Sheet1!C951,Customizations!$B$2:$B$19,0),1),INDEX(About!C:C,MATCH(Sheet1!B951,About!B:B,0),1)),""))</f>
        <v>Industrial Equipment Shareweights.xlsm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5">
      <c r="A952" t="s">
        <v>242</v>
      </c>
      <c r="B952" t="s">
        <v>1610</v>
      </c>
      <c r="C952" t="s">
        <v>2007</v>
      </c>
      <c r="G952" t="str">
        <f t="shared" si="36"/>
        <v>.csv</v>
      </c>
      <c r="H952" s="5" t="str">
        <f>IF(AND(G952=".csv",COUNTIFS($B:$B,$B952,$G:$G,"xlsx")-COUNTIFS($B:$B,$B952,$G:$G,"xlsx",$C:$C,"~~$*")&gt;1,LEFT(C952,LEN($B952))&lt;&gt;$B952),"",IFERROR(IF(B952="FoPITY",INDEX(Customizations!$C$2:$C$19,MATCH(Sheet1!C952,Customizations!$B$2:$B$19,0),1),INDEX(About!C:C,MATCH(Sheet1!B952,About!B:B,0),1)),""))</f>
        <v>Industrial Equipment Shareweights.xlsm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5">
      <c r="A953" t="s">
        <v>242</v>
      </c>
      <c r="B953" t="s">
        <v>1610</v>
      </c>
      <c r="C953" t="s">
        <v>2008</v>
      </c>
      <c r="G953" t="str">
        <f t="shared" si="36"/>
        <v>.csv</v>
      </c>
      <c r="H953" s="5" t="str">
        <f>IF(AND(G953=".csv",COUNTIFS($B:$B,$B953,$G:$G,"xlsx")-COUNTIFS($B:$B,$B953,$G:$G,"xlsx",$C:$C,"~~$*")&gt;1,LEFT(C953,LEN($B953))&lt;&gt;$B953),"",IFERROR(IF(B953="FoPITY",INDEX(Customizations!$C$2:$C$19,MATCH(Sheet1!C953,Customizations!$B$2:$B$19,0),1),INDEX(About!C:C,MATCH(Sheet1!B953,About!B:B,0),1)),""))</f>
        <v>Industrial Equipment Shareweights.xlsm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5">
      <c r="A954" t="s">
        <v>242</v>
      </c>
      <c r="B954" t="s">
        <v>1610</v>
      </c>
      <c r="C954" t="s">
        <v>2009</v>
      </c>
      <c r="G954" t="str">
        <f t="shared" si="36"/>
        <v>.csv</v>
      </c>
      <c r="H954" s="5" t="str">
        <f>IF(AND(G954=".csv",COUNTIFS($B:$B,$B954,$G:$G,"xlsx")-COUNTIFS($B:$B,$B954,$G:$G,"xlsx",$C:$C,"~~$*")&gt;1,LEFT(C954,LEN($B954))&lt;&gt;$B954),"",IFERROR(IF(B954="FoPITY",INDEX(Customizations!$C$2:$C$19,MATCH(Sheet1!C954,Customizations!$B$2:$B$19,0),1),INDEX(About!C:C,MATCH(Sheet1!B954,About!B:B,0),1)),""))</f>
        <v>Industrial Equipment Shareweights.xlsm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5">
      <c r="A955" t="s">
        <v>242</v>
      </c>
      <c r="B955" t="s">
        <v>1610</v>
      </c>
      <c r="C955" t="s">
        <v>2010</v>
      </c>
      <c r="G955" t="str">
        <f t="shared" si="36"/>
        <v>.csv</v>
      </c>
      <c r="H955" s="5" t="str">
        <f>IF(AND(G955=".csv",COUNTIFS($B:$B,$B955,$G:$G,"xlsx")-COUNTIFS($B:$B,$B955,$G:$G,"xlsx",$C:$C,"~~$*")&gt;1,LEFT(C955,LEN($B955))&lt;&gt;$B955),"",IFERROR(IF(B955="FoPITY",INDEX(Customizations!$C$2:$C$19,MATCH(Sheet1!C955,Customizations!$B$2:$B$19,0),1),INDEX(About!C:C,MATCH(Sheet1!B955,About!B:B,0),1)),""))</f>
        <v>Industrial Equipment Shareweights.xlsm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5">
      <c r="A956" t="s">
        <v>242</v>
      </c>
      <c r="B956" t="s">
        <v>1610</v>
      </c>
      <c r="C956" t="s">
        <v>2011</v>
      </c>
      <c r="G956" t="str">
        <f t="shared" si="36"/>
        <v>.csv</v>
      </c>
      <c r="H956" s="5" t="str">
        <f>IF(AND(G956=".csv",COUNTIFS($B:$B,$B956,$G:$G,"xlsx")-COUNTIFS($B:$B,$B956,$G:$G,"xlsx",$C:$C,"~~$*")&gt;1,LEFT(C956,LEN($B956))&lt;&gt;$B956),"",IFERROR(IF(B956="FoPITY",INDEX(Customizations!$C$2:$C$19,MATCH(Sheet1!C956,Customizations!$B$2:$B$19,0),1),INDEX(About!C:C,MATCH(Sheet1!B956,About!B:B,0),1)),""))</f>
        <v>Industrial Equipment Shareweights.xlsm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5">
      <c r="A957" t="s">
        <v>242</v>
      </c>
      <c r="B957" t="s">
        <v>1610</v>
      </c>
      <c r="C957" t="s">
        <v>2012</v>
      </c>
      <c r="G957" t="str">
        <f t="shared" si="36"/>
        <v>.csv</v>
      </c>
      <c r="H957" s="5" t="str">
        <f>IF(AND(G957=".csv",COUNTIFS($B:$B,$B957,$G:$G,"xlsx")-COUNTIFS($B:$B,$B957,$G:$G,"xlsx",$C:$C,"~~$*")&gt;1,LEFT(C957,LEN($B957))&lt;&gt;$B957),"",IFERROR(IF(B957="FoPITY",INDEX(Customizations!$C$2:$C$19,MATCH(Sheet1!C957,Customizations!$B$2:$B$19,0),1),INDEX(About!C:C,MATCH(Sheet1!B957,About!B:B,0),1)),""))</f>
        <v>Industrial Equipment Shareweights.xlsm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5">
      <c r="A958" t="s">
        <v>242</v>
      </c>
      <c r="B958" t="s">
        <v>1610</v>
      </c>
      <c r="C958" t="s">
        <v>2013</v>
      </c>
      <c r="G958" t="str">
        <f t="shared" si="36"/>
        <v>.csv</v>
      </c>
      <c r="H958" s="5" t="str">
        <f>IF(AND(G958=".csv",COUNTIFS($B:$B,$B958,$G:$G,"xlsx")-COUNTIFS($B:$B,$B958,$G:$G,"xlsx",$C:$C,"~~$*")&gt;1,LEFT(C958,LEN($B958))&lt;&gt;$B958),"",IFERROR(IF(B958="FoPITY",INDEX(Customizations!$C$2:$C$19,MATCH(Sheet1!C958,Customizations!$B$2:$B$19,0),1),INDEX(About!C:C,MATCH(Sheet1!B958,About!B:B,0),1)),""))</f>
        <v>Industrial Equipment Shareweights.xlsm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5">
      <c r="A959" t="s">
        <v>242</v>
      </c>
      <c r="B959" t="s">
        <v>1610</v>
      </c>
      <c r="C959" t="s">
        <v>2014</v>
      </c>
      <c r="G959" t="str">
        <f t="shared" si="36"/>
        <v>.csv</v>
      </c>
      <c r="H959" s="5" t="str">
        <f>IF(AND(G959=".csv",COUNTIFS($B:$B,$B959,$G:$G,"xlsx")-COUNTIFS($B:$B,$B959,$G:$G,"xlsx",$C:$C,"~~$*")&gt;1,LEFT(C959,LEN($B959))&lt;&gt;$B959),"",IFERROR(IF(B959="FoPITY",INDEX(Customizations!$C$2:$C$19,MATCH(Sheet1!C959,Customizations!$B$2:$B$19,0),1),INDEX(About!C:C,MATCH(Sheet1!B959,About!B:B,0),1)),""))</f>
        <v>Industrial Equipment Shareweights.xlsm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5">
      <c r="A960" t="s">
        <v>242</v>
      </c>
      <c r="B960" t="s">
        <v>1610</v>
      </c>
      <c r="C960" t="s">
        <v>2015</v>
      </c>
      <c r="G960" t="str">
        <f t="shared" si="36"/>
        <v>.csv</v>
      </c>
      <c r="H960" s="5" t="str">
        <f>IF(AND(G960=".csv",COUNTIFS($B:$B,$B960,$G:$G,"xlsx")-COUNTIFS($B:$B,$B960,$G:$G,"xlsx",$C:$C,"~~$*")&gt;1,LEFT(C960,LEN($B960))&lt;&gt;$B960),"",IFERROR(IF(B960="FoPITY",INDEX(Customizations!$C$2:$C$19,MATCH(Sheet1!C960,Customizations!$B$2:$B$19,0),1),INDEX(About!C:C,MATCH(Sheet1!B960,About!B:B,0),1)),""))</f>
        <v>Industrial Equipment Shareweights.xlsm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5">
      <c r="A961" t="s">
        <v>242</v>
      </c>
      <c r="B961" t="s">
        <v>1610</v>
      </c>
      <c r="C961" t="s">
        <v>2016</v>
      </c>
      <c r="G961" t="str">
        <f t="shared" si="36"/>
        <v>.csv</v>
      </c>
      <c r="H961" s="5" t="str">
        <f>IF(AND(G961=".csv",COUNTIFS($B:$B,$B961,$G:$G,"xlsx")-COUNTIFS($B:$B,$B961,$G:$G,"xlsx",$C:$C,"~~$*")&gt;1,LEFT(C961,LEN($B961))&lt;&gt;$B961),"",IFERROR(IF(B961="FoPITY",INDEX(Customizations!$C$2:$C$19,MATCH(Sheet1!C961,Customizations!$B$2:$B$19,0),1),INDEX(About!C:C,MATCH(Sheet1!B961,About!B:B,0),1)),""))</f>
        <v>Industrial Equipment Shareweights.xlsm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5">
      <c r="A962" t="s">
        <v>242</v>
      </c>
      <c r="B962" t="s">
        <v>1610</v>
      </c>
      <c r="C962" t="s">
        <v>2017</v>
      </c>
      <c r="G962" t="str">
        <f t="shared" si="36"/>
        <v>.csv</v>
      </c>
      <c r="H962" s="5" t="str">
        <f>IF(AND(G962=".csv",COUNTIFS($B:$B,$B962,$G:$G,"xlsx")-COUNTIFS($B:$B,$B962,$G:$G,"xlsx",$C:$C,"~~$*")&gt;1,LEFT(C962,LEN($B962))&lt;&gt;$B962),"",IFERROR(IF(B962="FoPITY",INDEX(Customizations!$C$2:$C$19,MATCH(Sheet1!C962,Customizations!$B$2:$B$19,0),1),INDEX(About!C:C,MATCH(Sheet1!B962,About!B:B,0),1)),""))</f>
        <v>Industrial Equipment Shareweights.xlsm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5">
      <c r="A963" t="s">
        <v>242</v>
      </c>
      <c r="B963" t="s">
        <v>1610</v>
      </c>
      <c r="C963" t="s">
        <v>2018</v>
      </c>
      <c r="G963" t="str">
        <f t="shared" si="36"/>
        <v>.csv</v>
      </c>
      <c r="H963" s="5" t="str">
        <f>IF(AND(G963=".csv",COUNTIFS($B:$B,$B963,$G:$G,"xlsx")-COUNTIFS($B:$B,$B963,$G:$G,"xlsx",$C:$C,"~~$*")&gt;1,LEFT(C963,LEN($B963))&lt;&gt;$B963),"",IFERROR(IF(B963="FoPITY",INDEX(Customizations!$C$2:$C$19,MATCH(Sheet1!C963,Customizations!$B$2:$B$19,0),1),INDEX(About!C:C,MATCH(Sheet1!B963,About!B:B,0),1)),""))</f>
        <v>Industrial Equipment Shareweights.xlsm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5">
      <c r="A964" t="s">
        <v>242</v>
      </c>
      <c r="B964" t="s">
        <v>1610</v>
      </c>
      <c r="C964" t="s">
        <v>2019</v>
      </c>
      <c r="G964" t="str">
        <f t="shared" si="36"/>
        <v>.csv</v>
      </c>
      <c r="H964" s="5" t="str">
        <f>IF(AND(G964=".csv",COUNTIFS($B:$B,$B964,$G:$G,"xlsx")-COUNTIFS($B:$B,$B964,$G:$G,"xlsx",$C:$C,"~~$*")&gt;1,LEFT(C964,LEN($B964))&lt;&gt;$B964),"",IFERROR(IF(B964="FoPITY",INDEX(Customizations!$C$2:$C$19,MATCH(Sheet1!C964,Customizations!$B$2:$B$19,0),1),INDEX(About!C:C,MATCH(Sheet1!B964,About!B:B,0),1)),""))</f>
        <v>Industrial Equipment Shareweights.xlsm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5">
      <c r="A965" t="s">
        <v>242</v>
      </c>
      <c r="B965" t="s">
        <v>1610</v>
      </c>
      <c r="C965" t="s">
        <v>2020</v>
      </c>
      <c r="G965" t="str">
        <f t="shared" si="36"/>
        <v>.csv</v>
      </c>
      <c r="H965" s="5" t="str">
        <f>IF(AND(G965=".csv",COUNTIFS($B:$B,$B965,$G:$G,"xlsx")-COUNTIFS($B:$B,$B965,$G:$G,"xlsx",$C:$C,"~~$*")&gt;1,LEFT(C965,LEN($B965))&lt;&gt;$B965),"",IFERROR(IF(B965="FoPITY",INDEX(Customizations!$C$2:$C$19,MATCH(Sheet1!C965,Customizations!$B$2:$B$19,0),1),INDEX(About!C:C,MATCH(Sheet1!B965,About!B:B,0),1)),""))</f>
        <v>Industrial Equipment Shareweights.xlsm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5">
      <c r="A966" t="s">
        <v>242</v>
      </c>
      <c r="B966" t="s">
        <v>1610</v>
      </c>
      <c r="C966" t="s">
        <v>2021</v>
      </c>
      <c r="G966" t="str">
        <f t="shared" si="36"/>
        <v>.csv</v>
      </c>
      <c r="H966" s="5" t="str">
        <f>IF(AND(G966=".csv",COUNTIFS($B:$B,$B966,$G:$G,"xlsx")-COUNTIFS($B:$B,$B966,$G:$G,"xlsx",$C:$C,"~~$*")&gt;1,LEFT(C966,LEN($B966))&lt;&gt;$B966),"",IFERROR(IF(B966="FoPITY",INDEX(Customizations!$C$2:$C$19,MATCH(Sheet1!C966,Customizations!$B$2:$B$19,0),1),INDEX(About!C:C,MATCH(Sheet1!B966,About!B:B,0),1)),""))</f>
        <v>Industrial Equipment Shareweights.xlsm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5">
      <c r="A967" t="s">
        <v>242</v>
      </c>
      <c r="B967" t="s">
        <v>1610</v>
      </c>
      <c r="C967" t="s">
        <v>2022</v>
      </c>
      <c r="G967" t="str">
        <f t="shared" si="36"/>
        <v>.csv</v>
      </c>
      <c r="H967" s="5" t="str">
        <f>IF(AND(G967=".csv",COUNTIFS($B:$B,$B967,$G:$G,"xlsx")-COUNTIFS($B:$B,$B967,$G:$G,"xlsx",$C:$C,"~~$*")&gt;1,LEFT(C967,LEN($B967))&lt;&gt;$B967),"",IFERROR(IF(B967="FoPITY",INDEX(Customizations!$C$2:$C$19,MATCH(Sheet1!C967,Customizations!$B$2:$B$19,0),1),INDEX(About!C:C,MATCH(Sheet1!B967,About!B:B,0),1)),""))</f>
        <v>Industrial Equipment Shareweights.xlsm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5">
      <c r="A968" t="s">
        <v>242</v>
      </c>
      <c r="B968" t="s">
        <v>1610</v>
      </c>
      <c r="C968" t="s">
        <v>2023</v>
      </c>
      <c r="G968" t="str">
        <f t="shared" si="36"/>
        <v>.csv</v>
      </c>
      <c r="H968" s="5" t="str">
        <f>IF(AND(G968=".csv",COUNTIFS($B:$B,$B968,$G:$G,"xlsx")-COUNTIFS($B:$B,$B968,$G:$G,"xlsx",$C:$C,"~~$*")&gt;1,LEFT(C968,LEN($B968))&lt;&gt;$B968),"",IFERROR(IF(B968="FoPITY",INDEX(Customizations!$C$2:$C$19,MATCH(Sheet1!C968,Customizations!$B$2:$B$19,0),1),INDEX(About!C:C,MATCH(Sheet1!B968,About!B:B,0),1)),""))</f>
        <v>Industrial Equipment Shareweights.xlsm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5">
      <c r="A969" t="s">
        <v>242</v>
      </c>
      <c r="B969" t="s">
        <v>1610</v>
      </c>
      <c r="C969" t="s">
        <v>2024</v>
      </c>
      <c r="G969" t="str">
        <f t="shared" si="36"/>
        <v>.csv</v>
      </c>
      <c r="H969" s="5" t="str">
        <f>IF(AND(G969=".csv",COUNTIFS($B:$B,$B969,$G:$G,"xlsx")-COUNTIFS($B:$B,$B969,$G:$G,"xlsx",$C:$C,"~~$*")&gt;1,LEFT(C969,LEN($B969))&lt;&gt;$B969),"",IFERROR(IF(B969="FoPITY",INDEX(Customizations!$C$2:$C$19,MATCH(Sheet1!C969,Customizations!$B$2:$B$19,0),1),INDEX(About!C:C,MATCH(Sheet1!B969,About!B:B,0),1)),""))</f>
        <v>Industrial Equipment Shareweights.xlsm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5">
      <c r="A970" t="s">
        <v>242</v>
      </c>
      <c r="B970" t="s">
        <v>1610</v>
      </c>
      <c r="C970" t="s">
        <v>2025</v>
      </c>
      <c r="G970" t="str">
        <f t="shared" si="36"/>
        <v>.csv</v>
      </c>
      <c r="H970" s="5" t="str">
        <f>IF(AND(G970=".csv",COUNTIFS($B:$B,$B970,$G:$G,"xlsx")-COUNTIFS($B:$B,$B970,$G:$G,"xlsx",$C:$C,"~~$*")&gt;1,LEFT(C970,LEN($B970))&lt;&gt;$B970),"",IFERROR(IF(B970="FoPITY",INDEX(Customizations!$C$2:$C$19,MATCH(Sheet1!C970,Customizations!$B$2:$B$19,0),1),INDEX(About!C:C,MATCH(Sheet1!B970,About!B:B,0),1)),""))</f>
        <v>Industrial Equipment Shareweights.xlsm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5">
      <c r="A971" t="s">
        <v>242</v>
      </c>
      <c r="B971" t="s">
        <v>1610</v>
      </c>
      <c r="C971" t="s">
        <v>2026</v>
      </c>
      <c r="G971" t="str">
        <f t="shared" si="36"/>
        <v>.csv</v>
      </c>
      <c r="H971" s="5" t="str">
        <f>IF(AND(G971=".csv",COUNTIFS($B:$B,$B971,$G:$G,"xlsx")-COUNTIFS($B:$B,$B971,$G:$G,"xlsx",$C:$C,"~~$*")&gt;1,LEFT(C971,LEN($B971))&lt;&gt;$B971),"",IFERROR(IF(B971="FoPITY",INDEX(Customizations!$C$2:$C$19,MATCH(Sheet1!C971,Customizations!$B$2:$B$19,0),1),INDEX(About!C:C,MATCH(Sheet1!B971,About!B:B,0),1)),""))</f>
        <v>Industrial Equipment Shareweights.xlsm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5">
      <c r="A972" t="s">
        <v>242</v>
      </c>
      <c r="B972" t="s">
        <v>1610</v>
      </c>
      <c r="C972" t="s">
        <v>2027</v>
      </c>
      <c r="G972" t="str">
        <f t="shared" si="36"/>
        <v>.csv</v>
      </c>
      <c r="H972" s="5" t="str">
        <f>IF(AND(G972=".csv",COUNTIFS($B:$B,$B972,$G:$G,"xlsx")-COUNTIFS($B:$B,$B972,$G:$G,"xlsx",$C:$C,"~~$*")&gt;1,LEFT(C972,LEN($B972))&lt;&gt;$B972),"",IFERROR(IF(B972="FoPITY",INDEX(Customizations!$C$2:$C$19,MATCH(Sheet1!C972,Customizations!$B$2:$B$19,0),1),INDEX(About!C:C,MATCH(Sheet1!B972,About!B:B,0),1)),""))</f>
        <v>Industrial Equipment Shareweights.xlsm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5">
      <c r="A973" t="s">
        <v>242</v>
      </c>
      <c r="B973" t="s">
        <v>1610</v>
      </c>
      <c r="C973" t="s">
        <v>2028</v>
      </c>
      <c r="G973" t="str">
        <f t="shared" si="36"/>
        <v>.csv</v>
      </c>
      <c r="H973" s="5" t="str">
        <f>IF(AND(G973=".csv",COUNTIFS($B:$B,$B973,$G:$G,"xlsx")-COUNTIFS($B:$B,$B973,$G:$G,"xlsx",$C:$C,"~~$*")&gt;1,LEFT(C973,LEN($B973))&lt;&gt;$B973),"",IFERROR(IF(B973="FoPITY",INDEX(Customizations!$C$2:$C$19,MATCH(Sheet1!C973,Customizations!$B$2:$B$19,0),1),INDEX(About!C:C,MATCH(Sheet1!B973,About!B:B,0),1)),""))</f>
        <v>Industrial Equipment Shareweights.xlsm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5">
      <c r="A974" t="s">
        <v>242</v>
      </c>
      <c r="B974" t="s">
        <v>1610</v>
      </c>
      <c r="C974" t="s">
        <v>1810</v>
      </c>
      <c r="G974" t="str">
        <f t="shared" si="36"/>
        <v>.csv</v>
      </c>
      <c r="H974" s="5" t="str">
        <f>IF(AND(G974=".csv",COUNTIFS($B:$B,$B974,$G:$G,"xlsx")-COUNTIFS($B:$B,$B974,$G:$G,"xlsx",$C:$C,"~~$*")&gt;1,LEFT(C974,LEN($B974))&lt;&gt;$B974),"",IFERROR(IF(B974="FoPITY",INDEX(Customizations!$C$2:$C$19,MATCH(Sheet1!C974,Customizations!$B$2:$B$19,0),1),INDEX(About!C:C,MATCH(Sheet1!B974,About!B:B,0),1)),""))</f>
        <v>Industrial Equipment Shareweights.xlsm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5">
      <c r="A975" t="s">
        <v>242</v>
      </c>
      <c r="B975" t="s">
        <v>1610</v>
      </c>
      <c r="C975" t="s">
        <v>1811</v>
      </c>
      <c r="G975" t="str">
        <f t="shared" si="36"/>
        <v>.csv</v>
      </c>
      <c r="H975" s="5" t="str">
        <f>IF(AND(G975=".csv",COUNTIFS($B:$B,$B975,$G:$G,"xlsx")-COUNTIFS($B:$B,$B975,$G:$G,"xlsx",$C:$C,"~~$*")&gt;1,LEFT(C975,LEN($B975))&lt;&gt;$B975),"",IFERROR(IF(B975="FoPITY",INDEX(Customizations!$C$2:$C$19,MATCH(Sheet1!C975,Customizations!$B$2:$B$19,0),1),INDEX(About!C:C,MATCH(Sheet1!B975,About!B:B,0),1)),""))</f>
        <v>Industrial Equipment Shareweights.xlsm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5">
      <c r="A976" t="s">
        <v>242</v>
      </c>
      <c r="B976" t="s">
        <v>1610</v>
      </c>
      <c r="C976" t="s">
        <v>1812</v>
      </c>
      <c r="G976" t="str">
        <f t="shared" si="36"/>
        <v>.csv</v>
      </c>
      <c r="H976" s="5" t="str">
        <f>IF(AND(G976=".csv",COUNTIFS($B:$B,$B976,$G:$G,"xlsx")-COUNTIFS($B:$B,$B976,$G:$G,"xlsx",$C:$C,"~~$*")&gt;1,LEFT(C976,LEN($B976))&lt;&gt;$B976),"",IFERROR(IF(B976="FoPITY",INDEX(Customizations!$C$2:$C$19,MATCH(Sheet1!C976,Customizations!$B$2:$B$19,0),1),INDEX(About!C:C,MATCH(Sheet1!B976,About!B:B,0),1)),""))</f>
        <v>Industrial Equipment Shareweights.xlsm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5">
      <c r="A977" t="s">
        <v>242</v>
      </c>
      <c r="B977" t="s">
        <v>1610</v>
      </c>
      <c r="C977" t="s">
        <v>1813</v>
      </c>
      <c r="G977" t="str">
        <f t="shared" si="36"/>
        <v>.csv</v>
      </c>
      <c r="H977" s="5" t="str">
        <f>IF(AND(G977=".csv",COUNTIFS($B:$B,$B977,$G:$G,"xlsx")-COUNTIFS($B:$B,$B977,$G:$G,"xlsx",$C:$C,"~~$*")&gt;1,LEFT(C977,LEN($B977))&lt;&gt;$B977),"",IFERROR(IF(B977="FoPITY",INDEX(Customizations!$C$2:$C$19,MATCH(Sheet1!C977,Customizations!$B$2:$B$19,0),1),INDEX(About!C:C,MATCH(Sheet1!B977,About!B:B,0),1)),""))</f>
        <v>Industrial Equipment Shareweights.xlsm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5">
      <c r="A978" t="s">
        <v>242</v>
      </c>
      <c r="B978" t="s">
        <v>1610</v>
      </c>
      <c r="C978" t="s">
        <v>1814</v>
      </c>
      <c r="G978" t="str">
        <f t="shared" si="36"/>
        <v>.csv</v>
      </c>
      <c r="H978" s="5" t="str">
        <f>IF(AND(G978=".csv",COUNTIFS($B:$B,$B978,$G:$G,"xlsx")-COUNTIFS($B:$B,$B978,$G:$G,"xlsx",$C:$C,"~~$*")&gt;1,LEFT(C978,LEN($B978))&lt;&gt;$B978),"",IFERROR(IF(B978="FoPITY",INDEX(Customizations!$C$2:$C$19,MATCH(Sheet1!C978,Customizations!$B$2:$B$19,0),1),INDEX(About!C:C,MATCH(Sheet1!B978,About!B:B,0),1)),""))</f>
        <v>Industrial Equipment Shareweights.xlsm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5">
      <c r="A979" t="s">
        <v>242</v>
      </c>
      <c r="B979" t="s">
        <v>1610</v>
      </c>
      <c r="C979" t="s">
        <v>1815</v>
      </c>
      <c r="G979" t="str">
        <f t="shared" si="36"/>
        <v>.csv</v>
      </c>
      <c r="H979" s="5" t="str">
        <f>IF(AND(G979=".csv",COUNTIFS($B:$B,$B979,$G:$G,"xlsx")-COUNTIFS($B:$B,$B979,$G:$G,"xlsx",$C:$C,"~~$*")&gt;1,LEFT(C979,LEN($B979))&lt;&gt;$B979),"",IFERROR(IF(B979="FoPITY",INDEX(Customizations!$C$2:$C$19,MATCH(Sheet1!C979,Customizations!$B$2:$B$19,0),1),INDEX(About!C:C,MATCH(Sheet1!B979,About!B:B,0),1)),""))</f>
        <v>Industrial Equipment Shareweights.xlsm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5">
      <c r="A980" t="s">
        <v>242</v>
      </c>
      <c r="B980" t="s">
        <v>1610</v>
      </c>
      <c r="C980" t="s">
        <v>1816</v>
      </c>
      <c r="G980" t="str">
        <f t="shared" si="36"/>
        <v>.csv</v>
      </c>
      <c r="H980" s="5" t="str">
        <f>IF(AND(G980=".csv",COUNTIFS($B:$B,$B980,$G:$G,"xlsx")-COUNTIFS($B:$B,$B980,$G:$G,"xlsx",$C:$C,"~~$*")&gt;1,LEFT(C980,LEN($B980))&lt;&gt;$B980),"",IFERROR(IF(B980="FoPITY",INDEX(Customizations!$C$2:$C$19,MATCH(Sheet1!C980,Customizations!$B$2:$B$19,0),1),INDEX(About!C:C,MATCH(Sheet1!B980,About!B:B,0),1)),""))</f>
        <v>Industrial Equipment Shareweights.xlsm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5">
      <c r="A981" t="s">
        <v>242</v>
      </c>
      <c r="B981" t="s">
        <v>1610</v>
      </c>
      <c r="C981" t="s">
        <v>1817</v>
      </c>
      <c r="G981" t="str">
        <f t="shared" si="36"/>
        <v>.csv</v>
      </c>
      <c r="H981" s="5" t="str">
        <f>IF(AND(G981=".csv",COUNTIFS($B:$B,$B981,$G:$G,"xlsx")-COUNTIFS($B:$B,$B981,$G:$G,"xlsx",$C:$C,"~~$*")&gt;1,LEFT(C981,LEN($B981))&lt;&gt;$B981),"",IFERROR(IF(B981="FoPITY",INDEX(Customizations!$C$2:$C$19,MATCH(Sheet1!C981,Customizations!$B$2:$B$19,0),1),INDEX(About!C:C,MATCH(Sheet1!B981,About!B:B,0),1)),""))</f>
        <v>Industrial Equipment Shareweights.xlsm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5">
      <c r="A982" t="s">
        <v>242</v>
      </c>
      <c r="B982" t="s">
        <v>1610</v>
      </c>
      <c r="C982" t="s">
        <v>1818</v>
      </c>
      <c r="G982" t="str">
        <f t="shared" si="36"/>
        <v>.csv</v>
      </c>
      <c r="H982" s="5" t="str">
        <f>IF(AND(G982=".csv",COUNTIFS($B:$B,$B982,$G:$G,"xlsx")-COUNTIFS($B:$B,$B982,$G:$G,"xlsx",$C:$C,"~~$*")&gt;1,LEFT(C982,LEN($B982))&lt;&gt;$B982),"",IFERROR(IF(B982="FoPITY",INDEX(Customizations!$C$2:$C$19,MATCH(Sheet1!C982,Customizations!$B$2:$B$19,0),1),INDEX(About!C:C,MATCH(Sheet1!B982,About!B:B,0),1)),""))</f>
        <v>Industrial Equipment Shareweights.xlsm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5">
      <c r="A983" t="s">
        <v>242</v>
      </c>
      <c r="B983" t="s">
        <v>1610</v>
      </c>
      <c r="C983" t="s">
        <v>1819</v>
      </c>
      <c r="G983" t="str">
        <f t="shared" si="36"/>
        <v>.csv</v>
      </c>
      <c r="H983" s="5" t="str">
        <f>IF(AND(G983=".csv",COUNTIFS($B:$B,$B983,$G:$G,"xlsx")-COUNTIFS($B:$B,$B983,$G:$G,"xlsx",$C:$C,"~~$*")&gt;1,LEFT(C983,LEN($B983))&lt;&gt;$B983),"",IFERROR(IF(B983="FoPITY",INDEX(Customizations!$C$2:$C$19,MATCH(Sheet1!C983,Customizations!$B$2:$B$19,0),1),INDEX(About!C:C,MATCH(Sheet1!B983,About!B:B,0),1)),""))</f>
        <v>Industrial Equipment Shareweights.xlsm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5">
      <c r="A984" t="s">
        <v>242</v>
      </c>
      <c r="B984" t="s">
        <v>1610</v>
      </c>
      <c r="C984" t="s">
        <v>1820</v>
      </c>
      <c r="G984" t="str">
        <f t="shared" si="36"/>
        <v>.csv</v>
      </c>
      <c r="H984" s="5" t="str">
        <f>IF(AND(G984=".csv",COUNTIFS($B:$B,$B984,$G:$G,"xlsx")-COUNTIFS($B:$B,$B984,$G:$G,"xlsx",$C:$C,"~~$*")&gt;1,LEFT(C984,LEN($B984))&lt;&gt;$B984),"",IFERROR(IF(B984="FoPITY",INDEX(Customizations!$C$2:$C$19,MATCH(Sheet1!C984,Customizations!$B$2:$B$19,0),1),INDEX(About!C:C,MATCH(Sheet1!B984,About!B:B,0),1)),""))</f>
        <v>Industrial Equipment Shareweights.xlsm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5">
      <c r="A985" t="s">
        <v>242</v>
      </c>
      <c r="B985" t="s">
        <v>1610</v>
      </c>
      <c r="C985" t="s">
        <v>1821</v>
      </c>
      <c r="G985" t="str">
        <f t="shared" si="36"/>
        <v>.csv</v>
      </c>
      <c r="H985" s="5" t="str">
        <f>IF(AND(G985=".csv",COUNTIFS($B:$B,$B985,$G:$G,"xlsx")-COUNTIFS($B:$B,$B985,$G:$G,"xlsx",$C:$C,"~~$*")&gt;1,LEFT(C985,LEN($B985))&lt;&gt;$B985),"",IFERROR(IF(B985="FoPITY",INDEX(Customizations!$C$2:$C$19,MATCH(Sheet1!C985,Customizations!$B$2:$B$19,0),1),INDEX(About!C:C,MATCH(Sheet1!B985,About!B:B,0),1)),""))</f>
        <v>Industrial Equipment Shareweights.xlsm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5">
      <c r="A986" t="s">
        <v>242</v>
      </c>
      <c r="B986" t="s">
        <v>1610</v>
      </c>
      <c r="C986" t="s">
        <v>1822</v>
      </c>
      <c r="G986" t="str">
        <f t="shared" si="36"/>
        <v>.csv</v>
      </c>
      <c r="H986" s="5" t="str">
        <f>IF(AND(G986=".csv",COUNTIFS($B:$B,$B986,$G:$G,"xlsx")-COUNTIFS($B:$B,$B986,$G:$G,"xlsx",$C:$C,"~~$*")&gt;1,LEFT(C986,LEN($B986))&lt;&gt;$B986),"",IFERROR(IF(B986="FoPITY",INDEX(Customizations!$C$2:$C$19,MATCH(Sheet1!C986,Customizations!$B$2:$B$19,0),1),INDEX(About!C:C,MATCH(Sheet1!B986,About!B:B,0),1)),""))</f>
        <v>Industrial Equipment Shareweights.xlsm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5">
      <c r="A987" t="s">
        <v>242</v>
      </c>
      <c r="B987" t="s">
        <v>1610</v>
      </c>
      <c r="C987" t="s">
        <v>1823</v>
      </c>
      <c r="G987" t="str">
        <f t="shared" si="36"/>
        <v>.csv</v>
      </c>
      <c r="H987" s="5" t="str">
        <f>IF(AND(G987=".csv",COUNTIFS($B:$B,$B987,$G:$G,"xlsx")-COUNTIFS($B:$B,$B987,$G:$G,"xlsx",$C:$C,"~~$*")&gt;1,LEFT(C987,LEN($B987))&lt;&gt;$B987),"",IFERROR(IF(B987="FoPITY",INDEX(Customizations!$C$2:$C$19,MATCH(Sheet1!C987,Customizations!$B$2:$B$19,0),1),INDEX(About!C:C,MATCH(Sheet1!B987,About!B:B,0),1)),""))</f>
        <v>Industrial Equipment Shareweights.xlsm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5">
      <c r="A988" t="s">
        <v>242</v>
      </c>
      <c r="B988" t="s">
        <v>1610</v>
      </c>
      <c r="C988" t="s">
        <v>1824</v>
      </c>
      <c r="G988" t="str">
        <f t="shared" si="36"/>
        <v>.csv</v>
      </c>
      <c r="H988" s="5" t="str">
        <f>IF(AND(G988=".csv",COUNTIFS($B:$B,$B988,$G:$G,"xlsx")-COUNTIFS($B:$B,$B988,$G:$G,"xlsx",$C:$C,"~~$*")&gt;1,LEFT(C988,LEN($B988))&lt;&gt;$B988),"",IFERROR(IF(B988="FoPITY",INDEX(Customizations!$C$2:$C$19,MATCH(Sheet1!C988,Customizations!$B$2:$B$19,0),1),INDEX(About!C:C,MATCH(Sheet1!B988,About!B:B,0),1)),""))</f>
        <v>Industrial Equipment Shareweights.xlsm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5">
      <c r="A989" t="s">
        <v>242</v>
      </c>
      <c r="B989" t="s">
        <v>1610</v>
      </c>
      <c r="C989" t="s">
        <v>1825</v>
      </c>
      <c r="G989" t="str">
        <f t="shared" si="36"/>
        <v>.csv</v>
      </c>
      <c r="H989" s="5" t="str">
        <f>IF(AND(G989=".csv",COUNTIFS($B:$B,$B989,$G:$G,"xlsx")-COUNTIFS($B:$B,$B989,$G:$G,"xlsx",$C:$C,"~~$*")&gt;1,LEFT(C989,LEN($B989))&lt;&gt;$B989),"",IFERROR(IF(B989="FoPITY",INDEX(Customizations!$C$2:$C$19,MATCH(Sheet1!C989,Customizations!$B$2:$B$19,0),1),INDEX(About!C:C,MATCH(Sheet1!B989,About!B:B,0),1)),""))</f>
        <v>Industrial Equipment Shareweights.xlsm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5">
      <c r="A990" t="s">
        <v>242</v>
      </c>
      <c r="B990" t="s">
        <v>1610</v>
      </c>
      <c r="C990" t="s">
        <v>1826</v>
      </c>
      <c r="G990" t="str">
        <f t="shared" si="36"/>
        <v>.csv</v>
      </c>
      <c r="H990" s="5" t="str">
        <f>IF(AND(G990=".csv",COUNTIFS($B:$B,$B990,$G:$G,"xlsx")-COUNTIFS($B:$B,$B990,$G:$G,"xlsx",$C:$C,"~~$*")&gt;1,LEFT(C990,LEN($B990))&lt;&gt;$B990),"",IFERROR(IF(B990="FoPITY",INDEX(Customizations!$C$2:$C$19,MATCH(Sheet1!C990,Customizations!$B$2:$B$19,0),1),INDEX(About!C:C,MATCH(Sheet1!B990,About!B:B,0),1)),""))</f>
        <v>Industrial Equipment Shareweights.xlsm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5">
      <c r="A991" t="s">
        <v>242</v>
      </c>
      <c r="B991" t="s">
        <v>1610</v>
      </c>
      <c r="C991" t="s">
        <v>1827</v>
      </c>
      <c r="G991" t="str">
        <f t="shared" si="36"/>
        <v>.csv</v>
      </c>
      <c r="H991" s="5" t="str">
        <f>IF(AND(G991=".csv",COUNTIFS($B:$B,$B991,$G:$G,"xlsx")-COUNTIFS($B:$B,$B991,$G:$G,"xlsx",$C:$C,"~~$*")&gt;1,LEFT(C991,LEN($B991))&lt;&gt;$B991),"",IFERROR(IF(B991="FoPITY",INDEX(Customizations!$C$2:$C$19,MATCH(Sheet1!C991,Customizations!$B$2:$B$19,0),1),INDEX(About!C:C,MATCH(Sheet1!B991,About!B:B,0),1)),""))</f>
        <v>Industrial Equipment Shareweights.xlsm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5">
      <c r="A992" t="s">
        <v>242</v>
      </c>
      <c r="B992" t="s">
        <v>1610</v>
      </c>
      <c r="C992" t="s">
        <v>1828</v>
      </c>
      <c r="G992" t="str">
        <f t="shared" si="36"/>
        <v>.csv</v>
      </c>
      <c r="H992" s="5" t="str">
        <f>IF(AND(G992=".csv",COUNTIFS($B:$B,$B992,$G:$G,"xlsx")-COUNTIFS($B:$B,$B992,$G:$G,"xlsx",$C:$C,"~~$*")&gt;1,LEFT(C992,LEN($B992))&lt;&gt;$B992),"",IFERROR(IF(B992="FoPITY",INDEX(Customizations!$C$2:$C$19,MATCH(Sheet1!C992,Customizations!$B$2:$B$19,0),1),INDEX(About!C:C,MATCH(Sheet1!B992,About!B:B,0),1)),""))</f>
        <v>Industrial Equipment Shareweights.xlsm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5">
      <c r="A993" t="s">
        <v>242</v>
      </c>
      <c r="B993" t="s">
        <v>1610</v>
      </c>
      <c r="C993" t="s">
        <v>1829</v>
      </c>
      <c r="G993" t="str">
        <f t="shared" si="36"/>
        <v>.csv</v>
      </c>
      <c r="H993" s="5" t="str">
        <f>IF(AND(G993=".csv",COUNTIFS($B:$B,$B993,$G:$G,"xlsx")-COUNTIFS($B:$B,$B993,$G:$G,"xlsx",$C:$C,"~~$*")&gt;1,LEFT(C993,LEN($B993))&lt;&gt;$B993),"",IFERROR(IF(B993="FoPITY",INDEX(Customizations!$C$2:$C$19,MATCH(Sheet1!C993,Customizations!$B$2:$B$19,0),1),INDEX(About!C:C,MATCH(Sheet1!B993,About!B:B,0),1)),""))</f>
        <v>Industrial Equipment Shareweights.xlsm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5">
      <c r="A994" t="s">
        <v>242</v>
      </c>
      <c r="B994" t="s">
        <v>1610</v>
      </c>
      <c r="C994" t="s">
        <v>1830</v>
      </c>
      <c r="G994" t="str">
        <f t="shared" si="36"/>
        <v>.csv</v>
      </c>
      <c r="H994" s="5" t="str">
        <f>IF(AND(G994=".csv",COUNTIFS($B:$B,$B994,$G:$G,"xlsx")-COUNTIFS($B:$B,$B994,$G:$G,"xlsx",$C:$C,"~~$*")&gt;1,LEFT(C994,LEN($B994))&lt;&gt;$B994),"",IFERROR(IF(B994="FoPITY",INDEX(Customizations!$C$2:$C$19,MATCH(Sheet1!C994,Customizations!$B$2:$B$19,0),1),INDEX(About!C:C,MATCH(Sheet1!B994,About!B:B,0),1)),""))</f>
        <v>Industrial Equipment Shareweights.xlsm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5">
      <c r="A995" t="s">
        <v>242</v>
      </c>
      <c r="B995" t="s">
        <v>1610</v>
      </c>
      <c r="C995" t="s">
        <v>1831</v>
      </c>
      <c r="G995" t="str">
        <f t="shared" si="36"/>
        <v>.csv</v>
      </c>
      <c r="H995" s="5" t="str">
        <f>IF(AND(G995=".csv",COUNTIFS($B:$B,$B995,$G:$G,"xlsx")-COUNTIFS($B:$B,$B995,$G:$G,"xlsx",$C:$C,"~~$*")&gt;1,LEFT(C995,LEN($B995))&lt;&gt;$B995),"",IFERROR(IF(B995="FoPITY",INDEX(Customizations!$C$2:$C$19,MATCH(Sheet1!C995,Customizations!$B$2:$B$19,0),1),INDEX(About!C:C,MATCH(Sheet1!B995,About!B:B,0),1)),""))</f>
        <v>Industrial Equipment Shareweights.xlsm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5">
      <c r="A996" t="s">
        <v>242</v>
      </c>
      <c r="B996" t="s">
        <v>1610</v>
      </c>
      <c r="C996" t="s">
        <v>1832</v>
      </c>
      <c r="G996" t="str">
        <f t="shared" si="36"/>
        <v>.csv</v>
      </c>
      <c r="H996" s="5" t="str">
        <f>IF(AND(G996=".csv",COUNTIFS($B:$B,$B996,$G:$G,"xlsx")-COUNTIFS($B:$B,$B996,$G:$G,"xlsx",$C:$C,"~~$*")&gt;1,LEFT(C996,LEN($B996))&lt;&gt;$B996),"",IFERROR(IF(B996="FoPITY",INDEX(Customizations!$C$2:$C$19,MATCH(Sheet1!C996,Customizations!$B$2:$B$19,0),1),INDEX(About!C:C,MATCH(Sheet1!B996,About!B:B,0),1)),""))</f>
        <v>Industrial Equipment Shareweights.xlsm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5">
      <c r="A997" t="s">
        <v>242</v>
      </c>
      <c r="B997" t="s">
        <v>1610</v>
      </c>
      <c r="C997" t="s">
        <v>1833</v>
      </c>
      <c r="G997" t="str">
        <f t="shared" si="36"/>
        <v>.csv</v>
      </c>
      <c r="H997" s="5" t="str">
        <f>IF(AND(G997=".csv",COUNTIFS($B:$B,$B997,$G:$G,"xlsx")-COUNTIFS($B:$B,$B997,$G:$G,"xlsx",$C:$C,"~~$*")&gt;1,LEFT(C997,LEN($B997))&lt;&gt;$B997),"",IFERROR(IF(B997="FoPITY",INDEX(Customizations!$C$2:$C$19,MATCH(Sheet1!C997,Customizations!$B$2:$B$19,0),1),INDEX(About!C:C,MATCH(Sheet1!B997,About!B:B,0),1)),""))</f>
        <v>Industrial Equipment Shareweights.xlsm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5">
      <c r="A998" t="s">
        <v>242</v>
      </c>
      <c r="B998" t="s">
        <v>1610</v>
      </c>
      <c r="C998" t="s">
        <v>1623</v>
      </c>
      <c r="G998" t="str">
        <f t="shared" si="36"/>
        <v>.csv</v>
      </c>
      <c r="H998" s="5" t="str">
        <f>IF(AND(G998=".csv",COUNTIFS($B:$B,$B998,$G:$G,"xlsx")-COUNTIFS($B:$B,$B998,$G:$G,"xlsx",$C:$C,"~~$*")&gt;1,LEFT(C998,LEN($B998))&lt;&gt;$B998),"",IFERROR(IF(B998="FoPITY",INDEX(Customizations!$C$2:$C$19,MATCH(Sheet1!C998,Customizations!$B$2:$B$19,0),1),INDEX(About!C:C,MATCH(Sheet1!B998,About!B:B,0),1)),""))</f>
        <v>Industrial Equipment Shareweights.xlsm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5">
      <c r="A999" t="s">
        <v>242</v>
      </c>
      <c r="B999" t="s">
        <v>1610</v>
      </c>
      <c r="C999" t="s">
        <v>1624</v>
      </c>
      <c r="G999" t="str">
        <f t="shared" si="36"/>
        <v>.csv</v>
      </c>
      <c r="H999" s="5" t="str">
        <f>IF(AND(G999=".csv",COUNTIFS($B:$B,$B999,$G:$G,"xlsx")-COUNTIFS($B:$B,$B999,$G:$G,"xlsx",$C:$C,"~~$*")&gt;1,LEFT(C999,LEN($B999))&lt;&gt;$B999),"",IFERROR(IF(B999="FoPITY",INDEX(Customizations!$C$2:$C$19,MATCH(Sheet1!C999,Customizations!$B$2:$B$19,0),1),INDEX(About!C:C,MATCH(Sheet1!B999,About!B:B,0),1)),""))</f>
        <v>Industrial Equipment Shareweights.xlsm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5">
      <c r="A1000" t="s">
        <v>242</v>
      </c>
      <c r="B1000" t="s">
        <v>1610</v>
      </c>
      <c r="C1000" t="s">
        <v>1625</v>
      </c>
      <c r="G1000" t="str">
        <f t="shared" si="36"/>
        <v>.csv</v>
      </c>
      <c r="H1000" s="5" t="str">
        <f>IF(AND(G1000=".csv",COUNTIFS($B:$B,$B1000,$G:$G,"xlsx")-COUNTIFS($B:$B,$B1000,$G:$G,"xlsx",$C:$C,"~~$*")&gt;1,LEFT(C1000,LEN($B1000))&lt;&gt;$B1000),"",IFERROR(IF(B1000="FoPITY",INDEX(Customizations!$C$2:$C$19,MATCH(Sheet1!C1000,Customizations!$B$2:$B$19,0),1),INDEX(About!C:C,MATCH(Sheet1!B1000,About!B:B,0),1)),""))</f>
        <v>Industrial Equipment Shareweights.xlsm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5">
      <c r="A1001" t="s">
        <v>242</v>
      </c>
      <c r="B1001" t="s">
        <v>1610</v>
      </c>
      <c r="C1001" t="s">
        <v>1626</v>
      </c>
      <c r="G1001" t="str">
        <f t="shared" si="36"/>
        <v>.csv</v>
      </c>
      <c r="H1001" s="5" t="str">
        <f>IF(AND(G1001=".csv",COUNTIFS($B:$B,$B1001,$G:$G,"xlsx")-COUNTIFS($B:$B,$B1001,$G:$G,"xlsx",$C:$C,"~~$*")&gt;1,LEFT(C1001,LEN($B1001))&lt;&gt;$B1001),"",IFERROR(IF(B1001="FoPITY",INDEX(Customizations!$C$2:$C$19,MATCH(Sheet1!C1001,Customizations!$B$2:$B$19,0),1),INDEX(About!C:C,MATCH(Sheet1!B1001,About!B:B,0),1)),""))</f>
        <v>Industrial Equipment Shareweights.xlsm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5">
      <c r="A1002" t="s">
        <v>242</v>
      </c>
      <c r="B1002" t="s">
        <v>1610</v>
      </c>
      <c r="C1002" t="s">
        <v>1627</v>
      </c>
      <c r="G1002" t="str">
        <f t="shared" si="36"/>
        <v>.csv</v>
      </c>
      <c r="H1002" s="5" t="str">
        <f>IF(AND(G1002=".csv",COUNTIFS($B:$B,$B1002,$G:$G,"xlsx")-COUNTIFS($B:$B,$B1002,$G:$G,"xlsx",$C:$C,"~~$*")&gt;1,LEFT(C1002,LEN($B1002))&lt;&gt;$B1002),"",IFERROR(IF(B1002="FoPITY",INDEX(Customizations!$C$2:$C$19,MATCH(Sheet1!C1002,Customizations!$B$2:$B$19,0),1),INDEX(About!C:C,MATCH(Sheet1!B1002,About!B:B,0),1)),""))</f>
        <v>Industrial Equipment Shareweights.xlsm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5">
      <c r="A1003" t="s">
        <v>242</v>
      </c>
      <c r="B1003" t="s">
        <v>1610</v>
      </c>
      <c r="C1003" t="s">
        <v>1628</v>
      </c>
      <c r="G1003" t="str">
        <f t="shared" si="36"/>
        <v>.csv</v>
      </c>
      <c r="H1003" s="5" t="str">
        <f>IF(AND(G1003=".csv",COUNTIFS($B:$B,$B1003,$G:$G,"xlsx")-COUNTIFS($B:$B,$B1003,$G:$G,"xlsx",$C:$C,"~~$*")&gt;1,LEFT(C1003,LEN($B1003))&lt;&gt;$B1003),"",IFERROR(IF(B1003="FoPITY",INDEX(Customizations!$C$2:$C$19,MATCH(Sheet1!C1003,Customizations!$B$2:$B$19,0),1),INDEX(About!C:C,MATCH(Sheet1!B1003,About!B:B,0),1)),""))</f>
        <v>Industrial Equipment Shareweights.xlsm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5">
      <c r="A1004" t="s">
        <v>242</v>
      </c>
      <c r="B1004" t="s">
        <v>1610</v>
      </c>
      <c r="C1004" t="s">
        <v>1629</v>
      </c>
      <c r="G1004" t="str">
        <f t="shared" si="36"/>
        <v>.csv</v>
      </c>
      <c r="H1004" s="5" t="str">
        <f>IF(AND(G1004=".csv",COUNTIFS($B:$B,$B1004,$G:$G,"xlsx")-COUNTIFS($B:$B,$B1004,$G:$G,"xlsx",$C:$C,"~~$*")&gt;1,LEFT(C1004,LEN($B1004))&lt;&gt;$B1004),"",IFERROR(IF(B1004="FoPITY",INDEX(Customizations!$C$2:$C$19,MATCH(Sheet1!C1004,Customizations!$B$2:$B$19,0),1),INDEX(About!C:C,MATCH(Sheet1!B1004,About!B:B,0),1)),""))</f>
        <v>Industrial Equipment Shareweights.xlsm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5">
      <c r="A1005" t="s">
        <v>242</v>
      </c>
      <c r="B1005" t="s">
        <v>1610</v>
      </c>
      <c r="C1005" t="s">
        <v>1630</v>
      </c>
      <c r="G1005" t="str">
        <f t="shared" si="36"/>
        <v>.csv</v>
      </c>
      <c r="H1005" s="5" t="str">
        <f>IF(AND(G1005=".csv",COUNTIFS($B:$B,$B1005,$G:$G,"xlsx")-COUNTIFS($B:$B,$B1005,$G:$G,"xlsx",$C:$C,"~~$*")&gt;1,LEFT(C1005,LEN($B1005))&lt;&gt;$B1005),"",IFERROR(IF(B1005="FoPITY",INDEX(Customizations!$C$2:$C$19,MATCH(Sheet1!C1005,Customizations!$B$2:$B$19,0),1),INDEX(About!C:C,MATCH(Sheet1!B1005,About!B:B,0),1)),""))</f>
        <v>Industrial Equipment Shareweights.xlsm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5">
      <c r="A1006" t="s">
        <v>242</v>
      </c>
      <c r="B1006" t="s">
        <v>1610</v>
      </c>
      <c r="C1006" t="s">
        <v>1631</v>
      </c>
      <c r="G1006" t="str">
        <f t="shared" si="36"/>
        <v>.csv</v>
      </c>
      <c r="H1006" s="5" t="str">
        <f>IF(AND(G1006=".csv",COUNTIFS($B:$B,$B1006,$G:$G,"xlsx")-COUNTIFS($B:$B,$B1006,$G:$G,"xlsx",$C:$C,"~~$*")&gt;1,LEFT(C1006,LEN($B1006))&lt;&gt;$B1006),"",IFERROR(IF(B1006="FoPITY",INDEX(Customizations!$C$2:$C$19,MATCH(Sheet1!C1006,Customizations!$B$2:$B$19,0),1),INDEX(About!C:C,MATCH(Sheet1!B1006,About!B:B,0),1)),""))</f>
        <v>Industrial Equipment Shareweights.xlsm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5">
      <c r="A1007" t="s">
        <v>242</v>
      </c>
      <c r="B1007" t="s">
        <v>1610</v>
      </c>
      <c r="C1007" t="s">
        <v>1632</v>
      </c>
      <c r="G1007" t="str">
        <f t="shared" si="36"/>
        <v>.csv</v>
      </c>
      <c r="H1007" s="5" t="str">
        <f>IF(AND(G1007=".csv",COUNTIFS($B:$B,$B1007,$G:$G,"xlsx")-COUNTIFS($B:$B,$B1007,$G:$G,"xlsx",$C:$C,"~~$*")&gt;1,LEFT(C1007,LEN($B1007))&lt;&gt;$B1007),"",IFERROR(IF(B1007="FoPITY",INDEX(Customizations!$C$2:$C$19,MATCH(Sheet1!C1007,Customizations!$B$2:$B$19,0),1),INDEX(About!C:C,MATCH(Sheet1!B1007,About!B:B,0),1)),""))</f>
        <v>Industrial Equipment Shareweights.xlsm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5">
      <c r="A1008" t="s">
        <v>242</v>
      </c>
      <c r="B1008" t="s">
        <v>1610</v>
      </c>
      <c r="C1008" t="s">
        <v>1633</v>
      </c>
      <c r="G1008" t="str">
        <f t="shared" si="36"/>
        <v>.csv</v>
      </c>
      <c r="H1008" s="5" t="str">
        <f>IF(AND(G1008=".csv",COUNTIFS($B:$B,$B1008,$G:$G,"xlsx")-COUNTIFS($B:$B,$B1008,$G:$G,"xlsx",$C:$C,"~~$*")&gt;1,LEFT(C1008,LEN($B1008))&lt;&gt;$B1008),"",IFERROR(IF(B1008="FoPITY",INDEX(Customizations!$C$2:$C$19,MATCH(Sheet1!C1008,Customizations!$B$2:$B$19,0),1),INDEX(About!C:C,MATCH(Sheet1!B1008,About!B:B,0),1)),""))</f>
        <v>Industrial Equipment Shareweights.xlsm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5">
      <c r="A1009" t="s">
        <v>242</v>
      </c>
      <c r="B1009" t="s">
        <v>1610</v>
      </c>
      <c r="C1009" t="s">
        <v>1634</v>
      </c>
      <c r="G1009" t="str">
        <f t="shared" si="36"/>
        <v>.csv</v>
      </c>
      <c r="H1009" s="5" t="str">
        <f>IF(AND(G1009=".csv",COUNTIFS($B:$B,$B1009,$G:$G,"xlsx")-COUNTIFS($B:$B,$B1009,$G:$G,"xlsx",$C:$C,"~~$*")&gt;1,LEFT(C1009,LEN($B1009))&lt;&gt;$B1009),"",IFERROR(IF(B1009="FoPITY",INDEX(Customizations!$C$2:$C$19,MATCH(Sheet1!C1009,Customizations!$B$2:$B$19,0),1),INDEX(About!C:C,MATCH(Sheet1!B1009,About!B:B,0),1)),""))</f>
        <v>Industrial Equipment Shareweights.xlsm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5">
      <c r="A1010" t="s">
        <v>242</v>
      </c>
      <c r="B1010" t="s">
        <v>1610</v>
      </c>
      <c r="C1010" t="s">
        <v>1834</v>
      </c>
      <c r="G1010" t="str">
        <f t="shared" si="36"/>
        <v>.csv</v>
      </c>
      <c r="H1010" s="5" t="str">
        <f>IF(AND(G1010=".csv",COUNTIFS($B:$B,$B1010,$G:$G,"xlsx")-COUNTIFS($B:$B,$B1010,$G:$G,"xlsx",$C:$C,"~~$*")&gt;1,LEFT(C1010,LEN($B1010))&lt;&gt;$B1010),"",IFERROR(IF(B1010="FoPITY",INDEX(Customizations!$C$2:$C$19,MATCH(Sheet1!C1010,Customizations!$B$2:$B$19,0),1),INDEX(About!C:C,MATCH(Sheet1!B1010,About!B:B,0),1)),""))</f>
        <v>Industrial Equipment Shareweights.xlsm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5">
      <c r="A1011" t="s">
        <v>242</v>
      </c>
      <c r="B1011" t="s">
        <v>1610</v>
      </c>
      <c r="C1011" t="s">
        <v>1835</v>
      </c>
      <c r="G1011" t="str">
        <f t="shared" si="36"/>
        <v>.csv</v>
      </c>
      <c r="H1011" s="5" t="str">
        <f>IF(AND(G1011=".csv",COUNTIFS($B:$B,$B1011,$G:$G,"xlsx")-COUNTIFS($B:$B,$B1011,$G:$G,"xlsx",$C:$C,"~~$*")&gt;1,LEFT(C1011,LEN($B1011))&lt;&gt;$B1011),"",IFERROR(IF(B1011="FoPITY",INDEX(Customizations!$C$2:$C$19,MATCH(Sheet1!C1011,Customizations!$B$2:$B$19,0),1),INDEX(About!C:C,MATCH(Sheet1!B1011,About!B:B,0),1)),""))</f>
        <v>Industrial Equipment Shareweights.xlsm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5">
      <c r="A1012" t="s">
        <v>242</v>
      </c>
      <c r="B1012" t="s">
        <v>1610</v>
      </c>
      <c r="C1012" t="s">
        <v>1836</v>
      </c>
      <c r="G1012" t="str">
        <f t="shared" si="36"/>
        <v>.csv</v>
      </c>
      <c r="H1012" s="5" t="str">
        <f>IF(AND(G1012=".csv",COUNTIFS($B:$B,$B1012,$G:$G,"xlsx")-COUNTIFS($B:$B,$B1012,$G:$G,"xlsx",$C:$C,"~~$*")&gt;1,LEFT(C1012,LEN($B1012))&lt;&gt;$B1012),"",IFERROR(IF(B1012="FoPITY",INDEX(Customizations!$C$2:$C$19,MATCH(Sheet1!C1012,Customizations!$B$2:$B$19,0),1),INDEX(About!C:C,MATCH(Sheet1!B1012,About!B:B,0),1)),""))</f>
        <v>Industrial Equipment Shareweights.xlsm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5">
      <c r="A1013" t="s">
        <v>242</v>
      </c>
      <c r="B1013" t="s">
        <v>1610</v>
      </c>
      <c r="C1013" t="s">
        <v>1837</v>
      </c>
      <c r="G1013" t="str">
        <f t="shared" si="36"/>
        <v>.csv</v>
      </c>
      <c r="H1013" s="5" t="str">
        <f>IF(AND(G1013=".csv",COUNTIFS($B:$B,$B1013,$G:$G,"xlsx")-COUNTIFS($B:$B,$B1013,$G:$G,"xlsx",$C:$C,"~~$*")&gt;1,LEFT(C1013,LEN($B1013))&lt;&gt;$B1013),"",IFERROR(IF(B1013="FoPITY",INDEX(Customizations!$C$2:$C$19,MATCH(Sheet1!C1013,Customizations!$B$2:$B$19,0),1),INDEX(About!C:C,MATCH(Sheet1!B1013,About!B:B,0),1)),""))</f>
        <v>Industrial Equipment Shareweights.xlsm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5">
      <c r="A1014" t="s">
        <v>242</v>
      </c>
      <c r="B1014" t="s">
        <v>1610</v>
      </c>
      <c r="C1014" t="s">
        <v>1838</v>
      </c>
      <c r="G1014" t="str">
        <f t="shared" si="36"/>
        <v>.csv</v>
      </c>
      <c r="H1014" s="5" t="str">
        <f>IF(AND(G1014=".csv",COUNTIFS($B:$B,$B1014,$G:$G,"xlsx")-COUNTIFS($B:$B,$B1014,$G:$G,"xlsx",$C:$C,"~~$*")&gt;1,LEFT(C1014,LEN($B1014))&lt;&gt;$B1014),"",IFERROR(IF(B1014="FoPITY",INDEX(Customizations!$C$2:$C$19,MATCH(Sheet1!C1014,Customizations!$B$2:$B$19,0),1),INDEX(About!C:C,MATCH(Sheet1!B1014,About!B:B,0),1)),""))</f>
        <v>Industrial Equipment Shareweights.xlsm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5">
      <c r="A1015" t="s">
        <v>242</v>
      </c>
      <c r="B1015" t="s">
        <v>1610</v>
      </c>
      <c r="C1015" t="s">
        <v>1839</v>
      </c>
      <c r="G1015" t="str">
        <f t="shared" ref="G1015:G1078" si="38">RIGHT(C1015,"4")</f>
        <v>.csv</v>
      </c>
      <c r="H1015" s="5" t="str">
        <f>IF(AND(G1015=".csv",COUNTIFS($B:$B,$B1015,$G:$G,"xlsx")-COUNTIFS($B:$B,$B1015,$G:$G,"xlsx",$C:$C,"~~$*")&gt;1,LEFT(C1015,LEN($B1015))&lt;&gt;$B1015),"",IFERROR(IF(B1015="FoPITY",INDEX(Customizations!$C$2:$C$19,MATCH(Sheet1!C1015,Customizations!$B$2:$B$19,0),1),INDEX(About!C:C,MATCH(Sheet1!B1015,About!B:B,0),1)),""))</f>
        <v>Industrial Equipment Shareweights.xlsm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5">
      <c r="A1016" t="s">
        <v>242</v>
      </c>
      <c r="B1016" t="s">
        <v>1610</v>
      </c>
      <c r="C1016" t="s">
        <v>1840</v>
      </c>
      <c r="G1016" t="str">
        <f t="shared" si="38"/>
        <v>.csv</v>
      </c>
      <c r="H1016" s="5" t="str">
        <f>IF(AND(G1016=".csv",COUNTIFS($B:$B,$B1016,$G:$G,"xlsx")-COUNTIFS($B:$B,$B1016,$G:$G,"xlsx",$C:$C,"~~$*")&gt;1,LEFT(C1016,LEN($B1016))&lt;&gt;$B1016),"",IFERROR(IF(B1016="FoPITY",INDEX(Customizations!$C$2:$C$19,MATCH(Sheet1!C1016,Customizations!$B$2:$B$19,0),1),INDEX(About!C:C,MATCH(Sheet1!B1016,About!B:B,0),1)),""))</f>
        <v>Industrial Equipment Shareweights.xlsm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5">
      <c r="A1017" t="s">
        <v>242</v>
      </c>
      <c r="B1017" t="s">
        <v>1610</v>
      </c>
      <c r="C1017" t="s">
        <v>1841</v>
      </c>
      <c r="G1017" t="str">
        <f t="shared" si="38"/>
        <v>.csv</v>
      </c>
      <c r="H1017" s="5" t="str">
        <f>IF(AND(G1017=".csv",COUNTIFS($B:$B,$B1017,$G:$G,"xlsx")-COUNTIFS($B:$B,$B1017,$G:$G,"xlsx",$C:$C,"~~$*")&gt;1,LEFT(C1017,LEN($B1017))&lt;&gt;$B1017),"",IFERROR(IF(B1017="FoPITY",INDEX(Customizations!$C$2:$C$19,MATCH(Sheet1!C1017,Customizations!$B$2:$B$19,0),1),INDEX(About!C:C,MATCH(Sheet1!B1017,About!B:B,0),1)),""))</f>
        <v>Industrial Equipment Shareweights.xlsm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5">
      <c r="A1018" t="s">
        <v>242</v>
      </c>
      <c r="B1018" t="s">
        <v>1610</v>
      </c>
      <c r="C1018" t="s">
        <v>1842</v>
      </c>
      <c r="G1018" t="str">
        <f t="shared" si="38"/>
        <v>.csv</v>
      </c>
      <c r="H1018" s="5" t="str">
        <f>IF(AND(G1018=".csv",COUNTIFS($B:$B,$B1018,$G:$G,"xlsx")-COUNTIFS($B:$B,$B1018,$G:$G,"xlsx",$C:$C,"~~$*")&gt;1,LEFT(C1018,LEN($B1018))&lt;&gt;$B1018),"",IFERROR(IF(B1018="FoPITY",INDEX(Customizations!$C$2:$C$19,MATCH(Sheet1!C1018,Customizations!$B$2:$B$19,0),1),INDEX(About!C:C,MATCH(Sheet1!B1018,About!B:B,0),1)),""))</f>
        <v>Industrial Equipment Shareweights.xlsm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5">
      <c r="A1019" t="s">
        <v>242</v>
      </c>
      <c r="B1019" t="s">
        <v>1610</v>
      </c>
      <c r="C1019" t="s">
        <v>1843</v>
      </c>
      <c r="G1019" t="str">
        <f t="shared" si="38"/>
        <v>.csv</v>
      </c>
      <c r="H1019" s="5" t="str">
        <f>IF(AND(G1019=".csv",COUNTIFS($B:$B,$B1019,$G:$G,"xlsx")-COUNTIFS($B:$B,$B1019,$G:$G,"xlsx",$C:$C,"~~$*")&gt;1,LEFT(C1019,LEN($B1019))&lt;&gt;$B1019),"",IFERROR(IF(B1019="FoPITY",INDEX(Customizations!$C$2:$C$19,MATCH(Sheet1!C1019,Customizations!$B$2:$B$19,0),1),INDEX(About!C:C,MATCH(Sheet1!B1019,About!B:B,0),1)),""))</f>
        <v>Industrial Equipment Shareweights.xlsm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5">
      <c r="A1020" t="s">
        <v>242</v>
      </c>
      <c r="B1020" t="s">
        <v>1610</v>
      </c>
      <c r="C1020" t="s">
        <v>1844</v>
      </c>
      <c r="G1020" t="str">
        <f t="shared" si="38"/>
        <v>.csv</v>
      </c>
      <c r="H1020" s="5" t="str">
        <f>IF(AND(G1020=".csv",COUNTIFS($B:$B,$B1020,$G:$G,"xlsx")-COUNTIFS($B:$B,$B1020,$G:$G,"xlsx",$C:$C,"~~$*")&gt;1,LEFT(C1020,LEN($B1020))&lt;&gt;$B1020),"",IFERROR(IF(B1020="FoPITY",INDEX(Customizations!$C$2:$C$19,MATCH(Sheet1!C1020,Customizations!$B$2:$B$19,0),1),INDEX(About!C:C,MATCH(Sheet1!B1020,About!B:B,0),1)),""))</f>
        <v>Industrial Equipment Shareweights.xlsm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5">
      <c r="A1021" t="s">
        <v>242</v>
      </c>
      <c r="B1021" t="s">
        <v>1610</v>
      </c>
      <c r="C1021" t="s">
        <v>1845</v>
      </c>
      <c r="G1021" t="str">
        <f t="shared" si="38"/>
        <v>.csv</v>
      </c>
      <c r="H1021" s="5" t="str">
        <f>IF(AND(G1021=".csv",COUNTIFS($B:$B,$B1021,$G:$G,"xlsx")-COUNTIFS($B:$B,$B1021,$G:$G,"xlsx",$C:$C,"~~$*")&gt;1,LEFT(C1021,LEN($B1021))&lt;&gt;$B1021),"",IFERROR(IF(B1021="FoPITY",INDEX(Customizations!$C$2:$C$19,MATCH(Sheet1!C1021,Customizations!$B$2:$B$19,0),1),INDEX(About!C:C,MATCH(Sheet1!B1021,About!B:B,0),1)),""))</f>
        <v>Industrial Equipment Shareweights.xlsm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5">
      <c r="A1022" t="s">
        <v>242</v>
      </c>
      <c r="B1022" t="s">
        <v>1610</v>
      </c>
      <c r="C1022" t="s">
        <v>1635</v>
      </c>
      <c r="G1022" t="str">
        <f t="shared" si="38"/>
        <v>.csv</v>
      </c>
      <c r="H1022" s="5" t="str">
        <f>IF(AND(G1022=".csv",COUNTIFS($B:$B,$B1022,$G:$G,"xlsx")-COUNTIFS($B:$B,$B1022,$G:$G,"xlsx",$C:$C,"~~$*")&gt;1,LEFT(C1022,LEN($B1022))&lt;&gt;$B1022),"",IFERROR(IF(B1022="FoPITY",INDEX(Customizations!$C$2:$C$19,MATCH(Sheet1!C1022,Customizations!$B$2:$B$19,0),1),INDEX(About!C:C,MATCH(Sheet1!B1022,About!B:B,0),1)),""))</f>
        <v>Industrial Equipment Shareweights.xlsm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5">
      <c r="A1023" t="s">
        <v>242</v>
      </c>
      <c r="B1023" t="s">
        <v>1610</v>
      </c>
      <c r="C1023" t="s">
        <v>1636</v>
      </c>
      <c r="G1023" t="str">
        <f t="shared" si="38"/>
        <v>.csv</v>
      </c>
      <c r="H1023" s="5" t="str">
        <f>IF(AND(G1023=".csv",COUNTIFS($B:$B,$B1023,$G:$G,"xlsx")-COUNTIFS($B:$B,$B1023,$G:$G,"xlsx",$C:$C,"~~$*")&gt;1,LEFT(C1023,LEN($B1023))&lt;&gt;$B1023),"",IFERROR(IF(B1023="FoPITY",INDEX(Customizations!$C$2:$C$19,MATCH(Sheet1!C1023,Customizations!$B$2:$B$19,0),1),INDEX(About!C:C,MATCH(Sheet1!B1023,About!B:B,0),1)),""))</f>
        <v>Industrial Equipment Shareweights.xlsm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5">
      <c r="A1024" t="s">
        <v>242</v>
      </c>
      <c r="B1024" t="s">
        <v>1610</v>
      </c>
      <c r="C1024" t="s">
        <v>1637</v>
      </c>
      <c r="G1024" t="str">
        <f t="shared" si="38"/>
        <v>.csv</v>
      </c>
      <c r="H1024" s="5" t="str">
        <f>IF(AND(G1024=".csv",COUNTIFS($B:$B,$B1024,$G:$G,"xlsx")-COUNTIFS($B:$B,$B1024,$G:$G,"xlsx",$C:$C,"~~$*")&gt;1,LEFT(C1024,LEN($B1024))&lt;&gt;$B1024),"",IFERROR(IF(B1024="FoPITY",INDEX(Customizations!$C$2:$C$19,MATCH(Sheet1!C1024,Customizations!$B$2:$B$19,0),1),INDEX(About!C:C,MATCH(Sheet1!B1024,About!B:B,0),1)),""))</f>
        <v>Industrial Equipment Shareweights.xlsm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5">
      <c r="A1025" t="s">
        <v>242</v>
      </c>
      <c r="B1025" t="s">
        <v>1610</v>
      </c>
      <c r="C1025" t="s">
        <v>1638</v>
      </c>
      <c r="G1025" t="str">
        <f t="shared" si="38"/>
        <v>.csv</v>
      </c>
      <c r="H1025" s="5" t="str">
        <f>IF(AND(G1025=".csv",COUNTIFS($B:$B,$B1025,$G:$G,"xlsx")-COUNTIFS($B:$B,$B1025,$G:$G,"xlsx",$C:$C,"~~$*")&gt;1,LEFT(C1025,LEN($B1025))&lt;&gt;$B1025),"",IFERROR(IF(B1025="FoPITY",INDEX(Customizations!$C$2:$C$19,MATCH(Sheet1!C1025,Customizations!$B$2:$B$19,0),1),INDEX(About!C:C,MATCH(Sheet1!B1025,About!B:B,0),1)),""))</f>
        <v>Industrial Equipment Shareweights.xlsm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5">
      <c r="A1026" t="s">
        <v>242</v>
      </c>
      <c r="B1026" t="s">
        <v>1610</v>
      </c>
      <c r="C1026" t="s">
        <v>1639</v>
      </c>
      <c r="G1026" t="str">
        <f t="shared" si="38"/>
        <v>.csv</v>
      </c>
      <c r="H1026" s="5" t="str">
        <f>IF(AND(G1026=".csv",COUNTIFS($B:$B,$B1026,$G:$G,"xlsx")-COUNTIFS($B:$B,$B1026,$G:$G,"xlsx",$C:$C,"~~$*")&gt;1,LEFT(C1026,LEN($B1026))&lt;&gt;$B1026),"",IFERROR(IF(B1026="FoPITY",INDEX(Customizations!$C$2:$C$19,MATCH(Sheet1!C1026,Customizations!$B$2:$B$19,0),1),INDEX(About!C:C,MATCH(Sheet1!B1026,About!B:B,0),1)),""))</f>
        <v>Industrial Equipment Shareweights.xlsm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5">
      <c r="A1027" t="s">
        <v>242</v>
      </c>
      <c r="B1027" t="s">
        <v>1610</v>
      </c>
      <c r="C1027" t="s">
        <v>1640</v>
      </c>
      <c r="G1027" t="str">
        <f t="shared" si="38"/>
        <v>.csv</v>
      </c>
      <c r="H1027" s="5" t="str">
        <f>IF(AND(G1027=".csv",COUNTIFS($B:$B,$B1027,$G:$G,"xlsx")-COUNTIFS($B:$B,$B1027,$G:$G,"xlsx",$C:$C,"~~$*")&gt;1,LEFT(C1027,LEN($B1027))&lt;&gt;$B1027),"",IFERROR(IF(B1027="FoPITY",INDEX(Customizations!$C$2:$C$19,MATCH(Sheet1!C1027,Customizations!$B$2:$B$19,0),1),INDEX(About!C:C,MATCH(Sheet1!B1027,About!B:B,0),1)),""))</f>
        <v>Industrial Equipment Shareweights.xlsm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5">
      <c r="A1028" t="s">
        <v>242</v>
      </c>
      <c r="B1028" t="s">
        <v>1610</v>
      </c>
      <c r="C1028" t="s">
        <v>1641</v>
      </c>
      <c r="G1028" t="str">
        <f t="shared" si="38"/>
        <v>.csv</v>
      </c>
      <c r="H1028" s="5" t="str">
        <f>IF(AND(G1028=".csv",COUNTIFS($B:$B,$B1028,$G:$G,"xlsx")-COUNTIFS($B:$B,$B1028,$G:$G,"xlsx",$C:$C,"~~$*")&gt;1,LEFT(C1028,LEN($B1028))&lt;&gt;$B1028),"",IFERROR(IF(B1028="FoPITY",INDEX(Customizations!$C$2:$C$19,MATCH(Sheet1!C1028,Customizations!$B$2:$B$19,0),1),INDEX(About!C:C,MATCH(Sheet1!B1028,About!B:B,0),1)),""))</f>
        <v>Industrial Equipment Shareweights.xlsm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5">
      <c r="A1029" t="s">
        <v>242</v>
      </c>
      <c r="B1029" t="s">
        <v>1610</v>
      </c>
      <c r="C1029" t="s">
        <v>1642</v>
      </c>
      <c r="G1029" t="str">
        <f t="shared" si="38"/>
        <v>.csv</v>
      </c>
      <c r="H1029" s="5" t="str">
        <f>IF(AND(G1029=".csv",COUNTIFS($B:$B,$B1029,$G:$G,"xlsx")-COUNTIFS($B:$B,$B1029,$G:$G,"xlsx",$C:$C,"~~$*")&gt;1,LEFT(C1029,LEN($B1029))&lt;&gt;$B1029),"",IFERROR(IF(B1029="FoPITY",INDEX(Customizations!$C$2:$C$19,MATCH(Sheet1!C1029,Customizations!$B$2:$B$19,0),1),INDEX(About!C:C,MATCH(Sheet1!B1029,About!B:B,0),1)),""))</f>
        <v>Industrial Equipment Shareweights.xlsm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5">
      <c r="A1030" t="s">
        <v>242</v>
      </c>
      <c r="B1030" t="s">
        <v>1610</v>
      </c>
      <c r="C1030" t="s">
        <v>1643</v>
      </c>
      <c r="G1030" t="str">
        <f t="shared" si="38"/>
        <v>.csv</v>
      </c>
      <c r="H1030" s="5" t="str">
        <f>IF(AND(G1030=".csv",COUNTIFS($B:$B,$B1030,$G:$G,"xlsx")-COUNTIFS($B:$B,$B1030,$G:$G,"xlsx",$C:$C,"~~$*")&gt;1,LEFT(C1030,LEN($B1030))&lt;&gt;$B1030),"",IFERROR(IF(B1030="FoPITY",INDEX(Customizations!$C$2:$C$19,MATCH(Sheet1!C1030,Customizations!$B$2:$B$19,0),1),INDEX(About!C:C,MATCH(Sheet1!B1030,About!B:B,0),1)),""))</f>
        <v>Industrial Equipment Shareweights.xlsm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5">
      <c r="A1031" t="s">
        <v>242</v>
      </c>
      <c r="B1031" t="s">
        <v>1610</v>
      </c>
      <c r="C1031" t="s">
        <v>1644</v>
      </c>
      <c r="G1031" t="str">
        <f t="shared" si="38"/>
        <v>.csv</v>
      </c>
      <c r="H1031" s="5" t="str">
        <f>IF(AND(G1031=".csv",COUNTIFS($B:$B,$B1031,$G:$G,"xlsx")-COUNTIFS($B:$B,$B1031,$G:$G,"xlsx",$C:$C,"~~$*")&gt;1,LEFT(C1031,LEN($B1031))&lt;&gt;$B1031),"",IFERROR(IF(B1031="FoPITY",INDEX(Customizations!$C$2:$C$19,MATCH(Sheet1!C1031,Customizations!$B$2:$B$19,0),1),INDEX(About!C:C,MATCH(Sheet1!B1031,About!B:B,0),1)),""))</f>
        <v>Industrial Equipment Shareweights.xlsm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5">
      <c r="A1032" t="s">
        <v>242</v>
      </c>
      <c r="B1032" t="s">
        <v>1610</v>
      </c>
      <c r="C1032" t="s">
        <v>1645</v>
      </c>
      <c r="G1032" t="str">
        <f t="shared" si="38"/>
        <v>.csv</v>
      </c>
      <c r="H1032" s="5" t="str">
        <f>IF(AND(G1032=".csv",COUNTIFS($B:$B,$B1032,$G:$G,"xlsx")-COUNTIFS($B:$B,$B1032,$G:$G,"xlsx",$C:$C,"~~$*")&gt;1,LEFT(C1032,LEN($B1032))&lt;&gt;$B1032),"",IFERROR(IF(B1032="FoPITY",INDEX(Customizations!$C$2:$C$19,MATCH(Sheet1!C1032,Customizations!$B$2:$B$19,0),1),INDEX(About!C:C,MATCH(Sheet1!B1032,About!B:B,0),1)),""))</f>
        <v>Industrial Equipment Shareweights.xlsm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5">
      <c r="A1033" t="s">
        <v>242</v>
      </c>
      <c r="B1033" t="s">
        <v>1610</v>
      </c>
      <c r="C1033" t="s">
        <v>1646</v>
      </c>
      <c r="G1033" t="str">
        <f t="shared" si="38"/>
        <v>.csv</v>
      </c>
      <c r="H1033" s="5" t="str">
        <f>IF(AND(G1033=".csv",COUNTIFS($B:$B,$B1033,$G:$G,"xlsx")-COUNTIFS($B:$B,$B1033,$G:$G,"xlsx",$C:$C,"~~$*")&gt;1,LEFT(C1033,LEN($B1033))&lt;&gt;$B1033),"",IFERROR(IF(B1033="FoPITY",INDEX(Customizations!$C$2:$C$19,MATCH(Sheet1!C1033,Customizations!$B$2:$B$19,0),1),INDEX(About!C:C,MATCH(Sheet1!B1033,About!B:B,0),1)),""))</f>
        <v>Industrial Equipment Shareweights.xlsm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5">
      <c r="A1034" t="s">
        <v>242</v>
      </c>
      <c r="B1034" t="s">
        <v>1610</v>
      </c>
      <c r="C1034" t="s">
        <v>1647</v>
      </c>
      <c r="G1034" t="str">
        <f t="shared" si="38"/>
        <v>xlsm</v>
      </c>
      <c r="H1034" s="5" t="str">
        <f>IF(AND(G1034=".csv",COUNTIFS($B:$B,$B1034,$G:$G,"xlsx")-COUNTIFS($B:$B,$B1034,$G:$G,"xlsx",$C:$C,"~~$*")&gt;1,LEFT(C1034,LEN($B1034))&lt;&gt;$B1034),"",IFERROR(IF(B1034="FoPITY",INDEX(Customizations!$C$2:$C$19,MATCH(Sheet1!C1034,Customizations!$B$2:$B$19,0),1),INDEX(About!C:C,MATCH(Sheet1!B1034,About!B:B,0),1)),""))</f>
        <v>Industrial Equipment Shareweights.xlsm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5">
      <c r="A1035" t="s">
        <v>242</v>
      </c>
      <c r="B1035" t="s">
        <v>1610</v>
      </c>
      <c r="C1035" t="s">
        <v>1648</v>
      </c>
      <c r="G1035" t="str">
        <f t="shared" si="38"/>
        <v>xlsx</v>
      </c>
      <c r="H1035" s="5" t="str">
        <f>IF(AND(G1035=".csv",COUNTIFS($B:$B,$B1035,$G:$G,"xlsx")-COUNTIFS($B:$B,$B1035,$G:$G,"xlsx",$C:$C,"~~$*")&gt;1,LEFT(C1035,LEN($B1035))&lt;&gt;$B1035),"",IFERROR(IF(B1035="FoPITY",INDEX(Customizations!$C$2:$C$19,MATCH(Sheet1!C1035,Customizations!$B$2:$B$19,0),1),INDEX(About!C:C,MATCH(Sheet1!B1035,About!B:B,0),1)),""))</f>
        <v>Industrial Equipment Shareweights.xlsm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5">
      <c r="A1036" t="s">
        <v>242</v>
      </c>
      <c r="B1036" t="s">
        <v>1649</v>
      </c>
      <c r="C1036" t="s">
        <v>1650</v>
      </c>
      <c r="G1036" t="str">
        <f t="shared" si="38"/>
        <v>.csv</v>
      </c>
      <c r="H1036" s="5" t="str">
        <f>IF(AND(G1036=".csv",COUNTIFS($B:$B,$B1036,$G:$G,"xlsx")-COUNTIFS($B:$B,$B1036,$G:$G,"xlsx",$C:$C,"~~$*")&gt;1,LEFT(C1036,LEN($B1036))&lt;&gt;$B1036),"",IFERROR(IF(B1036="FoPITY",INDEX(Customizations!$C$2:$C$19,MATCH(Sheet1!C1036,Customizations!$B$2:$B$19,0),1),INDEX(About!C:C,MATCH(Sheet1!B1036,About!B:B,0),1)),""))</f>
        <v>Industrial Equipment Survival Data.xlsx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35">
      <c r="A1037" t="s">
        <v>242</v>
      </c>
      <c r="B1037" t="s">
        <v>1649</v>
      </c>
      <c r="C1037" t="s">
        <v>1651</v>
      </c>
      <c r="G1037" t="str">
        <f t="shared" si="38"/>
        <v>.csv</v>
      </c>
      <c r="H1037" s="5" t="str">
        <f>IF(AND(G1037=".csv",COUNTIFS($B:$B,$B1037,$G:$G,"xlsx")-COUNTIFS($B:$B,$B1037,$G:$G,"xlsx",$C:$C,"~~$*")&gt;1,LEFT(C1037,LEN($B1037))&lt;&gt;$B1037),"",IFERROR(IF(B1037="FoPITY",INDEX(Customizations!$C$2:$C$19,MATCH(Sheet1!C1037,Customizations!$B$2:$B$19,0),1),INDEX(About!C:C,MATCH(Sheet1!B1037,About!B:B,0),1)),""))</f>
        <v>Industrial Equipment Survival Data.xlsx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35">
      <c r="A1038" t="s">
        <v>242</v>
      </c>
      <c r="B1038" t="s">
        <v>1649</v>
      </c>
      <c r="C1038" t="s">
        <v>1846</v>
      </c>
      <c r="G1038" t="str">
        <f t="shared" si="38"/>
        <v>.csv</v>
      </c>
      <c r="H1038" s="5" t="str">
        <f>IF(AND(G1038=".csv",COUNTIFS($B:$B,$B1038,$G:$G,"xlsx")-COUNTIFS($B:$B,$B1038,$G:$G,"xlsx",$C:$C,"~~$*")&gt;1,LEFT(C1038,LEN($B1038))&lt;&gt;$B1038),"",IFERROR(IF(B1038="FoPITY",INDEX(Customizations!$C$2:$C$19,MATCH(Sheet1!C1038,Customizations!$B$2:$B$19,0),1),INDEX(About!C:C,MATCH(Sheet1!B1038,About!B:B,0),1)),""))</f>
        <v>Industrial Equipment Survival Data.xlsx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35">
      <c r="A1039" t="s">
        <v>242</v>
      </c>
      <c r="B1039" t="s">
        <v>1649</v>
      </c>
      <c r="C1039" t="s">
        <v>1652</v>
      </c>
      <c r="G1039" t="str">
        <f t="shared" si="38"/>
        <v>xlsx</v>
      </c>
      <c r="H1039" s="5" t="str">
        <f>IF(AND(G1039=".csv",COUNTIFS($B:$B,$B1039,$G:$G,"xlsx")-COUNTIFS($B:$B,$B1039,$G:$G,"xlsx",$C:$C,"~~$*")&gt;1,LEFT(C1039,LEN($B1039))&lt;&gt;$B1039),"",IFERROR(IF(B1039="FoPITY",INDEX(Customizations!$C$2:$C$19,MATCH(Sheet1!C1039,Customizations!$B$2:$B$19,0),1),INDEX(About!C:C,MATCH(Sheet1!B1039,About!B:B,0),1)),""))</f>
        <v>Industrial Equipment Survival Data.xlsx</v>
      </c>
      <c r="I1039" s="5">
        <f>IFERROR(INDEX(About!$D:$D,MATCH(Sheet1!H1039,About!$C:$C,0),1),0)</f>
        <v>1</v>
      </c>
      <c r="J1039" s="6">
        <f t="shared" si="39"/>
        <v>0</v>
      </c>
    </row>
    <row r="1040" spans="1:10" x14ac:dyDescent="0.35">
      <c r="A1040" t="s">
        <v>242</v>
      </c>
      <c r="B1040" t="s">
        <v>940</v>
      </c>
      <c r="C1040" t="s">
        <v>941</v>
      </c>
      <c r="G1040" t="str">
        <f t="shared" si="38"/>
        <v>xlsx</v>
      </c>
      <c r="H1040" s="5" t="str">
        <f>IF(AND(G1040=".csv",COUNTIFS($B:$B,$B1040,$G:$G,"xlsx")-COUNTIFS($B:$B,$B1040,$G:$G,"xlsx",$C:$C,"~~$*")&gt;1,LEFT(C1040,LEN($B1040))&lt;&gt;$B1040),"",IFERROR(IF(B1040="FoPITY",INDEX(Customizations!$C$2:$C$19,MATCH(Sheet1!C1040,Customizations!$B$2:$B$19,0),1),INDEX(About!C:C,MATCH(Sheet1!B1040,About!B:B,0),1)),""))</f>
        <v>IESE Import Export Substitution Elasticities.xlsx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5">
      <c r="A1041" t="s">
        <v>242</v>
      </c>
      <c r="B1041" t="s">
        <v>940</v>
      </c>
      <c r="C1041" t="s">
        <v>942</v>
      </c>
      <c r="G1041" t="str">
        <f t="shared" si="38"/>
        <v>.csv</v>
      </c>
      <c r="H1041" s="5" t="str">
        <f>IF(AND(G1041=".csv",COUNTIFS($B:$B,$B1041,$G:$G,"xlsx")-COUNTIFS($B:$B,$B1041,$G:$G,"xlsx",$C:$C,"~~$*")&gt;1,LEFT(C1041,LEN($B1041))&lt;&gt;$B1041),"",IFERROR(IF(B1041="FoPITY",INDEX(Customizations!$C$2:$C$19,MATCH(Sheet1!C1041,Customizations!$B$2:$B$19,0),1),INDEX(About!C:C,MATCH(Sheet1!B1041,About!B:B,0),1)),""))</f>
        <v>IESE Import Export Substitution Elasticities.xlsx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5">
      <c r="A1042" t="s">
        <v>242</v>
      </c>
      <c r="B1042" t="s">
        <v>1653</v>
      </c>
      <c r="C1042" t="s">
        <v>1654</v>
      </c>
      <c r="G1042" t="str">
        <f t="shared" si="38"/>
        <v>.csv</v>
      </c>
      <c r="H1042" s="5" t="str">
        <f>IF(AND(G1042=".csv",COUNTIFS($B:$B,$B1042,$G:$G,"xlsx")-COUNTIFS($B:$B,$B1042,$G:$G,"xlsx",$C:$C,"~~$*")&gt;1,LEFT(C1042,LEN($B1042))&lt;&gt;$B1042),"",IFERROR(IF(B1042="FoPITY",INDEX(Customizations!$C$2:$C$19,MATCH(Sheet1!C1042,Customizations!$B$2:$B$19,0),1),INDEX(About!C:C,MATCH(Sheet1!B1042,About!B:B,0),1)),""))</f>
        <v>Industrial Fuel Shifting Ratio.xlsx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5">
      <c r="A1043" t="s">
        <v>242</v>
      </c>
      <c r="B1043" t="s">
        <v>1653</v>
      </c>
      <c r="C1043" t="s">
        <v>1655</v>
      </c>
      <c r="G1043" t="str">
        <f t="shared" si="38"/>
        <v>.csv</v>
      </c>
      <c r="H1043" s="5" t="str">
        <f>IF(AND(G1043=".csv",COUNTIFS($B:$B,$B1043,$G:$G,"xlsx")-COUNTIFS($B:$B,$B1043,$G:$G,"xlsx",$C:$C,"~~$*")&gt;1,LEFT(C1043,LEN($B1043))&lt;&gt;$B1043),"",IFERROR(IF(B1043="FoPITY",INDEX(Customizations!$C$2:$C$19,MATCH(Sheet1!C1043,Customizations!$B$2:$B$19,0),1),INDEX(About!C:C,MATCH(Sheet1!B1043,About!B:B,0),1)),""))</f>
        <v>Industrial Fuel Shifting Ratio.xlsx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5">
      <c r="A1044" t="s">
        <v>242</v>
      </c>
      <c r="B1044" t="s">
        <v>1653</v>
      </c>
      <c r="C1044" t="s">
        <v>1656</v>
      </c>
      <c r="G1044" t="str">
        <f t="shared" si="38"/>
        <v>xlsx</v>
      </c>
      <c r="H1044" s="5" t="str">
        <f>IF(AND(G1044=".csv",COUNTIFS($B:$B,$B1044,$G:$G,"xlsx")-COUNTIFS($B:$B,$B1044,$G:$G,"xlsx",$C:$C,"~~$*")&gt;1,LEFT(C1044,LEN($B1044))&lt;&gt;$B1044),"",IFERROR(IF(B1044="FoPITY",INDEX(Customizations!$C$2:$C$19,MATCH(Sheet1!C1044,Customizations!$B$2:$B$19,0),1),INDEX(About!C:C,MATCH(Sheet1!B1044,About!B:B,0),1)),""))</f>
        <v>Industrial Fuel Shifting Ratio.xlsx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5">
      <c r="A1045" t="s">
        <v>242</v>
      </c>
      <c r="B1045" t="s">
        <v>1657</v>
      </c>
      <c r="C1045" t="s">
        <v>1658</v>
      </c>
      <c r="G1045" t="str">
        <f t="shared" si="38"/>
        <v>.csv</v>
      </c>
      <c r="H1045" s="5" t="str">
        <f>IF(AND(G1045=".csv",COUNTIFS($B:$B,$B1045,$G:$G,"xlsx")-COUNTIFS($B:$B,$B1045,$G:$G,"xlsx",$C:$C,"~~$*")&gt;1,LEFT(C1045,LEN($B1045))&lt;&gt;$B1045),"",IFERROR(IF(B1045="FoPITY",INDEX(Customizations!$C$2:$C$19,MATCH(Sheet1!C1045,Customizations!$B$2:$B$19,0),1),INDEX(About!C:C,MATCH(Sheet1!B1045,About!B:B,0),1)),""))</f>
        <v>Industrial Feedstock Switching Recipient Fuel.xlsx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5">
      <c r="A1046" t="s">
        <v>242</v>
      </c>
      <c r="B1046" t="s">
        <v>1657</v>
      </c>
      <c r="C1046" t="s">
        <v>1659</v>
      </c>
      <c r="G1046" t="str">
        <f t="shared" si="38"/>
        <v>xlsx</v>
      </c>
      <c r="H1046" s="5" t="str">
        <f>IF(AND(G1046=".csv",COUNTIFS($B:$B,$B1046,$G:$G,"xlsx")-COUNTIFS($B:$B,$B1046,$G:$G,"xlsx",$C:$C,"~~$*")&gt;1,LEFT(C1046,LEN($B1046))&lt;&gt;$B1046),"",IFERROR(IF(B1046="FoPITY",INDEX(Customizations!$C$2:$C$19,MATCH(Sheet1!C1046,Customizations!$B$2:$B$19,0),1),INDEX(About!C:C,MATCH(Sheet1!B1046,About!B:B,0),1)),""))</f>
        <v>Industrial Feedstock Switching Recipient Fuel.xlsx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5">
      <c r="A1047" t="s">
        <v>242</v>
      </c>
      <c r="B1047" t="s">
        <v>1847</v>
      </c>
      <c r="C1047" t="s">
        <v>1848</v>
      </c>
      <c r="G1047" t="str">
        <f t="shared" si="38"/>
        <v>.csv</v>
      </c>
      <c r="H1047" s="5" t="str">
        <f>IF(AND(G1047=".csv",COUNTIFS($B:$B,$B1047,$G:$G,"xlsx")-COUNTIFS($B:$B,$B1047,$G:$G,"xlsx",$C:$C,"~~$*")&gt;1,LEFT(C1047,LEN($B1047))&lt;&gt;$B1047),"",IFERROR(IF(B1047="FoPITY",INDEX(Customizations!$C$2:$C$19,MATCH(Sheet1!C1047,Customizations!$B$2:$B$19,0),1),INDEX(About!C:C,MATCH(Sheet1!B1047,About!B:B,0),1)),""))</f>
        <v>Indst Fuels Subject to Electrification.xlsx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5">
      <c r="A1048" t="s">
        <v>242</v>
      </c>
      <c r="B1048" t="s">
        <v>1847</v>
      </c>
      <c r="C1048" t="s">
        <v>1849</v>
      </c>
      <c r="G1048" t="str">
        <f t="shared" si="38"/>
        <v>xlsx</v>
      </c>
      <c r="H1048" s="5" t="str">
        <f>IF(AND(G1048=".csv",COUNTIFS($B:$B,$B1048,$G:$G,"xlsx")-COUNTIFS($B:$B,$B1048,$G:$G,"xlsx",$C:$C,"~~$*")&gt;1,LEFT(C1048,LEN($B1048))&lt;&gt;$B1048),"",IFERROR(IF(B1048="FoPITY",INDEX(Customizations!$C$2:$C$19,MATCH(Sheet1!C1048,Customizations!$B$2:$B$19,0),1),INDEX(About!C:C,MATCH(Sheet1!B1048,About!B:B,0),1)),""))</f>
        <v>Indst Fuels Subject to Electrification.xlsx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5">
      <c r="A1049" t="s">
        <v>242</v>
      </c>
      <c r="B1049" t="s">
        <v>1850</v>
      </c>
      <c r="C1049" t="s">
        <v>1851</v>
      </c>
      <c r="G1049" t="str">
        <f t="shared" si="38"/>
        <v>.csv</v>
      </c>
      <c r="H1049" s="5" t="str">
        <f>IF(AND(G1049=".csv",COUNTIFS($B:$B,$B1049,$G:$G,"xlsx")-COUNTIFS($B:$B,$B1049,$G:$G,"xlsx",$C:$C,"~~$*")&gt;1,LEFT(C1049,LEN($B1049))&lt;&gt;$B1049),"",IFERROR(IF(B1049="FoPITY",INDEX(Customizations!$C$2:$C$19,MATCH(Sheet1!C1049,Customizations!$B$2:$B$19,0),1),INDEX(About!C:C,MATCH(Sheet1!B1049,About!B:B,0),1)),""))</f>
        <v>Indst Fuel Types Qual for Early Eqpt Retirement Policy.xlsx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5">
      <c r="A1050" t="s">
        <v>242</v>
      </c>
      <c r="B1050" t="s">
        <v>1850</v>
      </c>
      <c r="C1050" t="s">
        <v>1852</v>
      </c>
      <c r="G1050" t="str">
        <f t="shared" si="38"/>
        <v>xlsx</v>
      </c>
      <c r="H1050" s="5" t="str">
        <f>IF(AND(G1050=".csv",COUNTIFS($B:$B,$B1050,$G:$G,"xlsx")-COUNTIFS($B:$B,$B1050,$G:$G,"xlsx",$C:$C,"~~$*")&gt;1,LEFT(C1050,LEN($B1050))&lt;&gt;$B1050),"",IFERROR(IF(B1050="FoPITY",INDEX(Customizations!$C$2:$C$19,MATCH(Sheet1!C1050,Customizations!$B$2:$B$19,0),1),INDEX(About!C:C,MATCH(Sheet1!B1050,About!B:B,0),1)),""))</f>
        <v>Indst Fuel Types Qual for Early Eqpt Retirement Policy.xlsx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5">
      <c r="A1051" t="s">
        <v>242</v>
      </c>
      <c r="B1051" t="s">
        <v>1660</v>
      </c>
      <c r="C1051" t="s">
        <v>1661</v>
      </c>
      <c r="G1051" t="str">
        <f t="shared" si="38"/>
        <v>.csv</v>
      </c>
      <c r="H1051" s="5" t="str">
        <f>IF(AND(G1051=".csv",COUNTIFS($B:$B,$B1051,$G:$G,"xlsx")-COUNTIFS($B:$B,$B1051,$G:$G,"xlsx",$C:$C,"~~$*")&gt;1,LEFT(C1051,LEN($B1051))&lt;&gt;$B1051),"",IFERROR(IF(B1051="FoPITY",INDEX(Customizations!$C$2:$C$19,MATCH(Sheet1!C1051,Customizations!$B$2:$B$19,0),1),INDEX(About!C:C,MATCH(Sheet1!B1051,About!B:B,0),1)),""))</f>
        <v>Indst Fuels Qualifying for Support.xlsx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5">
      <c r="A1052" t="s">
        <v>242</v>
      </c>
      <c r="B1052" t="s">
        <v>1660</v>
      </c>
      <c r="C1052" t="s">
        <v>1662</v>
      </c>
      <c r="G1052" t="str">
        <f t="shared" si="38"/>
        <v>.csv</v>
      </c>
      <c r="H1052" s="5" t="str">
        <f>IF(AND(G1052=".csv",COUNTIFS($B:$B,$B1052,$G:$G,"xlsx")-COUNTIFS($B:$B,$B1052,$G:$G,"xlsx",$C:$C,"~~$*")&gt;1,LEFT(C1052,LEN($B1052))&lt;&gt;$B1052),"",IFERROR(IF(B1052="FoPITY",INDEX(Customizations!$C$2:$C$19,MATCH(Sheet1!C1052,Customizations!$B$2:$B$19,0),1),INDEX(About!C:C,MATCH(Sheet1!B1052,About!B:B,0),1)),""))</f>
        <v>Indst Fuels Qualifying for Support.xlsx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5">
      <c r="A1053" t="s">
        <v>242</v>
      </c>
      <c r="B1053" t="s">
        <v>1660</v>
      </c>
      <c r="C1053" t="s">
        <v>1663</v>
      </c>
      <c r="G1053" t="str">
        <f t="shared" si="38"/>
        <v>.csv</v>
      </c>
      <c r="H1053" s="5" t="str">
        <f>IF(AND(G1053=".csv",COUNTIFS($B:$B,$B1053,$G:$G,"xlsx")-COUNTIFS($B:$B,$B1053,$G:$G,"xlsx",$C:$C,"~~$*")&gt;1,LEFT(C1053,LEN($B1053))&lt;&gt;$B1053),"",IFERROR(IF(B1053="FoPITY",INDEX(Customizations!$C$2:$C$19,MATCH(Sheet1!C1053,Customizations!$B$2:$B$19,0),1),INDEX(About!C:C,MATCH(Sheet1!B1053,About!B:B,0),1)),""))</f>
        <v>Indst Fuels Qualifying for Support.xlsx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5">
      <c r="A1054" t="s">
        <v>242</v>
      </c>
      <c r="B1054" t="s">
        <v>1660</v>
      </c>
      <c r="C1054" t="s">
        <v>1664</v>
      </c>
      <c r="G1054" t="str">
        <f t="shared" si="38"/>
        <v>xlsx</v>
      </c>
      <c r="H1054" s="5" t="str">
        <f>IF(AND(G1054=".csv",COUNTIFS($B:$B,$B1054,$G:$G,"xlsx")-COUNTIFS($B:$B,$B1054,$G:$G,"xlsx",$C:$C,"~~$*")&gt;1,LEFT(C1054,LEN($B1054))&lt;&gt;$B1054),"",IFERROR(IF(B1054="FoPITY",INDEX(Customizations!$C$2:$C$19,MATCH(Sheet1!C1054,Customizations!$B$2:$B$19,0),1),INDEX(About!C:C,MATCH(Sheet1!B1054,About!B:B,0),1)),""))</f>
        <v>Indst Fuels Qualifying for Support.xlsx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5">
      <c r="A1055" t="s">
        <v>242</v>
      </c>
      <c r="B1055" t="s">
        <v>249</v>
      </c>
      <c r="C1055" t="s">
        <v>250</v>
      </c>
      <c r="G1055" t="str">
        <f t="shared" si="38"/>
        <v>xlsx</v>
      </c>
      <c r="H1055" s="5" t="str">
        <f>IF(AND(G1055=".csv",COUNTIFS($B:$B,$B1055,$G:$G,"xlsx")-COUNTIFS($B:$B,$B1055,$G:$G,"xlsx",$C:$C,"~~$*")&gt;1,LEFT(C1055,LEN($B1055))&lt;&gt;$B1055),"",IFERROR(IF(B1055="FoPITY",INDEX(Customizations!$C$2:$C$19,MATCH(Sheet1!C1055,Customizations!$B$2:$B$19,0),1),INDEX(About!C:C,MATCH(Sheet1!B1055,About!B:B,0),1)),""))</f>
        <v>Methane Heating Value.xlsx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5">
      <c r="A1056" t="s">
        <v>242</v>
      </c>
      <c r="B1056" t="s">
        <v>249</v>
      </c>
      <c r="C1056" t="s">
        <v>251</v>
      </c>
      <c r="G1056" t="str">
        <f t="shared" si="38"/>
        <v>.csv</v>
      </c>
      <c r="H1056" s="5" t="str">
        <f>IF(AND(G1056=".csv",COUNTIFS($B:$B,$B1056,$G:$G,"xlsx")-COUNTIFS($B:$B,$B1056,$G:$G,"xlsx",$C:$C,"~~$*")&gt;1,LEFT(C1056,LEN($B1056))&lt;&gt;$B1056),"",IFERROR(IF(B1056="FoPITY",INDEX(Customizations!$C$2:$C$19,MATCH(Sheet1!C1056,Customizations!$B$2:$B$19,0),1),INDEX(About!C:C,MATCH(Sheet1!B1056,About!B:B,0),1)),""))</f>
        <v>Methane Heating Value.xlsx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5">
      <c r="A1057" t="s">
        <v>242</v>
      </c>
      <c r="B1057" t="s">
        <v>1853</v>
      </c>
      <c r="C1057" t="s">
        <v>1854</v>
      </c>
      <c r="G1057" t="str">
        <f t="shared" si="38"/>
        <v>xlsx</v>
      </c>
      <c r="H1057" s="5" t="str">
        <f>IF(AND(G1057=".csv",COUNTIFS($B:$B,$B1057,$G:$G,"xlsx")-COUNTIFS($B:$B,$B1057,$G:$G,"xlsx",$C:$C,"~~$*")&gt;1,LEFT(C1057,LEN($B1057))&lt;&gt;$B1057),"",IFERROR(IF(B1057="FoPITY",INDEX(Customizations!$C$2:$C$19,MATCH(Sheet1!C1057,Customizations!$B$2:$B$19,0),1),INDEX(About!C:C,MATCH(Sheet1!B1057,About!B:B,0),1)),""))</f>
        <v>New Indst Eqpt Alt Fuel Shifting Matrix.xlsx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5">
      <c r="A1058" t="s">
        <v>242</v>
      </c>
      <c r="B1058" t="s">
        <v>1853</v>
      </c>
      <c r="C1058" t="s">
        <v>1855</v>
      </c>
      <c r="G1058" t="str">
        <f t="shared" si="38"/>
        <v>.csv</v>
      </c>
      <c r="H1058" s="5" t="str">
        <f>IF(AND(G1058=".csv",COUNTIFS($B:$B,$B1058,$G:$G,"xlsx")-COUNTIFS($B:$B,$B1058,$G:$G,"xlsx",$C:$C,"~~$*")&gt;1,LEFT(C1058,LEN($B1058))&lt;&gt;$B1058),"",IFERROR(IF(B1058="FoPITY",INDEX(Customizations!$C$2:$C$19,MATCH(Sheet1!C1058,Customizations!$B$2:$B$19,0),1),INDEX(About!C:C,MATCH(Sheet1!B1058,About!B:B,0),1)),""))</f>
        <v>New Indst Eqpt Alt Fuel Shifting Matrix.xlsx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5">
      <c r="A1059" t="s">
        <v>242</v>
      </c>
      <c r="B1059" t="s">
        <v>1665</v>
      </c>
      <c r="C1059" t="s">
        <v>1666</v>
      </c>
      <c r="G1059" t="str">
        <f t="shared" si="38"/>
        <v>.csv</v>
      </c>
      <c r="H1059" s="5" t="str">
        <f>IF(AND(G1059=".csv",COUNTIFS($B:$B,$B1059,$G:$G,"xlsx")-COUNTIFS($B:$B,$B1059,$G:$G,"xlsx",$C:$C,"~~$*")&gt;1,LEFT(C1059,LEN($B1059))&lt;&gt;$B1059),"",IFERROR(IF(B1059="FoPITY",INDEX(Customizations!$C$2:$C$19,MATCH(Sheet1!C1059,Customizations!$B$2:$B$19,0),1),INDEX(About!C:C,MATCH(Sheet1!B1059,About!B:B,0),1)),""))</f>
        <v>Proc Emis Additions and Costs.xlsx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5">
      <c r="A1060" t="s">
        <v>242</v>
      </c>
      <c r="B1060" t="s">
        <v>1665</v>
      </c>
      <c r="C1060" t="s">
        <v>1667</v>
      </c>
      <c r="G1060" t="str">
        <f t="shared" si="38"/>
        <v>.csv</v>
      </c>
      <c r="H1060" s="5" t="str">
        <f>IF(AND(G1060=".csv",COUNTIFS($B:$B,$B1060,$G:$G,"xlsx")-COUNTIFS($B:$B,$B1060,$G:$G,"xlsx",$C:$C,"~~$*")&gt;1,LEFT(C1060,LEN($B1060))&lt;&gt;$B1060),"",IFERROR(IF(B1060="FoPITY",INDEX(Customizations!$C$2:$C$19,MATCH(Sheet1!C1060,Customizations!$B$2:$B$19,0),1),INDEX(About!C:C,MATCH(Sheet1!B1060,About!B:B,0),1)),""))</f>
        <v>Proc Emis Additions and Costs.xlsx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5">
      <c r="A1061" t="s">
        <v>242</v>
      </c>
      <c r="B1061" t="s">
        <v>1665</v>
      </c>
      <c r="C1061" t="s">
        <v>1668</v>
      </c>
      <c r="G1061" t="str">
        <f t="shared" si="38"/>
        <v>.csv</v>
      </c>
      <c r="H1061" s="5" t="str">
        <f>IF(AND(G1061=".csv",COUNTIFS($B:$B,$B1061,$G:$G,"xlsx")-COUNTIFS($B:$B,$B1061,$G:$G,"xlsx",$C:$C,"~~$*")&gt;1,LEFT(C1061,LEN($B1061))&lt;&gt;$B1061),"",IFERROR(IF(B1061="FoPITY",INDEX(Customizations!$C$2:$C$19,MATCH(Sheet1!C1061,Customizations!$B$2:$B$19,0),1),INDEX(About!C:C,MATCH(Sheet1!B1061,About!B:B,0),1)),""))</f>
        <v>Proc Emis Additions and Costs.xlsx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5">
      <c r="A1062" t="s">
        <v>242</v>
      </c>
      <c r="B1062" t="s">
        <v>1665</v>
      </c>
      <c r="C1062" t="s">
        <v>1669</v>
      </c>
      <c r="G1062" t="str">
        <f t="shared" si="38"/>
        <v>.csv</v>
      </c>
      <c r="H1062" s="5" t="str">
        <f>IF(AND(G1062=".csv",COUNTIFS($B:$B,$B1062,$G:$G,"xlsx")-COUNTIFS($B:$B,$B1062,$G:$G,"xlsx",$C:$C,"~~$*")&gt;1,LEFT(C1062,LEN($B1062))&lt;&gt;$B1062),"",IFERROR(IF(B1062="FoPITY",INDEX(Customizations!$C$2:$C$19,MATCH(Sheet1!C1062,Customizations!$B$2:$B$19,0),1),INDEX(About!C:C,MATCH(Sheet1!B1062,About!B:B,0),1)),""))</f>
        <v>Proc Emis Additions and Costs.xlsx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5">
      <c r="A1063" t="s">
        <v>242</v>
      </c>
      <c r="B1063" t="s">
        <v>1665</v>
      </c>
      <c r="C1063" t="s">
        <v>1670</v>
      </c>
      <c r="G1063" t="str">
        <f t="shared" si="38"/>
        <v>.csv</v>
      </c>
      <c r="H1063" s="5" t="str">
        <f>IF(AND(G1063=".csv",COUNTIFS($B:$B,$B1063,$G:$G,"xlsx")-COUNTIFS($B:$B,$B1063,$G:$G,"xlsx",$C:$C,"~~$*")&gt;1,LEFT(C1063,LEN($B1063))&lt;&gt;$B1063),"",IFERROR(IF(B1063="FoPITY",INDEX(Customizations!$C$2:$C$19,MATCH(Sheet1!C1063,Customizations!$B$2:$B$19,0),1),INDEX(About!C:C,MATCH(Sheet1!B1063,About!B:B,0),1)),""))</f>
        <v>Proc Emis Additions and Costs.xlsx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5">
      <c r="A1064" t="s">
        <v>242</v>
      </c>
      <c r="B1064" t="s">
        <v>1665</v>
      </c>
      <c r="C1064" t="s">
        <v>1671</v>
      </c>
      <c r="G1064" t="str">
        <f t="shared" si="38"/>
        <v>.csv</v>
      </c>
      <c r="H1064" s="5" t="str">
        <f>IF(AND(G1064=".csv",COUNTIFS($B:$B,$B1064,$G:$G,"xlsx")-COUNTIFS($B:$B,$B1064,$G:$G,"xlsx",$C:$C,"~~$*")&gt;1,LEFT(C1064,LEN($B1064))&lt;&gt;$B1064),"",IFERROR(IF(B1064="FoPITY",INDEX(Customizations!$C$2:$C$19,MATCH(Sheet1!C1064,Customizations!$B$2:$B$19,0),1),INDEX(About!C:C,MATCH(Sheet1!B1064,About!B:B,0),1)),""))</f>
        <v>Proc Emis Additions and Costs.xlsx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5">
      <c r="A1065" t="s">
        <v>242</v>
      </c>
      <c r="B1065" t="s">
        <v>1665</v>
      </c>
      <c r="C1065" t="s">
        <v>1672</v>
      </c>
      <c r="G1065" t="str">
        <f t="shared" si="38"/>
        <v>.csv</v>
      </c>
      <c r="H1065" s="5" t="str">
        <f>IF(AND(G1065=".csv",COUNTIFS($B:$B,$B1065,$G:$G,"xlsx")-COUNTIFS($B:$B,$B1065,$G:$G,"xlsx",$C:$C,"~~$*")&gt;1,LEFT(C1065,LEN($B1065))&lt;&gt;$B1065),"",IFERROR(IF(B1065="FoPITY",INDEX(Customizations!$C$2:$C$19,MATCH(Sheet1!C1065,Customizations!$B$2:$B$19,0),1),INDEX(About!C:C,MATCH(Sheet1!B1065,About!B:B,0),1)),""))</f>
        <v>Proc Emis Additions and Costs.xlsx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5">
      <c r="A1066" t="s">
        <v>242</v>
      </c>
      <c r="B1066" t="s">
        <v>1665</v>
      </c>
      <c r="C1066" t="s">
        <v>1673</v>
      </c>
      <c r="G1066" t="str">
        <f t="shared" si="38"/>
        <v>.csv</v>
      </c>
      <c r="H1066" s="5" t="str">
        <f>IF(AND(G1066=".csv",COUNTIFS($B:$B,$B1066,$G:$G,"xlsx")-COUNTIFS($B:$B,$B1066,$G:$G,"xlsx",$C:$C,"~~$*")&gt;1,LEFT(C1066,LEN($B1066))&lt;&gt;$B1066),"",IFERROR(IF(B1066="FoPITY",INDEX(Customizations!$C$2:$C$19,MATCH(Sheet1!C1066,Customizations!$B$2:$B$19,0),1),INDEX(About!C:C,MATCH(Sheet1!B1066,About!B:B,0),1)),""))</f>
        <v>Proc Emis Additions and Costs.xlsx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5">
      <c r="A1067" t="s">
        <v>242</v>
      </c>
      <c r="B1067" t="s">
        <v>1665</v>
      </c>
      <c r="C1067" t="s">
        <v>1674</v>
      </c>
      <c r="G1067" t="str">
        <f t="shared" si="38"/>
        <v>.csv</v>
      </c>
      <c r="H1067" s="5" t="str">
        <f>IF(AND(G1067=".csv",COUNTIFS($B:$B,$B1067,$G:$G,"xlsx")-COUNTIFS($B:$B,$B1067,$G:$G,"xlsx",$C:$C,"~~$*")&gt;1,LEFT(C1067,LEN($B1067))&lt;&gt;$B1067),"",IFERROR(IF(B1067="FoPITY",INDEX(Customizations!$C$2:$C$19,MATCH(Sheet1!C1067,Customizations!$B$2:$B$19,0),1),INDEX(About!C:C,MATCH(Sheet1!B1067,About!B:B,0),1)),""))</f>
        <v>Proc Emis Additions and Costs.xlsx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5">
      <c r="A1068" t="s">
        <v>242</v>
      </c>
      <c r="B1068" t="s">
        <v>1665</v>
      </c>
      <c r="C1068" t="s">
        <v>1675</v>
      </c>
      <c r="G1068" t="str">
        <f t="shared" si="38"/>
        <v>.csv</v>
      </c>
      <c r="H1068" s="5" t="str">
        <f>IF(AND(G1068=".csv",COUNTIFS($B:$B,$B1068,$G:$G,"xlsx")-COUNTIFS($B:$B,$B1068,$G:$G,"xlsx",$C:$C,"~~$*")&gt;1,LEFT(C1068,LEN($B1068))&lt;&gt;$B1068),"",IFERROR(IF(B1068="FoPITY",INDEX(Customizations!$C$2:$C$19,MATCH(Sheet1!C1068,Customizations!$B$2:$B$19,0),1),INDEX(About!C:C,MATCH(Sheet1!B1068,About!B:B,0),1)),""))</f>
        <v>Proc Emis Additions and Costs.xlsx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5">
      <c r="A1069" t="s">
        <v>242</v>
      </c>
      <c r="B1069" t="s">
        <v>1665</v>
      </c>
      <c r="C1069" t="s">
        <v>1676</v>
      </c>
      <c r="G1069" t="str">
        <f t="shared" si="38"/>
        <v>.csv</v>
      </c>
      <c r="H1069" s="5" t="str">
        <f>IF(AND(G1069=".csv",COUNTIFS($B:$B,$B1069,$G:$G,"xlsx")-COUNTIFS($B:$B,$B1069,$G:$G,"xlsx",$C:$C,"~~$*")&gt;1,LEFT(C1069,LEN($B1069))&lt;&gt;$B1069),"",IFERROR(IF(B1069="FoPITY",INDEX(Customizations!$C$2:$C$19,MATCH(Sheet1!C1069,Customizations!$B$2:$B$19,0),1),INDEX(About!C:C,MATCH(Sheet1!B1069,About!B:B,0),1)),""))</f>
        <v>Proc Emis Additions and Costs.xlsx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5">
      <c r="A1070" t="s">
        <v>242</v>
      </c>
      <c r="B1070" t="s">
        <v>1665</v>
      </c>
      <c r="C1070" t="s">
        <v>1677</v>
      </c>
      <c r="G1070" t="str">
        <f t="shared" si="38"/>
        <v>.csv</v>
      </c>
      <c r="H1070" s="5" t="str">
        <f>IF(AND(G1070=".csv",COUNTIFS($B:$B,$B1070,$G:$G,"xlsx")-COUNTIFS($B:$B,$B1070,$G:$G,"xlsx",$C:$C,"~~$*")&gt;1,LEFT(C1070,LEN($B1070))&lt;&gt;$B1070),"",IFERROR(IF(B1070="FoPITY",INDEX(Customizations!$C$2:$C$19,MATCH(Sheet1!C1070,Customizations!$B$2:$B$19,0),1),INDEX(About!C:C,MATCH(Sheet1!B1070,About!B:B,0),1)),""))</f>
        <v>Proc Emis Additions and Costs.xlsx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5">
      <c r="A1071" t="s">
        <v>242</v>
      </c>
      <c r="B1071" t="s">
        <v>1665</v>
      </c>
      <c r="C1071" t="s">
        <v>1678</v>
      </c>
      <c r="G1071" t="str">
        <f t="shared" si="38"/>
        <v>.csv</v>
      </c>
      <c r="H1071" s="5" t="str">
        <f>IF(AND(G1071=".csv",COUNTIFS($B:$B,$B1071,$G:$G,"xlsx")-COUNTIFS($B:$B,$B1071,$G:$G,"xlsx",$C:$C,"~~$*")&gt;1,LEFT(C1071,LEN($B1071))&lt;&gt;$B1071),"",IFERROR(IF(B1071="FoPITY",INDEX(Customizations!$C$2:$C$19,MATCH(Sheet1!C1071,Customizations!$B$2:$B$19,0),1),INDEX(About!C:C,MATCH(Sheet1!B1071,About!B:B,0),1)),""))</f>
        <v>Proc Emis Additions and Costs.xlsx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5">
      <c r="A1072" t="s">
        <v>242</v>
      </c>
      <c r="B1072" t="s">
        <v>1665</v>
      </c>
      <c r="C1072" t="s">
        <v>1679</v>
      </c>
      <c r="G1072" t="str">
        <f t="shared" si="38"/>
        <v>.csv</v>
      </c>
      <c r="H1072" s="5" t="str">
        <f>IF(AND(G1072=".csv",COUNTIFS($B:$B,$B1072,$G:$G,"xlsx")-COUNTIFS($B:$B,$B1072,$G:$G,"xlsx",$C:$C,"~~$*")&gt;1,LEFT(C1072,LEN($B1072))&lt;&gt;$B1072),"",IFERROR(IF(B1072="FoPITY",INDEX(Customizations!$C$2:$C$19,MATCH(Sheet1!C1072,Customizations!$B$2:$B$19,0),1),INDEX(About!C:C,MATCH(Sheet1!B1072,About!B:B,0),1)),""))</f>
        <v>Proc Emis Additions and Costs.xlsx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5">
      <c r="A1073" t="s">
        <v>242</v>
      </c>
      <c r="B1073" t="s">
        <v>1665</v>
      </c>
      <c r="C1073" t="s">
        <v>1680</v>
      </c>
      <c r="G1073" t="str">
        <f t="shared" si="38"/>
        <v>.csv</v>
      </c>
      <c r="H1073" s="5" t="str">
        <f>IF(AND(G1073=".csv",COUNTIFS($B:$B,$B1073,$G:$G,"xlsx")-COUNTIFS($B:$B,$B1073,$G:$G,"xlsx",$C:$C,"~~$*")&gt;1,LEFT(C1073,LEN($B1073))&lt;&gt;$B1073),"",IFERROR(IF(B1073="FoPITY",INDEX(Customizations!$C$2:$C$19,MATCH(Sheet1!C1073,Customizations!$B$2:$B$19,0),1),INDEX(About!C:C,MATCH(Sheet1!B1073,About!B:B,0),1)),""))</f>
        <v>Proc Emis Additions and Costs.xlsx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5">
      <c r="A1074" t="s">
        <v>242</v>
      </c>
      <c r="B1074" t="s">
        <v>1665</v>
      </c>
      <c r="C1074" t="s">
        <v>1681</v>
      </c>
      <c r="G1074" t="str">
        <f t="shared" si="38"/>
        <v>.csv</v>
      </c>
      <c r="H1074" s="5" t="str">
        <f>IF(AND(G1074=".csv",COUNTIFS($B:$B,$B1074,$G:$G,"xlsx")-COUNTIFS($B:$B,$B1074,$G:$G,"xlsx",$C:$C,"~~$*")&gt;1,LEFT(C1074,LEN($B1074))&lt;&gt;$B1074),"",IFERROR(IF(B1074="FoPITY",INDEX(Customizations!$C$2:$C$19,MATCH(Sheet1!C1074,Customizations!$B$2:$B$19,0),1),INDEX(About!C:C,MATCH(Sheet1!B1074,About!B:B,0),1)),""))</f>
        <v>Proc Emis Additions and Costs.xlsx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5">
      <c r="A1075" t="s">
        <v>242</v>
      </c>
      <c r="B1075" t="s">
        <v>1665</v>
      </c>
      <c r="C1075" t="s">
        <v>1682</v>
      </c>
      <c r="G1075" t="str">
        <f t="shared" si="38"/>
        <v>.csv</v>
      </c>
      <c r="H1075" s="5" t="str">
        <f>IF(AND(G1075=".csv",COUNTIFS($B:$B,$B1075,$G:$G,"xlsx")-COUNTIFS($B:$B,$B1075,$G:$G,"xlsx",$C:$C,"~~$*")&gt;1,LEFT(C1075,LEN($B1075))&lt;&gt;$B1075),"",IFERROR(IF(B1075="FoPITY",INDEX(Customizations!$C$2:$C$19,MATCH(Sheet1!C1075,Customizations!$B$2:$B$19,0),1),INDEX(About!C:C,MATCH(Sheet1!B1075,About!B:B,0),1)),""))</f>
        <v>Proc Emis Additions and Costs.xlsx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5">
      <c r="A1076" t="s">
        <v>242</v>
      </c>
      <c r="B1076" t="s">
        <v>1665</v>
      </c>
      <c r="C1076" t="s">
        <v>1683</v>
      </c>
      <c r="G1076" t="str">
        <f t="shared" si="38"/>
        <v>.csv</v>
      </c>
      <c r="H1076" s="5" t="str">
        <f>IF(AND(G1076=".csv",COUNTIFS($B:$B,$B1076,$G:$G,"xlsx")-COUNTIFS($B:$B,$B1076,$G:$G,"xlsx",$C:$C,"~~$*")&gt;1,LEFT(C1076,LEN($B1076))&lt;&gt;$B1076),"",IFERROR(IF(B1076="FoPITY",INDEX(Customizations!$C$2:$C$19,MATCH(Sheet1!C1076,Customizations!$B$2:$B$19,0),1),INDEX(About!C:C,MATCH(Sheet1!B1076,About!B:B,0),1)),""))</f>
        <v>Proc Emis Additions and Costs.xlsx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5">
      <c r="A1077" t="s">
        <v>242</v>
      </c>
      <c r="B1077" t="s">
        <v>1665</v>
      </c>
      <c r="C1077" t="s">
        <v>1684</v>
      </c>
      <c r="G1077" t="str">
        <f t="shared" si="38"/>
        <v>xlsx</v>
      </c>
      <c r="H1077" s="5" t="str">
        <f>IF(AND(G1077=".csv",COUNTIFS($B:$B,$B1077,$G:$G,"xlsx")-COUNTIFS($B:$B,$B1077,$G:$G,"xlsx",$C:$C,"~~$*")&gt;1,LEFT(C1077,LEN($B1077))&lt;&gt;$B1077),"",IFERROR(IF(B1077="FoPITY",INDEX(Customizations!$C$2:$C$19,MATCH(Sheet1!C1077,Customizations!$B$2:$B$19,0),1),INDEX(About!C:C,MATCH(Sheet1!B1077,About!B:B,0),1)),""))</f>
        <v>Proc Emis Additions and Costs.xlsx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5">
      <c r="A1078" t="s">
        <v>242</v>
      </c>
      <c r="B1078" t="s">
        <v>2029</v>
      </c>
      <c r="C1078" t="s">
        <v>2030</v>
      </c>
      <c r="G1078" t="str">
        <f t="shared" si="38"/>
        <v>P.py</v>
      </c>
      <c r="H1078" s="5" t="str">
        <f>IF(AND(G1078=".csv",COUNTIFS($B:$B,$B1078,$G:$G,"xlsx")-COUNTIFS($B:$B,$B1078,$G:$G,"xlsx",$C:$C,"~~$*")&gt;1,LEFT(C1078,LEN($B1078))&lt;&gt;$B1078),"",IFERROR(IF(B1078="FoPITY",INDEX(Customizations!$C$2:$C$19,MATCH(Sheet1!C1078,Customizations!$B$2:$B$19,0),1),INDEX(About!C:C,MATCH(Sheet1!B1078,About!B:B,0),1)),""))</f>
        <v>ExportPEaWHRP.py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5">
      <c r="A1079" t="s">
        <v>242</v>
      </c>
      <c r="B1079" t="s">
        <v>2029</v>
      </c>
      <c r="C1079" t="s">
        <v>2031</v>
      </c>
      <c r="G1079" t="str">
        <f t="shared" ref="G1079:G1142" si="40">RIGHT(C1079,"4")</f>
        <v>.csv</v>
      </c>
      <c r="H1079" s="5" t="str">
        <f>IF(AND(G1079=".csv",COUNTIFS($B:$B,$B1079,$G:$G,"xlsx")-COUNTIFS($B:$B,$B1079,$G:$G,"xlsx",$C:$C,"~~$*")&gt;1,LEFT(C1079,LEN($B1079))&lt;&gt;$B1079),"",IFERROR(IF(B1079="FoPITY",INDEX(Customizations!$C$2:$C$19,MATCH(Sheet1!C1079,Customizations!$B$2:$B$19,0),1),INDEX(About!C:C,MATCH(Sheet1!B1079,About!B:B,0),1)),""))</f>
        <v>ExportPEaWHRP.py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5">
      <c r="A1080" t="s">
        <v>242</v>
      </c>
      <c r="B1080" t="s">
        <v>2029</v>
      </c>
      <c r="C1080" t="s">
        <v>2032</v>
      </c>
      <c r="G1080" t="str">
        <f t="shared" si="40"/>
        <v>.csv</v>
      </c>
      <c r="H1080" s="5" t="str">
        <f>IF(AND(G1080=".csv",COUNTIFS($B:$B,$B1080,$G:$G,"xlsx")-COUNTIFS($B:$B,$B1080,$G:$G,"xlsx",$C:$C,"~~$*")&gt;1,LEFT(C1080,LEN($B1080))&lt;&gt;$B1080),"",IFERROR(IF(B1080="FoPITY",INDEX(Customizations!$C$2:$C$19,MATCH(Sheet1!C1080,Customizations!$B$2:$B$19,0),1),INDEX(About!C:C,MATCH(Sheet1!B1080,About!B:B,0),1)),""))</f>
        <v>ExportPEaWHRP.py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5">
      <c r="A1081" t="s">
        <v>242</v>
      </c>
      <c r="B1081" t="s">
        <v>2029</v>
      </c>
      <c r="C1081" t="s">
        <v>2033</v>
      </c>
      <c r="G1081" t="str">
        <f t="shared" si="40"/>
        <v>.csv</v>
      </c>
      <c r="H1081" s="5" t="str">
        <f>IF(AND(G1081=".csv",COUNTIFS($B:$B,$B1081,$G:$G,"xlsx")-COUNTIFS($B:$B,$B1081,$G:$G,"xlsx",$C:$C,"~~$*")&gt;1,LEFT(C1081,LEN($B1081))&lt;&gt;$B1081),"",IFERROR(IF(B1081="FoPITY",INDEX(Customizations!$C$2:$C$19,MATCH(Sheet1!C1081,Customizations!$B$2:$B$19,0),1),INDEX(About!C:C,MATCH(Sheet1!B1081,About!B:B,0),1)),""))</f>
        <v>ExportPEaWHRP.py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5">
      <c r="A1082" t="s">
        <v>242</v>
      </c>
      <c r="B1082" t="s">
        <v>2029</v>
      </c>
      <c r="C1082" t="s">
        <v>2034</v>
      </c>
      <c r="G1082" t="str">
        <f t="shared" si="40"/>
        <v>.csv</v>
      </c>
      <c r="H1082" s="5" t="str">
        <f>IF(AND(G1082=".csv",COUNTIFS($B:$B,$B1082,$G:$G,"xlsx")-COUNTIFS($B:$B,$B1082,$G:$G,"xlsx",$C:$C,"~~$*")&gt;1,LEFT(C1082,LEN($B1082))&lt;&gt;$B1082),"",IFERROR(IF(B1082="FoPITY",INDEX(Customizations!$C$2:$C$19,MATCH(Sheet1!C1082,Customizations!$B$2:$B$19,0),1),INDEX(About!C:C,MATCH(Sheet1!B1082,About!B:B,0),1)),""))</f>
        <v>ExportPEaWHRP.py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5">
      <c r="A1083" t="s">
        <v>242</v>
      </c>
      <c r="B1083" t="s">
        <v>2029</v>
      </c>
      <c r="C1083" t="s">
        <v>2035</v>
      </c>
      <c r="G1083" t="str">
        <f t="shared" si="40"/>
        <v>.csv</v>
      </c>
      <c r="H1083" s="5" t="str">
        <f>IF(AND(G1083=".csv",COUNTIFS($B:$B,$B1083,$G:$G,"xlsx")-COUNTIFS($B:$B,$B1083,$G:$G,"xlsx",$C:$C,"~~$*")&gt;1,LEFT(C1083,LEN($B1083))&lt;&gt;$B1083),"",IFERROR(IF(B1083="FoPITY",INDEX(Customizations!$C$2:$C$19,MATCH(Sheet1!C1083,Customizations!$B$2:$B$19,0),1),INDEX(About!C:C,MATCH(Sheet1!B1083,About!B:B,0),1)),""))</f>
        <v>ExportPEaWHRP.py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5">
      <c r="A1084" t="s">
        <v>242</v>
      </c>
      <c r="B1084" t="s">
        <v>2029</v>
      </c>
      <c r="C1084" t="s">
        <v>2036</v>
      </c>
      <c r="G1084" t="str">
        <f t="shared" si="40"/>
        <v>.csv</v>
      </c>
      <c r="H1084" s="5" t="str">
        <f>IF(AND(G1084=".csv",COUNTIFS($B:$B,$B1084,$G:$G,"xlsx")-COUNTIFS($B:$B,$B1084,$G:$G,"xlsx",$C:$C,"~~$*")&gt;1,LEFT(C1084,LEN($B1084))&lt;&gt;$B1084),"",IFERROR(IF(B1084="FoPITY",INDEX(Customizations!$C$2:$C$19,MATCH(Sheet1!C1084,Customizations!$B$2:$B$19,0),1),INDEX(About!C:C,MATCH(Sheet1!B1084,About!B:B,0),1)),""))</f>
        <v>ExportPEaWHRP.py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5">
      <c r="A1085" t="s">
        <v>242</v>
      </c>
      <c r="B1085" t="s">
        <v>2029</v>
      </c>
      <c r="C1085" t="s">
        <v>2037</v>
      </c>
      <c r="G1085" t="str">
        <f t="shared" si="40"/>
        <v>.csv</v>
      </c>
      <c r="H1085" s="5" t="str">
        <f>IF(AND(G1085=".csv",COUNTIFS($B:$B,$B1085,$G:$G,"xlsx")-COUNTIFS($B:$B,$B1085,$G:$G,"xlsx",$C:$C,"~~$*")&gt;1,LEFT(C1085,LEN($B1085))&lt;&gt;$B1085),"",IFERROR(IF(B1085="FoPITY",INDEX(Customizations!$C$2:$C$19,MATCH(Sheet1!C1085,Customizations!$B$2:$B$19,0),1),INDEX(About!C:C,MATCH(Sheet1!B1085,About!B:B,0),1)),""))</f>
        <v>ExportPEaWHRP.py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5">
      <c r="A1086" t="s">
        <v>242</v>
      </c>
      <c r="B1086" t="s">
        <v>2029</v>
      </c>
      <c r="C1086" t="s">
        <v>2038</v>
      </c>
      <c r="G1086" t="str">
        <f t="shared" si="40"/>
        <v>.csv</v>
      </c>
      <c r="H1086" s="5" t="str">
        <f>IF(AND(G1086=".csv",COUNTIFS($B:$B,$B1086,$G:$G,"xlsx")-COUNTIFS($B:$B,$B1086,$G:$G,"xlsx",$C:$C,"~~$*")&gt;1,LEFT(C1086,LEN($B1086))&lt;&gt;$B1086),"",IFERROR(IF(B1086="FoPITY",INDEX(Customizations!$C$2:$C$19,MATCH(Sheet1!C1086,Customizations!$B$2:$B$19,0),1),INDEX(About!C:C,MATCH(Sheet1!B1086,About!B:B,0),1)),""))</f>
        <v>ExportPEaWHRP.py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5">
      <c r="A1087" t="s">
        <v>242</v>
      </c>
      <c r="B1087" t="s">
        <v>2029</v>
      </c>
      <c r="C1087" t="s">
        <v>2039</v>
      </c>
      <c r="G1087" t="str">
        <f t="shared" si="40"/>
        <v>xlsx</v>
      </c>
      <c r="H1087" s="5" t="str">
        <f>IF(AND(G1087=".csv",COUNTIFS($B:$B,$B1087,$G:$G,"xlsx")-COUNTIFS($B:$B,$B1087,$G:$G,"xlsx",$C:$C,"~~$*")&gt;1,LEFT(C1087,LEN($B1087))&lt;&gt;$B1087),"",IFERROR(IF(B1087="FoPITY",INDEX(Customizations!$C$2:$C$19,MATCH(Sheet1!C1087,Customizations!$B$2:$B$19,0),1),INDEX(About!C:C,MATCH(Sheet1!B1087,About!B:B,0),1)),""))</f>
        <v>ExportPEaWHRP.py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5">
      <c r="A1088" t="s">
        <v>242</v>
      </c>
      <c r="B1088" t="s">
        <v>2029</v>
      </c>
      <c r="C1088" t="s">
        <v>2040</v>
      </c>
      <c r="G1088" t="str">
        <f t="shared" si="40"/>
        <v>xlsx</v>
      </c>
      <c r="H1088" s="5" t="str">
        <f>IF(AND(G1088=".csv",COUNTIFS($B:$B,$B1088,$G:$G,"xlsx")-COUNTIFS($B:$B,$B1088,$G:$G,"xlsx",$C:$C,"~~$*")&gt;1,LEFT(C1088,LEN($B1088))&lt;&gt;$B1088),"",IFERROR(IF(B1088="FoPITY",INDEX(Customizations!$C$2:$C$19,MATCH(Sheet1!C1088,Customizations!$B$2:$B$19,0),1),INDEX(About!C:C,MATCH(Sheet1!B1088,About!B:B,0),1)),""))</f>
        <v>ExportPEaWHRP.py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5">
      <c r="A1089" t="s">
        <v>242</v>
      </c>
      <c r="B1089" t="s">
        <v>252</v>
      </c>
      <c r="C1089" t="s">
        <v>2041</v>
      </c>
      <c r="G1089" t="str">
        <f t="shared" si="40"/>
        <v>r.py</v>
      </c>
      <c r="H1089" s="5" t="str">
        <f>IF(AND(G1089=".csv",COUNTIFS($B:$B,$B1089,$G:$G,"xlsx")-COUNTIFS($B:$B,$B1089,$G:$G,"xlsx",$C:$C,"~~$*")&gt;1,LEFT(C1089,LEN($B1089))&lt;&gt;$B1089),"",IFERROR(IF(B1089="FoPITY",INDEX(Customizations!$C$2:$C$19,MATCH(Sheet1!C1089,Customizations!$B$2:$B$19,0),1),INDEX(About!C:C,MATCH(Sheet1!B1089,About!B:B,0),1)),""))</f>
        <v>Proc Emis Reductions and Costs.xlsx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5">
      <c r="A1090" t="s">
        <v>242</v>
      </c>
      <c r="B1090" t="s">
        <v>252</v>
      </c>
      <c r="C1090" t="s">
        <v>2042</v>
      </c>
      <c r="G1090" t="str">
        <f t="shared" si="40"/>
        <v>r.py</v>
      </c>
      <c r="H1090" s="5" t="str">
        <f>IF(AND(G1090=".csv",COUNTIFS($B:$B,$B1090,$G:$G,"xlsx")-COUNTIFS($B:$B,$B1090,$G:$G,"xlsx",$C:$C,"~~$*")&gt;1,LEFT(C1090,LEN($B1090))&lt;&gt;$B1090),"",IFERROR(IF(B1090="FoPITY",INDEX(Customizations!$C$2:$C$19,MATCH(Sheet1!C1090,Customizations!$B$2:$B$19,0),1),INDEX(About!C:C,MATCH(Sheet1!B1090,About!B:B,0),1)),""))</f>
        <v>Proc Emis Reductions and Costs.xlsx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5">
      <c r="A1091" t="s">
        <v>242</v>
      </c>
      <c r="B1091" t="s">
        <v>252</v>
      </c>
      <c r="C1091" t="s">
        <v>2043</v>
      </c>
      <c r="G1091" t="str">
        <f t="shared" si="40"/>
        <v>r.py</v>
      </c>
      <c r="H1091" s="5" t="str">
        <f>IF(AND(G1091=".csv",COUNTIFS($B:$B,$B1091,$G:$G,"xlsx")-COUNTIFS($B:$B,$B1091,$G:$G,"xlsx",$C:$C,"~~$*")&gt;1,LEFT(C1091,LEN($B1091))&lt;&gt;$B1091),"",IFERROR(IF(B1091="FoPITY",INDEX(Customizations!$C$2:$C$19,MATCH(Sheet1!C1091,Customizations!$B$2:$B$19,0),1),INDEX(About!C:C,MATCH(Sheet1!B1091,About!B:B,0),1)),""))</f>
        <v>Proc Emis Reductions and Costs.xlsx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5">
      <c r="A1092" t="s">
        <v>242</v>
      </c>
      <c r="B1092" t="s">
        <v>252</v>
      </c>
      <c r="C1092" t="s">
        <v>943</v>
      </c>
      <c r="G1092" t="str">
        <f t="shared" si="40"/>
        <v>.csv</v>
      </c>
      <c r="H1092" s="5" t="str">
        <f>IF(AND(G1092=".csv",COUNTIFS($B:$B,$B1092,$G:$G,"xlsx")-COUNTIFS($B:$B,$B1092,$G:$G,"xlsx",$C:$C,"~~$*")&gt;1,LEFT(C1092,LEN($B1092))&lt;&gt;$B1092),"",IFERROR(IF(B1092="FoPITY",INDEX(Customizations!$C$2:$C$19,MATCH(Sheet1!C1092,Customizations!$B$2:$B$19,0),1),INDEX(About!C:C,MATCH(Sheet1!B1092,About!B:B,0),1)),""))</f>
        <v>Proc Emis Reductions and Costs.xlsx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5">
      <c r="A1093" t="s">
        <v>242</v>
      </c>
      <c r="B1093" t="s">
        <v>252</v>
      </c>
      <c r="C1093" t="s">
        <v>609</v>
      </c>
      <c r="G1093" t="str">
        <f t="shared" si="40"/>
        <v>.csv</v>
      </c>
      <c r="H1093" s="5" t="str">
        <f>IF(AND(G1093=".csv",COUNTIFS($B:$B,$B1093,$G:$G,"xlsx")-COUNTIFS($B:$B,$B1093,$G:$G,"xlsx",$C:$C,"~~$*")&gt;1,LEFT(C1093,LEN($B1093))&lt;&gt;$B1093),"",IFERROR(IF(B1093="FoPITY",INDEX(Customizations!$C$2:$C$19,MATCH(Sheet1!C1093,Customizations!$B$2:$B$19,0),1),INDEX(About!C:C,MATCH(Sheet1!B1093,About!B:B,0),1)),""))</f>
        <v>Proc Emis Reductions and Costs.xlsx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5">
      <c r="A1094" t="s">
        <v>242</v>
      </c>
      <c r="B1094" t="s">
        <v>252</v>
      </c>
      <c r="C1094" t="s">
        <v>944</v>
      </c>
      <c r="G1094" t="str">
        <f t="shared" si="40"/>
        <v>.csv</v>
      </c>
      <c r="H1094" s="5" t="str">
        <f>IF(AND(G1094=".csv",COUNTIFS($B:$B,$B1094,$G:$G,"xlsx")-COUNTIFS($B:$B,$B1094,$G:$G,"xlsx",$C:$C,"~~$*")&gt;1,LEFT(C1094,LEN($B1094))&lt;&gt;$B1094),"",IFERROR(IF(B1094="FoPITY",INDEX(Customizations!$C$2:$C$19,MATCH(Sheet1!C1094,Customizations!$B$2:$B$19,0),1),INDEX(About!C:C,MATCH(Sheet1!B1094,About!B:B,0),1)),""))</f>
        <v>Proc Emis Reductions and Costs.xlsx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5">
      <c r="A1095" t="s">
        <v>242</v>
      </c>
      <c r="B1095" t="s">
        <v>252</v>
      </c>
      <c r="C1095" t="s">
        <v>908</v>
      </c>
      <c r="G1095" t="str">
        <f t="shared" si="40"/>
        <v>.csv</v>
      </c>
      <c r="H1095" s="5" t="str">
        <f>IF(AND(G1095=".csv",COUNTIFS($B:$B,$B1095,$G:$G,"xlsx")-COUNTIFS($B:$B,$B1095,$G:$G,"xlsx",$C:$C,"~~$*")&gt;1,LEFT(C1095,LEN($B1095))&lt;&gt;$B1095),"",IFERROR(IF(B1095="FoPITY",INDEX(Customizations!$C$2:$C$19,MATCH(Sheet1!C1095,Customizations!$B$2:$B$19,0),1),INDEX(About!C:C,MATCH(Sheet1!B1095,About!B:B,0),1)),""))</f>
        <v>Proc Emis Reductions and Costs.xlsx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5">
      <c r="A1096" t="s">
        <v>242</v>
      </c>
      <c r="B1096" t="s">
        <v>252</v>
      </c>
      <c r="C1096" t="s">
        <v>610</v>
      </c>
      <c r="G1096" t="str">
        <f t="shared" si="40"/>
        <v>.csv</v>
      </c>
      <c r="H1096" s="5" t="str">
        <f>IF(AND(G1096=".csv",COUNTIFS($B:$B,$B1096,$G:$G,"xlsx")-COUNTIFS($B:$B,$B1096,$G:$G,"xlsx",$C:$C,"~~$*")&gt;1,LEFT(C1096,LEN($B1096))&lt;&gt;$B1096),"",IFERROR(IF(B1096="FoPITY",INDEX(Customizations!$C$2:$C$19,MATCH(Sheet1!C1096,Customizations!$B$2:$B$19,0),1),INDEX(About!C:C,MATCH(Sheet1!B1096,About!B:B,0),1)),""))</f>
        <v>Proc Emis Reductions and Costs.xlsx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5">
      <c r="A1097" t="s">
        <v>242</v>
      </c>
      <c r="B1097" t="s">
        <v>252</v>
      </c>
      <c r="C1097" t="s">
        <v>611</v>
      </c>
      <c r="G1097" t="str">
        <f t="shared" si="40"/>
        <v>.csv</v>
      </c>
      <c r="H1097" s="5" t="str">
        <f>IF(AND(G1097=".csv",COUNTIFS($B:$B,$B1097,$G:$G,"xlsx")-COUNTIFS($B:$B,$B1097,$G:$G,"xlsx",$C:$C,"~~$*")&gt;1,LEFT(C1097,LEN($B1097))&lt;&gt;$B1097),"",IFERROR(IF(B1097="FoPITY",INDEX(Customizations!$C$2:$C$19,MATCH(Sheet1!C1097,Customizations!$B$2:$B$19,0),1),INDEX(About!C:C,MATCH(Sheet1!B1097,About!B:B,0),1)),""))</f>
        <v>Proc Emis Reductions and Costs.xlsx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5">
      <c r="A1098" t="s">
        <v>242</v>
      </c>
      <c r="B1098" t="s">
        <v>252</v>
      </c>
      <c r="C1098" t="s">
        <v>612</v>
      </c>
      <c r="G1098" t="str">
        <f t="shared" si="40"/>
        <v>.csv</v>
      </c>
      <c r="H1098" s="5" t="str">
        <f>IF(AND(G1098=".csv",COUNTIFS($B:$B,$B1098,$G:$G,"xlsx")-COUNTIFS($B:$B,$B1098,$G:$G,"xlsx",$C:$C,"~~$*")&gt;1,LEFT(C1098,LEN($B1098))&lt;&gt;$B1098),"",IFERROR(IF(B1098="FoPITY",INDEX(Customizations!$C$2:$C$19,MATCH(Sheet1!C1098,Customizations!$B$2:$B$19,0),1),INDEX(About!C:C,MATCH(Sheet1!B1098,About!B:B,0),1)),""))</f>
        <v>Proc Emis Reductions and Costs.xlsx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5">
      <c r="A1099" t="s">
        <v>242</v>
      </c>
      <c r="B1099" t="s">
        <v>252</v>
      </c>
      <c r="C1099" t="s">
        <v>613</v>
      </c>
      <c r="G1099" t="str">
        <f t="shared" si="40"/>
        <v>.csv</v>
      </c>
      <c r="H1099" s="5" t="str">
        <f>IF(AND(G1099=".csv",COUNTIFS($B:$B,$B1099,$G:$G,"xlsx")-COUNTIFS($B:$B,$B1099,$G:$G,"xlsx",$C:$C,"~~$*")&gt;1,LEFT(C1099,LEN($B1099))&lt;&gt;$B1099),"",IFERROR(IF(B1099="FoPITY",INDEX(Customizations!$C$2:$C$19,MATCH(Sheet1!C1099,Customizations!$B$2:$B$19,0),1),INDEX(About!C:C,MATCH(Sheet1!B1099,About!B:B,0),1)),""))</f>
        <v>Proc Emis Reductions and Costs.xlsx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5">
      <c r="A1100" t="s">
        <v>242</v>
      </c>
      <c r="B1100" t="s">
        <v>252</v>
      </c>
      <c r="C1100" t="s">
        <v>614</v>
      </c>
      <c r="G1100" t="str">
        <f t="shared" si="40"/>
        <v>.csv</v>
      </c>
      <c r="H1100" s="5" t="str">
        <f>IF(AND(G1100=".csv",COUNTIFS($B:$B,$B1100,$G:$G,"xlsx")-COUNTIFS($B:$B,$B1100,$G:$G,"xlsx",$C:$C,"~~$*")&gt;1,LEFT(C1100,LEN($B1100))&lt;&gt;$B1100),"",IFERROR(IF(B1100="FoPITY",INDEX(Customizations!$C$2:$C$19,MATCH(Sheet1!C1100,Customizations!$B$2:$B$19,0),1),INDEX(About!C:C,MATCH(Sheet1!B1100,About!B:B,0),1)),""))</f>
        <v>Proc Emis Reductions and Costs.xlsx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5">
      <c r="A1101" t="s">
        <v>242</v>
      </c>
      <c r="B1101" t="s">
        <v>252</v>
      </c>
      <c r="C1101" t="s">
        <v>615</v>
      </c>
      <c r="G1101" t="str">
        <f t="shared" si="40"/>
        <v>.csv</v>
      </c>
      <c r="H1101" s="5" t="str">
        <f>IF(AND(G1101=".csv",COUNTIFS($B:$B,$B1101,$G:$G,"xlsx")-COUNTIFS($B:$B,$B1101,$G:$G,"xlsx",$C:$C,"~~$*")&gt;1,LEFT(C1101,LEN($B1101))&lt;&gt;$B1101),"",IFERROR(IF(B1101="FoPITY",INDEX(Customizations!$C$2:$C$19,MATCH(Sheet1!C1101,Customizations!$B$2:$B$19,0),1),INDEX(About!C:C,MATCH(Sheet1!B1101,About!B:B,0),1)),""))</f>
        <v>Proc Emis Reductions and Costs.xlsx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5">
      <c r="A1102" t="s">
        <v>242</v>
      </c>
      <c r="B1102" t="s">
        <v>252</v>
      </c>
      <c r="C1102" t="s">
        <v>616</v>
      </c>
      <c r="G1102" t="str">
        <f t="shared" si="40"/>
        <v>.csv</v>
      </c>
      <c r="H1102" s="5" t="str">
        <f>IF(AND(G1102=".csv",COUNTIFS($B:$B,$B1102,$G:$G,"xlsx")-COUNTIFS($B:$B,$B1102,$G:$G,"xlsx",$C:$C,"~~$*")&gt;1,LEFT(C1102,LEN($B1102))&lt;&gt;$B1102),"",IFERROR(IF(B1102="FoPITY",INDEX(Customizations!$C$2:$C$19,MATCH(Sheet1!C1102,Customizations!$B$2:$B$19,0),1),INDEX(About!C:C,MATCH(Sheet1!B1102,About!B:B,0),1)),""))</f>
        <v>Proc Emis Reductions and Costs.xlsx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5">
      <c r="A1103" t="s">
        <v>242</v>
      </c>
      <c r="B1103" t="s">
        <v>252</v>
      </c>
      <c r="C1103" t="s">
        <v>617</v>
      </c>
      <c r="G1103" t="str">
        <f t="shared" si="40"/>
        <v>.csv</v>
      </c>
      <c r="H1103" s="5" t="str">
        <f>IF(AND(G1103=".csv",COUNTIFS($B:$B,$B1103,$G:$G,"xlsx")-COUNTIFS($B:$B,$B1103,$G:$G,"xlsx",$C:$C,"~~$*")&gt;1,LEFT(C1103,LEN($B1103))&lt;&gt;$B1103),"",IFERROR(IF(B1103="FoPITY",INDEX(Customizations!$C$2:$C$19,MATCH(Sheet1!C1103,Customizations!$B$2:$B$19,0),1),INDEX(About!C:C,MATCH(Sheet1!B1103,About!B:B,0),1)),""))</f>
        <v>Proc Emis Reductions and Costs.xlsx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5">
      <c r="A1104" t="s">
        <v>242</v>
      </c>
      <c r="B1104" t="s">
        <v>252</v>
      </c>
      <c r="C1104" t="s">
        <v>876</v>
      </c>
      <c r="G1104" t="str">
        <f t="shared" si="40"/>
        <v>.csv</v>
      </c>
      <c r="H1104" s="5" t="str">
        <f>IF(AND(G1104=".csv",COUNTIFS($B:$B,$B1104,$G:$G,"xlsx")-COUNTIFS($B:$B,$B1104,$G:$G,"xlsx",$C:$C,"~~$*")&gt;1,LEFT(C1104,LEN($B1104))&lt;&gt;$B1104),"",IFERROR(IF(B1104="FoPITY",INDEX(Customizations!$C$2:$C$19,MATCH(Sheet1!C1104,Customizations!$B$2:$B$19,0),1),INDEX(About!C:C,MATCH(Sheet1!B1104,About!B:B,0),1)),""))</f>
        <v>Proc Emis Reductions and Costs.xlsx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5">
      <c r="A1105" t="s">
        <v>242</v>
      </c>
      <c r="B1105" t="s">
        <v>252</v>
      </c>
      <c r="C1105" t="s">
        <v>877</v>
      </c>
      <c r="G1105" t="str">
        <f t="shared" si="40"/>
        <v>.csv</v>
      </c>
      <c r="H1105" s="5" t="str">
        <f>IF(AND(G1105=".csv",COUNTIFS($B:$B,$B1105,$G:$G,"xlsx")-COUNTIFS($B:$B,$B1105,$G:$G,"xlsx",$C:$C,"~~$*")&gt;1,LEFT(C1105,LEN($B1105))&lt;&gt;$B1105),"",IFERROR(IF(B1105="FoPITY",INDEX(Customizations!$C$2:$C$19,MATCH(Sheet1!C1105,Customizations!$B$2:$B$19,0),1),INDEX(About!C:C,MATCH(Sheet1!B1105,About!B:B,0),1)),""))</f>
        <v>Proc Emis Reductions and Costs.xlsx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5">
      <c r="A1106" t="s">
        <v>242</v>
      </c>
      <c r="B1106" t="s">
        <v>252</v>
      </c>
      <c r="C1106" t="s">
        <v>878</v>
      </c>
      <c r="G1106" t="str">
        <f t="shared" si="40"/>
        <v>.csv</v>
      </c>
      <c r="H1106" s="5" t="str">
        <f>IF(AND(G1106=".csv",COUNTIFS($B:$B,$B1106,$G:$G,"xlsx")-COUNTIFS($B:$B,$B1106,$G:$G,"xlsx",$C:$C,"~~$*")&gt;1,LEFT(C1106,LEN($B1106))&lt;&gt;$B1106),"",IFERROR(IF(B1106="FoPITY",INDEX(Customizations!$C$2:$C$19,MATCH(Sheet1!C1106,Customizations!$B$2:$B$19,0),1),INDEX(About!C:C,MATCH(Sheet1!B1106,About!B:B,0),1)),""))</f>
        <v>Proc Emis Reductions and Costs.xlsx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5">
      <c r="A1107" t="s">
        <v>242</v>
      </c>
      <c r="B1107" t="s">
        <v>252</v>
      </c>
      <c r="C1107" t="s">
        <v>879</v>
      </c>
      <c r="G1107" t="str">
        <f t="shared" si="40"/>
        <v>.csv</v>
      </c>
      <c r="H1107" s="5" t="str">
        <f>IF(AND(G1107=".csv",COUNTIFS($B:$B,$B1107,$G:$G,"xlsx")-COUNTIFS($B:$B,$B1107,$G:$G,"xlsx",$C:$C,"~~$*")&gt;1,LEFT(C1107,LEN($B1107))&lt;&gt;$B1107),"",IFERROR(IF(B1107="FoPITY",INDEX(Customizations!$C$2:$C$19,MATCH(Sheet1!C1107,Customizations!$B$2:$B$19,0),1),INDEX(About!C:C,MATCH(Sheet1!B1107,About!B:B,0),1)),""))</f>
        <v>Proc Emis Reductions and Costs.xlsx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5">
      <c r="A1108" t="s">
        <v>242</v>
      </c>
      <c r="B1108" t="s">
        <v>252</v>
      </c>
      <c r="C1108" t="s">
        <v>945</v>
      </c>
      <c r="G1108" t="str">
        <f t="shared" si="40"/>
        <v>.csv</v>
      </c>
      <c r="H1108" s="5" t="str">
        <f>IF(AND(G1108=".csv",COUNTIFS($B:$B,$B1108,$G:$G,"xlsx")-COUNTIFS($B:$B,$B1108,$G:$G,"xlsx",$C:$C,"~~$*")&gt;1,LEFT(C1108,LEN($B1108))&lt;&gt;$B1108),"",IFERROR(IF(B1108="FoPITY",INDEX(Customizations!$C$2:$C$19,MATCH(Sheet1!C1108,Customizations!$B$2:$B$19,0),1),INDEX(About!C:C,MATCH(Sheet1!B1108,About!B:B,0),1)),""))</f>
        <v>Proc Emis Reductions and Costs.xlsx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5">
      <c r="A1109" t="s">
        <v>242</v>
      </c>
      <c r="B1109" t="s">
        <v>252</v>
      </c>
      <c r="C1109" t="s">
        <v>618</v>
      </c>
      <c r="G1109" t="str">
        <f t="shared" si="40"/>
        <v>.csv</v>
      </c>
      <c r="H1109" s="5" t="str">
        <f>IF(AND(G1109=".csv",COUNTIFS($B:$B,$B1109,$G:$G,"xlsx")-COUNTIFS($B:$B,$B1109,$G:$G,"xlsx",$C:$C,"~~$*")&gt;1,LEFT(C1109,LEN($B1109))&lt;&gt;$B1109),"",IFERROR(IF(B1109="FoPITY",INDEX(Customizations!$C$2:$C$19,MATCH(Sheet1!C1109,Customizations!$B$2:$B$19,0),1),INDEX(About!C:C,MATCH(Sheet1!B1109,About!B:B,0),1)),""))</f>
        <v>Proc Emis Reductions and Costs.xlsx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5">
      <c r="A1110" t="s">
        <v>242</v>
      </c>
      <c r="B1110" t="s">
        <v>252</v>
      </c>
      <c r="C1110" t="s">
        <v>619</v>
      </c>
      <c r="G1110" t="str">
        <f t="shared" si="40"/>
        <v>.csv</v>
      </c>
      <c r="H1110" s="5" t="str">
        <f>IF(AND(G1110=".csv",COUNTIFS($B:$B,$B1110,$G:$G,"xlsx")-COUNTIFS($B:$B,$B1110,$G:$G,"xlsx",$C:$C,"~~$*")&gt;1,LEFT(C1110,LEN($B1110))&lt;&gt;$B1110),"",IFERROR(IF(B1110="FoPITY",INDEX(Customizations!$C$2:$C$19,MATCH(Sheet1!C1110,Customizations!$B$2:$B$19,0),1),INDEX(About!C:C,MATCH(Sheet1!B1110,About!B:B,0),1)),""))</f>
        <v>Proc Emis Reductions and Costs.xlsx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5">
      <c r="A1111" t="s">
        <v>242</v>
      </c>
      <c r="B1111" t="s">
        <v>252</v>
      </c>
      <c r="C1111" t="s">
        <v>620</v>
      </c>
      <c r="G1111" t="str">
        <f t="shared" si="40"/>
        <v>xlsx</v>
      </c>
      <c r="H1111" s="5" t="str">
        <f>IF(AND(G1111=".csv",COUNTIFS($B:$B,$B1111,$G:$G,"xlsx")-COUNTIFS($B:$B,$B1111,$G:$G,"xlsx",$C:$C,"~~$*")&gt;1,LEFT(C1111,LEN($B1111))&lt;&gt;$B1111),"",IFERROR(IF(B1111="FoPITY",INDEX(Customizations!$C$2:$C$19,MATCH(Sheet1!C1111,Customizations!$B$2:$B$19,0),1),INDEX(About!C:C,MATCH(Sheet1!B1111,About!B:B,0),1)),""))</f>
        <v>Proc Emis Reductions and Costs.xlsx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5">
      <c r="A1112" t="s">
        <v>242</v>
      </c>
      <c r="B1112" t="s">
        <v>253</v>
      </c>
      <c r="C1112" t="s">
        <v>254</v>
      </c>
      <c r="G1112" t="str">
        <f t="shared" si="40"/>
        <v>xlsx</v>
      </c>
      <c r="H1112" s="5" t="str">
        <f>IF(AND(G1112=".csv",COUNTIFS($B:$B,$B1112,$G:$G,"xlsx")-COUNTIFS($B:$B,$B1112,$G:$G,"xlsx",$C:$C,"~~$*")&gt;1,LEFT(C1112,LEN($B1112))&lt;&gt;$B1112),"",IFERROR(IF(B1112="FoPITY",INDEX(Customizations!$C$2:$C$19,MATCH(Sheet1!C1112,Customizations!$B$2:$B$19,0),1),INDEX(About!C:C,MATCH(Sheet1!B1112,About!B:B,0),1)),""))</f>
        <v>Perc Indst Fuel Use Reduction for Elec.xlsx</v>
      </c>
      <c r="I1112" s="5">
        <f>IFERROR(INDEX(About!$D:$D,MATCH(Sheet1!H1112,About!$C:$C,0),1),0)</f>
        <v>1</v>
      </c>
      <c r="J1112" s="6">
        <f t="shared" si="41"/>
        <v>0</v>
      </c>
    </row>
    <row r="1113" spans="1:10" x14ac:dyDescent="0.35">
      <c r="A1113" t="s">
        <v>242</v>
      </c>
      <c r="B1113" t="s">
        <v>253</v>
      </c>
      <c r="C1113" t="s">
        <v>255</v>
      </c>
      <c r="G1113" t="str">
        <f t="shared" si="40"/>
        <v>.csv</v>
      </c>
      <c r="H1113" s="5" t="str">
        <f>IF(AND(G1113=".csv",COUNTIFS($B:$B,$B1113,$G:$G,"xlsx")-COUNTIFS($B:$B,$B1113,$G:$G,"xlsx",$C:$C,"~~$*")&gt;1,LEFT(C1113,LEN($B1113))&lt;&gt;$B1113),"",IFERROR(IF(B1113="FoPITY",INDEX(Customizations!$C$2:$C$19,MATCH(Sheet1!C1113,Customizations!$B$2:$B$19,0),1),INDEX(About!C:C,MATCH(Sheet1!B1113,About!B:B,0),1)),""))</f>
        <v>Perc Indst Fuel Use Reduction for Elec.xlsx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35">
      <c r="A1114" t="s">
        <v>242</v>
      </c>
      <c r="B1114" t="s">
        <v>1880</v>
      </c>
      <c r="C1114" t="s">
        <v>2044</v>
      </c>
      <c r="G1114" t="str">
        <f t="shared" si="40"/>
        <v>xlsx</v>
      </c>
      <c r="H1114" s="5" t="str">
        <f>IF(AND(G1114=".csv",COUNTIFS($B:$B,$B1114,$G:$G,"xlsx")-COUNTIFS($B:$B,$B1114,$G:$G,"xlsx",$C:$C,"~~$*")&gt;1,LEFT(C1114,LEN($B1114))&lt;&gt;$B1114),"",IFERROR(IF(B1114="FoPITY",INDEX(Customizations!$C$2:$C$19,MATCH(Sheet1!C1114,Customizations!$B$2:$B$19,0),1),INDEX(About!C:C,MATCH(Sheet1!B1114,About!B:B,0),1)),""))</f>
        <v>Perc of Other Nonproc Eqpt E Use That is Mobile Eqpt by Indst Cat.xlsx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5">
      <c r="A1115" t="s">
        <v>242</v>
      </c>
      <c r="B1115" t="s">
        <v>1880</v>
      </c>
      <c r="C1115" t="s">
        <v>1881</v>
      </c>
      <c r="G1115" t="str">
        <f t="shared" si="40"/>
        <v>.csv</v>
      </c>
      <c r="H1115" s="5" t="str">
        <f>IF(AND(G1115=".csv",COUNTIFS($B:$B,$B1115,$G:$G,"xlsx")-COUNTIFS($B:$B,$B1115,$G:$G,"xlsx",$C:$C,"~~$*")&gt;1,LEFT(C1115,LEN($B1115))&lt;&gt;$B1115),"",IFERROR(IF(B1115="FoPITY",INDEX(Customizations!$C$2:$C$19,MATCH(Sheet1!C1115,Customizations!$B$2:$B$19,0),1),INDEX(About!C:C,MATCH(Sheet1!B1115,About!B:B,0),1)),""))</f>
        <v>Perc of Other Nonproc Eqpt E Use That is Mobile Eqpt by Indst Cat.xlsx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5">
      <c r="A1116" t="s">
        <v>242</v>
      </c>
      <c r="B1116" t="s">
        <v>946</v>
      </c>
      <c r="C1116" t="s">
        <v>947</v>
      </c>
      <c r="G1116" t="str">
        <f t="shared" si="40"/>
        <v>xlsx</v>
      </c>
      <c r="H1116" s="5" t="str">
        <f>IF(AND(G1116=".csv",COUNTIFS($B:$B,$B1116,$G:$G,"xlsx")-COUNTIFS($B:$B,$B1116,$G:$G,"xlsx",$C:$C,"~~$*")&gt;1,LEFT(C1116,LEN($B1116))&lt;&gt;$B1116),"",IFERROR(IF(B1116="FoPITY",INDEX(Customizations!$C$2:$C$19,MATCH(Sheet1!C1116,Customizations!$B$2:$B$19,0),1),INDEX(About!C:C,MATCH(Sheet1!B1116,About!B:B,0),1)),""))</f>
        <v>Ratio of Nutr Eqiv Plant to Anim Products Prd per Unit Land Area.xlsx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5">
      <c r="A1117" t="s">
        <v>242</v>
      </c>
      <c r="B1117" t="s">
        <v>946</v>
      </c>
      <c r="C1117" t="s">
        <v>948</v>
      </c>
      <c r="G1117" t="str">
        <f t="shared" si="40"/>
        <v>.csv</v>
      </c>
      <c r="H1117" s="5" t="str">
        <f>IF(AND(G1117=".csv",COUNTIFS($B:$B,$B1117,$G:$G,"xlsx")-COUNTIFS($B:$B,$B1117,$G:$G,"xlsx",$C:$C,"~~$*")&gt;1,LEFT(C1117,LEN($B1117))&lt;&gt;$B1117),"",IFERROR(IF(B1117="FoPITY",INDEX(Customizations!$C$2:$C$19,MATCH(Sheet1!C1117,Customizations!$B$2:$B$19,0),1),INDEX(About!C:C,MATCH(Sheet1!B1117,About!B:B,0),1)),""))</f>
        <v>Ratio of Nutr Eqiv Plant to Anim Products Prd per Unit Land Area.xlsx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5">
      <c r="A1118" t="s">
        <v>242</v>
      </c>
      <c r="B1118" t="s">
        <v>1685</v>
      </c>
      <c r="C1118" t="s">
        <v>1686</v>
      </c>
      <c r="G1118" t="str">
        <f t="shared" si="40"/>
        <v>xlsx</v>
      </c>
      <c r="H1118" s="5" t="str">
        <f>IF(AND(G1118=".csv",COUNTIFS($B:$B,$B1118,$G:$G,"xlsx")-COUNTIFS($B:$B,$B1118,$G:$G,"xlsx",$C:$C,"~~$*")&gt;1,LEFT(C1118,LEN($B1118))&lt;&gt;$B1118),"",IFERROR(IF(B1118="FoPITY",INDEX(Customizations!$C$2:$C$19,MATCH(Sheet1!C1118,Customizations!$B$2:$B$19,0),1),INDEX(About!C:C,MATCH(Sheet1!B1118,About!B:B,0),1)),""))</f>
        <v>RPfFISCC Repayment Period for Financed Indst Sector Capital Costs.xlsx</v>
      </c>
      <c r="I1118" s="5">
        <f>IFERROR(INDEX(About!$D:$D,MATCH(Sheet1!H1118,About!$C:$C,0),1),0)</f>
        <v>1</v>
      </c>
      <c r="J1118" s="6">
        <f t="shared" si="41"/>
        <v>0</v>
      </c>
    </row>
    <row r="1119" spans="1:10" x14ac:dyDescent="0.35">
      <c r="A1119" t="s">
        <v>242</v>
      </c>
      <c r="B1119" t="s">
        <v>1685</v>
      </c>
      <c r="C1119" t="s">
        <v>1687</v>
      </c>
      <c r="G1119" t="str">
        <f t="shared" si="40"/>
        <v>.csv</v>
      </c>
      <c r="H1119" s="5" t="str">
        <f>IF(AND(G1119=".csv",COUNTIFS($B:$B,$B1119,$G:$G,"xlsx")-COUNTIFS($B:$B,$B1119,$G:$G,"xlsx",$C:$C,"~~$*")&gt;1,LEFT(C1119,LEN($B1119))&lt;&gt;$B1119),"",IFERROR(IF(B1119="FoPITY",INDEX(Customizations!$C$2:$C$19,MATCH(Sheet1!C1119,Customizations!$B$2:$B$19,0),1),INDEX(About!C:C,MATCH(Sheet1!B1119,About!B:B,0),1)),""))</f>
        <v>RPfFISCC Repayment Period for Financed Indst Sector Capital Costs.xlsx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35">
      <c r="A1120" t="s">
        <v>242</v>
      </c>
      <c r="B1120" t="s">
        <v>808</v>
      </c>
      <c r="C1120" t="s">
        <v>809</v>
      </c>
      <c r="G1120" t="str">
        <f t="shared" si="40"/>
        <v>xlsx</v>
      </c>
      <c r="H1120" s="5" t="str">
        <f>IF(AND(G1120=".csv",COUNTIFS($B:$B,$B1120,$G:$G,"xlsx")-COUNTIFS($B:$B,$B1120,$G:$G,"xlsx",$C:$C,"~~$*")&gt;1,LEFT(C1120,LEN($B1120))&lt;&gt;$B1120),"",IFERROR(IF(B1120="FoPITY",INDEX(Customizations!$C$2:$C$19,MATCH(Sheet1!C1120,Customizations!$B$2:$B$19,0),1),INDEX(About!C:C,MATCH(Sheet1!B1120,About!B:B,0),1)),""))</f>
        <v>Share of Capital and OM Spending by ISIC Code.xlsx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5">
      <c r="A1121" t="s">
        <v>242</v>
      </c>
      <c r="B1121" t="s">
        <v>808</v>
      </c>
      <c r="C1121" t="s">
        <v>810</v>
      </c>
      <c r="G1121" t="str">
        <f t="shared" si="40"/>
        <v>.csv</v>
      </c>
      <c r="H1121" s="5" t="str">
        <f>IF(AND(G1121=".csv",COUNTIFS($B:$B,$B1121,$G:$G,"xlsx")-COUNTIFS($B:$B,$B1121,$G:$G,"xlsx",$C:$C,"~~$*")&gt;1,LEFT(C1121,LEN($B1121))&lt;&gt;$B1121),"",IFERROR(IF(B1121="FoPITY",INDEX(Customizations!$C$2:$C$19,MATCH(Sheet1!C1121,Customizations!$B$2:$B$19,0),1),INDEX(About!C:C,MATCH(Sheet1!B1121,About!B:B,0),1)),""))</f>
        <v>Share of Capital and OM Spending by ISIC Code.xlsx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5">
      <c r="A1122" t="s">
        <v>242</v>
      </c>
      <c r="B1122" t="s">
        <v>829</v>
      </c>
      <c r="C1122" t="s">
        <v>830</v>
      </c>
      <c r="G1122" t="str">
        <f t="shared" si="40"/>
        <v>xlsx</v>
      </c>
      <c r="H1122" s="5" t="str">
        <f>IF(AND(G1122=".csv",COUNTIFS($B:$B,$B1122,$G:$G,"xlsx")-COUNTIFS($B:$B,$B1122,$G:$G,"xlsx",$C:$C,"~~$*")&gt;1,LEFT(C1122,LEN($B1122))&lt;&gt;$B1122),"",IFERROR(IF(B1122="FoPITY",INDEX(Customizations!$C$2:$C$19,MATCH(Sheet1!C1122,Customizations!$B$2:$B$19,0),1),INDEX(About!C:C,MATCH(Sheet1!B1122,About!B:B,0),1)),""))</f>
        <v>Shr of Cng in Indst Expenses Passed Thr to Buyers.xlsx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5">
      <c r="A1123" t="s">
        <v>242</v>
      </c>
      <c r="B1123" t="s">
        <v>829</v>
      </c>
      <c r="C1123" t="s">
        <v>831</v>
      </c>
      <c r="G1123" t="str">
        <f t="shared" si="40"/>
        <v>.csv</v>
      </c>
      <c r="H1123" s="5" t="str">
        <f>IF(AND(G1123=".csv",COUNTIFS($B:$B,$B1123,$G:$G,"xlsx")-COUNTIFS($B:$B,$B1123,$G:$G,"xlsx",$C:$C,"~~$*")&gt;1,LEFT(C1123,LEN($B1123))&lt;&gt;$B1123),"",IFERROR(IF(B1123="FoPITY",INDEX(Customizations!$C$2:$C$19,MATCH(Sheet1!C1123,Customizations!$B$2:$B$19,0),1),INDEX(About!C:C,MATCH(Sheet1!B1123,About!B:B,0),1)),""))</f>
        <v>Shr of Cng in Indst Expenses Passed Thr to Buyers.xlsx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5">
      <c r="A1124" t="s">
        <v>242</v>
      </c>
      <c r="B1124" t="s">
        <v>1688</v>
      </c>
      <c r="C1124" t="s">
        <v>1689</v>
      </c>
      <c r="G1124" t="str">
        <f t="shared" si="40"/>
        <v>xlsx</v>
      </c>
      <c r="H1124" s="5" t="str">
        <f>IF(AND(G1124=".csv",COUNTIFS($B:$B,$B1124,$G:$G,"xlsx")-COUNTIFS($B:$B,$B1124,$G:$G,"xlsx",$C:$C,"~~$*")&gt;1,LEFT(C1124,LEN($B1124))&lt;&gt;$B1124),"",IFERROR(IF(B1124="FoPITY",INDEX(Customizations!$C$2:$C$19,MATCH(Sheet1!C1124,Customizations!$B$2:$B$19,0),1),INDEX(About!C:C,MATCH(Sheet1!B1124,About!B:B,0),1)),""))</f>
        <v>Share of Fuel Cons that is Byproduct or Secondary Fuel by Indst.xlsx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5">
      <c r="A1125" t="s">
        <v>242</v>
      </c>
      <c r="B1125" t="s">
        <v>1688</v>
      </c>
      <c r="C1125" t="s">
        <v>1690</v>
      </c>
      <c r="G1125" t="str">
        <f t="shared" si="40"/>
        <v>.csv</v>
      </c>
      <c r="H1125" s="5" t="str">
        <f>IF(AND(G1125=".csv",COUNTIFS($B:$B,$B1125,$G:$G,"xlsx")-COUNTIFS($B:$B,$B1125,$G:$G,"xlsx",$C:$C,"~~$*")&gt;1,LEFT(C1125,LEN($B1125))&lt;&gt;$B1125),"",IFERROR(IF(B1125="FoPITY",INDEX(Customizations!$C$2:$C$19,MATCH(Sheet1!C1125,Customizations!$B$2:$B$19,0),1),INDEX(About!C:C,MATCH(Sheet1!B1125,About!B:B,0),1)),""))</f>
        <v>Share of Fuel Cons that is Byproduct or Secondary Fuel by Indst.xlsx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5">
      <c r="A1126" t="s">
        <v>242</v>
      </c>
      <c r="B1126" t="s">
        <v>2045</v>
      </c>
      <c r="C1126" t="s">
        <v>2046</v>
      </c>
      <c r="G1126" t="str">
        <f t="shared" si="40"/>
        <v>xlsx</v>
      </c>
      <c r="H1126" s="5" t="str">
        <f>IF(AND(G1126=".csv",COUNTIFS($B:$B,$B1126,$G:$G,"xlsx")-COUNTIFS($B:$B,$B1126,$G:$G,"xlsx",$C:$C,"~~$*")&gt;1,LEFT(C1126,LEN($B1126))&lt;&gt;$B1126),"",IFERROR(IF(B1126="FoPITY",INDEX(Customizations!$C$2:$C$19,MATCH(Sheet1!C1126,Customizations!$B$2:$B$19,0),1),INDEX(About!C:C,MATCH(Sheet1!B1126,About!B:B,0),1)),""))</f>
        <v>Share of Indst Cap Expenditures That Are Financed.xlsx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5">
      <c r="A1127" t="s">
        <v>242</v>
      </c>
      <c r="B1127" t="s">
        <v>2045</v>
      </c>
      <c r="C1127" t="s">
        <v>2047</v>
      </c>
      <c r="G1127" t="str">
        <f t="shared" si="40"/>
        <v>.csv</v>
      </c>
      <c r="H1127" s="5" t="str">
        <f>IF(AND(G1127=".csv",COUNTIFS($B:$B,$B1127,$G:$G,"xlsx")-COUNTIFS($B:$B,$B1127,$G:$G,"xlsx",$C:$C,"~~$*")&gt;1,LEFT(C1127,LEN($B1127))&lt;&gt;$B1127),"",IFERROR(IF(B1127="FoPITY",INDEX(Customizations!$C$2:$C$19,MATCH(Sheet1!C1127,Customizations!$B$2:$B$19,0),1),INDEX(About!C:C,MATCH(Sheet1!B1127,About!B:B,0),1)),""))</f>
        <v>Share of Indst Cap Expenditures That Are Financed.xlsx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5">
      <c r="A1128" t="s">
        <v>242</v>
      </c>
      <c r="B1128" t="s">
        <v>832</v>
      </c>
      <c r="C1128" t="s">
        <v>833</v>
      </c>
      <c r="G1128" t="str">
        <f t="shared" si="40"/>
        <v>xlsx</v>
      </c>
      <c r="H1128" s="5" t="str">
        <f>IF(AND(G1128=".csv",COUNTIFS($B:$B,$B1128,$G:$G,"xlsx")-COUNTIFS($B:$B,$B1128,$G:$G,"xlsx",$C:$C,"~~$*")&gt;1,LEFT(C1128,LEN($B1128))&lt;&gt;$B1128),"",IFERROR(IF(B1128="FoPITY",INDEX(Customizations!$C$2:$C$19,MATCH(Sheet1!C1128,Customizations!$B$2:$B$19,0),1),INDEX(About!C:C,MATCH(Sheet1!B1128,About!B:B,0),1)),""))</f>
        <v>Share of Process Emis Abatement Spending by ISIC Code.xlsx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5">
      <c r="A1129" t="s">
        <v>242</v>
      </c>
      <c r="B1129" t="s">
        <v>832</v>
      </c>
      <c r="C1129" t="s">
        <v>834</v>
      </c>
      <c r="G1129" t="str">
        <f t="shared" si="40"/>
        <v>.csv</v>
      </c>
      <c r="H1129" s="5" t="str">
        <f>IF(AND(G1129=".csv",COUNTIFS($B:$B,$B1129,$G:$G,"xlsx")-COUNTIFS($B:$B,$B1129,$G:$G,"xlsx",$C:$C,"~~$*")&gt;1,LEFT(C1129,LEN($B1129))&lt;&gt;$B1129),"",IFERROR(IF(B1129="FoPITY",INDEX(Customizations!$C$2:$C$19,MATCH(Sheet1!C1129,Customizations!$B$2:$B$19,0),1),INDEX(About!C:C,MATCH(Sheet1!B1129,About!B:B,0),1)),""))</f>
        <v>Share of Process Emis Abatement Spending by ISIC Code.xlsx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5">
      <c r="A1130" t="s">
        <v>242</v>
      </c>
      <c r="B1130" t="s">
        <v>1691</v>
      </c>
      <c r="C1130" t="s">
        <v>1692</v>
      </c>
      <c r="G1130" t="str">
        <f t="shared" si="40"/>
        <v>xlsx</v>
      </c>
      <c r="H1130" s="5" t="str">
        <f>IF(AND(G1130=".csv",COUNTIFS($B:$B,$B1130,$G:$G,"xlsx")-COUNTIFS($B:$B,$B1130,$G:$G,"xlsx",$C:$C,"~~$*")&gt;1,LEFT(C1130,LEN($B1130))&lt;&gt;$B1130),"",IFERROR(IF(B1130="FoPITY",INDEX(Customizations!$C$2:$C$19,MATCH(Sheet1!C1130,Customizations!$B$2:$B$19,0),1),INDEX(About!C:C,MATCH(Sheet1!B1130,About!B:B,0),1)),""))</f>
        <v>Start Year Indst Eqpt Unit E Factor by Indst Proc and Fuel.xlsx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5">
      <c r="A1131" t="s">
        <v>242</v>
      </c>
      <c r="B1131" t="s">
        <v>1691</v>
      </c>
      <c r="C1131" t="s">
        <v>1693</v>
      </c>
      <c r="G1131" t="str">
        <f t="shared" si="40"/>
        <v>.csv</v>
      </c>
      <c r="H1131" s="5" t="str">
        <f>IF(AND(G1131=".csv",COUNTIFS($B:$B,$B1131,$G:$G,"xlsx")-COUNTIFS($B:$B,$B1131,$G:$G,"xlsx",$C:$C,"~~$*")&gt;1,LEFT(C1131,LEN($B1131))&lt;&gt;$B1131),"",IFERROR(IF(B1131="FoPITY",INDEX(Customizations!$C$2:$C$19,MATCH(Sheet1!C1131,Customizations!$B$2:$B$19,0),1),INDEX(About!C:C,MATCH(Sheet1!B1131,About!B:B,0),1)),""))</f>
        <v>Start Year Indst Eqpt Unit E Factor by Indst Proc and Fuel.xlsx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5">
      <c r="A1132" t="s">
        <v>701</v>
      </c>
      <c r="B1132" t="s">
        <v>1371</v>
      </c>
      <c r="C1132" t="s">
        <v>1372</v>
      </c>
      <c r="G1132" t="str">
        <f t="shared" si="40"/>
        <v>.csv</v>
      </c>
      <c r="H1132" s="5" t="str">
        <f>IF(AND(G1132=".csv",COUNTIFS($B:$B,$B1132,$G:$G,"xlsx")-COUNTIFS($B:$B,$B1132,$G:$G,"xlsx",$C:$C,"~~$*")&gt;1,LEFT(C1132,LEN($B1132))&lt;&gt;$B1132),"",IFERROR(IF(B1132="FoPITY",INDEX(Customizations!$C$2:$C$19,MATCH(Sheet1!C1132,Customizations!$B$2:$B$19,0),1),INDEX(About!C:C,MATCH(Sheet1!B1132,About!B:B,0),1)),""))</f>
        <v>Avg Corp Tax Rate.xlsx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5">
      <c r="A1133" t="s">
        <v>701</v>
      </c>
      <c r="B1133" t="s">
        <v>1371</v>
      </c>
      <c r="C1133" t="s">
        <v>1373</v>
      </c>
      <c r="G1133" t="str">
        <f t="shared" si="40"/>
        <v>xlsx</v>
      </c>
      <c r="H1133" s="5" t="str">
        <f>IF(AND(G1133=".csv",COUNTIFS($B:$B,$B1133,$G:$G,"xlsx")-COUNTIFS($B:$B,$B1133,$G:$G,"xlsx",$C:$C,"~~$*")&gt;1,LEFT(C1133,LEN($B1133))&lt;&gt;$B1133),"",IFERROR(IF(B1133="FoPITY",INDEX(Customizations!$C$2:$C$19,MATCH(Sheet1!C1133,Customizations!$B$2:$B$19,0),1),INDEX(About!C:C,MATCH(Sheet1!B1133,About!B:B,0),1)),""))</f>
        <v>Avg Corp Tax Rate.xlsx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5">
      <c r="A1134" t="s">
        <v>701</v>
      </c>
      <c r="B1134" t="s">
        <v>949</v>
      </c>
      <c r="C1134" t="s">
        <v>950</v>
      </c>
      <c r="G1134" t="str">
        <f t="shared" si="40"/>
        <v>xlsx</v>
      </c>
      <c r="H1134" s="5" t="str">
        <f>IF(AND(G1134=".csv",COUNTIFS($B:$B,$B1134,$G:$G,"xlsx")-COUNTIFS($B:$B,$B1134,$G:$G,"xlsx",$C:$C,"~~$*")&gt;1,LEFT(C1134,LEN($B1134))&lt;&gt;$B1134),"",IFERROR(IF(B1134="FoPITY",INDEX(Customizations!$C$2:$C$19,MATCH(Sheet1!C1134,Customizations!$B$2:$B$19,0),1),INDEX(About!C:C,MATCH(Sheet1!B1134,About!B:B,0),1)),""))</f>
        <v>BAU Dmst Cnt Shr of Cnsmptn and Exp Shr of Prdtn by ISIC Code.xlsx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5">
      <c r="A1135" t="s">
        <v>701</v>
      </c>
      <c r="B1135" t="s">
        <v>949</v>
      </c>
      <c r="C1135" t="s">
        <v>909</v>
      </c>
      <c r="G1135" t="str">
        <f t="shared" si="40"/>
        <v>.csv</v>
      </c>
      <c r="H1135" s="5" t="str">
        <f>IF(AND(G1135=".csv",COUNTIFS($B:$B,$B1135,$G:$G,"xlsx")-COUNTIFS($B:$B,$B1135,$G:$G,"xlsx",$C:$C,"~~$*")&gt;1,LEFT(C1135,LEN($B1135))&lt;&gt;$B1135),"",IFERROR(IF(B1135="FoPITY",INDEX(Customizations!$C$2:$C$19,MATCH(Sheet1!C1135,Customizations!$B$2:$B$19,0),1),INDEX(About!C:C,MATCH(Sheet1!B1135,About!B:B,0),1)),""))</f>
        <v>BAU Dmst Cnt Shr of Cnsmptn and Exp Shr of Prdtn by ISIC Code.xlsx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5">
      <c r="A1136" t="s">
        <v>701</v>
      </c>
      <c r="B1136" t="s">
        <v>949</v>
      </c>
      <c r="C1136" t="s">
        <v>951</v>
      </c>
      <c r="G1136" t="str">
        <f t="shared" si="40"/>
        <v>.csv</v>
      </c>
      <c r="H1136" s="5" t="str">
        <f>IF(AND(G1136=".csv",COUNTIFS($B:$B,$B1136,$G:$G,"xlsx")-COUNTIFS($B:$B,$B1136,$G:$G,"xlsx",$C:$C,"~~$*")&gt;1,LEFT(C1136,LEN($B1136))&lt;&gt;$B1136),"",IFERROR(IF(B1136="FoPITY",INDEX(Customizations!$C$2:$C$19,MATCH(Sheet1!C1136,Customizations!$B$2:$B$19,0),1),INDEX(About!C:C,MATCH(Sheet1!B1136,About!B:B,0),1)),""))</f>
        <v>BAU Dmst Cnt Shr of Cnsmptn and Exp Shr of Prdtn by ISIC Code.xlsx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5">
      <c r="A1137" t="s">
        <v>701</v>
      </c>
      <c r="B1137" t="s">
        <v>1300</v>
      </c>
      <c r="C1137" t="s">
        <v>1301</v>
      </c>
      <c r="G1137" t="str">
        <f t="shared" si="40"/>
        <v>xlsx</v>
      </c>
      <c r="H1137" s="5" t="str">
        <f>IF(AND(G1137=".csv",COUNTIFS($B:$B,$B1137,$G:$G,"xlsx")-COUNTIFS($B:$B,$B1137,$G:$G,"xlsx",$C:$C,"~~$*")&gt;1,LEFT(C1137,LEN($B1137))&lt;&gt;$B1137),"",IFERROR(IF(B1137="FoPITY",INDEX(Customizations!$C$2:$C$19,MATCH(Sheet1!C1137,Customizations!$B$2:$B$19,0),1),INDEX(About!C:C,MATCH(Sheet1!B1137,About!B:B,0),1)),""))</f>
        <v>BAU Employment and Compensation Projections.xlsx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5">
      <c r="A1138" t="s">
        <v>701</v>
      </c>
      <c r="B1138" t="s">
        <v>1300</v>
      </c>
      <c r="C1138" t="s">
        <v>1302</v>
      </c>
      <c r="G1138" t="str">
        <f t="shared" si="40"/>
        <v>.csv</v>
      </c>
      <c r="H1138" s="5" t="str">
        <f>IF(AND(G1138=".csv",COUNTIFS($B:$B,$B1138,$G:$G,"xlsx")-COUNTIFS($B:$B,$B1138,$G:$G,"xlsx",$C:$C,"~~$*")&gt;1,LEFT(C1138,LEN($B1138))&lt;&gt;$B1138),"",IFERROR(IF(B1138="FoPITY",INDEX(Customizations!$C$2:$C$19,MATCH(Sheet1!C1138,Customizations!$B$2:$B$19,0),1),INDEX(About!C:C,MATCH(Sheet1!B1138,About!B:B,0),1)),""))</f>
        <v>BAU Employment and Compensation Projections.xlsx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5">
      <c r="A1139" t="s">
        <v>701</v>
      </c>
      <c r="B1139" t="s">
        <v>1300</v>
      </c>
      <c r="C1139" t="s">
        <v>1303</v>
      </c>
      <c r="G1139" t="str">
        <f t="shared" si="40"/>
        <v>.csv</v>
      </c>
      <c r="H1139" s="5" t="str">
        <f>IF(AND(G1139=".csv",COUNTIFS($B:$B,$B1139,$G:$G,"xlsx")-COUNTIFS($B:$B,$B1139,$G:$G,"xlsx",$C:$C,"~~$*")&gt;1,LEFT(C1139,LEN($B1139))&lt;&gt;$B1139),"",IFERROR(IF(B1139="FoPITY",INDEX(Customizations!$C$2:$C$19,MATCH(Sheet1!C1139,Customizations!$B$2:$B$19,0),1),INDEX(About!C:C,MATCH(Sheet1!B1139,About!B:B,0),1)),""))</f>
        <v>BAU Employment and Compensation Projections.xlsx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5">
      <c r="A1140" t="s">
        <v>701</v>
      </c>
      <c r="B1140" t="s">
        <v>702</v>
      </c>
      <c r="C1140" t="s">
        <v>703</v>
      </c>
      <c r="G1140" t="str">
        <f t="shared" si="40"/>
        <v>xlsx</v>
      </c>
      <c r="H1140" s="5" t="str">
        <f>IF(AND(G1140=".csv",COUNTIFS($B:$B,$B1140,$G:$G,"xlsx")-COUNTIFS($B:$B,$B1140,$G:$G,"xlsx",$C:$C,"~~$*")&gt;1,LEFT(C1140,LEN($B1140))&lt;&gt;$B1140),"",IFERROR(IF(B1140="FoPITY",INDEX(Customizations!$C$2:$C$19,MATCH(Sheet1!C1140,Customizations!$B$2:$B$19,0),1),INDEX(About!C:C,MATCH(Sheet1!B1140,About!B:B,0),1)),""))</f>
        <v>BAU Employment by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5">
      <c r="A1141" t="s">
        <v>701</v>
      </c>
      <c r="B1141" t="s">
        <v>702</v>
      </c>
      <c r="C1141" t="s">
        <v>704</v>
      </c>
      <c r="G1141" t="str">
        <f t="shared" si="40"/>
        <v>.csv</v>
      </c>
      <c r="H1141" s="5" t="str">
        <f>IF(AND(G1141=".csv",COUNTIFS($B:$B,$B1141,$G:$G,"xlsx")-COUNTIFS($B:$B,$B1141,$G:$G,"xlsx",$C:$C,"~~$*")&gt;1,LEFT(C1141,LEN($B1141))&lt;&gt;$B1141),"",IFERROR(IF(B1141="FoPITY",INDEX(Customizations!$C$2:$C$19,MATCH(Sheet1!C1141,Customizations!$B$2:$B$19,0),1),INDEX(About!C:C,MATCH(Sheet1!B1141,About!B:B,0),1)),""))</f>
        <v>BAU Employment by ISIC Code.xlsx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5">
      <c r="A1142" t="s">
        <v>701</v>
      </c>
      <c r="B1142" t="s">
        <v>702</v>
      </c>
      <c r="C1142" t="s">
        <v>1856</v>
      </c>
      <c r="G1142" t="str">
        <f t="shared" si="40"/>
        <v>xlsx</v>
      </c>
      <c r="H1142" s="5" t="str">
        <f>IF(AND(G1142=".csv",COUNTIFS($B:$B,$B1142,$G:$G,"xlsx")-COUNTIFS($B:$B,$B1142,$G:$G,"xlsx",$C:$C,"~~$*")&gt;1,LEFT(C1142,LEN($B1142))&lt;&gt;$B1142),"",IFERROR(IF(B1142="FoPITY",INDEX(Customizations!$C$2:$C$19,MATCH(Sheet1!C1142,Customizations!$B$2:$B$19,0),1),INDEX(About!C:C,MATCH(Sheet1!B1142,About!B:B,0),1)),""))</f>
        <v>BAU Employment by ISIC Code.xlsx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5">
      <c r="A1143" t="s">
        <v>701</v>
      </c>
      <c r="B1143" t="s">
        <v>705</v>
      </c>
      <c r="C1143" t="s">
        <v>706</v>
      </c>
      <c r="G1143" t="str">
        <f t="shared" ref="G1143:G1151" si="42">RIGHT(C1143,"4")</f>
        <v>xlsx</v>
      </c>
      <c r="H1143" s="5" t="str">
        <f>IF(AND(G1143=".csv",COUNTIFS($B:$B,$B1143,$G:$G,"xlsx")-COUNTIFS($B:$B,$B1143,$G:$G,"xlsx",$C:$C,"~~$*")&gt;1,LEFT(C1143,LEN($B1143))&lt;&gt;$B1143),"",IFERROR(IF(B1143="FoPITY",INDEX(Customizations!$C$2:$C$19,MATCH(Sheet1!C1143,Customizations!$B$2:$B$19,0),1),INDEX(About!C:C,MATCH(Sheet1!B1143,About!B:B,0),1)),""))</f>
        <v>BAU Employee Compensation by ISIC Code.xlsx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5">
      <c r="A1144" t="s">
        <v>701</v>
      </c>
      <c r="B1144" t="s">
        <v>705</v>
      </c>
      <c r="C1144" t="s">
        <v>707</v>
      </c>
      <c r="G1144" t="str">
        <f t="shared" si="42"/>
        <v>.csv</v>
      </c>
      <c r="H1144" s="5" t="str">
        <f>IF(AND(G1144=".csv",COUNTIFS($B:$B,$B1144,$G:$G,"xlsx")-COUNTIFS($B:$B,$B1144,$G:$G,"xlsx",$C:$C,"~~$*")&gt;1,LEFT(C1144,LEN($B1144))&lt;&gt;$B1144),"",IFERROR(IF(B1144="FoPITY",INDEX(Customizations!$C$2:$C$19,MATCH(Sheet1!C1144,Customizations!$B$2:$B$19,0),1),INDEX(About!C:C,MATCH(Sheet1!B1144,About!B:B,0),1)),""))</f>
        <v>BAU Employee Compensation by ISIC Code.xlsx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5">
      <c r="A1145" t="s">
        <v>701</v>
      </c>
      <c r="B1145" t="s">
        <v>600</v>
      </c>
      <c r="C1145" t="s">
        <v>601</v>
      </c>
      <c r="G1145" t="str">
        <f t="shared" si="42"/>
        <v>xlsx</v>
      </c>
      <c r="H1145" s="5" t="str">
        <f>IF(AND(G1145=".csv",COUNTIFS($B:$B,$B1145,$G:$G,"xlsx")-COUNTIFS($B:$B,$B1145,$G:$G,"xlsx",$C:$C,"~~$*")&gt;1,LEFT(C1145,LEN($B1145))&lt;&gt;$B1145),"",IFERROR(IF(B1145="FoPITY",INDEX(Customizations!$C$2:$C$19,MATCH(Sheet1!C1145,Customizations!$B$2:$B$19,0),1),INDEX(About!C:C,MATCH(Sheet1!B1145,About!B:B,0),1)),""))</f>
        <v>BAU GDP.xlsx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5">
      <c r="A1146" t="s">
        <v>701</v>
      </c>
      <c r="B1146" t="s">
        <v>600</v>
      </c>
      <c r="C1146" t="s">
        <v>602</v>
      </c>
      <c r="G1146" t="str">
        <f t="shared" si="42"/>
        <v>.csv</v>
      </c>
      <c r="H1146" s="5" t="str">
        <f>IF(AND(G1146=".csv",COUNTIFS($B:$B,$B1146,$G:$G,"xlsx")-COUNTIFS($B:$B,$B1146,$G:$G,"xlsx",$C:$C,"~~$*")&gt;1,LEFT(C1146,LEN($B1146))&lt;&gt;$B1146),"",IFERROR(IF(B1146="FoPITY",INDEX(Customizations!$C$2:$C$19,MATCH(Sheet1!C1146,Customizations!$B$2:$B$19,0),1),INDEX(About!C:C,MATCH(Sheet1!B1146,About!B:B,0),1)),""))</f>
        <v>BAU GDP.xlsx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5">
      <c r="A1147" t="s">
        <v>701</v>
      </c>
      <c r="B1147" t="s">
        <v>708</v>
      </c>
      <c r="C1147" t="s">
        <v>709</v>
      </c>
      <c r="G1147" t="str">
        <f t="shared" si="42"/>
        <v>xlsx</v>
      </c>
      <c r="H1147" s="5" t="str">
        <f>IF(AND(G1147=".csv",COUNTIFS($B:$B,$B1147,$G:$G,"xlsx")-COUNTIFS($B:$B,$B1147,$G:$G,"xlsx",$C:$C,"~~$*")&gt;1,LEFT(C1147,LEN($B1147))&lt;&gt;$B1147),"",IFERROR(IF(B1147="FoPITY",INDEX(Customizations!$C$2:$C$19,MATCH(Sheet1!C1147,Customizations!$B$2:$B$19,0),1),INDEX(About!C:C,MATCH(Sheet1!B1147,About!B:B,0),1)),""))</f>
        <v>BAU Output by ISIC Code.xlsx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5">
      <c r="A1148" t="s">
        <v>701</v>
      </c>
      <c r="B1148" t="s">
        <v>708</v>
      </c>
      <c r="C1148" t="s">
        <v>710</v>
      </c>
      <c r="G1148" t="str">
        <f t="shared" si="42"/>
        <v>.csv</v>
      </c>
      <c r="H1148" s="5" t="str">
        <f>IF(AND(G1148=".csv",COUNTIFS($B:$B,$B1148,$G:$G,"xlsx")-COUNTIFS($B:$B,$B1148,$G:$G,"xlsx",$C:$C,"~~$*")&gt;1,LEFT(C1148,LEN($B1148))&lt;&gt;$B1148),"",IFERROR(IF(B1148="FoPITY",INDEX(Customizations!$C$2:$C$19,MATCH(Sheet1!C1148,Customizations!$B$2:$B$19,0),1),INDEX(About!C:C,MATCH(Sheet1!B1148,About!B:B,0),1)),""))</f>
        <v>BAU Output by ISIC Code.xlsx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5">
      <c r="A1149" t="s">
        <v>701</v>
      </c>
      <c r="B1149" t="s">
        <v>708</v>
      </c>
      <c r="C1149" t="s">
        <v>1857</v>
      </c>
      <c r="G1149" t="str">
        <f t="shared" si="42"/>
        <v>.csv</v>
      </c>
      <c r="H1149" s="5" t="str">
        <f>IF(AND(G1149=".csv",COUNTIFS($B:$B,$B1149,$G:$G,"xlsx")-COUNTIFS($B:$B,$B1149,$G:$G,"xlsx",$C:$C,"~~$*")&gt;1,LEFT(C1149,LEN($B1149))&lt;&gt;$B1149),"",IFERROR(IF(B1149="FoPITY",INDEX(Customizations!$C$2:$C$19,MATCH(Sheet1!C1149,Customizations!$B$2:$B$19,0),1),INDEX(About!C:C,MATCH(Sheet1!B1149,About!B:B,0),1)),""))</f>
        <v>BAU Output by ISIC Code.xlsx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5">
      <c r="A1150" t="s">
        <v>701</v>
      </c>
      <c r="B1150" t="s">
        <v>708</v>
      </c>
      <c r="C1150" t="s">
        <v>1858</v>
      </c>
      <c r="G1150" t="str">
        <f t="shared" si="42"/>
        <v>xlsx</v>
      </c>
      <c r="H1150" s="5" t="str">
        <f>IF(AND(G1150=".csv",COUNTIFS($B:$B,$B1150,$G:$G,"xlsx")-COUNTIFS($B:$B,$B1150,$G:$G,"xlsx",$C:$C,"~~$*")&gt;1,LEFT(C1150,LEN($B1150))&lt;&gt;$B1150),"",IFERROR(IF(B1150="FoPITY",INDEX(Customizations!$C$2:$C$19,MATCH(Sheet1!C1150,Customizations!$B$2:$B$19,0),1),INDEX(About!C:C,MATCH(Sheet1!B1150,About!B:B,0),1)),""))</f>
        <v>BAU Output by ISIC Code.xlsx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5">
      <c r="A1151" t="s">
        <v>701</v>
      </c>
      <c r="B1151" t="s">
        <v>1128</v>
      </c>
      <c r="C1151" t="s">
        <v>1129</v>
      </c>
      <c r="G1151" t="str">
        <f t="shared" si="42"/>
        <v>xlsx</v>
      </c>
      <c r="H1151" s="5" t="str">
        <f>IF(AND(G1151=".csv",COUNTIFS($B:$B,$B1151,$G:$G,"xlsx")-COUNTIFS($B:$B,$B1151,$G:$G,"xlsx",$C:$C,"~~$*")&gt;1,LEFT(C1151,LEN($B1151))&lt;&gt;$B1151),"",IFERROR(IF(B1151="FoPITY",INDEX(Customizations!$C$2:$C$19,MATCH(Sheet1!C1151,Customizations!$B$2:$B$19,0),1),INDEX(About!C:C,MATCH(Sheet1!B1151,About!B:B,0),1)),""))</f>
        <v>BAU Perc Cng in Output and Domestic Content Share by ISIC Code.xlsx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5">
      <c r="A1152" t="s">
        <v>701</v>
      </c>
      <c r="B1152" t="s">
        <v>1128</v>
      </c>
      <c r="C1152" t="s">
        <v>1130</v>
      </c>
    </row>
    <row r="1153" spans="1:3" x14ac:dyDescent="0.35">
      <c r="A1153" t="s">
        <v>701</v>
      </c>
      <c r="B1153" t="s">
        <v>1128</v>
      </c>
      <c r="C1153" t="s">
        <v>910</v>
      </c>
    </row>
    <row r="1154" spans="1:3" x14ac:dyDescent="0.35">
      <c r="A1154" t="s">
        <v>701</v>
      </c>
      <c r="B1154" t="s">
        <v>711</v>
      </c>
      <c r="C1154" t="s">
        <v>712</v>
      </c>
    </row>
    <row r="1155" spans="1:3" x14ac:dyDescent="0.35">
      <c r="A1155" t="s">
        <v>701</v>
      </c>
      <c r="B1155" t="s">
        <v>711</v>
      </c>
      <c r="C1155" t="s">
        <v>713</v>
      </c>
    </row>
    <row r="1156" spans="1:3" x14ac:dyDescent="0.35">
      <c r="A1156" t="s">
        <v>701</v>
      </c>
      <c r="B1156" t="s">
        <v>714</v>
      </c>
      <c r="C1156" t="s">
        <v>715</v>
      </c>
    </row>
    <row r="1157" spans="1:3" x14ac:dyDescent="0.35">
      <c r="A1157" t="s">
        <v>701</v>
      </c>
      <c r="B1157" t="s">
        <v>714</v>
      </c>
      <c r="C1157" t="s">
        <v>716</v>
      </c>
    </row>
    <row r="1158" spans="1:3" x14ac:dyDescent="0.35">
      <c r="A1158" t="s">
        <v>701</v>
      </c>
      <c r="B1158" t="s">
        <v>911</v>
      </c>
      <c r="C1158" t="s">
        <v>912</v>
      </c>
    </row>
    <row r="1159" spans="1:3" x14ac:dyDescent="0.35">
      <c r="A1159" t="s">
        <v>701</v>
      </c>
      <c r="B1159" t="s">
        <v>911</v>
      </c>
      <c r="C1159" t="s">
        <v>913</v>
      </c>
    </row>
    <row r="1160" spans="1:3" x14ac:dyDescent="0.35">
      <c r="A1160" t="s">
        <v>701</v>
      </c>
      <c r="B1160" t="s">
        <v>911</v>
      </c>
      <c r="C1160" t="s">
        <v>914</v>
      </c>
    </row>
    <row r="1161" spans="1:3" x14ac:dyDescent="0.35">
      <c r="A1161" t="s">
        <v>701</v>
      </c>
      <c r="B1161" t="s">
        <v>911</v>
      </c>
      <c r="C1161" t="s">
        <v>915</v>
      </c>
    </row>
    <row r="1162" spans="1:3" x14ac:dyDescent="0.35">
      <c r="A1162" t="s">
        <v>701</v>
      </c>
      <c r="B1162" t="s">
        <v>911</v>
      </c>
      <c r="C1162" t="s">
        <v>916</v>
      </c>
    </row>
    <row r="1163" spans="1:3" x14ac:dyDescent="0.35">
      <c r="A1163" t="s">
        <v>701</v>
      </c>
      <c r="B1163" t="s">
        <v>911</v>
      </c>
      <c r="C1163" t="s">
        <v>917</v>
      </c>
    </row>
    <row r="1164" spans="1:3" x14ac:dyDescent="0.35">
      <c r="A1164" t="s">
        <v>701</v>
      </c>
      <c r="B1164" t="s">
        <v>911</v>
      </c>
      <c r="C1164" t="s">
        <v>918</v>
      </c>
    </row>
    <row r="1165" spans="1:3" x14ac:dyDescent="0.35">
      <c r="A1165" t="s">
        <v>701</v>
      </c>
      <c r="B1165" t="s">
        <v>911</v>
      </c>
      <c r="C1165" t="s">
        <v>919</v>
      </c>
    </row>
    <row r="1166" spans="1:3" x14ac:dyDescent="0.35">
      <c r="A1166" t="s">
        <v>701</v>
      </c>
      <c r="B1166" t="s">
        <v>911</v>
      </c>
      <c r="C1166" t="s">
        <v>920</v>
      </c>
    </row>
    <row r="1167" spans="1:3" x14ac:dyDescent="0.35">
      <c r="A1167" t="s">
        <v>701</v>
      </c>
      <c r="B1167" t="s">
        <v>911</v>
      </c>
      <c r="C1167" t="s">
        <v>921</v>
      </c>
    </row>
    <row r="1168" spans="1:3" x14ac:dyDescent="0.35">
      <c r="A1168" t="s">
        <v>701</v>
      </c>
      <c r="B1168" t="s">
        <v>911</v>
      </c>
      <c r="C1168" t="s">
        <v>922</v>
      </c>
    </row>
    <row r="1169" spans="1:3" x14ac:dyDescent="0.35">
      <c r="A1169" t="s">
        <v>701</v>
      </c>
      <c r="B1169" t="s">
        <v>911</v>
      </c>
      <c r="C1169" t="s">
        <v>923</v>
      </c>
    </row>
    <row r="1170" spans="1:3" x14ac:dyDescent="0.35">
      <c r="A1170" t="s">
        <v>701</v>
      </c>
      <c r="B1170" t="s">
        <v>911</v>
      </c>
      <c r="C1170" t="s">
        <v>924</v>
      </c>
    </row>
    <row r="1171" spans="1:3" x14ac:dyDescent="0.35">
      <c r="A1171" t="s">
        <v>701</v>
      </c>
      <c r="B1171" t="s">
        <v>911</v>
      </c>
      <c r="C1171" t="s">
        <v>925</v>
      </c>
    </row>
    <row r="1172" spans="1:3" x14ac:dyDescent="0.35">
      <c r="A1172" t="s">
        <v>701</v>
      </c>
      <c r="B1172" t="s">
        <v>911</v>
      </c>
      <c r="C1172" t="s">
        <v>926</v>
      </c>
    </row>
    <row r="1173" spans="1:3" x14ac:dyDescent="0.35">
      <c r="A1173" t="s">
        <v>701</v>
      </c>
      <c r="B1173" t="s">
        <v>911</v>
      </c>
      <c r="C1173" t="s">
        <v>927</v>
      </c>
    </row>
    <row r="1174" spans="1:3" x14ac:dyDescent="0.35">
      <c r="A1174" t="s">
        <v>701</v>
      </c>
      <c r="B1174" t="s">
        <v>811</v>
      </c>
      <c r="C1174" t="s">
        <v>812</v>
      </c>
    </row>
    <row r="1175" spans="1:3" x14ac:dyDescent="0.35">
      <c r="A1175" t="s">
        <v>701</v>
      </c>
      <c r="B1175" t="s">
        <v>811</v>
      </c>
      <c r="C1175" t="s">
        <v>813</v>
      </c>
    </row>
    <row r="1176" spans="1:3" x14ac:dyDescent="0.35">
      <c r="A1176" t="s">
        <v>701</v>
      </c>
      <c r="B1176" t="s">
        <v>811</v>
      </c>
      <c r="C1176" t="s">
        <v>838</v>
      </c>
    </row>
    <row r="1177" spans="1:3" x14ac:dyDescent="0.35">
      <c r="A1177" t="s">
        <v>701</v>
      </c>
      <c r="B1177" t="s">
        <v>880</v>
      </c>
      <c r="C1177" t="s">
        <v>881</v>
      </c>
    </row>
    <row r="1178" spans="1:3" x14ac:dyDescent="0.35">
      <c r="A1178" t="s">
        <v>701</v>
      </c>
      <c r="B1178" t="s">
        <v>880</v>
      </c>
      <c r="C1178" t="s">
        <v>882</v>
      </c>
    </row>
    <row r="1179" spans="1:3" x14ac:dyDescent="0.35">
      <c r="A1179" t="s">
        <v>701</v>
      </c>
      <c r="B1179" t="s">
        <v>839</v>
      </c>
      <c r="C1179" t="s">
        <v>840</v>
      </c>
    </row>
    <row r="1180" spans="1:3" x14ac:dyDescent="0.35">
      <c r="A1180" t="s">
        <v>701</v>
      </c>
      <c r="B1180" t="s">
        <v>839</v>
      </c>
      <c r="C1180" t="s">
        <v>841</v>
      </c>
    </row>
    <row r="1181" spans="1:3" x14ac:dyDescent="0.35">
      <c r="A1181" t="s">
        <v>701</v>
      </c>
      <c r="B1181" t="s">
        <v>839</v>
      </c>
      <c r="C1181" t="s">
        <v>842</v>
      </c>
    </row>
    <row r="1182" spans="1:3" x14ac:dyDescent="0.35">
      <c r="A1182" t="s">
        <v>701</v>
      </c>
      <c r="B1182" t="s">
        <v>835</v>
      </c>
      <c r="C1182" t="s">
        <v>836</v>
      </c>
    </row>
    <row r="1183" spans="1:3" x14ac:dyDescent="0.35">
      <c r="A1183" t="s">
        <v>701</v>
      </c>
      <c r="B1183" t="s">
        <v>835</v>
      </c>
      <c r="C1183" t="s">
        <v>837</v>
      </c>
    </row>
    <row r="1184" spans="1:3" x14ac:dyDescent="0.35">
      <c r="A1184" t="s">
        <v>701</v>
      </c>
      <c r="B1184" t="s">
        <v>740</v>
      </c>
      <c r="C1184" t="s">
        <v>741</v>
      </c>
    </row>
    <row r="1185" spans="1:3" x14ac:dyDescent="0.35">
      <c r="A1185" t="s">
        <v>701</v>
      </c>
      <c r="B1185" t="s">
        <v>740</v>
      </c>
      <c r="C1185" t="s">
        <v>742</v>
      </c>
    </row>
    <row r="1186" spans="1:3" x14ac:dyDescent="0.35">
      <c r="A1186" t="s">
        <v>701</v>
      </c>
      <c r="B1186" t="s">
        <v>717</v>
      </c>
      <c r="C1186" t="s">
        <v>718</v>
      </c>
    </row>
    <row r="1187" spans="1:3" x14ac:dyDescent="0.35">
      <c r="A1187" t="s">
        <v>701</v>
      </c>
      <c r="B1187" t="s">
        <v>717</v>
      </c>
      <c r="C1187" t="s">
        <v>719</v>
      </c>
    </row>
    <row r="1188" spans="1:3" x14ac:dyDescent="0.35">
      <c r="A1188" t="s">
        <v>701</v>
      </c>
      <c r="B1188" t="s">
        <v>743</v>
      </c>
      <c r="C1188" t="s">
        <v>744</v>
      </c>
    </row>
    <row r="1189" spans="1:3" x14ac:dyDescent="0.35">
      <c r="A1189" t="s">
        <v>701</v>
      </c>
      <c r="B1189" t="s">
        <v>743</v>
      </c>
      <c r="C1189" t="s">
        <v>745</v>
      </c>
    </row>
    <row r="1190" spans="1:3" x14ac:dyDescent="0.35">
      <c r="A1190" t="s">
        <v>701</v>
      </c>
      <c r="B1190" t="s">
        <v>928</v>
      </c>
      <c r="C1190" t="s">
        <v>929</v>
      </c>
    </row>
    <row r="1191" spans="1:3" x14ac:dyDescent="0.35">
      <c r="A1191" t="s">
        <v>701</v>
      </c>
      <c r="B1191" t="s">
        <v>928</v>
      </c>
      <c r="C1191" t="s">
        <v>930</v>
      </c>
    </row>
    <row r="1192" spans="1:3" x14ac:dyDescent="0.35">
      <c r="A1192" t="s">
        <v>701</v>
      </c>
      <c r="B1192" t="s">
        <v>720</v>
      </c>
      <c r="C1192" t="s">
        <v>721</v>
      </c>
    </row>
    <row r="1193" spans="1:3" x14ac:dyDescent="0.35">
      <c r="A1193" t="s">
        <v>701</v>
      </c>
      <c r="B1193" t="s">
        <v>720</v>
      </c>
      <c r="C1193" t="s">
        <v>722</v>
      </c>
    </row>
    <row r="1194" spans="1:3" x14ac:dyDescent="0.35">
      <c r="A1194" t="s">
        <v>701</v>
      </c>
      <c r="B1194" t="s">
        <v>952</v>
      </c>
      <c r="C1194" t="s">
        <v>953</v>
      </c>
    </row>
    <row r="1195" spans="1:3" x14ac:dyDescent="0.35">
      <c r="A1195" t="s">
        <v>701</v>
      </c>
      <c r="B1195" t="s">
        <v>952</v>
      </c>
      <c r="C1195" t="s">
        <v>954</v>
      </c>
    </row>
    <row r="1196" spans="1:3" x14ac:dyDescent="0.35">
      <c r="A1196" t="s">
        <v>701</v>
      </c>
      <c r="B1196" t="s">
        <v>256</v>
      </c>
      <c r="C1196" t="s">
        <v>257</v>
      </c>
    </row>
    <row r="1197" spans="1:3" x14ac:dyDescent="0.35">
      <c r="A1197" t="s">
        <v>701</v>
      </c>
      <c r="B1197" t="s">
        <v>256</v>
      </c>
      <c r="C1197" t="s">
        <v>258</v>
      </c>
    </row>
    <row r="1198" spans="1:3" x14ac:dyDescent="0.35">
      <c r="A1198" t="s">
        <v>259</v>
      </c>
      <c r="B1198" t="s">
        <v>260</v>
      </c>
      <c r="C1198" t="s">
        <v>261</v>
      </c>
    </row>
    <row r="1199" spans="1:3" x14ac:dyDescent="0.35">
      <c r="A1199" t="s">
        <v>259</v>
      </c>
      <c r="B1199" t="s">
        <v>260</v>
      </c>
      <c r="C1199" t="s">
        <v>262</v>
      </c>
    </row>
    <row r="1200" spans="1:3" x14ac:dyDescent="0.35">
      <c r="A1200" t="s">
        <v>259</v>
      </c>
      <c r="B1200" t="s">
        <v>263</v>
      </c>
      <c r="C1200" t="s">
        <v>264</v>
      </c>
    </row>
    <row r="1201" spans="1:3" x14ac:dyDescent="0.35">
      <c r="A1201" t="s">
        <v>259</v>
      </c>
      <c r="B1201" t="s">
        <v>263</v>
      </c>
      <c r="C1201" t="s">
        <v>265</v>
      </c>
    </row>
    <row r="1202" spans="1:3" x14ac:dyDescent="0.35">
      <c r="A1202" t="s">
        <v>259</v>
      </c>
      <c r="B1202" t="s">
        <v>266</v>
      </c>
      <c r="C1202" t="s">
        <v>267</v>
      </c>
    </row>
    <row r="1203" spans="1:3" x14ac:dyDescent="0.35">
      <c r="A1203" t="s">
        <v>259</v>
      </c>
      <c r="B1203" t="s">
        <v>266</v>
      </c>
      <c r="C1203" t="s">
        <v>268</v>
      </c>
    </row>
    <row r="1204" spans="1:3" x14ac:dyDescent="0.35">
      <c r="A1204" t="s">
        <v>259</v>
      </c>
      <c r="B1204" t="s">
        <v>269</v>
      </c>
      <c r="C1204" t="s">
        <v>270</v>
      </c>
    </row>
    <row r="1205" spans="1:3" x14ac:dyDescent="0.35">
      <c r="A1205" t="s">
        <v>259</v>
      </c>
      <c r="B1205" t="s">
        <v>269</v>
      </c>
      <c r="C1205" t="s">
        <v>271</v>
      </c>
    </row>
    <row r="1206" spans="1:3" x14ac:dyDescent="0.35">
      <c r="A1206" t="s">
        <v>259</v>
      </c>
      <c r="B1206" t="s">
        <v>272</v>
      </c>
      <c r="C1206" t="s">
        <v>273</v>
      </c>
    </row>
    <row r="1207" spans="1:3" x14ac:dyDescent="0.35">
      <c r="A1207" t="s">
        <v>259</v>
      </c>
      <c r="B1207" t="s">
        <v>272</v>
      </c>
      <c r="C1207" t="s">
        <v>274</v>
      </c>
    </row>
    <row r="1208" spans="1:3" x14ac:dyDescent="0.35">
      <c r="A1208" t="s">
        <v>259</v>
      </c>
      <c r="B1208" t="s">
        <v>275</v>
      </c>
      <c r="C1208" t="s">
        <v>276</v>
      </c>
    </row>
    <row r="1209" spans="1:3" x14ac:dyDescent="0.35">
      <c r="A1209" t="s">
        <v>259</v>
      </c>
      <c r="B1209" t="s">
        <v>275</v>
      </c>
      <c r="C1209" t="s">
        <v>277</v>
      </c>
    </row>
    <row r="1210" spans="1:3" x14ac:dyDescent="0.35">
      <c r="A1210" t="s">
        <v>259</v>
      </c>
      <c r="B1210" t="s">
        <v>278</v>
      </c>
      <c r="C1210" t="s">
        <v>279</v>
      </c>
    </row>
    <row r="1211" spans="1:3" x14ac:dyDescent="0.35">
      <c r="A1211" t="s">
        <v>259</v>
      </c>
      <c r="B1211" t="s">
        <v>278</v>
      </c>
      <c r="C1211" t="s">
        <v>280</v>
      </c>
    </row>
    <row r="1212" spans="1:3" x14ac:dyDescent="0.35">
      <c r="A1212" t="s">
        <v>259</v>
      </c>
      <c r="B1212" t="s">
        <v>281</v>
      </c>
      <c r="C1212" t="s">
        <v>282</v>
      </c>
    </row>
    <row r="1213" spans="1:3" x14ac:dyDescent="0.35">
      <c r="A1213" t="s">
        <v>259</v>
      </c>
      <c r="B1213" t="s">
        <v>281</v>
      </c>
      <c r="C1213" t="s">
        <v>283</v>
      </c>
    </row>
    <row r="1214" spans="1:3" x14ac:dyDescent="0.35">
      <c r="A1214" t="s">
        <v>259</v>
      </c>
      <c r="B1214" t="s">
        <v>284</v>
      </c>
      <c r="C1214" t="s">
        <v>285</v>
      </c>
    </row>
    <row r="1215" spans="1:3" x14ac:dyDescent="0.35">
      <c r="A1215" t="s">
        <v>259</v>
      </c>
      <c r="B1215" t="s">
        <v>284</v>
      </c>
      <c r="C1215" t="s">
        <v>286</v>
      </c>
    </row>
    <row r="1216" spans="1:3" x14ac:dyDescent="0.35">
      <c r="A1216" t="s">
        <v>297</v>
      </c>
      <c r="B1216" t="s">
        <v>980</v>
      </c>
      <c r="C1216" t="s">
        <v>1131</v>
      </c>
    </row>
    <row r="1217" spans="1:3" x14ac:dyDescent="0.35">
      <c r="A1217" t="s">
        <v>297</v>
      </c>
      <c r="B1217" t="s">
        <v>980</v>
      </c>
      <c r="C1217" t="s">
        <v>1859</v>
      </c>
    </row>
    <row r="1218" spans="1:3" x14ac:dyDescent="0.35">
      <c r="A1218" t="s">
        <v>297</v>
      </c>
      <c r="B1218" t="s">
        <v>980</v>
      </c>
      <c r="C1218" t="s">
        <v>1860</v>
      </c>
    </row>
    <row r="1219" spans="1:3" x14ac:dyDescent="0.35">
      <c r="A1219" t="s">
        <v>297</v>
      </c>
      <c r="B1219" t="s">
        <v>980</v>
      </c>
      <c r="C1219" t="s">
        <v>981</v>
      </c>
    </row>
    <row r="1220" spans="1:3" x14ac:dyDescent="0.35">
      <c r="A1220" t="s">
        <v>297</v>
      </c>
      <c r="B1220" t="s">
        <v>980</v>
      </c>
      <c r="C1220" t="s">
        <v>982</v>
      </c>
    </row>
    <row r="1221" spans="1:3" x14ac:dyDescent="0.35">
      <c r="A1221" t="s">
        <v>297</v>
      </c>
      <c r="B1221" t="s">
        <v>980</v>
      </c>
      <c r="C1221" t="s">
        <v>983</v>
      </c>
    </row>
    <row r="1222" spans="1:3" x14ac:dyDescent="0.35">
      <c r="A1222" t="s">
        <v>297</v>
      </c>
      <c r="B1222" t="s">
        <v>980</v>
      </c>
      <c r="C1222" t="s">
        <v>984</v>
      </c>
    </row>
    <row r="1223" spans="1:3" x14ac:dyDescent="0.35">
      <c r="A1223" t="s">
        <v>297</v>
      </c>
      <c r="B1223" t="s">
        <v>980</v>
      </c>
      <c r="C1223" t="s">
        <v>985</v>
      </c>
    </row>
    <row r="1224" spans="1:3" x14ac:dyDescent="0.35">
      <c r="A1224" t="s">
        <v>297</v>
      </c>
      <c r="B1224" t="s">
        <v>980</v>
      </c>
      <c r="C1224" t="s">
        <v>986</v>
      </c>
    </row>
    <row r="1225" spans="1:3" x14ac:dyDescent="0.35">
      <c r="A1225" t="s">
        <v>297</v>
      </c>
      <c r="B1225" t="s">
        <v>980</v>
      </c>
      <c r="C1225" t="s">
        <v>987</v>
      </c>
    </row>
    <row r="1226" spans="1:3" x14ac:dyDescent="0.35">
      <c r="A1226" t="s">
        <v>297</v>
      </c>
      <c r="B1226" t="s">
        <v>980</v>
      </c>
      <c r="C1226" t="s">
        <v>988</v>
      </c>
    </row>
    <row r="1227" spans="1:3" x14ac:dyDescent="0.35">
      <c r="A1227" t="s">
        <v>297</v>
      </c>
      <c r="B1227" t="s">
        <v>980</v>
      </c>
      <c r="C1227" t="s">
        <v>989</v>
      </c>
    </row>
    <row r="1228" spans="1:3" x14ac:dyDescent="0.35">
      <c r="A1228" t="s">
        <v>297</v>
      </c>
      <c r="B1228" t="s">
        <v>980</v>
      </c>
      <c r="C1228" t="s">
        <v>990</v>
      </c>
    </row>
    <row r="1229" spans="1:3" x14ac:dyDescent="0.35">
      <c r="A1229" t="s">
        <v>297</v>
      </c>
      <c r="B1229" t="s">
        <v>980</v>
      </c>
      <c r="C1229" t="s">
        <v>991</v>
      </c>
    </row>
    <row r="1230" spans="1:3" x14ac:dyDescent="0.35">
      <c r="A1230" t="s">
        <v>297</v>
      </c>
      <c r="B1230" t="s">
        <v>980</v>
      </c>
      <c r="C1230" t="s">
        <v>992</v>
      </c>
    </row>
    <row r="1231" spans="1:3" x14ac:dyDescent="0.35">
      <c r="A1231" t="s">
        <v>297</v>
      </c>
      <c r="B1231" t="s">
        <v>980</v>
      </c>
      <c r="C1231" t="s">
        <v>993</v>
      </c>
    </row>
    <row r="1232" spans="1:3" x14ac:dyDescent="0.35">
      <c r="A1232" t="s">
        <v>297</v>
      </c>
      <c r="B1232" t="s">
        <v>980</v>
      </c>
      <c r="C1232" t="s">
        <v>994</v>
      </c>
    </row>
    <row r="1233" spans="1:3" x14ac:dyDescent="0.35">
      <c r="A1233" t="s">
        <v>297</v>
      </c>
      <c r="B1233" t="s">
        <v>980</v>
      </c>
      <c r="C1233" t="s">
        <v>995</v>
      </c>
    </row>
    <row r="1234" spans="1:3" x14ac:dyDescent="0.35">
      <c r="A1234" t="s">
        <v>297</v>
      </c>
      <c r="B1234" t="s">
        <v>980</v>
      </c>
      <c r="C1234" t="s">
        <v>996</v>
      </c>
    </row>
    <row r="1235" spans="1:3" x14ac:dyDescent="0.35">
      <c r="A1235" t="s">
        <v>297</v>
      </c>
      <c r="B1235" t="s">
        <v>980</v>
      </c>
      <c r="C1235" t="s">
        <v>997</v>
      </c>
    </row>
    <row r="1236" spans="1:3" x14ac:dyDescent="0.35">
      <c r="A1236" t="s">
        <v>297</v>
      </c>
      <c r="B1236" t="s">
        <v>980</v>
      </c>
      <c r="C1236" t="s">
        <v>998</v>
      </c>
    </row>
    <row r="1237" spans="1:3" x14ac:dyDescent="0.35">
      <c r="A1237" t="s">
        <v>297</v>
      </c>
      <c r="B1237" t="s">
        <v>980</v>
      </c>
      <c r="C1237" t="s">
        <v>999</v>
      </c>
    </row>
    <row r="1238" spans="1:3" x14ac:dyDescent="0.35">
      <c r="A1238" t="s">
        <v>297</v>
      </c>
      <c r="B1238" t="s">
        <v>980</v>
      </c>
      <c r="C1238" t="s">
        <v>1694</v>
      </c>
    </row>
    <row r="1239" spans="1:3" x14ac:dyDescent="0.35">
      <c r="A1239" t="s">
        <v>297</v>
      </c>
      <c r="B1239" t="s">
        <v>980</v>
      </c>
      <c r="C1239" t="s">
        <v>1000</v>
      </c>
    </row>
    <row r="1240" spans="1:3" x14ac:dyDescent="0.35">
      <c r="A1240" t="s">
        <v>297</v>
      </c>
      <c r="B1240" t="s">
        <v>980</v>
      </c>
      <c r="C1240" t="s">
        <v>1861</v>
      </c>
    </row>
    <row r="1241" spans="1:3" x14ac:dyDescent="0.35">
      <c r="A1241" t="s">
        <v>297</v>
      </c>
      <c r="B1241" t="s">
        <v>980</v>
      </c>
      <c r="C1241" t="s">
        <v>1001</v>
      </c>
    </row>
    <row r="1242" spans="1:3" x14ac:dyDescent="0.35">
      <c r="A1242" t="s">
        <v>297</v>
      </c>
      <c r="B1242" t="s">
        <v>298</v>
      </c>
      <c r="C1242" t="s">
        <v>299</v>
      </c>
    </row>
    <row r="1243" spans="1:3" x14ac:dyDescent="0.35">
      <c r="A1243" t="s">
        <v>297</v>
      </c>
      <c r="B1243" t="s">
        <v>298</v>
      </c>
      <c r="C1243" t="s">
        <v>300</v>
      </c>
    </row>
    <row r="1244" spans="1:3" x14ac:dyDescent="0.35">
      <c r="A1244" t="s">
        <v>297</v>
      </c>
      <c r="B1244" t="s">
        <v>1304</v>
      </c>
      <c r="C1244" t="s">
        <v>1695</v>
      </c>
    </row>
    <row r="1245" spans="1:3" x14ac:dyDescent="0.35">
      <c r="A1245" t="s">
        <v>297</v>
      </c>
      <c r="B1245" t="s">
        <v>1304</v>
      </c>
      <c r="C1245" t="s">
        <v>1305</v>
      </c>
    </row>
    <row r="1246" spans="1:3" x14ac:dyDescent="0.35">
      <c r="A1246" t="s">
        <v>297</v>
      </c>
      <c r="B1246" t="s">
        <v>1304</v>
      </c>
      <c r="C1246" t="s">
        <v>1306</v>
      </c>
    </row>
    <row r="1247" spans="1:3" x14ac:dyDescent="0.35">
      <c r="A1247" t="s">
        <v>297</v>
      </c>
      <c r="B1247" t="s">
        <v>1459</v>
      </c>
      <c r="C1247" t="s">
        <v>1460</v>
      </c>
    </row>
    <row r="1248" spans="1:3" x14ac:dyDescent="0.35">
      <c r="A1248" t="s">
        <v>297</v>
      </c>
      <c r="B1248" t="s">
        <v>1459</v>
      </c>
      <c r="C1248" t="s">
        <v>1461</v>
      </c>
    </row>
    <row r="1249" spans="1:3" x14ac:dyDescent="0.35">
      <c r="A1249" t="s">
        <v>297</v>
      </c>
      <c r="B1249" t="s">
        <v>301</v>
      </c>
      <c r="C1249" t="s">
        <v>302</v>
      </c>
    </row>
    <row r="1250" spans="1:3" x14ac:dyDescent="0.35">
      <c r="A1250" t="s">
        <v>297</v>
      </c>
      <c r="B1250" t="s">
        <v>301</v>
      </c>
      <c r="C1250" t="s">
        <v>303</v>
      </c>
    </row>
    <row r="1251" spans="1:3" x14ac:dyDescent="0.35">
      <c r="A1251" t="s">
        <v>297</v>
      </c>
      <c r="B1251" t="s">
        <v>2048</v>
      </c>
      <c r="C1251" t="s">
        <v>2049</v>
      </c>
    </row>
    <row r="1252" spans="1:3" x14ac:dyDescent="0.35">
      <c r="A1252" t="s">
        <v>297</v>
      </c>
      <c r="B1252" t="s">
        <v>2048</v>
      </c>
      <c r="C1252" t="s">
        <v>2050</v>
      </c>
    </row>
    <row r="1253" spans="1:3" x14ac:dyDescent="0.35">
      <c r="A1253" t="s">
        <v>297</v>
      </c>
      <c r="B1253" t="s">
        <v>1696</v>
      </c>
      <c r="C1253" t="s">
        <v>1697</v>
      </c>
    </row>
    <row r="1254" spans="1:3" x14ac:dyDescent="0.35">
      <c r="A1254" t="s">
        <v>297</v>
      </c>
      <c r="B1254" t="s">
        <v>1696</v>
      </c>
      <c r="C1254" t="s">
        <v>1698</v>
      </c>
    </row>
    <row r="1255" spans="1:3" x14ac:dyDescent="0.35">
      <c r="A1255" t="s">
        <v>297</v>
      </c>
      <c r="B1255" t="s">
        <v>1696</v>
      </c>
      <c r="C1255" t="s">
        <v>1862</v>
      </c>
    </row>
    <row r="1256" spans="1:3" x14ac:dyDescent="0.35">
      <c r="A1256" t="s">
        <v>297</v>
      </c>
      <c r="B1256" t="s">
        <v>1696</v>
      </c>
      <c r="C1256" t="s">
        <v>1699</v>
      </c>
    </row>
    <row r="1257" spans="1:3" x14ac:dyDescent="0.35">
      <c r="A1257" t="s">
        <v>297</v>
      </c>
      <c r="B1257" t="s">
        <v>1696</v>
      </c>
      <c r="C1257" t="s">
        <v>1700</v>
      </c>
    </row>
    <row r="1258" spans="1:3" x14ac:dyDescent="0.35">
      <c r="A1258" t="s">
        <v>297</v>
      </c>
      <c r="B1258" t="s">
        <v>1696</v>
      </c>
      <c r="C1258" t="s">
        <v>1701</v>
      </c>
    </row>
    <row r="1259" spans="1:3" x14ac:dyDescent="0.35">
      <c r="A1259" t="s">
        <v>304</v>
      </c>
      <c r="B1259" t="s">
        <v>1132</v>
      </c>
      <c r="C1259" t="s">
        <v>1133</v>
      </c>
    </row>
    <row r="1260" spans="1:3" x14ac:dyDescent="0.35">
      <c r="A1260" t="s">
        <v>304</v>
      </c>
      <c r="B1260" t="s">
        <v>1132</v>
      </c>
      <c r="C1260" t="s">
        <v>1134</v>
      </c>
    </row>
    <row r="1261" spans="1:3" x14ac:dyDescent="0.35">
      <c r="A1261" t="s">
        <v>304</v>
      </c>
      <c r="B1261" t="s">
        <v>1132</v>
      </c>
      <c r="C1261" t="s">
        <v>1135</v>
      </c>
    </row>
    <row r="1262" spans="1:3" x14ac:dyDescent="0.35">
      <c r="A1262" t="s">
        <v>304</v>
      </c>
      <c r="B1262" t="s">
        <v>1132</v>
      </c>
      <c r="C1262" t="s">
        <v>1136</v>
      </c>
    </row>
    <row r="1263" spans="1:3" x14ac:dyDescent="0.35">
      <c r="A1263" t="s">
        <v>304</v>
      </c>
      <c r="B1263" t="s">
        <v>1132</v>
      </c>
      <c r="C1263" t="s">
        <v>1137</v>
      </c>
    </row>
    <row r="1264" spans="1:3" x14ac:dyDescent="0.35">
      <c r="A1264" t="s">
        <v>304</v>
      </c>
      <c r="B1264" t="s">
        <v>2051</v>
      </c>
      <c r="C1264" t="s">
        <v>2052</v>
      </c>
    </row>
    <row r="1265" spans="1:3" x14ac:dyDescent="0.35">
      <c r="A1265" t="s">
        <v>304</v>
      </c>
      <c r="B1265" t="s">
        <v>2051</v>
      </c>
      <c r="C1265" t="s">
        <v>2053</v>
      </c>
    </row>
    <row r="1266" spans="1:3" x14ac:dyDescent="0.35">
      <c r="A1266" t="s">
        <v>304</v>
      </c>
      <c r="B1266" t="s">
        <v>2051</v>
      </c>
      <c r="C1266" t="s">
        <v>2054</v>
      </c>
    </row>
    <row r="1267" spans="1:3" x14ac:dyDescent="0.35">
      <c r="A1267" t="s">
        <v>304</v>
      </c>
      <c r="B1267" t="s">
        <v>2055</v>
      </c>
      <c r="C1267" t="s">
        <v>2056</v>
      </c>
    </row>
    <row r="1268" spans="1:3" x14ac:dyDescent="0.35">
      <c r="A1268" t="s">
        <v>304</v>
      </c>
      <c r="B1268" t="s">
        <v>2055</v>
      </c>
      <c r="C1268" t="s">
        <v>2057</v>
      </c>
    </row>
    <row r="1269" spans="1:3" x14ac:dyDescent="0.35">
      <c r="A1269" t="s">
        <v>304</v>
      </c>
      <c r="B1269" t="s">
        <v>955</v>
      </c>
      <c r="C1269" t="s">
        <v>956</v>
      </c>
    </row>
    <row r="1270" spans="1:3" x14ac:dyDescent="0.35">
      <c r="A1270" t="s">
        <v>304</v>
      </c>
      <c r="B1270" t="s">
        <v>955</v>
      </c>
      <c r="C1270" t="s">
        <v>2058</v>
      </c>
    </row>
    <row r="1271" spans="1:3" x14ac:dyDescent="0.35">
      <c r="A1271" t="s">
        <v>304</v>
      </c>
      <c r="B1271" t="s">
        <v>955</v>
      </c>
      <c r="C1271" t="s">
        <v>2059</v>
      </c>
    </row>
    <row r="1272" spans="1:3" x14ac:dyDescent="0.35">
      <c r="A1272" t="s">
        <v>304</v>
      </c>
      <c r="B1272" t="s">
        <v>305</v>
      </c>
      <c r="C1272" t="s">
        <v>306</v>
      </c>
    </row>
    <row r="1273" spans="1:3" x14ac:dyDescent="0.35">
      <c r="A1273" t="s">
        <v>304</v>
      </c>
      <c r="B1273" t="s">
        <v>305</v>
      </c>
      <c r="C1273" t="s">
        <v>307</v>
      </c>
    </row>
    <row r="1274" spans="1:3" x14ac:dyDescent="0.35">
      <c r="A1274" t="s">
        <v>304</v>
      </c>
      <c r="B1274" t="s">
        <v>308</v>
      </c>
      <c r="C1274" t="s">
        <v>309</v>
      </c>
    </row>
    <row r="1275" spans="1:3" x14ac:dyDescent="0.35">
      <c r="A1275" t="s">
        <v>304</v>
      </c>
      <c r="B1275" t="s">
        <v>308</v>
      </c>
      <c r="C1275" t="s">
        <v>310</v>
      </c>
    </row>
    <row r="1276" spans="1:3" x14ac:dyDescent="0.35">
      <c r="A1276" t="s">
        <v>304</v>
      </c>
      <c r="B1276" t="s">
        <v>308</v>
      </c>
      <c r="C1276" t="s">
        <v>311</v>
      </c>
    </row>
    <row r="1277" spans="1:3" x14ac:dyDescent="0.35">
      <c r="A1277" t="s">
        <v>304</v>
      </c>
      <c r="B1277" t="s">
        <v>308</v>
      </c>
      <c r="C1277" t="s">
        <v>1307</v>
      </c>
    </row>
    <row r="1278" spans="1:3" x14ac:dyDescent="0.35">
      <c r="A1278" t="s">
        <v>304</v>
      </c>
      <c r="B1278" t="s">
        <v>308</v>
      </c>
      <c r="C1278" t="s">
        <v>1308</v>
      </c>
    </row>
    <row r="1279" spans="1:3" x14ac:dyDescent="0.35">
      <c r="A1279" t="s">
        <v>304</v>
      </c>
      <c r="B1279" t="s">
        <v>957</v>
      </c>
      <c r="C1279" t="s">
        <v>958</v>
      </c>
    </row>
    <row r="1280" spans="1:3" x14ac:dyDescent="0.35">
      <c r="A1280" t="s">
        <v>304</v>
      </c>
      <c r="B1280" t="s">
        <v>957</v>
      </c>
      <c r="C1280" t="s">
        <v>2060</v>
      </c>
    </row>
    <row r="1281" spans="1:3" x14ac:dyDescent="0.35">
      <c r="A1281" t="s">
        <v>304</v>
      </c>
      <c r="B1281" t="s">
        <v>957</v>
      </c>
      <c r="C1281" t="s">
        <v>2061</v>
      </c>
    </row>
    <row r="1282" spans="1:3" x14ac:dyDescent="0.35">
      <c r="A1282" t="s">
        <v>304</v>
      </c>
      <c r="B1282" t="s">
        <v>638</v>
      </c>
      <c r="C1282" t="s">
        <v>639</v>
      </c>
    </row>
    <row r="1283" spans="1:3" x14ac:dyDescent="0.35">
      <c r="A1283" t="s">
        <v>304</v>
      </c>
      <c r="B1283" t="s">
        <v>638</v>
      </c>
      <c r="C1283" t="s">
        <v>640</v>
      </c>
    </row>
    <row r="1284" spans="1:3" x14ac:dyDescent="0.35">
      <c r="A1284" t="s">
        <v>304</v>
      </c>
      <c r="B1284" t="s">
        <v>638</v>
      </c>
      <c r="C1284" t="s">
        <v>641</v>
      </c>
    </row>
    <row r="1285" spans="1:3" x14ac:dyDescent="0.35">
      <c r="A1285" t="s">
        <v>304</v>
      </c>
      <c r="B1285" t="s">
        <v>1234</v>
      </c>
      <c r="C1285" t="s">
        <v>1235</v>
      </c>
    </row>
    <row r="1286" spans="1:3" x14ac:dyDescent="0.35">
      <c r="A1286" t="s">
        <v>304</v>
      </c>
      <c r="B1286" t="s">
        <v>1234</v>
      </c>
      <c r="C1286" t="s">
        <v>1236</v>
      </c>
    </row>
    <row r="1287" spans="1:3" x14ac:dyDescent="0.35">
      <c r="A1287" t="s">
        <v>304</v>
      </c>
      <c r="B1287" t="s">
        <v>959</v>
      </c>
      <c r="C1287" t="s">
        <v>960</v>
      </c>
    </row>
    <row r="1288" spans="1:3" x14ac:dyDescent="0.35">
      <c r="A1288" t="s">
        <v>304</v>
      </c>
      <c r="B1288" t="s">
        <v>959</v>
      </c>
      <c r="C1288" t="s">
        <v>961</v>
      </c>
    </row>
    <row r="1289" spans="1:3" x14ac:dyDescent="0.35">
      <c r="A1289" t="s">
        <v>304</v>
      </c>
      <c r="B1289" t="s">
        <v>312</v>
      </c>
      <c r="C1289" t="s">
        <v>313</v>
      </c>
    </row>
    <row r="1290" spans="1:3" x14ac:dyDescent="0.35">
      <c r="A1290" t="s">
        <v>304</v>
      </c>
      <c r="B1290" t="s">
        <v>312</v>
      </c>
      <c r="C1290" t="s">
        <v>314</v>
      </c>
    </row>
    <row r="1291" spans="1:3" x14ac:dyDescent="0.35">
      <c r="A1291" t="s">
        <v>304</v>
      </c>
      <c r="B1291" t="s">
        <v>312</v>
      </c>
      <c r="C1291" t="s">
        <v>315</v>
      </c>
    </row>
    <row r="1292" spans="1:3" x14ac:dyDescent="0.35">
      <c r="A1292" t="s">
        <v>304</v>
      </c>
      <c r="B1292" t="s">
        <v>312</v>
      </c>
      <c r="C1292" t="s">
        <v>1309</v>
      </c>
    </row>
    <row r="1293" spans="1:3" x14ac:dyDescent="0.35">
      <c r="A1293" t="s">
        <v>304</v>
      </c>
      <c r="B1293" t="s">
        <v>312</v>
      </c>
      <c r="C1293" t="s">
        <v>1310</v>
      </c>
    </row>
    <row r="1294" spans="1:3" x14ac:dyDescent="0.35">
      <c r="A1294" t="s">
        <v>304</v>
      </c>
      <c r="B1294" t="s">
        <v>316</v>
      </c>
      <c r="C1294" t="s">
        <v>317</v>
      </c>
    </row>
    <row r="1295" spans="1:3" x14ac:dyDescent="0.35">
      <c r="A1295" t="s">
        <v>304</v>
      </c>
      <c r="B1295" t="s">
        <v>316</v>
      </c>
      <c r="C1295" t="s">
        <v>318</v>
      </c>
    </row>
    <row r="1296" spans="1:3" x14ac:dyDescent="0.35">
      <c r="A1296" t="s">
        <v>304</v>
      </c>
      <c r="B1296" t="s">
        <v>316</v>
      </c>
      <c r="C1296" t="s">
        <v>319</v>
      </c>
    </row>
    <row r="1297" spans="1:3" x14ac:dyDescent="0.35">
      <c r="A1297" t="s">
        <v>304</v>
      </c>
      <c r="B1297" t="s">
        <v>2062</v>
      </c>
      <c r="C1297" t="s">
        <v>2063</v>
      </c>
    </row>
    <row r="1298" spans="1:3" x14ac:dyDescent="0.35">
      <c r="A1298" t="s">
        <v>304</v>
      </c>
      <c r="B1298" t="s">
        <v>2062</v>
      </c>
      <c r="C1298" t="s">
        <v>2064</v>
      </c>
    </row>
    <row r="1299" spans="1:3" x14ac:dyDescent="0.35">
      <c r="A1299" t="s">
        <v>304</v>
      </c>
      <c r="B1299" t="s">
        <v>320</v>
      </c>
      <c r="C1299" t="s">
        <v>321</v>
      </c>
    </row>
    <row r="1300" spans="1:3" x14ac:dyDescent="0.35">
      <c r="A1300" t="s">
        <v>304</v>
      </c>
      <c r="B1300" t="s">
        <v>320</v>
      </c>
      <c r="C1300" t="s">
        <v>322</v>
      </c>
    </row>
    <row r="1301" spans="1:3" x14ac:dyDescent="0.35">
      <c r="A1301" t="s">
        <v>304</v>
      </c>
      <c r="B1301" t="s">
        <v>320</v>
      </c>
      <c r="C1301" t="s">
        <v>323</v>
      </c>
    </row>
    <row r="1302" spans="1:3" x14ac:dyDescent="0.35">
      <c r="A1302" t="s">
        <v>304</v>
      </c>
      <c r="B1302" t="s">
        <v>320</v>
      </c>
      <c r="C1302" t="s">
        <v>324</v>
      </c>
    </row>
    <row r="1303" spans="1:3" x14ac:dyDescent="0.35">
      <c r="A1303" t="s">
        <v>304</v>
      </c>
      <c r="B1303" t="s">
        <v>320</v>
      </c>
      <c r="C1303" t="s">
        <v>325</v>
      </c>
    </row>
    <row r="1304" spans="1:3" x14ac:dyDescent="0.35">
      <c r="A1304" t="s">
        <v>304</v>
      </c>
      <c r="B1304" t="s">
        <v>320</v>
      </c>
      <c r="C1304" t="s">
        <v>326</v>
      </c>
    </row>
    <row r="1305" spans="1:3" x14ac:dyDescent="0.35">
      <c r="A1305" t="s">
        <v>304</v>
      </c>
      <c r="B1305" t="s">
        <v>320</v>
      </c>
      <c r="C1305" t="s">
        <v>327</v>
      </c>
    </row>
    <row r="1306" spans="1:3" x14ac:dyDescent="0.35">
      <c r="A1306" t="s">
        <v>304</v>
      </c>
      <c r="B1306" t="s">
        <v>320</v>
      </c>
      <c r="C1306" t="s">
        <v>328</v>
      </c>
    </row>
    <row r="1307" spans="1:3" x14ac:dyDescent="0.35">
      <c r="A1307" t="s">
        <v>304</v>
      </c>
      <c r="B1307" t="s">
        <v>320</v>
      </c>
      <c r="C1307" t="s">
        <v>329</v>
      </c>
    </row>
    <row r="1308" spans="1:3" x14ac:dyDescent="0.35">
      <c r="A1308" t="s">
        <v>304</v>
      </c>
      <c r="B1308" t="s">
        <v>320</v>
      </c>
      <c r="C1308" t="s">
        <v>330</v>
      </c>
    </row>
    <row r="1309" spans="1:3" x14ac:dyDescent="0.35">
      <c r="A1309" t="s">
        <v>304</v>
      </c>
      <c r="B1309" t="s">
        <v>320</v>
      </c>
      <c r="C1309" t="s">
        <v>331</v>
      </c>
    </row>
    <row r="1310" spans="1:3" x14ac:dyDescent="0.35">
      <c r="A1310" t="s">
        <v>304</v>
      </c>
      <c r="B1310" t="s">
        <v>320</v>
      </c>
      <c r="C1310" t="s">
        <v>332</v>
      </c>
    </row>
    <row r="1311" spans="1:3" x14ac:dyDescent="0.35">
      <c r="A1311" t="s">
        <v>304</v>
      </c>
      <c r="B1311" t="s">
        <v>320</v>
      </c>
      <c r="C1311" t="s">
        <v>333</v>
      </c>
    </row>
    <row r="1312" spans="1:3" x14ac:dyDescent="0.35">
      <c r="A1312" t="s">
        <v>304</v>
      </c>
      <c r="B1312" t="s">
        <v>334</v>
      </c>
      <c r="C1312" t="s">
        <v>335</v>
      </c>
    </row>
    <row r="1313" spans="1:3" x14ac:dyDescent="0.35">
      <c r="A1313" t="s">
        <v>304</v>
      </c>
      <c r="B1313" t="s">
        <v>334</v>
      </c>
      <c r="C1313" t="s">
        <v>336</v>
      </c>
    </row>
    <row r="1314" spans="1:3" x14ac:dyDescent="0.35">
      <c r="A1314" t="s">
        <v>304</v>
      </c>
      <c r="B1314" t="s">
        <v>1138</v>
      </c>
      <c r="C1314" t="s">
        <v>1139</v>
      </c>
    </row>
    <row r="1315" spans="1:3" x14ac:dyDescent="0.35">
      <c r="A1315" t="s">
        <v>304</v>
      </c>
      <c r="B1315" t="s">
        <v>1138</v>
      </c>
      <c r="C1315" t="s">
        <v>1140</v>
      </c>
    </row>
    <row r="1316" spans="1:3" x14ac:dyDescent="0.35">
      <c r="A1316" t="s">
        <v>304</v>
      </c>
      <c r="B1316" t="s">
        <v>1141</v>
      </c>
      <c r="C1316" t="s">
        <v>1142</v>
      </c>
    </row>
    <row r="1317" spans="1:3" x14ac:dyDescent="0.35">
      <c r="A1317" t="s">
        <v>304</v>
      </c>
      <c r="B1317" t="s">
        <v>1141</v>
      </c>
      <c r="C1317" t="s">
        <v>1143</v>
      </c>
    </row>
    <row r="1318" spans="1:3" x14ac:dyDescent="0.35">
      <c r="A1318" t="s">
        <v>304</v>
      </c>
      <c r="B1318" t="s">
        <v>337</v>
      </c>
      <c r="C1318" t="s">
        <v>338</v>
      </c>
    </row>
    <row r="1319" spans="1:3" x14ac:dyDescent="0.35">
      <c r="A1319" t="s">
        <v>304</v>
      </c>
      <c r="B1319" t="s">
        <v>337</v>
      </c>
      <c r="C1319" t="s">
        <v>339</v>
      </c>
    </row>
    <row r="1320" spans="1:3" x14ac:dyDescent="0.35">
      <c r="A1320" t="s">
        <v>304</v>
      </c>
      <c r="B1320" t="s">
        <v>337</v>
      </c>
      <c r="C1320" t="s">
        <v>340</v>
      </c>
    </row>
    <row r="1321" spans="1:3" x14ac:dyDescent="0.35">
      <c r="A1321" t="s">
        <v>304</v>
      </c>
      <c r="B1321" t="s">
        <v>337</v>
      </c>
      <c r="C1321" t="s">
        <v>341</v>
      </c>
    </row>
    <row r="1322" spans="1:3" x14ac:dyDescent="0.35">
      <c r="A1322" t="s">
        <v>304</v>
      </c>
      <c r="B1322" t="s">
        <v>337</v>
      </c>
      <c r="C1322" t="s">
        <v>342</v>
      </c>
    </row>
    <row r="1323" spans="1:3" x14ac:dyDescent="0.35">
      <c r="A1323" t="s">
        <v>304</v>
      </c>
      <c r="B1323" t="s">
        <v>337</v>
      </c>
      <c r="C1323" t="s">
        <v>343</v>
      </c>
    </row>
    <row r="1324" spans="1:3" x14ac:dyDescent="0.35">
      <c r="A1324" t="s">
        <v>304</v>
      </c>
      <c r="B1324" t="s">
        <v>337</v>
      </c>
      <c r="C1324" t="s">
        <v>344</v>
      </c>
    </row>
    <row r="1325" spans="1:3" x14ac:dyDescent="0.35">
      <c r="A1325" t="s">
        <v>304</v>
      </c>
      <c r="B1325" t="s">
        <v>337</v>
      </c>
      <c r="C1325" t="s">
        <v>345</v>
      </c>
    </row>
    <row r="1326" spans="1:3" x14ac:dyDescent="0.35">
      <c r="A1326" t="s">
        <v>304</v>
      </c>
      <c r="B1326" t="s">
        <v>337</v>
      </c>
      <c r="C1326" t="s">
        <v>346</v>
      </c>
    </row>
    <row r="1327" spans="1:3" x14ac:dyDescent="0.35">
      <c r="A1327" t="s">
        <v>304</v>
      </c>
      <c r="B1327" t="s">
        <v>337</v>
      </c>
      <c r="C1327" t="s">
        <v>347</v>
      </c>
    </row>
    <row r="1328" spans="1:3" x14ac:dyDescent="0.35">
      <c r="A1328" t="s">
        <v>304</v>
      </c>
      <c r="B1328" t="s">
        <v>337</v>
      </c>
      <c r="C1328" t="s">
        <v>348</v>
      </c>
    </row>
    <row r="1329" spans="1:3" x14ac:dyDescent="0.35">
      <c r="A1329" t="s">
        <v>304</v>
      </c>
      <c r="B1329" t="s">
        <v>337</v>
      </c>
      <c r="C1329" t="s">
        <v>349</v>
      </c>
    </row>
    <row r="1330" spans="1:3" x14ac:dyDescent="0.35">
      <c r="A1330" t="s">
        <v>304</v>
      </c>
      <c r="B1330" t="s">
        <v>337</v>
      </c>
      <c r="C1330" t="s">
        <v>350</v>
      </c>
    </row>
    <row r="1331" spans="1:3" x14ac:dyDescent="0.35">
      <c r="A1331" t="s">
        <v>304</v>
      </c>
      <c r="B1331" t="s">
        <v>2065</v>
      </c>
      <c r="C1331" t="s">
        <v>2066</v>
      </c>
    </row>
    <row r="1332" spans="1:3" x14ac:dyDescent="0.35">
      <c r="A1332" t="s">
        <v>304</v>
      </c>
      <c r="B1332" t="s">
        <v>2065</v>
      </c>
      <c r="C1332" t="s">
        <v>2067</v>
      </c>
    </row>
    <row r="1333" spans="1:3" x14ac:dyDescent="0.35">
      <c r="A1333" t="s">
        <v>304</v>
      </c>
      <c r="B1333" t="s">
        <v>351</v>
      </c>
      <c r="C1333" t="s">
        <v>352</v>
      </c>
    </row>
    <row r="1334" spans="1:3" x14ac:dyDescent="0.35">
      <c r="A1334" t="s">
        <v>304</v>
      </c>
      <c r="B1334" t="s">
        <v>351</v>
      </c>
      <c r="C1334" t="s">
        <v>353</v>
      </c>
    </row>
    <row r="1335" spans="1:3" x14ac:dyDescent="0.35">
      <c r="A1335" t="s">
        <v>304</v>
      </c>
      <c r="B1335" t="s">
        <v>351</v>
      </c>
      <c r="C1335" t="s">
        <v>354</v>
      </c>
    </row>
    <row r="1336" spans="1:3" x14ac:dyDescent="0.35">
      <c r="A1336" t="s">
        <v>304</v>
      </c>
      <c r="B1336" t="s">
        <v>351</v>
      </c>
      <c r="C1336" t="s">
        <v>355</v>
      </c>
    </row>
    <row r="1337" spans="1:3" x14ac:dyDescent="0.35">
      <c r="A1337" t="s">
        <v>304</v>
      </c>
      <c r="B1337" t="s">
        <v>351</v>
      </c>
      <c r="C1337" t="s">
        <v>356</v>
      </c>
    </row>
    <row r="1338" spans="1:3" x14ac:dyDescent="0.35">
      <c r="A1338" t="s">
        <v>304</v>
      </c>
      <c r="B1338" t="s">
        <v>351</v>
      </c>
      <c r="C1338" t="s">
        <v>357</v>
      </c>
    </row>
    <row r="1339" spans="1:3" x14ac:dyDescent="0.35">
      <c r="A1339" t="s">
        <v>304</v>
      </c>
      <c r="B1339" t="s">
        <v>351</v>
      </c>
      <c r="C1339" t="s">
        <v>358</v>
      </c>
    </row>
    <row r="1340" spans="1:3" x14ac:dyDescent="0.35">
      <c r="A1340" t="s">
        <v>304</v>
      </c>
      <c r="B1340" t="s">
        <v>351</v>
      </c>
      <c r="C1340" t="s">
        <v>359</v>
      </c>
    </row>
    <row r="1341" spans="1:3" x14ac:dyDescent="0.35">
      <c r="A1341" t="s">
        <v>304</v>
      </c>
      <c r="B1341" t="s">
        <v>351</v>
      </c>
      <c r="C1341" t="s">
        <v>360</v>
      </c>
    </row>
    <row r="1342" spans="1:3" x14ac:dyDescent="0.35">
      <c r="A1342" t="s">
        <v>304</v>
      </c>
      <c r="B1342" t="s">
        <v>351</v>
      </c>
      <c r="C1342" t="s">
        <v>361</v>
      </c>
    </row>
    <row r="1343" spans="1:3" x14ac:dyDescent="0.35">
      <c r="A1343" t="s">
        <v>304</v>
      </c>
      <c r="B1343" t="s">
        <v>351</v>
      </c>
      <c r="C1343" t="s">
        <v>362</v>
      </c>
    </row>
    <row r="1344" spans="1:3" x14ac:dyDescent="0.35">
      <c r="A1344" t="s">
        <v>304</v>
      </c>
      <c r="B1344" t="s">
        <v>351</v>
      </c>
      <c r="C1344" t="s">
        <v>363</v>
      </c>
    </row>
    <row r="1345" spans="1:3" x14ac:dyDescent="0.35">
      <c r="A1345" t="s">
        <v>304</v>
      </c>
      <c r="B1345" t="s">
        <v>351</v>
      </c>
      <c r="C1345" t="s">
        <v>364</v>
      </c>
    </row>
    <row r="1346" spans="1:3" x14ac:dyDescent="0.35">
      <c r="A1346" t="s">
        <v>304</v>
      </c>
      <c r="B1346" t="s">
        <v>351</v>
      </c>
      <c r="C1346" t="s">
        <v>365</v>
      </c>
    </row>
    <row r="1347" spans="1:3" x14ac:dyDescent="0.35">
      <c r="A1347" t="s">
        <v>304</v>
      </c>
      <c r="B1347" t="s">
        <v>351</v>
      </c>
      <c r="C1347" t="s">
        <v>366</v>
      </c>
    </row>
    <row r="1348" spans="1:3" x14ac:dyDescent="0.35">
      <c r="A1348" t="s">
        <v>304</v>
      </c>
      <c r="B1348" t="s">
        <v>351</v>
      </c>
      <c r="C1348" t="s">
        <v>367</v>
      </c>
    </row>
    <row r="1349" spans="1:3" x14ac:dyDescent="0.35">
      <c r="A1349" t="s">
        <v>304</v>
      </c>
      <c r="B1349" t="s">
        <v>351</v>
      </c>
      <c r="C1349" t="s">
        <v>368</v>
      </c>
    </row>
    <row r="1350" spans="1:3" x14ac:dyDescent="0.35">
      <c r="A1350" t="s">
        <v>304</v>
      </c>
      <c r="B1350" t="s">
        <v>351</v>
      </c>
      <c r="C1350" t="s">
        <v>369</v>
      </c>
    </row>
    <row r="1351" spans="1:3" x14ac:dyDescent="0.35">
      <c r="A1351" t="s">
        <v>304</v>
      </c>
      <c r="B1351" t="s">
        <v>351</v>
      </c>
      <c r="C1351" t="s">
        <v>370</v>
      </c>
    </row>
    <row r="1352" spans="1:3" x14ac:dyDescent="0.35">
      <c r="A1352" t="s">
        <v>304</v>
      </c>
      <c r="B1352" t="s">
        <v>351</v>
      </c>
      <c r="C1352" t="s">
        <v>371</v>
      </c>
    </row>
    <row r="1353" spans="1:3" x14ac:dyDescent="0.35">
      <c r="A1353" t="s">
        <v>304</v>
      </c>
      <c r="B1353" t="s">
        <v>351</v>
      </c>
      <c r="C1353" t="s">
        <v>372</v>
      </c>
    </row>
    <row r="1354" spans="1:3" x14ac:dyDescent="0.35">
      <c r="A1354" t="s">
        <v>304</v>
      </c>
      <c r="B1354" t="s">
        <v>351</v>
      </c>
      <c r="C1354" t="s">
        <v>373</v>
      </c>
    </row>
    <row r="1355" spans="1:3" x14ac:dyDescent="0.35">
      <c r="A1355" t="s">
        <v>304</v>
      </c>
      <c r="B1355" t="s">
        <v>351</v>
      </c>
      <c r="C1355" t="s">
        <v>374</v>
      </c>
    </row>
    <row r="1356" spans="1:3" x14ac:dyDescent="0.35">
      <c r="A1356" t="s">
        <v>304</v>
      </c>
      <c r="B1356" t="s">
        <v>351</v>
      </c>
      <c r="C1356" t="s">
        <v>375</v>
      </c>
    </row>
    <row r="1357" spans="1:3" x14ac:dyDescent="0.35">
      <c r="A1357" t="s">
        <v>304</v>
      </c>
      <c r="B1357" t="s">
        <v>351</v>
      </c>
      <c r="C1357" t="s">
        <v>376</v>
      </c>
    </row>
    <row r="1358" spans="1:3" x14ac:dyDescent="0.35">
      <c r="A1358" t="s">
        <v>304</v>
      </c>
      <c r="B1358" t="s">
        <v>351</v>
      </c>
      <c r="C1358" t="s">
        <v>377</v>
      </c>
    </row>
    <row r="1359" spans="1:3" x14ac:dyDescent="0.35">
      <c r="A1359" t="s">
        <v>304</v>
      </c>
      <c r="B1359" t="s">
        <v>351</v>
      </c>
      <c r="C1359" t="s">
        <v>378</v>
      </c>
    </row>
    <row r="1360" spans="1:3" x14ac:dyDescent="0.35">
      <c r="A1360" t="s">
        <v>304</v>
      </c>
      <c r="B1360" t="s">
        <v>351</v>
      </c>
      <c r="C1360" t="s">
        <v>379</v>
      </c>
    </row>
    <row r="1361" spans="1:3" x14ac:dyDescent="0.35">
      <c r="A1361" t="s">
        <v>304</v>
      </c>
      <c r="B1361" t="s">
        <v>351</v>
      </c>
      <c r="C1361" t="s">
        <v>380</v>
      </c>
    </row>
    <row r="1362" spans="1:3" x14ac:dyDescent="0.35">
      <c r="A1362" t="s">
        <v>304</v>
      </c>
      <c r="B1362" t="s">
        <v>351</v>
      </c>
      <c r="C1362" t="s">
        <v>381</v>
      </c>
    </row>
    <row r="1363" spans="1:3" x14ac:dyDescent="0.35">
      <c r="A1363" t="s">
        <v>304</v>
      </c>
      <c r="B1363" t="s">
        <v>351</v>
      </c>
      <c r="C1363" t="s">
        <v>382</v>
      </c>
    </row>
    <row r="1364" spans="1:3" x14ac:dyDescent="0.35">
      <c r="A1364" t="s">
        <v>304</v>
      </c>
      <c r="B1364" t="s">
        <v>351</v>
      </c>
      <c r="C1364" t="s">
        <v>383</v>
      </c>
    </row>
    <row r="1365" spans="1:3" x14ac:dyDescent="0.35">
      <c r="A1365" t="s">
        <v>304</v>
      </c>
      <c r="B1365" t="s">
        <v>351</v>
      </c>
      <c r="C1365" t="s">
        <v>384</v>
      </c>
    </row>
    <row r="1366" spans="1:3" x14ac:dyDescent="0.35">
      <c r="A1366" t="s">
        <v>304</v>
      </c>
      <c r="B1366" t="s">
        <v>351</v>
      </c>
      <c r="C1366" t="s">
        <v>385</v>
      </c>
    </row>
    <row r="1367" spans="1:3" x14ac:dyDescent="0.35">
      <c r="A1367" t="s">
        <v>304</v>
      </c>
      <c r="B1367" t="s">
        <v>351</v>
      </c>
      <c r="C1367" t="s">
        <v>386</v>
      </c>
    </row>
    <row r="1368" spans="1:3" x14ac:dyDescent="0.35">
      <c r="A1368" t="s">
        <v>304</v>
      </c>
      <c r="B1368" t="s">
        <v>351</v>
      </c>
      <c r="C1368" t="s">
        <v>387</v>
      </c>
    </row>
    <row r="1369" spans="1:3" x14ac:dyDescent="0.35">
      <c r="A1369" t="s">
        <v>304</v>
      </c>
      <c r="B1369" t="s">
        <v>351</v>
      </c>
      <c r="C1369" t="s">
        <v>388</v>
      </c>
    </row>
    <row r="1370" spans="1:3" x14ac:dyDescent="0.35">
      <c r="A1370" t="s">
        <v>304</v>
      </c>
      <c r="B1370" t="s">
        <v>351</v>
      </c>
      <c r="C1370" t="s">
        <v>389</v>
      </c>
    </row>
    <row r="1371" spans="1:3" x14ac:dyDescent="0.35">
      <c r="A1371" t="s">
        <v>304</v>
      </c>
      <c r="B1371" t="s">
        <v>351</v>
      </c>
      <c r="C1371" t="s">
        <v>390</v>
      </c>
    </row>
    <row r="1372" spans="1:3" x14ac:dyDescent="0.35">
      <c r="A1372" t="s">
        <v>304</v>
      </c>
      <c r="B1372" t="s">
        <v>351</v>
      </c>
      <c r="C1372" t="s">
        <v>391</v>
      </c>
    </row>
    <row r="1373" spans="1:3" x14ac:dyDescent="0.35">
      <c r="A1373" t="s">
        <v>304</v>
      </c>
      <c r="B1373" t="s">
        <v>351</v>
      </c>
      <c r="C1373" t="s">
        <v>392</v>
      </c>
    </row>
    <row r="1374" spans="1:3" x14ac:dyDescent="0.35">
      <c r="A1374" t="s">
        <v>304</v>
      </c>
      <c r="B1374" t="s">
        <v>351</v>
      </c>
      <c r="C1374" t="s">
        <v>393</v>
      </c>
    </row>
    <row r="1375" spans="1:3" x14ac:dyDescent="0.35">
      <c r="A1375" t="s">
        <v>304</v>
      </c>
      <c r="B1375" t="s">
        <v>351</v>
      </c>
      <c r="C1375" t="s">
        <v>394</v>
      </c>
    </row>
    <row r="1376" spans="1:3" x14ac:dyDescent="0.35">
      <c r="A1376" t="s">
        <v>304</v>
      </c>
      <c r="B1376" t="s">
        <v>351</v>
      </c>
      <c r="C1376" t="s">
        <v>395</v>
      </c>
    </row>
    <row r="1377" spans="1:3" x14ac:dyDescent="0.35">
      <c r="A1377" t="s">
        <v>304</v>
      </c>
      <c r="B1377" t="s">
        <v>351</v>
      </c>
      <c r="C1377" t="s">
        <v>396</v>
      </c>
    </row>
    <row r="1378" spans="1:3" x14ac:dyDescent="0.35">
      <c r="A1378" t="s">
        <v>304</v>
      </c>
      <c r="B1378" t="s">
        <v>351</v>
      </c>
      <c r="C1378" t="s">
        <v>397</v>
      </c>
    </row>
    <row r="1379" spans="1:3" x14ac:dyDescent="0.35">
      <c r="A1379" t="s">
        <v>304</v>
      </c>
      <c r="B1379" t="s">
        <v>351</v>
      </c>
      <c r="C1379" t="s">
        <v>398</v>
      </c>
    </row>
    <row r="1380" spans="1:3" x14ac:dyDescent="0.35">
      <c r="A1380" t="s">
        <v>304</v>
      </c>
      <c r="B1380" t="s">
        <v>351</v>
      </c>
      <c r="C1380" t="s">
        <v>399</v>
      </c>
    </row>
    <row r="1381" spans="1:3" x14ac:dyDescent="0.35">
      <c r="A1381" t="s">
        <v>304</v>
      </c>
      <c r="B1381" t="s">
        <v>351</v>
      </c>
      <c r="C1381" t="s">
        <v>400</v>
      </c>
    </row>
    <row r="1382" spans="1:3" x14ac:dyDescent="0.35">
      <c r="A1382" t="s">
        <v>304</v>
      </c>
      <c r="B1382" t="s">
        <v>351</v>
      </c>
      <c r="C1382" t="s">
        <v>401</v>
      </c>
    </row>
    <row r="1383" spans="1:3" x14ac:dyDescent="0.35">
      <c r="A1383" t="s">
        <v>304</v>
      </c>
      <c r="B1383" t="s">
        <v>351</v>
      </c>
      <c r="C1383" t="s">
        <v>402</v>
      </c>
    </row>
    <row r="1384" spans="1:3" x14ac:dyDescent="0.35">
      <c r="A1384" t="s">
        <v>304</v>
      </c>
      <c r="B1384" t="s">
        <v>351</v>
      </c>
      <c r="C1384" t="s">
        <v>403</v>
      </c>
    </row>
    <row r="1385" spans="1:3" x14ac:dyDescent="0.35">
      <c r="A1385" t="s">
        <v>304</v>
      </c>
      <c r="B1385" t="s">
        <v>351</v>
      </c>
      <c r="C1385" t="s">
        <v>404</v>
      </c>
    </row>
    <row r="1386" spans="1:3" x14ac:dyDescent="0.35">
      <c r="A1386" t="s">
        <v>304</v>
      </c>
      <c r="B1386" t="s">
        <v>351</v>
      </c>
      <c r="C1386" t="s">
        <v>405</v>
      </c>
    </row>
    <row r="1387" spans="1:3" x14ac:dyDescent="0.35">
      <c r="A1387" t="s">
        <v>304</v>
      </c>
      <c r="B1387" t="s">
        <v>351</v>
      </c>
      <c r="C1387" t="s">
        <v>406</v>
      </c>
    </row>
    <row r="1388" spans="1:3" x14ac:dyDescent="0.35">
      <c r="A1388" t="s">
        <v>304</v>
      </c>
      <c r="B1388" t="s">
        <v>351</v>
      </c>
      <c r="C1388" t="s">
        <v>407</v>
      </c>
    </row>
    <row r="1389" spans="1:3" x14ac:dyDescent="0.35">
      <c r="A1389" t="s">
        <v>304</v>
      </c>
      <c r="B1389" t="s">
        <v>351</v>
      </c>
      <c r="C1389" t="s">
        <v>408</v>
      </c>
    </row>
    <row r="1390" spans="1:3" x14ac:dyDescent="0.35">
      <c r="A1390" t="s">
        <v>304</v>
      </c>
      <c r="B1390" t="s">
        <v>351</v>
      </c>
      <c r="C1390" t="s">
        <v>409</v>
      </c>
    </row>
    <row r="1391" spans="1:3" x14ac:dyDescent="0.35">
      <c r="A1391" t="s">
        <v>304</v>
      </c>
      <c r="B1391" t="s">
        <v>351</v>
      </c>
      <c r="C1391" t="s">
        <v>410</v>
      </c>
    </row>
    <row r="1392" spans="1:3" x14ac:dyDescent="0.35">
      <c r="A1392" t="s">
        <v>304</v>
      </c>
      <c r="B1392" t="s">
        <v>351</v>
      </c>
      <c r="C1392" t="s">
        <v>411</v>
      </c>
    </row>
    <row r="1393" spans="1:3" x14ac:dyDescent="0.35">
      <c r="A1393" t="s">
        <v>304</v>
      </c>
      <c r="B1393" t="s">
        <v>351</v>
      </c>
      <c r="C1393" t="s">
        <v>412</v>
      </c>
    </row>
    <row r="1394" spans="1:3" x14ac:dyDescent="0.35">
      <c r="A1394" t="s">
        <v>304</v>
      </c>
      <c r="B1394" t="s">
        <v>351</v>
      </c>
      <c r="C1394" t="s">
        <v>413</v>
      </c>
    </row>
    <row r="1395" spans="1:3" x14ac:dyDescent="0.35">
      <c r="A1395" t="s">
        <v>304</v>
      </c>
      <c r="B1395" t="s">
        <v>351</v>
      </c>
      <c r="C1395" t="s">
        <v>414</v>
      </c>
    </row>
    <row r="1396" spans="1:3" x14ac:dyDescent="0.35">
      <c r="A1396" t="s">
        <v>304</v>
      </c>
      <c r="B1396" t="s">
        <v>351</v>
      </c>
      <c r="C1396" t="s">
        <v>415</v>
      </c>
    </row>
    <row r="1397" spans="1:3" x14ac:dyDescent="0.35">
      <c r="A1397" t="s">
        <v>304</v>
      </c>
      <c r="B1397" t="s">
        <v>351</v>
      </c>
      <c r="C1397" t="s">
        <v>416</v>
      </c>
    </row>
    <row r="1398" spans="1:3" x14ac:dyDescent="0.35">
      <c r="A1398" t="s">
        <v>304</v>
      </c>
      <c r="B1398" t="s">
        <v>351</v>
      </c>
      <c r="C1398" t="s">
        <v>417</v>
      </c>
    </row>
    <row r="1399" spans="1:3" x14ac:dyDescent="0.35">
      <c r="A1399" t="s">
        <v>304</v>
      </c>
      <c r="B1399" t="s">
        <v>351</v>
      </c>
      <c r="C1399" t="s">
        <v>418</v>
      </c>
    </row>
    <row r="1400" spans="1:3" x14ac:dyDescent="0.35">
      <c r="A1400" t="s">
        <v>304</v>
      </c>
      <c r="B1400" t="s">
        <v>351</v>
      </c>
      <c r="C1400" t="s">
        <v>419</v>
      </c>
    </row>
    <row r="1401" spans="1:3" x14ac:dyDescent="0.35">
      <c r="A1401" t="s">
        <v>304</v>
      </c>
      <c r="B1401" t="s">
        <v>351</v>
      </c>
      <c r="C1401" t="s">
        <v>420</v>
      </c>
    </row>
    <row r="1402" spans="1:3" x14ac:dyDescent="0.35">
      <c r="A1402" t="s">
        <v>304</v>
      </c>
      <c r="B1402" t="s">
        <v>351</v>
      </c>
      <c r="C1402" t="s">
        <v>421</v>
      </c>
    </row>
    <row r="1403" spans="1:3" x14ac:dyDescent="0.35">
      <c r="A1403" t="s">
        <v>304</v>
      </c>
      <c r="B1403" t="s">
        <v>351</v>
      </c>
      <c r="C1403" t="s">
        <v>422</v>
      </c>
    </row>
    <row r="1404" spans="1:3" x14ac:dyDescent="0.35">
      <c r="A1404" t="s">
        <v>304</v>
      </c>
      <c r="B1404" t="s">
        <v>351</v>
      </c>
      <c r="C1404" t="s">
        <v>423</v>
      </c>
    </row>
    <row r="1405" spans="1:3" x14ac:dyDescent="0.35">
      <c r="A1405" t="s">
        <v>304</v>
      </c>
      <c r="B1405" t="s">
        <v>351</v>
      </c>
      <c r="C1405" t="s">
        <v>424</v>
      </c>
    </row>
    <row r="1406" spans="1:3" x14ac:dyDescent="0.35">
      <c r="A1406" t="s">
        <v>304</v>
      </c>
      <c r="B1406" t="s">
        <v>1144</v>
      </c>
      <c r="C1406" t="s">
        <v>1145</v>
      </c>
    </row>
    <row r="1407" spans="1:3" x14ac:dyDescent="0.35">
      <c r="A1407" t="s">
        <v>304</v>
      </c>
      <c r="B1407" t="s">
        <v>1144</v>
      </c>
      <c r="C1407" t="s">
        <v>1146</v>
      </c>
    </row>
    <row r="1408" spans="1:3" x14ac:dyDescent="0.35">
      <c r="A1408" t="s">
        <v>304</v>
      </c>
      <c r="B1408" t="s">
        <v>1144</v>
      </c>
      <c r="C1408" t="s">
        <v>1147</v>
      </c>
    </row>
    <row r="1409" spans="1:3" x14ac:dyDescent="0.35">
      <c r="A1409" t="s">
        <v>304</v>
      </c>
      <c r="B1409" t="s">
        <v>2068</v>
      </c>
      <c r="C1409" t="s">
        <v>2069</v>
      </c>
    </row>
    <row r="1410" spans="1:3" x14ac:dyDescent="0.35">
      <c r="A1410" t="s">
        <v>304</v>
      </c>
      <c r="B1410" t="s">
        <v>2068</v>
      </c>
      <c r="C1410" t="s">
        <v>2070</v>
      </c>
    </row>
    <row r="1411" spans="1:3" x14ac:dyDescent="0.35">
      <c r="A1411" t="s">
        <v>304</v>
      </c>
      <c r="B1411" t="s">
        <v>2068</v>
      </c>
      <c r="C1411" t="s">
        <v>2071</v>
      </c>
    </row>
    <row r="1412" spans="1:3" x14ac:dyDescent="0.35">
      <c r="A1412" t="s">
        <v>304</v>
      </c>
      <c r="B1412" t="s">
        <v>1148</v>
      </c>
      <c r="C1412" t="s">
        <v>1149</v>
      </c>
    </row>
    <row r="1413" spans="1:3" x14ac:dyDescent="0.35">
      <c r="A1413" t="s">
        <v>304</v>
      </c>
      <c r="B1413" t="s">
        <v>1148</v>
      </c>
      <c r="C1413" t="s">
        <v>1150</v>
      </c>
    </row>
    <row r="1414" spans="1:3" x14ac:dyDescent="0.35">
      <c r="A1414" t="s">
        <v>304</v>
      </c>
      <c r="B1414" t="s">
        <v>1702</v>
      </c>
      <c r="C1414" t="s">
        <v>1703</v>
      </c>
    </row>
    <row r="1415" spans="1:3" x14ac:dyDescent="0.35">
      <c r="A1415" t="s">
        <v>304</v>
      </c>
      <c r="B1415" t="s">
        <v>1702</v>
      </c>
      <c r="C1415" t="s">
        <v>1704</v>
      </c>
    </row>
    <row r="1416" spans="1:3" x14ac:dyDescent="0.35">
      <c r="A1416" t="s">
        <v>304</v>
      </c>
      <c r="B1416" t="s">
        <v>1702</v>
      </c>
      <c r="C1416" t="s">
        <v>1705</v>
      </c>
    </row>
    <row r="1417" spans="1:3" x14ac:dyDescent="0.35">
      <c r="A1417" t="s">
        <v>304</v>
      </c>
      <c r="B1417" t="s">
        <v>1002</v>
      </c>
      <c r="C1417" t="s">
        <v>1003</v>
      </c>
    </row>
    <row r="1418" spans="1:3" x14ac:dyDescent="0.35">
      <c r="A1418" t="s">
        <v>304</v>
      </c>
      <c r="B1418" t="s">
        <v>1002</v>
      </c>
      <c r="C1418" t="s">
        <v>1311</v>
      </c>
    </row>
    <row r="1419" spans="1:3" x14ac:dyDescent="0.35">
      <c r="A1419" t="s">
        <v>304</v>
      </c>
      <c r="B1419" t="s">
        <v>1002</v>
      </c>
      <c r="C1419" t="s">
        <v>1004</v>
      </c>
    </row>
    <row r="1420" spans="1:3" x14ac:dyDescent="0.35">
      <c r="A1420" t="s">
        <v>304</v>
      </c>
      <c r="B1420" t="s">
        <v>1002</v>
      </c>
      <c r="C1420" t="s">
        <v>1005</v>
      </c>
    </row>
    <row r="1421" spans="1:3" x14ac:dyDescent="0.35">
      <c r="A1421" t="s">
        <v>304</v>
      </c>
      <c r="B1421" t="s">
        <v>1002</v>
      </c>
      <c r="C1421" t="s">
        <v>1006</v>
      </c>
    </row>
    <row r="1422" spans="1:3" x14ac:dyDescent="0.35">
      <c r="A1422" t="s">
        <v>304</v>
      </c>
      <c r="B1422" t="s">
        <v>1002</v>
      </c>
      <c r="C1422" t="s">
        <v>1312</v>
      </c>
    </row>
    <row r="1423" spans="1:3" x14ac:dyDescent="0.35">
      <c r="A1423" t="s">
        <v>304</v>
      </c>
      <c r="B1423" t="s">
        <v>1002</v>
      </c>
      <c r="C1423" t="s">
        <v>1313</v>
      </c>
    </row>
    <row r="1424" spans="1:3" x14ac:dyDescent="0.35">
      <c r="A1424" t="s">
        <v>304</v>
      </c>
      <c r="B1424" t="s">
        <v>1002</v>
      </c>
      <c r="C1424" t="s">
        <v>1314</v>
      </c>
    </row>
    <row r="1425" spans="1:3" x14ac:dyDescent="0.35">
      <c r="A1425" t="s">
        <v>304</v>
      </c>
      <c r="B1425" t="s">
        <v>1002</v>
      </c>
      <c r="C1425" t="s">
        <v>1007</v>
      </c>
    </row>
    <row r="1426" spans="1:3" x14ac:dyDescent="0.35">
      <c r="A1426" t="s">
        <v>304</v>
      </c>
      <c r="B1426" t="s">
        <v>1002</v>
      </c>
      <c r="C1426" t="s">
        <v>1008</v>
      </c>
    </row>
    <row r="1427" spans="1:3" x14ac:dyDescent="0.35">
      <c r="A1427" t="s">
        <v>304</v>
      </c>
      <c r="B1427" t="s">
        <v>1002</v>
      </c>
      <c r="C1427" t="s">
        <v>1009</v>
      </c>
    </row>
    <row r="1428" spans="1:3" x14ac:dyDescent="0.35">
      <c r="A1428" t="s">
        <v>304</v>
      </c>
      <c r="B1428" t="s">
        <v>1002</v>
      </c>
      <c r="C1428" t="s">
        <v>1315</v>
      </c>
    </row>
    <row r="1429" spans="1:3" x14ac:dyDescent="0.35">
      <c r="A1429" t="s">
        <v>304</v>
      </c>
      <c r="B1429" t="s">
        <v>1002</v>
      </c>
      <c r="C1429" t="s">
        <v>1316</v>
      </c>
    </row>
    <row r="1430" spans="1:3" x14ac:dyDescent="0.35">
      <c r="A1430" t="s">
        <v>304</v>
      </c>
      <c r="B1430" t="s">
        <v>1151</v>
      </c>
      <c r="C1430" t="s">
        <v>1152</v>
      </c>
    </row>
    <row r="1431" spans="1:3" x14ac:dyDescent="0.35">
      <c r="A1431" t="s">
        <v>304</v>
      </c>
      <c r="B1431" t="s">
        <v>1151</v>
      </c>
      <c r="C1431" t="s">
        <v>1153</v>
      </c>
    </row>
    <row r="1432" spans="1:3" x14ac:dyDescent="0.35">
      <c r="A1432" t="s">
        <v>304</v>
      </c>
      <c r="B1432" t="s">
        <v>1154</v>
      </c>
      <c r="C1432" t="s">
        <v>1155</v>
      </c>
    </row>
    <row r="1433" spans="1:3" x14ac:dyDescent="0.35">
      <c r="A1433" t="s">
        <v>304</v>
      </c>
      <c r="B1433" t="s">
        <v>1154</v>
      </c>
      <c r="C1433" t="s">
        <v>1156</v>
      </c>
    </row>
    <row r="1434" spans="1:3" x14ac:dyDescent="0.35">
      <c r="A1434" t="s">
        <v>304</v>
      </c>
      <c r="B1434" t="s">
        <v>1154</v>
      </c>
      <c r="C1434" t="s">
        <v>1157</v>
      </c>
    </row>
    <row r="1435" spans="1:3" x14ac:dyDescent="0.35">
      <c r="A1435" t="s">
        <v>304</v>
      </c>
      <c r="B1435" t="s">
        <v>1154</v>
      </c>
      <c r="C1435" t="s">
        <v>1158</v>
      </c>
    </row>
    <row r="1436" spans="1:3" x14ac:dyDescent="0.35">
      <c r="A1436" t="s">
        <v>304</v>
      </c>
      <c r="B1436" t="s">
        <v>1154</v>
      </c>
      <c r="C1436" t="s">
        <v>1159</v>
      </c>
    </row>
    <row r="1437" spans="1:3" x14ac:dyDescent="0.35">
      <c r="A1437" t="s">
        <v>304</v>
      </c>
      <c r="B1437" t="s">
        <v>1154</v>
      </c>
      <c r="C1437" t="s">
        <v>1160</v>
      </c>
    </row>
    <row r="1438" spans="1:3" x14ac:dyDescent="0.35">
      <c r="A1438" t="s">
        <v>304</v>
      </c>
      <c r="B1438" t="s">
        <v>1154</v>
      </c>
      <c r="C1438" t="s">
        <v>1161</v>
      </c>
    </row>
    <row r="1439" spans="1:3" x14ac:dyDescent="0.35">
      <c r="A1439" t="s">
        <v>304</v>
      </c>
      <c r="B1439" t="s">
        <v>1154</v>
      </c>
      <c r="C1439" t="s">
        <v>1162</v>
      </c>
    </row>
    <row r="1440" spans="1:3" x14ac:dyDescent="0.35">
      <c r="A1440" t="s">
        <v>304</v>
      </c>
      <c r="B1440" t="s">
        <v>1154</v>
      </c>
      <c r="C1440" t="s">
        <v>1163</v>
      </c>
    </row>
    <row r="1441" spans="1:3" x14ac:dyDescent="0.35">
      <c r="A1441" t="s">
        <v>304</v>
      </c>
      <c r="B1441" t="s">
        <v>1154</v>
      </c>
      <c r="C1441" t="s">
        <v>1164</v>
      </c>
    </row>
    <row r="1442" spans="1:3" x14ac:dyDescent="0.35">
      <c r="A1442" t="s">
        <v>304</v>
      </c>
      <c r="B1442" t="s">
        <v>1154</v>
      </c>
      <c r="C1442" t="s">
        <v>1165</v>
      </c>
    </row>
    <row r="1443" spans="1:3" x14ac:dyDescent="0.35">
      <c r="A1443" t="s">
        <v>304</v>
      </c>
      <c r="B1443" t="s">
        <v>1154</v>
      </c>
      <c r="C1443" t="s">
        <v>1166</v>
      </c>
    </row>
    <row r="1444" spans="1:3" x14ac:dyDescent="0.35">
      <c r="A1444" t="s">
        <v>304</v>
      </c>
      <c r="B1444" t="s">
        <v>1154</v>
      </c>
      <c r="C1444" t="s">
        <v>1167</v>
      </c>
    </row>
    <row r="1445" spans="1:3" x14ac:dyDescent="0.35">
      <c r="A1445" t="s">
        <v>304</v>
      </c>
      <c r="B1445" t="s">
        <v>1010</v>
      </c>
      <c r="C1445" t="s">
        <v>1011</v>
      </c>
    </row>
    <row r="1446" spans="1:3" x14ac:dyDescent="0.35">
      <c r="A1446" t="s">
        <v>304</v>
      </c>
      <c r="B1446" t="s">
        <v>1010</v>
      </c>
      <c r="C1446" t="s">
        <v>1706</v>
      </c>
    </row>
    <row r="1447" spans="1:3" x14ac:dyDescent="0.35">
      <c r="A1447" t="s">
        <v>304</v>
      </c>
      <c r="B1447" t="s">
        <v>1010</v>
      </c>
      <c r="C1447" t="s">
        <v>1707</v>
      </c>
    </row>
    <row r="1448" spans="1:3" x14ac:dyDescent="0.35">
      <c r="A1448" t="s">
        <v>304</v>
      </c>
      <c r="B1448" t="s">
        <v>1010</v>
      </c>
      <c r="C1448" t="s">
        <v>1708</v>
      </c>
    </row>
    <row r="1449" spans="1:3" x14ac:dyDescent="0.35">
      <c r="A1449" t="s">
        <v>304</v>
      </c>
      <c r="B1449" t="s">
        <v>1010</v>
      </c>
      <c r="C1449" t="s">
        <v>1709</v>
      </c>
    </row>
    <row r="1450" spans="1:3" x14ac:dyDescent="0.35">
      <c r="A1450" t="s">
        <v>304</v>
      </c>
      <c r="B1450" t="s">
        <v>1010</v>
      </c>
      <c r="C1450" t="s">
        <v>1710</v>
      </c>
    </row>
    <row r="1451" spans="1:3" x14ac:dyDescent="0.35">
      <c r="A1451" t="s">
        <v>304</v>
      </c>
      <c r="B1451" t="s">
        <v>1010</v>
      </c>
      <c r="C1451" t="s">
        <v>1711</v>
      </c>
    </row>
    <row r="1452" spans="1:3" x14ac:dyDescent="0.35">
      <c r="A1452" t="s">
        <v>304</v>
      </c>
      <c r="B1452" t="s">
        <v>425</v>
      </c>
      <c r="C1452" t="s">
        <v>426</v>
      </c>
    </row>
    <row r="1453" spans="1:3" x14ac:dyDescent="0.35">
      <c r="A1453" t="s">
        <v>304</v>
      </c>
      <c r="B1453" t="s">
        <v>425</v>
      </c>
      <c r="C1453" t="s">
        <v>427</v>
      </c>
    </row>
    <row r="1454" spans="1:3" x14ac:dyDescent="0.35">
      <c r="A1454" t="s">
        <v>304</v>
      </c>
      <c r="B1454" t="s">
        <v>428</v>
      </c>
      <c r="C1454" t="s">
        <v>429</v>
      </c>
    </row>
    <row r="1455" spans="1:3" x14ac:dyDescent="0.35">
      <c r="A1455" t="s">
        <v>304</v>
      </c>
      <c r="B1455" t="s">
        <v>428</v>
      </c>
      <c r="C1455" t="s">
        <v>430</v>
      </c>
    </row>
    <row r="1456" spans="1:3" x14ac:dyDescent="0.35">
      <c r="A1456" t="s">
        <v>304</v>
      </c>
      <c r="B1456" t="s">
        <v>431</v>
      </c>
      <c r="C1456" t="s">
        <v>432</v>
      </c>
    </row>
    <row r="1457" spans="1:3" x14ac:dyDescent="0.35">
      <c r="A1457" t="s">
        <v>304</v>
      </c>
      <c r="B1457" t="s">
        <v>431</v>
      </c>
      <c r="C1457" t="s">
        <v>433</v>
      </c>
    </row>
    <row r="1458" spans="1:3" x14ac:dyDescent="0.35">
      <c r="A1458" t="s">
        <v>304</v>
      </c>
      <c r="B1458" t="s">
        <v>434</v>
      </c>
      <c r="C1458" t="s">
        <v>435</v>
      </c>
    </row>
    <row r="1459" spans="1:3" x14ac:dyDescent="0.35">
      <c r="A1459" t="s">
        <v>304</v>
      </c>
      <c r="B1459" t="s">
        <v>434</v>
      </c>
      <c r="C1459" t="s">
        <v>436</v>
      </c>
    </row>
    <row r="1460" spans="1:3" x14ac:dyDescent="0.35">
      <c r="A1460" t="s">
        <v>304</v>
      </c>
      <c r="B1460" t="s">
        <v>437</v>
      </c>
      <c r="C1460" t="s">
        <v>438</v>
      </c>
    </row>
    <row r="1461" spans="1:3" x14ac:dyDescent="0.35">
      <c r="A1461" t="s">
        <v>304</v>
      </c>
      <c r="B1461" t="s">
        <v>437</v>
      </c>
      <c r="C1461" t="s">
        <v>439</v>
      </c>
    </row>
    <row r="1462" spans="1:3" x14ac:dyDescent="0.35">
      <c r="A1462" t="s">
        <v>304</v>
      </c>
      <c r="B1462" t="s">
        <v>437</v>
      </c>
      <c r="C1462" t="s">
        <v>440</v>
      </c>
    </row>
    <row r="1463" spans="1:3" x14ac:dyDescent="0.35">
      <c r="A1463" t="s">
        <v>304</v>
      </c>
      <c r="B1463" t="s">
        <v>437</v>
      </c>
      <c r="C1463" t="s">
        <v>441</v>
      </c>
    </row>
    <row r="1464" spans="1:3" x14ac:dyDescent="0.35">
      <c r="A1464" t="s">
        <v>304</v>
      </c>
      <c r="B1464" t="s">
        <v>437</v>
      </c>
      <c r="C1464" t="s">
        <v>442</v>
      </c>
    </row>
    <row r="1465" spans="1:3" x14ac:dyDescent="0.35">
      <c r="A1465" t="s">
        <v>304</v>
      </c>
      <c r="B1465" t="s">
        <v>437</v>
      </c>
      <c r="C1465" t="s">
        <v>443</v>
      </c>
    </row>
    <row r="1466" spans="1:3" x14ac:dyDescent="0.35">
      <c r="A1466" t="s">
        <v>304</v>
      </c>
      <c r="B1466" t="s">
        <v>437</v>
      </c>
      <c r="C1466" t="s">
        <v>444</v>
      </c>
    </row>
    <row r="1467" spans="1:3" x14ac:dyDescent="0.35">
      <c r="A1467" t="s">
        <v>304</v>
      </c>
      <c r="B1467" t="s">
        <v>445</v>
      </c>
      <c r="C1467" t="s">
        <v>446</v>
      </c>
    </row>
    <row r="1468" spans="1:3" x14ac:dyDescent="0.35">
      <c r="A1468" t="s">
        <v>304</v>
      </c>
      <c r="B1468" t="s">
        <v>445</v>
      </c>
      <c r="C1468" t="s">
        <v>447</v>
      </c>
    </row>
    <row r="1469" spans="1:3" x14ac:dyDescent="0.35">
      <c r="A1469" t="s">
        <v>304</v>
      </c>
      <c r="B1469" t="s">
        <v>1168</v>
      </c>
      <c r="C1469" t="s">
        <v>1169</v>
      </c>
    </row>
    <row r="1470" spans="1:3" x14ac:dyDescent="0.35">
      <c r="A1470" t="s">
        <v>304</v>
      </c>
      <c r="B1470" t="s">
        <v>1168</v>
      </c>
      <c r="C1470" t="s">
        <v>1170</v>
      </c>
    </row>
    <row r="1471" spans="1:3" x14ac:dyDescent="0.35">
      <c r="A1471" t="s">
        <v>304</v>
      </c>
      <c r="B1471" t="s">
        <v>1168</v>
      </c>
      <c r="C1471" t="s">
        <v>1171</v>
      </c>
    </row>
    <row r="1472" spans="1:3" x14ac:dyDescent="0.35">
      <c r="A1472" t="s">
        <v>304</v>
      </c>
      <c r="B1472" t="s">
        <v>723</v>
      </c>
      <c r="C1472" t="s">
        <v>724</v>
      </c>
    </row>
    <row r="1473" spans="1:3" x14ac:dyDescent="0.35">
      <c r="A1473" t="s">
        <v>304</v>
      </c>
      <c r="B1473" t="s">
        <v>723</v>
      </c>
      <c r="C1473" t="s">
        <v>725</v>
      </c>
    </row>
    <row r="1474" spans="1:3" x14ac:dyDescent="0.35">
      <c r="A1474" t="s">
        <v>304</v>
      </c>
      <c r="B1474" t="s">
        <v>2072</v>
      </c>
      <c r="C1474" t="s">
        <v>2073</v>
      </c>
    </row>
    <row r="1475" spans="1:3" x14ac:dyDescent="0.35">
      <c r="A1475" t="s">
        <v>304</v>
      </c>
      <c r="B1475" t="s">
        <v>2072</v>
      </c>
      <c r="C1475" t="s">
        <v>2074</v>
      </c>
    </row>
    <row r="1476" spans="1:3" x14ac:dyDescent="0.35">
      <c r="A1476" t="s">
        <v>304</v>
      </c>
      <c r="B1476" t="s">
        <v>814</v>
      </c>
      <c r="C1476" t="s">
        <v>815</v>
      </c>
    </row>
    <row r="1477" spans="1:3" x14ac:dyDescent="0.35">
      <c r="A1477" t="s">
        <v>304</v>
      </c>
      <c r="B1477" t="s">
        <v>814</v>
      </c>
      <c r="C1477" t="s">
        <v>816</v>
      </c>
    </row>
    <row r="1478" spans="1:3" x14ac:dyDescent="0.35">
      <c r="A1478" t="s">
        <v>304</v>
      </c>
      <c r="B1478" t="s">
        <v>1172</v>
      </c>
      <c r="C1478" t="s">
        <v>1173</v>
      </c>
    </row>
    <row r="1479" spans="1:3" x14ac:dyDescent="0.35">
      <c r="A1479" t="s">
        <v>304</v>
      </c>
      <c r="B1479" t="s">
        <v>1172</v>
      </c>
      <c r="C1479" t="s">
        <v>1174</v>
      </c>
    </row>
    <row r="1480" spans="1:3" x14ac:dyDescent="0.35">
      <c r="A1480" t="s">
        <v>304</v>
      </c>
      <c r="B1480" t="s">
        <v>1175</v>
      </c>
      <c r="C1480" t="s">
        <v>1176</v>
      </c>
    </row>
    <row r="1481" spans="1:3" x14ac:dyDescent="0.35">
      <c r="A1481" t="s">
        <v>304</v>
      </c>
      <c r="B1481" t="s">
        <v>1175</v>
      </c>
      <c r="C1481" t="s">
        <v>1177</v>
      </c>
    </row>
    <row r="1482" spans="1:3" x14ac:dyDescent="0.35">
      <c r="A1482" t="s">
        <v>304</v>
      </c>
      <c r="B1482" t="s">
        <v>448</v>
      </c>
      <c r="C1482" t="s">
        <v>449</v>
      </c>
    </row>
    <row r="1483" spans="1:3" x14ac:dyDescent="0.35">
      <c r="A1483" t="s">
        <v>304</v>
      </c>
      <c r="B1483" t="s">
        <v>448</v>
      </c>
      <c r="C1483" t="s">
        <v>450</v>
      </c>
    </row>
    <row r="1484" spans="1:3" x14ac:dyDescent="0.35">
      <c r="A1484" t="s">
        <v>304</v>
      </c>
      <c r="B1484" t="s">
        <v>448</v>
      </c>
      <c r="C1484" t="s">
        <v>451</v>
      </c>
    </row>
    <row r="1485" spans="1:3" x14ac:dyDescent="0.35">
      <c r="A1485" t="s">
        <v>304</v>
      </c>
      <c r="B1485" t="s">
        <v>962</v>
      </c>
      <c r="C1485" t="s">
        <v>963</v>
      </c>
    </row>
    <row r="1486" spans="1:3" x14ac:dyDescent="0.35">
      <c r="A1486" t="s">
        <v>304</v>
      </c>
      <c r="B1486" t="s">
        <v>962</v>
      </c>
      <c r="C1486" t="s">
        <v>964</v>
      </c>
    </row>
    <row r="1487" spans="1:3" x14ac:dyDescent="0.35">
      <c r="A1487" t="s">
        <v>304</v>
      </c>
      <c r="B1487" t="s">
        <v>962</v>
      </c>
      <c r="C1487" t="s">
        <v>965</v>
      </c>
    </row>
    <row r="1488" spans="1:3" x14ac:dyDescent="0.35">
      <c r="A1488" t="s">
        <v>304</v>
      </c>
      <c r="B1488" t="s">
        <v>452</v>
      </c>
      <c r="C1488" t="s">
        <v>453</v>
      </c>
    </row>
    <row r="1489" spans="1:3" x14ac:dyDescent="0.35">
      <c r="A1489" t="s">
        <v>304</v>
      </c>
      <c r="B1489" t="s">
        <v>452</v>
      </c>
      <c r="C1489" t="s">
        <v>454</v>
      </c>
    </row>
    <row r="1490" spans="1:3" x14ac:dyDescent="0.35">
      <c r="A1490" t="s">
        <v>304</v>
      </c>
      <c r="B1490" t="s">
        <v>455</v>
      </c>
      <c r="C1490" t="s">
        <v>456</v>
      </c>
    </row>
    <row r="1491" spans="1:3" x14ac:dyDescent="0.35">
      <c r="A1491" t="s">
        <v>304</v>
      </c>
      <c r="B1491" t="s">
        <v>455</v>
      </c>
      <c r="C1491" t="s">
        <v>457</v>
      </c>
    </row>
    <row r="1492" spans="1:3" x14ac:dyDescent="0.35">
      <c r="A1492" t="s">
        <v>304</v>
      </c>
      <c r="B1492" t="s">
        <v>458</v>
      </c>
      <c r="C1492" t="s">
        <v>459</v>
      </c>
    </row>
    <row r="1493" spans="1:3" x14ac:dyDescent="0.35">
      <c r="A1493" t="s">
        <v>304</v>
      </c>
      <c r="B1493" t="s">
        <v>458</v>
      </c>
      <c r="C1493" t="s">
        <v>460</v>
      </c>
    </row>
    <row r="1494" spans="1:3" x14ac:dyDescent="0.35">
      <c r="A1494" t="s">
        <v>304</v>
      </c>
      <c r="B1494" t="s">
        <v>461</v>
      </c>
      <c r="C1494" t="s">
        <v>462</v>
      </c>
    </row>
    <row r="1495" spans="1:3" x14ac:dyDescent="0.35">
      <c r="A1495" t="s">
        <v>304</v>
      </c>
      <c r="B1495" t="s">
        <v>461</v>
      </c>
      <c r="C1495" t="s">
        <v>463</v>
      </c>
    </row>
    <row r="1496" spans="1:3" x14ac:dyDescent="0.35">
      <c r="A1496" t="s">
        <v>304</v>
      </c>
      <c r="B1496" t="s">
        <v>461</v>
      </c>
      <c r="C1496" t="s">
        <v>464</v>
      </c>
    </row>
    <row r="1497" spans="1:3" x14ac:dyDescent="0.35">
      <c r="A1497" t="s">
        <v>304</v>
      </c>
      <c r="B1497" t="s">
        <v>461</v>
      </c>
      <c r="C1497" t="s">
        <v>465</v>
      </c>
    </row>
    <row r="1498" spans="1:3" x14ac:dyDescent="0.35">
      <c r="A1498" t="s">
        <v>304</v>
      </c>
      <c r="B1498" t="s">
        <v>461</v>
      </c>
      <c r="C1498" t="s">
        <v>466</v>
      </c>
    </row>
    <row r="1499" spans="1:3" x14ac:dyDescent="0.35">
      <c r="A1499" t="s">
        <v>304</v>
      </c>
      <c r="B1499" t="s">
        <v>461</v>
      </c>
      <c r="C1499" t="s">
        <v>467</v>
      </c>
    </row>
    <row r="1500" spans="1:3" x14ac:dyDescent="0.35">
      <c r="A1500" t="s">
        <v>304</v>
      </c>
      <c r="B1500" t="s">
        <v>461</v>
      </c>
      <c r="C1500" t="s">
        <v>468</v>
      </c>
    </row>
    <row r="1501" spans="1:3" x14ac:dyDescent="0.35">
      <c r="A1501" t="s">
        <v>304</v>
      </c>
      <c r="B1501" t="s">
        <v>461</v>
      </c>
      <c r="C1501" t="s">
        <v>469</v>
      </c>
    </row>
    <row r="1502" spans="1:3" x14ac:dyDescent="0.35">
      <c r="A1502" t="s">
        <v>304</v>
      </c>
      <c r="B1502" t="s">
        <v>461</v>
      </c>
      <c r="C1502" t="s">
        <v>470</v>
      </c>
    </row>
    <row r="1503" spans="1:3" x14ac:dyDescent="0.35">
      <c r="A1503" t="s">
        <v>304</v>
      </c>
      <c r="B1503" t="s">
        <v>461</v>
      </c>
      <c r="C1503" t="s">
        <v>471</v>
      </c>
    </row>
    <row r="1504" spans="1:3" x14ac:dyDescent="0.35">
      <c r="A1504" t="s">
        <v>304</v>
      </c>
      <c r="B1504" t="s">
        <v>461</v>
      </c>
      <c r="C1504" t="s">
        <v>472</v>
      </c>
    </row>
    <row r="1505" spans="1:3" x14ac:dyDescent="0.35">
      <c r="A1505" t="s">
        <v>304</v>
      </c>
      <c r="B1505" t="s">
        <v>461</v>
      </c>
      <c r="C1505" t="s">
        <v>473</v>
      </c>
    </row>
    <row r="1506" spans="1:3" x14ac:dyDescent="0.35">
      <c r="A1506" t="s">
        <v>304</v>
      </c>
      <c r="B1506" t="s">
        <v>461</v>
      </c>
      <c r="C1506" t="s">
        <v>474</v>
      </c>
    </row>
    <row r="1507" spans="1:3" x14ac:dyDescent="0.35">
      <c r="A1507" t="s">
        <v>304</v>
      </c>
      <c r="B1507" t="s">
        <v>461</v>
      </c>
      <c r="C1507" t="s">
        <v>475</v>
      </c>
    </row>
    <row r="1508" spans="1:3" x14ac:dyDescent="0.35">
      <c r="A1508" t="s">
        <v>304</v>
      </c>
      <c r="B1508" t="s">
        <v>461</v>
      </c>
      <c r="C1508" t="s">
        <v>476</v>
      </c>
    </row>
    <row r="1509" spans="1:3" x14ac:dyDescent="0.35">
      <c r="A1509" t="s">
        <v>304</v>
      </c>
      <c r="B1509" t="s">
        <v>461</v>
      </c>
      <c r="C1509" t="s">
        <v>477</v>
      </c>
    </row>
    <row r="1510" spans="1:3" x14ac:dyDescent="0.35">
      <c r="A1510" t="s">
        <v>304</v>
      </c>
      <c r="B1510" t="s">
        <v>461</v>
      </c>
      <c r="C1510" t="s">
        <v>478</v>
      </c>
    </row>
    <row r="1511" spans="1:3" x14ac:dyDescent="0.35">
      <c r="A1511" t="s">
        <v>304</v>
      </c>
      <c r="B1511" t="s">
        <v>461</v>
      </c>
      <c r="C1511" t="s">
        <v>479</v>
      </c>
    </row>
    <row r="1512" spans="1:3" x14ac:dyDescent="0.35">
      <c r="A1512" t="s">
        <v>304</v>
      </c>
      <c r="B1512" t="s">
        <v>461</v>
      </c>
      <c r="C1512" t="s">
        <v>480</v>
      </c>
    </row>
    <row r="1513" spans="1:3" x14ac:dyDescent="0.35">
      <c r="A1513" t="s">
        <v>304</v>
      </c>
      <c r="B1513" t="s">
        <v>461</v>
      </c>
      <c r="C1513" t="s">
        <v>481</v>
      </c>
    </row>
    <row r="1514" spans="1:3" x14ac:dyDescent="0.35">
      <c r="A1514" t="s">
        <v>304</v>
      </c>
      <c r="B1514" t="s">
        <v>461</v>
      </c>
      <c r="C1514" t="s">
        <v>482</v>
      </c>
    </row>
    <row r="1515" spans="1:3" x14ac:dyDescent="0.35">
      <c r="A1515" t="s">
        <v>304</v>
      </c>
      <c r="B1515" t="s">
        <v>461</v>
      </c>
      <c r="C1515" t="s">
        <v>483</v>
      </c>
    </row>
    <row r="1516" spans="1:3" x14ac:dyDescent="0.35">
      <c r="A1516" t="s">
        <v>304</v>
      </c>
      <c r="B1516" t="s">
        <v>461</v>
      </c>
      <c r="C1516" t="s">
        <v>484</v>
      </c>
    </row>
    <row r="1517" spans="1:3" x14ac:dyDescent="0.35">
      <c r="A1517" t="s">
        <v>304</v>
      </c>
      <c r="B1517" t="s">
        <v>461</v>
      </c>
      <c r="C1517" t="s">
        <v>485</v>
      </c>
    </row>
    <row r="1518" spans="1:3" x14ac:dyDescent="0.35">
      <c r="A1518" t="s">
        <v>304</v>
      </c>
      <c r="B1518" t="s">
        <v>461</v>
      </c>
      <c r="C1518" t="s">
        <v>486</v>
      </c>
    </row>
    <row r="1519" spans="1:3" x14ac:dyDescent="0.35">
      <c r="A1519" t="s">
        <v>304</v>
      </c>
      <c r="B1519" t="s">
        <v>461</v>
      </c>
      <c r="C1519" t="s">
        <v>487</v>
      </c>
    </row>
    <row r="1520" spans="1:3" x14ac:dyDescent="0.35">
      <c r="A1520" t="s">
        <v>304</v>
      </c>
      <c r="B1520" t="s">
        <v>461</v>
      </c>
      <c r="C1520" t="s">
        <v>488</v>
      </c>
    </row>
    <row r="1521" spans="1:3" x14ac:dyDescent="0.35">
      <c r="A1521" t="s">
        <v>304</v>
      </c>
      <c r="B1521" t="s">
        <v>461</v>
      </c>
      <c r="C1521" t="s">
        <v>489</v>
      </c>
    </row>
    <row r="1522" spans="1:3" x14ac:dyDescent="0.35">
      <c r="A1522" t="s">
        <v>304</v>
      </c>
      <c r="B1522" t="s">
        <v>461</v>
      </c>
      <c r="C1522" t="s">
        <v>490</v>
      </c>
    </row>
    <row r="1523" spans="1:3" x14ac:dyDescent="0.35">
      <c r="A1523" t="s">
        <v>304</v>
      </c>
      <c r="B1523" t="s">
        <v>461</v>
      </c>
      <c r="C1523" t="s">
        <v>491</v>
      </c>
    </row>
    <row r="1524" spans="1:3" x14ac:dyDescent="0.35">
      <c r="A1524" t="s">
        <v>304</v>
      </c>
      <c r="B1524" t="s">
        <v>461</v>
      </c>
      <c r="C1524" t="s">
        <v>492</v>
      </c>
    </row>
    <row r="1525" spans="1:3" x14ac:dyDescent="0.35">
      <c r="A1525" t="s">
        <v>304</v>
      </c>
      <c r="B1525" t="s">
        <v>461</v>
      </c>
      <c r="C1525" t="s">
        <v>493</v>
      </c>
    </row>
    <row r="1526" spans="1:3" x14ac:dyDescent="0.35">
      <c r="A1526" t="s">
        <v>304</v>
      </c>
      <c r="B1526" t="s">
        <v>461</v>
      </c>
      <c r="C1526" t="s">
        <v>494</v>
      </c>
    </row>
    <row r="1527" spans="1:3" x14ac:dyDescent="0.35">
      <c r="A1527" t="s">
        <v>304</v>
      </c>
      <c r="B1527" t="s">
        <v>461</v>
      </c>
      <c r="C1527" t="s">
        <v>495</v>
      </c>
    </row>
    <row r="1528" spans="1:3" x14ac:dyDescent="0.35">
      <c r="A1528" t="s">
        <v>304</v>
      </c>
      <c r="B1528" t="s">
        <v>461</v>
      </c>
      <c r="C1528" t="s">
        <v>496</v>
      </c>
    </row>
    <row r="1529" spans="1:3" x14ac:dyDescent="0.35">
      <c r="A1529" t="s">
        <v>304</v>
      </c>
      <c r="B1529" t="s">
        <v>461</v>
      </c>
      <c r="C1529" t="s">
        <v>497</v>
      </c>
    </row>
    <row r="1530" spans="1:3" x14ac:dyDescent="0.35">
      <c r="A1530" t="s">
        <v>304</v>
      </c>
      <c r="B1530" t="s">
        <v>461</v>
      </c>
      <c r="C1530" t="s">
        <v>498</v>
      </c>
    </row>
    <row r="1531" spans="1:3" x14ac:dyDescent="0.35">
      <c r="A1531" t="s">
        <v>304</v>
      </c>
      <c r="B1531" t="s">
        <v>461</v>
      </c>
      <c r="C1531" t="s">
        <v>499</v>
      </c>
    </row>
    <row r="1532" spans="1:3" x14ac:dyDescent="0.35">
      <c r="A1532" t="s">
        <v>304</v>
      </c>
      <c r="B1532" t="s">
        <v>461</v>
      </c>
      <c r="C1532" t="s">
        <v>500</v>
      </c>
    </row>
    <row r="1533" spans="1:3" x14ac:dyDescent="0.35">
      <c r="A1533" t="s">
        <v>304</v>
      </c>
      <c r="B1533" t="s">
        <v>461</v>
      </c>
      <c r="C1533" t="s">
        <v>501</v>
      </c>
    </row>
    <row r="1534" spans="1:3" x14ac:dyDescent="0.35">
      <c r="A1534" t="s">
        <v>304</v>
      </c>
      <c r="B1534" t="s">
        <v>461</v>
      </c>
      <c r="C1534" t="s">
        <v>502</v>
      </c>
    </row>
    <row r="1535" spans="1:3" x14ac:dyDescent="0.35">
      <c r="A1535" t="s">
        <v>304</v>
      </c>
      <c r="B1535" t="s">
        <v>461</v>
      </c>
      <c r="C1535" t="s">
        <v>503</v>
      </c>
    </row>
    <row r="1536" spans="1:3" x14ac:dyDescent="0.35">
      <c r="A1536" t="s">
        <v>304</v>
      </c>
      <c r="B1536" t="s">
        <v>461</v>
      </c>
      <c r="C1536" t="s">
        <v>504</v>
      </c>
    </row>
    <row r="1537" spans="1:3" x14ac:dyDescent="0.35">
      <c r="A1537" t="s">
        <v>304</v>
      </c>
      <c r="B1537" t="s">
        <v>461</v>
      </c>
      <c r="C1537" t="s">
        <v>505</v>
      </c>
    </row>
    <row r="1538" spans="1:3" x14ac:dyDescent="0.35">
      <c r="A1538" t="s">
        <v>304</v>
      </c>
      <c r="B1538" t="s">
        <v>461</v>
      </c>
      <c r="C1538" t="s">
        <v>506</v>
      </c>
    </row>
    <row r="1539" spans="1:3" x14ac:dyDescent="0.35">
      <c r="A1539" t="s">
        <v>304</v>
      </c>
      <c r="B1539" t="s">
        <v>461</v>
      </c>
      <c r="C1539" t="s">
        <v>507</v>
      </c>
    </row>
    <row r="1540" spans="1:3" x14ac:dyDescent="0.35">
      <c r="A1540" t="s">
        <v>304</v>
      </c>
      <c r="B1540" t="s">
        <v>461</v>
      </c>
      <c r="C1540" t="s">
        <v>508</v>
      </c>
    </row>
    <row r="1541" spans="1:3" x14ac:dyDescent="0.35">
      <c r="A1541" t="s">
        <v>304</v>
      </c>
      <c r="B1541" t="s">
        <v>461</v>
      </c>
      <c r="C1541" t="s">
        <v>509</v>
      </c>
    </row>
    <row r="1542" spans="1:3" x14ac:dyDescent="0.35">
      <c r="A1542" t="s">
        <v>304</v>
      </c>
      <c r="B1542" t="s">
        <v>461</v>
      </c>
      <c r="C1542" t="s">
        <v>510</v>
      </c>
    </row>
    <row r="1543" spans="1:3" x14ac:dyDescent="0.35">
      <c r="A1543" t="s">
        <v>304</v>
      </c>
      <c r="B1543" t="s">
        <v>461</v>
      </c>
      <c r="C1543" t="s">
        <v>511</v>
      </c>
    </row>
    <row r="1544" spans="1:3" x14ac:dyDescent="0.35">
      <c r="A1544" t="s">
        <v>304</v>
      </c>
      <c r="B1544" t="s">
        <v>461</v>
      </c>
      <c r="C1544" t="s">
        <v>512</v>
      </c>
    </row>
    <row r="1545" spans="1:3" x14ac:dyDescent="0.35">
      <c r="A1545" t="s">
        <v>304</v>
      </c>
      <c r="B1545" t="s">
        <v>461</v>
      </c>
      <c r="C1545" t="s">
        <v>513</v>
      </c>
    </row>
    <row r="1546" spans="1:3" x14ac:dyDescent="0.35">
      <c r="A1546" t="s">
        <v>304</v>
      </c>
      <c r="B1546" t="s">
        <v>461</v>
      </c>
      <c r="C1546" t="s">
        <v>514</v>
      </c>
    </row>
    <row r="1547" spans="1:3" x14ac:dyDescent="0.35">
      <c r="A1547" t="s">
        <v>304</v>
      </c>
      <c r="B1547" t="s">
        <v>461</v>
      </c>
      <c r="C1547" t="s">
        <v>515</v>
      </c>
    </row>
    <row r="1548" spans="1:3" x14ac:dyDescent="0.35">
      <c r="A1548" t="s">
        <v>304</v>
      </c>
      <c r="B1548" t="s">
        <v>461</v>
      </c>
      <c r="C1548" t="s">
        <v>516</v>
      </c>
    </row>
    <row r="1549" spans="1:3" x14ac:dyDescent="0.35">
      <c r="A1549" t="s">
        <v>304</v>
      </c>
      <c r="B1549" t="s">
        <v>461</v>
      </c>
      <c r="C1549" t="s">
        <v>517</v>
      </c>
    </row>
    <row r="1550" spans="1:3" x14ac:dyDescent="0.35">
      <c r="A1550" t="s">
        <v>304</v>
      </c>
      <c r="B1550" t="s">
        <v>461</v>
      </c>
      <c r="C1550" t="s">
        <v>518</v>
      </c>
    </row>
    <row r="1551" spans="1:3" x14ac:dyDescent="0.35">
      <c r="A1551" t="s">
        <v>304</v>
      </c>
      <c r="B1551" t="s">
        <v>461</v>
      </c>
      <c r="C1551" t="s">
        <v>519</v>
      </c>
    </row>
    <row r="1552" spans="1:3" x14ac:dyDescent="0.35">
      <c r="A1552" t="s">
        <v>304</v>
      </c>
      <c r="B1552" t="s">
        <v>461</v>
      </c>
      <c r="C1552" t="s">
        <v>520</v>
      </c>
    </row>
    <row r="1553" spans="1:3" x14ac:dyDescent="0.35">
      <c r="A1553" t="s">
        <v>304</v>
      </c>
      <c r="B1553" t="s">
        <v>461</v>
      </c>
      <c r="C1553" t="s">
        <v>521</v>
      </c>
    </row>
    <row r="1554" spans="1:3" x14ac:dyDescent="0.35">
      <c r="A1554" t="s">
        <v>304</v>
      </c>
      <c r="B1554" t="s">
        <v>461</v>
      </c>
      <c r="C1554" t="s">
        <v>522</v>
      </c>
    </row>
    <row r="1555" spans="1:3" x14ac:dyDescent="0.35">
      <c r="A1555" t="s">
        <v>304</v>
      </c>
      <c r="B1555" t="s">
        <v>461</v>
      </c>
      <c r="C1555" t="s">
        <v>523</v>
      </c>
    </row>
    <row r="1556" spans="1:3" x14ac:dyDescent="0.35">
      <c r="A1556" t="s">
        <v>304</v>
      </c>
      <c r="B1556" t="s">
        <v>461</v>
      </c>
      <c r="C1556" t="s">
        <v>524</v>
      </c>
    </row>
    <row r="1557" spans="1:3" x14ac:dyDescent="0.35">
      <c r="A1557" t="s">
        <v>304</v>
      </c>
      <c r="B1557" t="s">
        <v>461</v>
      </c>
      <c r="C1557" t="s">
        <v>525</v>
      </c>
    </row>
    <row r="1558" spans="1:3" x14ac:dyDescent="0.35">
      <c r="A1558" t="s">
        <v>304</v>
      </c>
      <c r="B1558" t="s">
        <v>461</v>
      </c>
      <c r="C1558" t="s">
        <v>526</v>
      </c>
    </row>
    <row r="1559" spans="1:3" x14ac:dyDescent="0.35">
      <c r="A1559" t="s">
        <v>304</v>
      </c>
      <c r="B1559" t="s">
        <v>461</v>
      </c>
      <c r="C1559" t="s">
        <v>527</v>
      </c>
    </row>
    <row r="1560" spans="1:3" x14ac:dyDescent="0.35">
      <c r="A1560" t="s">
        <v>304</v>
      </c>
      <c r="B1560" t="s">
        <v>461</v>
      </c>
      <c r="C1560" t="s">
        <v>528</v>
      </c>
    </row>
    <row r="1561" spans="1:3" x14ac:dyDescent="0.35">
      <c r="A1561" t="s">
        <v>304</v>
      </c>
      <c r="B1561" t="s">
        <v>461</v>
      </c>
      <c r="C1561" t="s">
        <v>529</v>
      </c>
    </row>
    <row r="1562" spans="1:3" x14ac:dyDescent="0.35">
      <c r="A1562" t="s">
        <v>304</v>
      </c>
      <c r="B1562" t="s">
        <v>461</v>
      </c>
      <c r="C1562" t="s">
        <v>530</v>
      </c>
    </row>
    <row r="1563" spans="1:3" x14ac:dyDescent="0.35">
      <c r="A1563" t="s">
        <v>304</v>
      </c>
      <c r="B1563" t="s">
        <v>461</v>
      </c>
      <c r="C1563" t="s">
        <v>531</v>
      </c>
    </row>
    <row r="1564" spans="1:3" x14ac:dyDescent="0.35">
      <c r="A1564" t="s">
        <v>304</v>
      </c>
      <c r="B1564" t="s">
        <v>461</v>
      </c>
      <c r="C1564" t="s">
        <v>532</v>
      </c>
    </row>
    <row r="1565" spans="1:3" x14ac:dyDescent="0.35">
      <c r="A1565" t="s">
        <v>304</v>
      </c>
      <c r="B1565" t="s">
        <v>461</v>
      </c>
      <c r="C1565" t="s">
        <v>533</v>
      </c>
    </row>
    <row r="1566" spans="1:3" x14ac:dyDescent="0.35">
      <c r="A1566" t="s">
        <v>304</v>
      </c>
      <c r="B1566" t="s">
        <v>461</v>
      </c>
      <c r="C1566" t="s">
        <v>534</v>
      </c>
    </row>
    <row r="1567" spans="1:3" x14ac:dyDescent="0.35">
      <c r="A1567" t="s">
        <v>304</v>
      </c>
      <c r="B1567" t="s">
        <v>2075</v>
      </c>
      <c r="C1567" t="s">
        <v>2076</v>
      </c>
    </row>
    <row r="1568" spans="1:3" x14ac:dyDescent="0.35">
      <c r="A1568" t="s">
        <v>304</v>
      </c>
      <c r="B1568" t="s">
        <v>2075</v>
      </c>
      <c r="C1568" t="s">
        <v>2077</v>
      </c>
    </row>
    <row r="1569" spans="1:3" x14ac:dyDescent="0.35">
      <c r="A1569" t="s">
        <v>304</v>
      </c>
      <c r="B1569" t="s">
        <v>2075</v>
      </c>
      <c r="C1569" t="s">
        <v>2078</v>
      </c>
    </row>
    <row r="1570" spans="1:3" x14ac:dyDescent="0.35">
      <c r="A1570" t="s">
        <v>304</v>
      </c>
      <c r="B1570" t="s">
        <v>2075</v>
      </c>
      <c r="C1570" t="s">
        <v>2079</v>
      </c>
    </row>
    <row r="1571" spans="1:3" x14ac:dyDescent="0.35">
      <c r="A1571" t="s">
        <v>304</v>
      </c>
      <c r="B1571" t="s">
        <v>2075</v>
      </c>
      <c r="C1571" t="s">
        <v>2080</v>
      </c>
    </row>
    <row r="1572" spans="1:3" x14ac:dyDescent="0.35">
      <c r="A1572" t="s">
        <v>304</v>
      </c>
      <c r="B1572" t="s">
        <v>2075</v>
      </c>
      <c r="C1572" t="s">
        <v>2081</v>
      </c>
    </row>
    <row r="1573" spans="1:3" x14ac:dyDescent="0.35">
      <c r="A1573" t="s">
        <v>304</v>
      </c>
      <c r="B1573" t="s">
        <v>2075</v>
      </c>
      <c r="C1573" t="s">
        <v>2082</v>
      </c>
    </row>
    <row r="1574" spans="1:3" x14ac:dyDescent="0.35">
      <c r="A1574" t="s">
        <v>304</v>
      </c>
      <c r="B1574" t="s">
        <v>2075</v>
      </c>
      <c r="C1574" t="s">
        <v>2083</v>
      </c>
    </row>
    <row r="1575" spans="1:3" x14ac:dyDescent="0.35">
      <c r="A1575" t="s">
        <v>304</v>
      </c>
      <c r="B1575" t="s">
        <v>2075</v>
      </c>
      <c r="C1575" t="s">
        <v>2084</v>
      </c>
    </row>
    <row r="1576" spans="1:3" x14ac:dyDescent="0.35">
      <c r="A1576" t="s">
        <v>304</v>
      </c>
      <c r="B1576" t="s">
        <v>2075</v>
      </c>
      <c r="C1576" t="s">
        <v>2085</v>
      </c>
    </row>
    <row r="1577" spans="1:3" x14ac:dyDescent="0.35">
      <c r="A1577" t="s">
        <v>304</v>
      </c>
      <c r="B1577" t="s">
        <v>2075</v>
      </c>
      <c r="C1577" t="s">
        <v>2086</v>
      </c>
    </row>
    <row r="1578" spans="1:3" x14ac:dyDescent="0.35">
      <c r="A1578" t="s">
        <v>304</v>
      </c>
      <c r="B1578" t="s">
        <v>2075</v>
      </c>
      <c r="C1578" t="s">
        <v>2087</v>
      </c>
    </row>
    <row r="1579" spans="1:3" x14ac:dyDescent="0.35">
      <c r="A1579" t="s">
        <v>304</v>
      </c>
      <c r="B1579" t="s">
        <v>2075</v>
      </c>
      <c r="C1579" t="s">
        <v>2088</v>
      </c>
    </row>
    <row r="1580" spans="1:3" x14ac:dyDescent="0.35">
      <c r="A1580" t="s">
        <v>304</v>
      </c>
      <c r="B1580" t="s">
        <v>2075</v>
      </c>
      <c r="C1580" t="s">
        <v>2089</v>
      </c>
    </row>
    <row r="1581" spans="1:3" x14ac:dyDescent="0.35">
      <c r="A1581" t="s">
        <v>304</v>
      </c>
      <c r="B1581" t="s">
        <v>2075</v>
      </c>
      <c r="C1581" t="s">
        <v>2090</v>
      </c>
    </row>
    <row r="1582" spans="1:3" x14ac:dyDescent="0.35">
      <c r="A1582" t="s">
        <v>304</v>
      </c>
      <c r="B1582" t="s">
        <v>2075</v>
      </c>
      <c r="C1582" t="s">
        <v>2091</v>
      </c>
    </row>
    <row r="1583" spans="1:3" x14ac:dyDescent="0.35">
      <c r="A1583" t="s">
        <v>304</v>
      </c>
      <c r="B1583" t="s">
        <v>2075</v>
      </c>
      <c r="C1583" t="s">
        <v>2092</v>
      </c>
    </row>
    <row r="1584" spans="1:3" x14ac:dyDescent="0.35">
      <c r="A1584" t="s">
        <v>304</v>
      </c>
      <c r="B1584" t="s">
        <v>2075</v>
      </c>
      <c r="C1584" t="s">
        <v>2093</v>
      </c>
    </row>
    <row r="1585" spans="1:3" x14ac:dyDescent="0.35">
      <c r="A1585" t="s">
        <v>304</v>
      </c>
      <c r="B1585" t="s">
        <v>2075</v>
      </c>
      <c r="C1585" t="s">
        <v>2094</v>
      </c>
    </row>
    <row r="1586" spans="1:3" x14ac:dyDescent="0.35">
      <c r="A1586" t="s">
        <v>304</v>
      </c>
      <c r="B1586" t="s">
        <v>2075</v>
      </c>
      <c r="C1586" t="s">
        <v>2095</v>
      </c>
    </row>
    <row r="1587" spans="1:3" x14ac:dyDescent="0.35">
      <c r="A1587" t="s">
        <v>304</v>
      </c>
      <c r="B1587" t="s">
        <v>2075</v>
      </c>
      <c r="C1587" t="s">
        <v>2096</v>
      </c>
    </row>
    <row r="1588" spans="1:3" x14ac:dyDescent="0.35">
      <c r="A1588" t="s">
        <v>304</v>
      </c>
      <c r="B1588" t="s">
        <v>2075</v>
      </c>
      <c r="C1588" t="s">
        <v>2097</v>
      </c>
    </row>
    <row r="1589" spans="1:3" x14ac:dyDescent="0.35">
      <c r="A1589" t="s">
        <v>304</v>
      </c>
      <c r="B1589" t="s">
        <v>2075</v>
      </c>
      <c r="C1589" t="s">
        <v>2098</v>
      </c>
    </row>
    <row r="1590" spans="1:3" x14ac:dyDescent="0.35">
      <c r="A1590" t="s">
        <v>304</v>
      </c>
      <c r="B1590" t="s">
        <v>2075</v>
      </c>
      <c r="C1590" t="s">
        <v>2099</v>
      </c>
    </row>
    <row r="1591" spans="1:3" x14ac:dyDescent="0.35">
      <c r="A1591" t="s">
        <v>304</v>
      </c>
      <c r="B1591" t="s">
        <v>2075</v>
      </c>
      <c r="C1591" t="s">
        <v>2100</v>
      </c>
    </row>
    <row r="1592" spans="1:3" x14ac:dyDescent="0.35">
      <c r="A1592" t="s">
        <v>304</v>
      </c>
      <c r="B1592" t="s">
        <v>2075</v>
      </c>
      <c r="C1592" t="s">
        <v>2101</v>
      </c>
    </row>
    <row r="1593" spans="1:3" x14ac:dyDescent="0.35">
      <c r="A1593" t="s">
        <v>304</v>
      </c>
      <c r="B1593" t="s">
        <v>2075</v>
      </c>
      <c r="C1593" t="s">
        <v>2102</v>
      </c>
    </row>
    <row r="1594" spans="1:3" x14ac:dyDescent="0.35">
      <c r="A1594" t="s">
        <v>304</v>
      </c>
      <c r="B1594" t="s">
        <v>2075</v>
      </c>
      <c r="C1594" t="s">
        <v>2103</v>
      </c>
    </row>
    <row r="1595" spans="1:3" x14ac:dyDescent="0.35">
      <c r="A1595" t="s">
        <v>304</v>
      </c>
      <c r="B1595" t="s">
        <v>2075</v>
      </c>
      <c r="C1595" t="s">
        <v>2104</v>
      </c>
    </row>
    <row r="1596" spans="1:3" x14ac:dyDescent="0.35">
      <c r="A1596" t="s">
        <v>304</v>
      </c>
      <c r="B1596" t="s">
        <v>2075</v>
      </c>
      <c r="C1596" t="s">
        <v>2105</v>
      </c>
    </row>
    <row r="1597" spans="1:3" x14ac:dyDescent="0.35">
      <c r="A1597" t="s">
        <v>304</v>
      </c>
      <c r="B1597" t="s">
        <v>2075</v>
      </c>
      <c r="C1597" t="s">
        <v>2106</v>
      </c>
    </row>
    <row r="1598" spans="1:3" x14ac:dyDescent="0.35">
      <c r="A1598" t="s">
        <v>304</v>
      </c>
      <c r="B1598" t="s">
        <v>2075</v>
      </c>
      <c r="C1598" t="s">
        <v>2107</v>
      </c>
    </row>
    <row r="1599" spans="1:3" x14ac:dyDescent="0.35">
      <c r="A1599" t="s">
        <v>304</v>
      </c>
      <c r="B1599" t="s">
        <v>2075</v>
      </c>
      <c r="C1599" t="s">
        <v>2108</v>
      </c>
    </row>
    <row r="1600" spans="1:3" x14ac:dyDescent="0.35">
      <c r="A1600" t="s">
        <v>304</v>
      </c>
      <c r="B1600" t="s">
        <v>2075</v>
      </c>
      <c r="C1600" t="s">
        <v>2109</v>
      </c>
    </row>
    <row r="1601" spans="1:3" x14ac:dyDescent="0.35">
      <c r="A1601" t="s">
        <v>304</v>
      </c>
      <c r="B1601" t="s">
        <v>2075</v>
      </c>
      <c r="C1601" t="s">
        <v>2110</v>
      </c>
    </row>
    <row r="1602" spans="1:3" x14ac:dyDescent="0.35">
      <c r="A1602" t="s">
        <v>304</v>
      </c>
      <c r="B1602" t="s">
        <v>2075</v>
      </c>
      <c r="C1602" t="s">
        <v>2111</v>
      </c>
    </row>
    <row r="1603" spans="1:3" x14ac:dyDescent="0.35">
      <c r="A1603" t="s">
        <v>304</v>
      </c>
      <c r="B1603" t="s">
        <v>2075</v>
      </c>
      <c r="C1603" t="s">
        <v>2112</v>
      </c>
    </row>
    <row r="1604" spans="1:3" x14ac:dyDescent="0.35">
      <c r="A1604" t="s">
        <v>304</v>
      </c>
      <c r="B1604" t="s">
        <v>2075</v>
      </c>
      <c r="C1604" t="s">
        <v>2113</v>
      </c>
    </row>
    <row r="1605" spans="1:3" x14ac:dyDescent="0.35">
      <c r="A1605" t="s">
        <v>304</v>
      </c>
      <c r="B1605" t="s">
        <v>2075</v>
      </c>
      <c r="C1605" t="s">
        <v>2114</v>
      </c>
    </row>
    <row r="1606" spans="1:3" x14ac:dyDescent="0.35">
      <c r="A1606" t="s">
        <v>304</v>
      </c>
      <c r="B1606" t="s">
        <v>2075</v>
      </c>
      <c r="C1606" t="s">
        <v>2115</v>
      </c>
    </row>
    <row r="1607" spans="1:3" x14ac:dyDescent="0.35">
      <c r="A1607" t="s">
        <v>304</v>
      </c>
      <c r="B1607" t="s">
        <v>2075</v>
      </c>
      <c r="C1607" t="s">
        <v>2116</v>
      </c>
    </row>
    <row r="1608" spans="1:3" x14ac:dyDescent="0.35">
      <c r="A1608" t="s">
        <v>304</v>
      </c>
      <c r="B1608" t="s">
        <v>2075</v>
      </c>
      <c r="C1608" t="s">
        <v>2117</v>
      </c>
    </row>
    <row r="1609" spans="1:3" x14ac:dyDescent="0.35">
      <c r="A1609" t="s">
        <v>304</v>
      </c>
      <c r="B1609" t="s">
        <v>2075</v>
      </c>
      <c r="C1609" t="s">
        <v>2118</v>
      </c>
    </row>
    <row r="1610" spans="1:3" x14ac:dyDescent="0.35">
      <c r="A1610" t="s">
        <v>304</v>
      </c>
      <c r="B1610" t="s">
        <v>2075</v>
      </c>
      <c r="C1610" t="s">
        <v>2119</v>
      </c>
    </row>
    <row r="1611" spans="1:3" x14ac:dyDescent="0.35">
      <c r="A1611" t="s">
        <v>304</v>
      </c>
      <c r="B1611" t="s">
        <v>2075</v>
      </c>
      <c r="C1611" t="s">
        <v>2120</v>
      </c>
    </row>
    <row r="1612" spans="1:3" x14ac:dyDescent="0.35">
      <c r="A1612" t="s">
        <v>304</v>
      </c>
      <c r="B1612" t="s">
        <v>2075</v>
      </c>
      <c r="C1612" t="s">
        <v>2121</v>
      </c>
    </row>
    <row r="1613" spans="1:3" x14ac:dyDescent="0.35">
      <c r="A1613" t="s">
        <v>304</v>
      </c>
      <c r="B1613" t="s">
        <v>2075</v>
      </c>
      <c r="C1613" t="s">
        <v>2122</v>
      </c>
    </row>
    <row r="1614" spans="1:3" x14ac:dyDescent="0.35">
      <c r="A1614" t="s">
        <v>304</v>
      </c>
      <c r="B1614" t="s">
        <v>2075</v>
      </c>
      <c r="C1614" t="s">
        <v>2123</v>
      </c>
    </row>
    <row r="1615" spans="1:3" x14ac:dyDescent="0.35">
      <c r="A1615" t="s">
        <v>304</v>
      </c>
      <c r="B1615" t="s">
        <v>2075</v>
      </c>
      <c r="C1615" t="s">
        <v>2124</v>
      </c>
    </row>
    <row r="1616" spans="1:3" x14ac:dyDescent="0.35">
      <c r="A1616" t="s">
        <v>304</v>
      </c>
      <c r="B1616" t="s">
        <v>2075</v>
      </c>
      <c r="C1616" t="s">
        <v>2125</v>
      </c>
    </row>
    <row r="1617" spans="1:3" x14ac:dyDescent="0.35">
      <c r="A1617" t="s">
        <v>304</v>
      </c>
      <c r="B1617" t="s">
        <v>2075</v>
      </c>
      <c r="C1617" t="s">
        <v>2126</v>
      </c>
    </row>
    <row r="1618" spans="1:3" x14ac:dyDescent="0.35">
      <c r="A1618" t="s">
        <v>304</v>
      </c>
      <c r="B1618" t="s">
        <v>2075</v>
      </c>
      <c r="C1618" t="s">
        <v>2127</v>
      </c>
    </row>
    <row r="1619" spans="1:3" x14ac:dyDescent="0.35">
      <c r="A1619" t="s">
        <v>304</v>
      </c>
      <c r="B1619" t="s">
        <v>2075</v>
      </c>
      <c r="C1619" t="s">
        <v>2128</v>
      </c>
    </row>
    <row r="1620" spans="1:3" x14ac:dyDescent="0.35">
      <c r="A1620" t="s">
        <v>304</v>
      </c>
      <c r="B1620" t="s">
        <v>2075</v>
      </c>
      <c r="C1620" t="s">
        <v>2129</v>
      </c>
    </row>
    <row r="1621" spans="1:3" x14ac:dyDescent="0.35">
      <c r="A1621" t="s">
        <v>304</v>
      </c>
      <c r="B1621" t="s">
        <v>2075</v>
      </c>
      <c r="C1621" t="s">
        <v>2130</v>
      </c>
    </row>
    <row r="1622" spans="1:3" x14ac:dyDescent="0.35">
      <c r="A1622" t="s">
        <v>304</v>
      </c>
      <c r="B1622" t="s">
        <v>2075</v>
      </c>
      <c r="C1622" t="s">
        <v>2131</v>
      </c>
    </row>
    <row r="1623" spans="1:3" x14ac:dyDescent="0.35">
      <c r="A1623" t="s">
        <v>304</v>
      </c>
      <c r="B1623" t="s">
        <v>2075</v>
      </c>
      <c r="C1623" t="s">
        <v>2132</v>
      </c>
    </row>
    <row r="1624" spans="1:3" x14ac:dyDescent="0.35">
      <c r="A1624" t="s">
        <v>304</v>
      </c>
      <c r="B1624" t="s">
        <v>2075</v>
      </c>
      <c r="C1624" t="s">
        <v>2133</v>
      </c>
    </row>
    <row r="1625" spans="1:3" x14ac:dyDescent="0.35">
      <c r="A1625" t="s">
        <v>304</v>
      </c>
      <c r="B1625" t="s">
        <v>2075</v>
      </c>
      <c r="C1625" t="s">
        <v>2134</v>
      </c>
    </row>
    <row r="1626" spans="1:3" x14ac:dyDescent="0.35">
      <c r="A1626" t="s">
        <v>304</v>
      </c>
      <c r="B1626" t="s">
        <v>2075</v>
      </c>
      <c r="C1626" t="s">
        <v>2135</v>
      </c>
    </row>
    <row r="1627" spans="1:3" x14ac:dyDescent="0.35">
      <c r="A1627" t="s">
        <v>304</v>
      </c>
      <c r="B1627" t="s">
        <v>2075</v>
      </c>
      <c r="C1627" t="s">
        <v>2136</v>
      </c>
    </row>
    <row r="1628" spans="1:3" x14ac:dyDescent="0.35">
      <c r="A1628" t="s">
        <v>304</v>
      </c>
      <c r="B1628" t="s">
        <v>2075</v>
      </c>
      <c r="C1628" t="s">
        <v>2137</v>
      </c>
    </row>
    <row r="1629" spans="1:3" x14ac:dyDescent="0.35">
      <c r="A1629" t="s">
        <v>304</v>
      </c>
      <c r="B1629" t="s">
        <v>2075</v>
      </c>
      <c r="C1629" t="s">
        <v>2138</v>
      </c>
    </row>
    <row r="1630" spans="1:3" x14ac:dyDescent="0.35">
      <c r="A1630" t="s">
        <v>304</v>
      </c>
      <c r="B1630" t="s">
        <v>2075</v>
      </c>
      <c r="C1630" t="s">
        <v>2139</v>
      </c>
    </row>
    <row r="1631" spans="1:3" x14ac:dyDescent="0.35">
      <c r="A1631" t="s">
        <v>304</v>
      </c>
      <c r="B1631" t="s">
        <v>2075</v>
      </c>
      <c r="C1631" t="s">
        <v>2140</v>
      </c>
    </row>
    <row r="1632" spans="1:3" x14ac:dyDescent="0.35">
      <c r="A1632" t="s">
        <v>304</v>
      </c>
      <c r="B1632" t="s">
        <v>2075</v>
      </c>
      <c r="C1632" t="s">
        <v>2141</v>
      </c>
    </row>
    <row r="1633" spans="1:3" x14ac:dyDescent="0.35">
      <c r="A1633" t="s">
        <v>304</v>
      </c>
      <c r="B1633" t="s">
        <v>2075</v>
      </c>
      <c r="C1633" t="s">
        <v>2142</v>
      </c>
    </row>
    <row r="1634" spans="1:3" x14ac:dyDescent="0.35">
      <c r="A1634" t="s">
        <v>304</v>
      </c>
      <c r="B1634" t="s">
        <v>2075</v>
      </c>
      <c r="C1634" t="s">
        <v>2143</v>
      </c>
    </row>
    <row r="1635" spans="1:3" x14ac:dyDescent="0.35">
      <c r="A1635" t="s">
        <v>304</v>
      </c>
      <c r="B1635" t="s">
        <v>2075</v>
      </c>
      <c r="C1635" t="s">
        <v>2144</v>
      </c>
    </row>
    <row r="1636" spans="1:3" x14ac:dyDescent="0.35">
      <c r="A1636" t="s">
        <v>304</v>
      </c>
      <c r="B1636" t="s">
        <v>2075</v>
      </c>
      <c r="C1636" t="s">
        <v>2145</v>
      </c>
    </row>
    <row r="1637" spans="1:3" x14ac:dyDescent="0.35">
      <c r="A1637" t="s">
        <v>304</v>
      </c>
      <c r="B1637" t="s">
        <v>2075</v>
      </c>
      <c r="C1637" t="s">
        <v>2146</v>
      </c>
    </row>
    <row r="1638" spans="1:3" x14ac:dyDescent="0.35">
      <c r="A1638" t="s">
        <v>304</v>
      </c>
      <c r="B1638" t="s">
        <v>2075</v>
      </c>
      <c r="C1638" t="s">
        <v>2147</v>
      </c>
    </row>
    <row r="1639" spans="1:3" x14ac:dyDescent="0.35">
      <c r="A1639" t="s">
        <v>304</v>
      </c>
      <c r="B1639" t="s">
        <v>2075</v>
      </c>
      <c r="C1639" t="s">
        <v>2148</v>
      </c>
    </row>
    <row r="1640" spans="1:3" x14ac:dyDescent="0.35">
      <c r="A1640" t="s">
        <v>304</v>
      </c>
      <c r="B1640" t="s">
        <v>1317</v>
      </c>
      <c r="C1640" t="s">
        <v>1318</v>
      </c>
    </row>
    <row r="1641" spans="1:3" x14ac:dyDescent="0.35">
      <c r="A1641" t="s">
        <v>304</v>
      </c>
      <c r="B1641" t="s">
        <v>1317</v>
      </c>
      <c r="C1641" t="s">
        <v>1319</v>
      </c>
    </row>
    <row r="1642" spans="1:3" x14ac:dyDescent="0.35">
      <c r="A1642" t="s">
        <v>304</v>
      </c>
      <c r="B1642" t="s">
        <v>1317</v>
      </c>
      <c r="C1642" t="s">
        <v>1320</v>
      </c>
    </row>
    <row r="1643" spans="1:3" x14ac:dyDescent="0.35">
      <c r="A1643" t="s">
        <v>304</v>
      </c>
      <c r="B1643" t="s">
        <v>1317</v>
      </c>
      <c r="C1643" t="s">
        <v>1321</v>
      </c>
    </row>
    <row r="1644" spans="1:3" x14ac:dyDescent="0.35">
      <c r="A1644" t="s">
        <v>304</v>
      </c>
      <c r="B1644" t="s">
        <v>1317</v>
      </c>
      <c r="C1644" t="s">
        <v>1322</v>
      </c>
    </row>
    <row r="1645" spans="1:3" x14ac:dyDescent="0.35">
      <c r="A1645" t="s">
        <v>304</v>
      </c>
      <c r="B1645" t="s">
        <v>1317</v>
      </c>
      <c r="C1645" t="s">
        <v>1323</v>
      </c>
    </row>
    <row r="1646" spans="1:3" x14ac:dyDescent="0.35">
      <c r="A1646" t="s">
        <v>304</v>
      </c>
      <c r="B1646" t="s">
        <v>1317</v>
      </c>
      <c r="C1646" t="s">
        <v>1324</v>
      </c>
    </row>
    <row r="1647" spans="1:3" x14ac:dyDescent="0.35">
      <c r="A1647" t="s">
        <v>304</v>
      </c>
      <c r="B1647" t="s">
        <v>1317</v>
      </c>
      <c r="C1647" t="s">
        <v>1325</v>
      </c>
    </row>
    <row r="1648" spans="1:3" x14ac:dyDescent="0.35">
      <c r="A1648" t="s">
        <v>304</v>
      </c>
      <c r="B1648" t="s">
        <v>1317</v>
      </c>
      <c r="C1648" t="s">
        <v>1326</v>
      </c>
    </row>
    <row r="1649" spans="1:3" x14ac:dyDescent="0.35">
      <c r="A1649" t="s">
        <v>304</v>
      </c>
      <c r="B1649" t="s">
        <v>1317</v>
      </c>
      <c r="C1649" t="s">
        <v>1327</v>
      </c>
    </row>
    <row r="1650" spans="1:3" x14ac:dyDescent="0.35">
      <c r="A1650" t="s">
        <v>304</v>
      </c>
      <c r="B1650" t="s">
        <v>1317</v>
      </c>
      <c r="C1650" t="s">
        <v>1328</v>
      </c>
    </row>
    <row r="1651" spans="1:3" x14ac:dyDescent="0.35">
      <c r="A1651" t="s">
        <v>304</v>
      </c>
      <c r="B1651" t="s">
        <v>1317</v>
      </c>
      <c r="C1651" t="s">
        <v>1329</v>
      </c>
    </row>
    <row r="1652" spans="1:3" x14ac:dyDescent="0.35">
      <c r="A1652" t="s">
        <v>304</v>
      </c>
      <c r="B1652" t="s">
        <v>1317</v>
      </c>
      <c r="C1652" t="s">
        <v>1330</v>
      </c>
    </row>
    <row r="1653" spans="1:3" x14ac:dyDescent="0.35">
      <c r="A1653" t="s">
        <v>304</v>
      </c>
      <c r="B1653" t="s">
        <v>535</v>
      </c>
      <c r="C1653" t="s">
        <v>536</v>
      </c>
    </row>
    <row r="1654" spans="1:3" x14ac:dyDescent="0.35">
      <c r="A1654" t="s">
        <v>304</v>
      </c>
      <c r="B1654" t="s">
        <v>535</v>
      </c>
      <c r="C1654" t="s">
        <v>537</v>
      </c>
    </row>
    <row r="1655" spans="1:3" x14ac:dyDescent="0.35">
      <c r="A1655" t="s">
        <v>304</v>
      </c>
      <c r="B1655" t="s">
        <v>1331</v>
      </c>
      <c r="C1655" t="s">
        <v>1332</v>
      </c>
    </row>
    <row r="1656" spans="1:3" x14ac:dyDescent="0.35">
      <c r="A1656" t="s">
        <v>304</v>
      </c>
      <c r="B1656" t="s">
        <v>1331</v>
      </c>
      <c r="C1656" t="s">
        <v>1333</v>
      </c>
    </row>
    <row r="1657" spans="1:3" x14ac:dyDescent="0.35">
      <c r="A1657" t="s">
        <v>304</v>
      </c>
      <c r="B1657" t="s">
        <v>726</v>
      </c>
      <c r="C1657" t="s">
        <v>727</v>
      </c>
    </row>
    <row r="1658" spans="1:3" x14ac:dyDescent="0.35">
      <c r="A1658" t="s">
        <v>304</v>
      </c>
      <c r="B1658" t="s">
        <v>726</v>
      </c>
      <c r="C1658" t="s">
        <v>728</v>
      </c>
    </row>
    <row r="1659" spans="1:3" x14ac:dyDescent="0.35">
      <c r="A1659" t="s">
        <v>304</v>
      </c>
      <c r="B1659" t="s">
        <v>2149</v>
      </c>
      <c r="C1659" t="s">
        <v>2150</v>
      </c>
    </row>
    <row r="1660" spans="1:3" x14ac:dyDescent="0.35">
      <c r="A1660" t="s">
        <v>304</v>
      </c>
      <c r="B1660" t="s">
        <v>2149</v>
      </c>
      <c r="C1660" t="s">
        <v>2151</v>
      </c>
    </row>
    <row r="1661" spans="1:3" x14ac:dyDescent="0.35">
      <c r="A1661" t="s">
        <v>304</v>
      </c>
      <c r="B1661" t="s">
        <v>1178</v>
      </c>
      <c r="C1661" t="s">
        <v>1179</v>
      </c>
    </row>
    <row r="1662" spans="1:3" x14ac:dyDescent="0.35">
      <c r="A1662" t="s">
        <v>304</v>
      </c>
      <c r="B1662" t="s">
        <v>1178</v>
      </c>
      <c r="C1662" t="s">
        <v>1180</v>
      </c>
    </row>
    <row r="1663" spans="1:3" x14ac:dyDescent="0.35">
      <c r="A1663" t="s">
        <v>304</v>
      </c>
      <c r="B1663" t="s">
        <v>852</v>
      </c>
      <c r="C1663" t="s">
        <v>853</v>
      </c>
    </row>
    <row r="1664" spans="1:3" x14ac:dyDescent="0.35">
      <c r="A1664" t="s">
        <v>304</v>
      </c>
      <c r="B1664" t="s">
        <v>852</v>
      </c>
      <c r="C1664" t="s">
        <v>854</v>
      </c>
    </row>
    <row r="1665" spans="1:3" x14ac:dyDescent="0.35">
      <c r="A1665" t="s">
        <v>304</v>
      </c>
      <c r="B1665" t="s">
        <v>852</v>
      </c>
      <c r="C1665" t="s">
        <v>855</v>
      </c>
    </row>
    <row r="1666" spans="1:3" x14ac:dyDescent="0.35">
      <c r="A1666" t="s">
        <v>304</v>
      </c>
      <c r="B1666" t="s">
        <v>1712</v>
      </c>
      <c r="C1666" t="s">
        <v>1713</v>
      </c>
    </row>
    <row r="1667" spans="1:3" x14ac:dyDescent="0.35">
      <c r="A1667" t="s">
        <v>304</v>
      </c>
      <c r="B1667" t="s">
        <v>1712</v>
      </c>
      <c r="C1667" t="s">
        <v>1714</v>
      </c>
    </row>
    <row r="1668" spans="1:3" x14ac:dyDescent="0.35">
      <c r="A1668" t="s">
        <v>304</v>
      </c>
      <c r="B1668" t="s">
        <v>1712</v>
      </c>
      <c r="C1668" t="s">
        <v>1715</v>
      </c>
    </row>
    <row r="1669" spans="1:3" x14ac:dyDescent="0.35">
      <c r="A1669" t="s">
        <v>304</v>
      </c>
      <c r="B1669" t="s">
        <v>1712</v>
      </c>
      <c r="C1669" t="s">
        <v>1716</v>
      </c>
    </row>
    <row r="1670" spans="1:3" x14ac:dyDescent="0.35">
      <c r="A1670" t="s">
        <v>304</v>
      </c>
      <c r="B1670" t="s">
        <v>1712</v>
      </c>
      <c r="C1670" t="s">
        <v>1717</v>
      </c>
    </row>
    <row r="1671" spans="1:3" x14ac:dyDescent="0.35">
      <c r="A1671" t="s">
        <v>304</v>
      </c>
      <c r="B1671" t="s">
        <v>1712</v>
      </c>
      <c r="C1671" t="s">
        <v>1718</v>
      </c>
    </row>
    <row r="1672" spans="1:3" x14ac:dyDescent="0.35">
      <c r="A1672" t="s">
        <v>304</v>
      </c>
      <c r="B1672" t="s">
        <v>1712</v>
      </c>
      <c r="C1672" t="s">
        <v>1719</v>
      </c>
    </row>
    <row r="1673" spans="1:3" x14ac:dyDescent="0.35">
      <c r="A1673" t="s">
        <v>304</v>
      </c>
      <c r="B1673" t="s">
        <v>1712</v>
      </c>
      <c r="C1673" t="s">
        <v>1720</v>
      </c>
    </row>
    <row r="1674" spans="1:3" x14ac:dyDescent="0.35">
      <c r="A1674" t="s">
        <v>304</v>
      </c>
      <c r="B1674" t="s">
        <v>1712</v>
      </c>
      <c r="C1674" t="s">
        <v>1721</v>
      </c>
    </row>
    <row r="1675" spans="1:3" x14ac:dyDescent="0.35">
      <c r="A1675" t="s">
        <v>304</v>
      </c>
      <c r="B1675" t="s">
        <v>1712</v>
      </c>
      <c r="C1675" t="s">
        <v>1722</v>
      </c>
    </row>
    <row r="1676" spans="1:3" x14ac:dyDescent="0.35">
      <c r="A1676" t="s">
        <v>304</v>
      </c>
      <c r="B1676" t="s">
        <v>1712</v>
      </c>
      <c r="C1676" t="s">
        <v>1723</v>
      </c>
    </row>
    <row r="1677" spans="1:3" x14ac:dyDescent="0.35">
      <c r="A1677" t="s">
        <v>304</v>
      </c>
      <c r="B1677" t="s">
        <v>1712</v>
      </c>
      <c r="C1677" t="s">
        <v>1724</v>
      </c>
    </row>
    <row r="1678" spans="1:3" x14ac:dyDescent="0.35">
      <c r="A1678" t="s">
        <v>304</v>
      </c>
      <c r="B1678" t="s">
        <v>1712</v>
      </c>
      <c r="C1678" t="s">
        <v>1725</v>
      </c>
    </row>
    <row r="1679" spans="1:3" x14ac:dyDescent="0.35">
      <c r="A1679" t="s">
        <v>304</v>
      </c>
      <c r="B1679" t="s">
        <v>538</v>
      </c>
      <c r="C1679" t="s">
        <v>539</v>
      </c>
    </row>
    <row r="1680" spans="1:3" x14ac:dyDescent="0.35">
      <c r="A1680" t="s">
        <v>304</v>
      </c>
      <c r="B1680" t="s">
        <v>538</v>
      </c>
      <c r="C1680" t="s">
        <v>621</v>
      </c>
    </row>
    <row r="1681" spans="1:3" x14ac:dyDescent="0.35">
      <c r="A1681" t="s">
        <v>304</v>
      </c>
      <c r="B1681" t="s">
        <v>538</v>
      </c>
      <c r="C1681" t="s">
        <v>622</v>
      </c>
    </row>
    <row r="1682" spans="1:3" x14ac:dyDescent="0.35">
      <c r="A1682" t="s">
        <v>304</v>
      </c>
      <c r="B1682" t="s">
        <v>2152</v>
      </c>
      <c r="C1682" t="s">
        <v>2153</v>
      </c>
    </row>
    <row r="1683" spans="1:3" x14ac:dyDescent="0.35">
      <c r="A1683" t="s">
        <v>304</v>
      </c>
      <c r="B1683" t="s">
        <v>2152</v>
      </c>
      <c r="C1683" t="s">
        <v>2154</v>
      </c>
    </row>
    <row r="1684" spans="1:3" x14ac:dyDescent="0.35">
      <c r="A1684" t="s">
        <v>304</v>
      </c>
      <c r="B1684" t="s">
        <v>2152</v>
      </c>
      <c r="C1684" t="s">
        <v>2155</v>
      </c>
    </row>
    <row r="1685" spans="1:3" x14ac:dyDescent="0.35">
      <c r="A1685" t="s">
        <v>304</v>
      </c>
      <c r="B1685" t="s">
        <v>2152</v>
      </c>
      <c r="C1685" t="s">
        <v>2156</v>
      </c>
    </row>
    <row r="1686" spans="1:3" x14ac:dyDescent="0.35">
      <c r="A1686" t="s">
        <v>304</v>
      </c>
      <c r="B1686" t="s">
        <v>540</v>
      </c>
      <c r="C1686" t="s">
        <v>541</v>
      </c>
    </row>
    <row r="1687" spans="1:3" x14ac:dyDescent="0.35">
      <c r="A1687" t="s">
        <v>304</v>
      </c>
      <c r="B1687" t="s">
        <v>540</v>
      </c>
      <c r="C1687" t="s">
        <v>542</v>
      </c>
    </row>
    <row r="1688" spans="1:3" x14ac:dyDescent="0.35">
      <c r="A1688" t="s">
        <v>304</v>
      </c>
      <c r="B1688" t="s">
        <v>1181</v>
      </c>
      <c r="C1688" t="s">
        <v>1182</v>
      </c>
    </row>
    <row r="1689" spans="1:3" x14ac:dyDescent="0.35">
      <c r="A1689" t="s">
        <v>304</v>
      </c>
      <c r="B1689" t="s">
        <v>1181</v>
      </c>
      <c r="C1689" t="s">
        <v>1183</v>
      </c>
    </row>
    <row r="1690" spans="1:3" x14ac:dyDescent="0.35">
      <c r="A1690" t="s">
        <v>304</v>
      </c>
      <c r="B1690" t="s">
        <v>1181</v>
      </c>
      <c r="C1690" t="s">
        <v>1184</v>
      </c>
    </row>
    <row r="1691" spans="1:3" x14ac:dyDescent="0.35">
      <c r="A1691" t="s">
        <v>304</v>
      </c>
      <c r="B1691" t="s">
        <v>543</v>
      </c>
      <c r="C1691" t="s">
        <v>544</v>
      </c>
    </row>
    <row r="1692" spans="1:3" x14ac:dyDescent="0.35">
      <c r="A1692" t="s">
        <v>304</v>
      </c>
      <c r="B1692" t="s">
        <v>543</v>
      </c>
      <c r="C1692" t="s">
        <v>545</v>
      </c>
    </row>
    <row r="1693" spans="1:3" x14ac:dyDescent="0.35">
      <c r="A1693" t="s">
        <v>304</v>
      </c>
      <c r="B1693" t="s">
        <v>543</v>
      </c>
      <c r="C1693" t="s">
        <v>546</v>
      </c>
    </row>
    <row r="1694" spans="1:3" x14ac:dyDescent="0.35">
      <c r="A1694" t="s">
        <v>304</v>
      </c>
      <c r="B1694" t="s">
        <v>1185</v>
      </c>
      <c r="C1694" t="s">
        <v>1186</v>
      </c>
    </row>
    <row r="1695" spans="1:3" x14ac:dyDescent="0.35">
      <c r="A1695" t="s">
        <v>304</v>
      </c>
      <c r="B1695" t="s">
        <v>1185</v>
      </c>
      <c r="C1695" t="s">
        <v>1187</v>
      </c>
    </row>
    <row r="1696" spans="1:3" x14ac:dyDescent="0.35">
      <c r="A1696" t="s">
        <v>304</v>
      </c>
      <c r="B1696" t="s">
        <v>547</v>
      </c>
      <c r="C1696" t="s">
        <v>548</v>
      </c>
    </row>
    <row r="1697" spans="1:3" x14ac:dyDescent="0.35">
      <c r="A1697" t="s">
        <v>304</v>
      </c>
      <c r="B1697" t="s">
        <v>547</v>
      </c>
      <c r="C1697" t="s">
        <v>549</v>
      </c>
    </row>
    <row r="1698" spans="1:3" x14ac:dyDescent="0.35">
      <c r="A1698" t="s">
        <v>304</v>
      </c>
      <c r="B1698" t="s">
        <v>547</v>
      </c>
      <c r="C1698" t="s">
        <v>550</v>
      </c>
    </row>
    <row r="1699" spans="1:3" x14ac:dyDescent="0.35">
      <c r="A1699" t="s">
        <v>304</v>
      </c>
      <c r="B1699" t="s">
        <v>883</v>
      </c>
      <c r="C1699" t="s">
        <v>884</v>
      </c>
    </row>
    <row r="1700" spans="1:3" x14ac:dyDescent="0.35">
      <c r="A1700" t="s">
        <v>304</v>
      </c>
      <c r="B1700" t="s">
        <v>883</v>
      </c>
      <c r="C1700" t="s">
        <v>885</v>
      </c>
    </row>
    <row r="1701" spans="1:3" x14ac:dyDescent="0.35">
      <c r="A1701" t="s">
        <v>304</v>
      </c>
      <c r="B1701" t="s">
        <v>886</v>
      </c>
      <c r="C1701" t="s">
        <v>2157</v>
      </c>
    </row>
    <row r="1702" spans="1:3" x14ac:dyDescent="0.35">
      <c r="A1702" t="s">
        <v>304</v>
      </c>
      <c r="B1702" t="s">
        <v>886</v>
      </c>
      <c r="C1702" t="s">
        <v>2158</v>
      </c>
    </row>
    <row r="1703" spans="1:3" x14ac:dyDescent="0.35">
      <c r="A1703" t="s">
        <v>304</v>
      </c>
      <c r="B1703" t="s">
        <v>886</v>
      </c>
      <c r="C1703" t="s">
        <v>887</v>
      </c>
    </row>
    <row r="1704" spans="1:3" x14ac:dyDescent="0.35">
      <c r="A1704" t="s">
        <v>304</v>
      </c>
      <c r="B1704" t="s">
        <v>886</v>
      </c>
      <c r="C1704" t="s">
        <v>888</v>
      </c>
    </row>
    <row r="1705" spans="1:3" x14ac:dyDescent="0.35">
      <c r="A1705" t="s">
        <v>304</v>
      </c>
      <c r="B1705" t="s">
        <v>886</v>
      </c>
      <c r="C1705" t="s">
        <v>889</v>
      </c>
    </row>
    <row r="1706" spans="1:3" x14ac:dyDescent="0.35">
      <c r="A1706" t="s">
        <v>304</v>
      </c>
      <c r="B1706" t="s">
        <v>886</v>
      </c>
      <c r="C1706" t="s">
        <v>890</v>
      </c>
    </row>
    <row r="1707" spans="1:3" x14ac:dyDescent="0.35">
      <c r="A1707" t="s">
        <v>304</v>
      </c>
      <c r="B1707" t="s">
        <v>886</v>
      </c>
      <c r="C1707" t="s">
        <v>891</v>
      </c>
    </row>
    <row r="1708" spans="1:3" x14ac:dyDescent="0.35">
      <c r="A1708" t="s">
        <v>304</v>
      </c>
      <c r="B1708" t="s">
        <v>886</v>
      </c>
      <c r="C1708" t="s">
        <v>892</v>
      </c>
    </row>
    <row r="1709" spans="1:3" x14ac:dyDescent="0.35">
      <c r="A1709" t="s">
        <v>304</v>
      </c>
      <c r="B1709" t="s">
        <v>886</v>
      </c>
      <c r="C1709" t="s">
        <v>893</v>
      </c>
    </row>
    <row r="1710" spans="1:3" x14ac:dyDescent="0.35">
      <c r="A1710" t="s">
        <v>304</v>
      </c>
      <c r="B1710" t="s">
        <v>886</v>
      </c>
      <c r="C1710" t="s">
        <v>894</v>
      </c>
    </row>
    <row r="1711" spans="1:3" x14ac:dyDescent="0.35">
      <c r="A1711" t="s">
        <v>304</v>
      </c>
      <c r="B1711" t="s">
        <v>886</v>
      </c>
      <c r="C1711" t="s">
        <v>895</v>
      </c>
    </row>
    <row r="1712" spans="1:3" x14ac:dyDescent="0.35">
      <c r="A1712" t="s">
        <v>304</v>
      </c>
      <c r="B1712" t="s">
        <v>886</v>
      </c>
      <c r="C1712" t="s">
        <v>896</v>
      </c>
    </row>
    <row r="1713" spans="1:4" x14ac:dyDescent="0.35">
      <c r="A1713" t="s">
        <v>304</v>
      </c>
      <c r="B1713" t="s">
        <v>886</v>
      </c>
      <c r="C1713" t="s">
        <v>897</v>
      </c>
    </row>
    <row r="1714" spans="1:4" x14ac:dyDescent="0.35">
      <c r="A1714" t="s">
        <v>304</v>
      </c>
      <c r="B1714" t="s">
        <v>886</v>
      </c>
      <c r="C1714" t="s">
        <v>898</v>
      </c>
    </row>
    <row r="1715" spans="1:4" x14ac:dyDescent="0.35">
      <c r="A1715" t="s">
        <v>304</v>
      </c>
      <c r="B1715" t="s">
        <v>886</v>
      </c>
      <c r="C1715" t="s">
        <v>899</v>
      </c>
    </row>
    <row r="1716" spans="1:4" x14ac:dyDescent="0.35">
      <c r="A1716" t="s">
        <v>304</v>
      </c>
      <c r="B1716" t="s">
        <v>886</v>
      </c>
      <c r="C1716" t="s">
        <v>2159</v>
      </c>
      <c r="D1716" t="s">
        <v>2160</v>
      </c>
    </row>
    <row r="1717" spans="1:4" x14ac:dyDescent="0.35">
      <c r="A1717" t="s">
        <v>304</v>
      </c>
      <c r="B1717" t="s">
        <v>886</v>
      </c>
      <c r="C1717" t="s">
        <v>2159</v>
      </c>
      <c r="D1717" t="s">
        <v>2161</v>
      </c>
    </row>
    <row r="1718" spans="1:4" x14ac:dyDescent="0.35">
      <c r="A1718" t="s">
        <v>304</v>
      </c>
      <c r="B1718" t="s">
        <v>886</v>
      </c>
      <c r="C1718" t="s">
        <v>2159</v>
      </c>
      <c r="D1718" t="s">
        <v>2162</v>
      </c>
    </row>
    <row r="1719" spans="1:4" x14ac:dyDescent="0.35">
      <c r="A1719" t="s">
        <v>304</v>
      </c>
      <c r="B1719" t="s">
        <v>886</v>
      </c>
      <c r="C1719" t="s">
        <v>2159</v>
      </c>
      <c r="D1719" t="s">
        <v>2163</v>
      </c>
    </row>
    <row r="1720" spans="1:4" x14ac:dyDescent="0.35">
      <c r="A1720" t="s">
        <v>304</v>
      </c>
      <c r="B1720" t="s">
        <v>886</v>
      </c>
      <c r="C1720" t="s">
        <v>2159</v>
      </c>
      <c r="D1720" t="s">
        <v>2164</v>
      </c>
    </row>
    <row r="1721" spans="1:4" x14ac:dyDescent="0.35">
      <c r="A1721" t="s">
        <v>304</v>
      </c>
      <c r="B1721" t="s">
        <v>886</v>
      </c>
      <c r="C1721" t="s">
        <v>2159</v>
      </c>
      <c r="D1721" t="s">
        <v>2165</v>
      </c>
    </row>
    <row r="1722" spans="1:4" x14ac:dyDescent="0.35">
      <c r="A1722" t="s">
        <v>304</v>
      </c>
      <c r="B1722" t="s">
        <v>551</v>
      </c>
      <c r="C1722" t="s">
        <v>552</v>
      </c>
    </row>
    <row r="1723" spans="1:4" x14ac:dyDescent="0.35">
      <c r="A1723" t="s">
        <v>304</v>
      </c>
      <c r="B1723" t="s">
        <v>551</v>
      </c>
      <c r="C1723" t="s">
        <v>553</v>
      </c>
    </row>
    <row r="1724" spans="1:4" x14ac:dyDescent="0.35">
      <c r="A1724" t="s">
        <v>304</v>
      </c>
      <c r="B1724" t="s">
        <v>1188</v>
      </c>
      <c r="C1724" t="s">
        <v>1189</v>
      </c>
    </row>
    <row r="1725" spans="1:4" x14ac:dyDescent="0.35">
      <c r="A1725" t="s">
        <v>304</v>
      </c>
      <c r="B1725" t="s">
        <v>1188</v>
      </c>
      <c r="C1725" t="s">
        <v>1190</v>
      </c>
    </row>
    <row r="1726" spans="1:4" x14ac:dyDescent="0.35">
      <c r="A1726" t="s">
        <v>304</v>
      </c>
      <c r="B1726" t="s">
        <v>1012</v>
      </c>
      <c r="C1726" t="s">
        <v>1013</v>
      </c>
    </row>
    <row r="1727" spans="1:4" x14ac:dyDescent="0.35">
      <c r="A1727" t="s">
        <v>304</v>
      </c>
      <c r="B1727" t="s">
        <v>1012</v>
      </c>
      <c r="C1727" t="s">
        <v>1014</v>
      </c>
    </row>
    <row r="1728" spans="1:4" x14ac:dyDescent="0.35">
      <c r="A1728" t="s">
        <v>304</v>
      </c>
      <c r="B1728" t="s">
        <v>1012</v>
      </c>
      <c r="C1728" t="s">
        <v>1015</v>
      </c>
    </row>
    <row r="1729" spans="1:3" x14ac:dyDescent="0.35">
      <c r="A1729" t="s">
        <v>304</v>
      </c>
      <c r="B1729" t="s">
        <v>1016</v>
      </c>
      <c r="C1729" t="s">
        <v>1017</v>
      </c>
    </row>
    <row r="1730" spans="1:3" x14ac:dyDescent="0.35">
      <c r="A1730" t="s">
        <v>304</v>
      </c>
      <c r="B1730" t="s">
        <v>1016</v>
      </c>
      <c r="C1730" t="s">
        <v>1726</v>
      </c>
    </row>
    <row r="1731" spans="1:3" x14ac:dyDescent="0.35">
      <c r="A1731" t="s">
        <v>304</v>
      </c>
      <c r="B1731" t="s">
        <v>1016</v>
      </c>
      <c r="C1731" t="s">
        <v>1727</v>
      </c>
    </row>
    <row r="1732" spans="1:3" x14ac:dyDescent="0.35">
      <c r="A1732" t="s">
        <v>304</v>
      </c>
      <c r="B1732" t="s">
        <v>1016</v>
      </c>
      <c r="C1732" t="s">
        <v>1728</v>
      </c>
    </row>
    <row r="1733" spans="1:3" x14ac:dyDescent="0.35">
      <c r="A1733" t="s">
        <v>304</v>
      </c>
      <c r="B1733" t="s">
        <v>1016</v>
      </c>
      <c r="C1733" t="s">
        <v>1729</v>
      </c>
    </row>
    <row r="1734" spans="1:3" x14ac:dyDescent="0.35">
      <c r="A1734" t="s">
        <v>304</v>
      </c>
      <c r="B1734" t="s">
        <v>1016</v>
      </c>
      <c r="C1734" t="s">
        <v>1730</v>
      </c>
    </row>
    <row r="1735" spans="1:3" x14ac:dyDescent="0.35">
      <c r="A1735" t="s">
        <v>304</v>
      </c>
      <c r="B1735" t="s">
        <v>1016</v>
      </c>
      <c r="C1735" t="s">
        <v>1731</v>
      </c>
    </row>
    <row r="1736" spans="1:3" x14ac:dyDescent="0.35">
      <c r="A1736" t="s">
        <v>304</v>
      </c>
      <c r="B1736" t="s">
        <v>554</v>
      </c>
      <c r="C1736" t="s">
        <v>555</v>
      </c>
    </row>
    <row r="1737" spans="1:3" x14ac:dyDescent="0.35">
      <c r="A1737" t="s">
        <v>304</v>
      </c>
      <c r="B1737" t="s">
        <v>554</v>
      </c>
      <c r="C1737" t="s">
        <v>556</v>
      </c>
    </row>
    <row r="1738" spans="1:3" x14ac:dyDescent="0.35">
      <c r="A1738" t="s">
        <v>557</v>
      </c>
      <c r="B1738" t="s">
        <v>558</v>
      </c>
      <c r="C1738" t="s">
        <v>559</v>
      </c>
    </row>
    <row r="1739" spans="1:3" x14ac:dyDescent="0.35">
      <c r="A1739" t="s">
        <v>557</v>
      </c>
      <c r="B1739" t="s">
        <v>558</v>
      </c>
      <c r="C1739" t="s">
        <v>560</v>
      </c>
    </row>
    <row r="1740" spans="1:3" x14ac:dyDescent="0.35">
      <c r="A1740" t="s">
        <v>557</v>
      </c>
      <c r="B1740" t="s">
        <v>558</v>
      </c>
      <c r="C1740" t="s">
        <v>1334</v>
      </c>
    </row>
    <row r="1741" spans="1:3" x14ac:dyDescent="0.35">
      <c r="A1741" t="s">
        <v>557</v>
      </c>
      <c r="B1741" t="s">
        <v>558</v>
      </c>
      <c r="C1741" t="s">
        <v>561</v>
      </c>
    </row>
    <row r="1742" spans="1:3" x14ac:dyDescent="0.35">
      <c r="A1742" t="s">
        <v>557</v>
      </c>
      <c r="B1742" t="s">
        <v>558</v>
      </c>
      <c r="C1742" t="s">
        <v>562</v>
      </c>
    </row>
    <row r="1743" spans="1:3" x14ac:dyDescent="0.35">
      <c r="A1743" t="s">
        <v>557</v>
      </c>
      <c r="B1743" t="s">
        <v>558</v>
      </c>
      <c r="C1743" t="s">
        <v>563</v>
      </c>
    </row>
    <row r="1744" spans="1:3" x14ac:dyDescent="0.35">
      <c r="A1744" t="s">
        <v>557</v>
      </c>
      <c r="B1744" t="s">
        <v>564</v>
      </c>
      <c r="C1744" t="s">
        <v>623</v>
      </c>
    </row>
    <row r="1745" spans="1:3" x14ac:dyDescent="0.35">
      <c r="A1745" t="s">
        <v>557</v>
      </c>
      <c r="B1745" t="s">
        <v>564</v>
      </c>
      <c r="C1745" t="s">
        <v>1732</v>
      </c>
    </row>
    <row r="1746" spans="1:3" x14ac:dyDescent="0.35">
      <c r="A1746" t="s">
        <v>557</v>
      </c>
      <c r="B1746" t="s">
        <v>564</v>
      </c>
      <c r="C1746" t="s">
        <v>624</v>
      </c>
    </row>
    <row r="1747" spans="1:3" x14ac:dyDescent="0.35">
      <c r="A1747" t="s">
        <v>557</v>
      </c>
      <c r="B1747" t="s">
        <v>564</v>
      </c>
      <c r="C1747" t="s">
        <v>565</v>
      </c>
    </row>
    <row r="1748" spans="1:3" x14ac:dyDescent="0.35">
      <c r="A1748" t="s">
        <v>557</v>
      </c>
      <c r="B1748" t="s">
        <v>566</v>
      </c>
      <c r="C1748" t="s">
        <v>567</v>
      </c>
    </row>
    <row r="1749" spans="1:3" x14ac:dyDescent="0.35">
      <c r="A1749" t="s">
        <v>557</v>
      </c>
      <c r="B1749" t="s">
        <v>566</v>
      </c>
      <c r="C1749" t="s">
        <v>568</v>
      </c>
    </row>
    <row r="1750" spans="1:3" x14ac:dyDescent="0.35">
      <c r="A1750" t="s">
        <v>557</v>
      </c>
      <c r="B1750" t="s">
        <v>566</v>
      </c>
      <c r="C1750" t="s">
        <v>569</v>
      </c>
    </row>
    <row r="1751" spans="1:3" x14ac:dyDescent="0.35">
      <c r="A1751" t="s">
        <v>557</v>
      </c>
      <c r="B1751" t="s">
        <v>1374</v>
      </c>
      <c r="C1751" t="s">
        <v>1375</v>
      </c>
    </row>
    <row r="1752" spans="1:3" x14ac:dyDescent="0.35">
      <c r="A1752" t="s">
        <v>557</v>
      </c>
      <c r="B1752" t="s">
        <v>570</v>
      </c>
      <c r="C1752" t="s">
        <v>571</v>
      </c>
    </row>
    <row r="1753" spans="1:3" x14ac:dyDescent="0.35">
      <c r="A1753" t="s">
        <v>557</v>
      </c>
      <c r="B1753" t="s">
        <v>570</v>
      </c>
      <c r="C1753" t="s">
        <v>572</v>
      </c>
    </row>
    <row r="1754" spans="1:3" x14ac:dyDescent="0.35">
      <c r="A1754" t="s">
        <v>557</v>
      </c>
      <c r="B1754" t="s">
        <v>966</v>
      </c>
      <c r="C1754" t="s">
        <v>967</v>
      </c>
    </row>
    <row r="1755" spans="1:3" x14ac:dyDescent="0.35">
      <c r="A1755" t="s">
        <v>557</v>
      </c>
      <c r="B1755" t="s">
        <v>966</v>
      </c>
      <c r="C1755" t="s">
        <v>968</v>
      </c>
    </row>
    <row r="1756" spans="1:3" x14ac:dyDescent="0.35">
      <c r="A1756" t="s">
        <v>557</v>
      </c>
      <c r="B1756" t="s">
        <v>966</v>
      </c>
      <c r="C1756" t="s">
        <v>969</v>
      </c>
    </row>
    <row r="1757" spans="1:3" x14ac:dyDescent="0.35">
      <c r="A1757" t="s">
        <v>557</v>
      </c>
      <c r="B1757" t="s">
        <v>573</v>
      </c>
      <c r="C1757" t="s">
        <v>574</v>
      </c>
    </row>
    <row r="1758" spans="1:3" x14ac:dyDescent="0.35">
      <c r="A1758" t="s">
        <v>557</v>
      </c>
      <c r="B1758" t="s">
        <v>573</v>
      </c>
      <c r="C1758" t="s">
        <v>575</v>
      </c>
    </row>
    <row r="1759" spans="1:3" x14ac:dyDescent="0.35">
      <c r="A1759" t="s">
        <v>557</v>
      </c>
      <c r="B1759" t="s">
        <v>573</v>
      </c>
      <c r="C1759" t="s">
        <v>576</v>
      </c>
    </row>
    <row r="1760" spans="1:3" x14ac:dyDescent="0.35">
      <c r="A1760" t="s">
        <v>557</v>
      </c>
      <c r="B1760" t="s">
        <v>573</v>
      </c>
      <c r="C1760" t="s">
        <v>577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5" x14ac:dyDescent="0.35"/>
  <cols>
    <col min="2" max="2" width="53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Dan O'Brien</cp:lastModifiedBy>
  <dcterms:created xsi:type="dcterms:W3CDTF">2019-09-06T15:21:18Z</dcterms:created>
  <dcterms:modified xsi:type="dcterms:W3CDTF">2026-07-27T22:41:26Z</dcterms:modified>
</cp:coreProperties>
</file>