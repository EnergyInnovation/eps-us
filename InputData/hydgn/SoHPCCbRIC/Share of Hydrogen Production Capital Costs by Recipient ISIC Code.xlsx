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Default Extension="png" ContentType="image/png"/>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395" yWindow="1440" windowWidth="25290" windowHeight="13845" tabRatio="600" firstSheet="0" activeTab="2" autoFilterDateGrouping="1"/>
  </bookViews>
  <sheets>
    <sheet xmlns:r="http://schemas.openxmlformats.org/officeDocument/2006/relationships" name="About" sheetId="1" state="visible" r:id="rId1"/>
    <sheet xmlns:r="http://schemas.openxmlformats.org/officeDocument/2006/relationships" name="Factors applied" sheetId="2" state="visible" r:id="rId2"/>
    <sheet xmlns:r="http://schemas.openxmlformats.org/officeDocument/2006/relationships" name="Data" sheetId="3" state="visible" r:id="rId3"/>
    <sheet xmlns:r="http://schemas.openxmlformats.org/officeDocument/2006/relationships" name="Checks" sheetId="4" state="visible" r:id="rId4"/>
    <sheet xmlns:r="http://schemas.openxmlformats.org/officeDocument/2006/relationships" name="SoHPCCbRIC" sheetId="5" state="visible" r:id="rId5"/>
  </sheets>
  <definedNames>
    <definedName name="CEPCIinflator">Data!$C$11</definedName>
    <definedName name="CPIinflator">Data!$C$12</definedName>
    <definedName name="CurrentYear">Data!$C$10</definedName>
  </definedNames>
  <calcPr calcId="191029" fullCalcOnLoad="1"/>
</workbook>
</file>

<file path=xl/styles.xml><?xml version="1.0" encoding="utf-8"?>
<styleSheet xmlns="http://schemas.openxmlformats.org/spreadsheetml/2006/main">
  <numFmts count="5">
    <numFmt numFmtId="164" formatCode="_(* #,##0_);_(* \(#,##0\);_(* &quot;-&quot;??_);_(@_)"/>
    <numFmt numFmtId="165" formatCode="0.000"/>
    <numFmt numFmtId="166" formatCode="0.0%"/>
    <numFmt numFmtId="167" formatCode="&quot;$&quot;#,##0"/>
    <numFmt numFmtId="168" formatCode="_(&quot;$&quot;* #,##0_);_(&quot;$&quot;* \(#,##0\);_(&quot;$&quot;* &quot;-&quot;??_);_(@_)"/>
  </numFmts>
  <fonts count="14">
    <font>
      <name val="Calibri"/>
      <family val="2"/>
      <color theme="1"/>
      <sz val="11"/>
      <scheme val="minor"/>
    </font>
    <font>
      <name val="Calibri"/>
      <family val="2"/>
      <color theme="1"/>
      <sz val="11"/>
      <scheme val="minor"/>
    </font>
    <font>
      <name val="Calibri"/>
      <family val="2"/>
      <b val="1"/>
      <color theme="1"/>
      <sz val="11"/>
      <scheme val="minor"/>
    </font>
    <font>
      <name val="Arial Black"/>
      <family val="2"/>
      <color indexed="12"/>
      <sz val="14"/>
    </font>
    <font>
      <name val="Arial"/>
      <family val="2"/>
      <b val="1"/>
      <color indexed="12"/>
      <sz val="12"/>
    </font>
    <font>
      <name val="Arial"/>
      <family val="2"/>
      <b val="1"/>
      <sz val="10"/>
    </font>
    <font>
      <name val="Arial"/>
      <family val="2"/>
      <sz val="10"/>
    </font>
    <font>
      <name val="Arial"/>
      <family val="2"/>
      <b val="1"/>
      <color indexed="23"/>
      <sz val="10"/>
    </font>
    <font>
      <name val="Arial"/>
      <family val="2"/>
      <b val="1"/>
      <color indexed="23"/>
      <sz val="12"/>
    </font>
    <font>
      <name val="Arial"/>
      <family val="2"/>
      <i val="1"/>
      <sz val="10"/>
    </font>
    <font>
      <name val="Calibri"/>
      <family val="2"/>
      <color theme="10"/>
      <sz val="11"/>
      <u val="single"/>
      <scheme val="minor"/>
    </font>
    <font>
      <name val="Calibri"/>
      <family val="2"/>
      <i val="1"/>
      <color theme="1"/>
      <sz val="11"/>
      <scheme val="minor"/>
    </font>
    <font>
      <b val="1"/>
    </font>
    <font/>
  </fonts>
  <fills count="8">
    <fill>
      <patternFill/>
    </fill>
    <fill>
      <patternFill patternType="gray125"/>
    </fill>
    <fill>
      <patternFill patternType="solid">
        <fgColor indexed="47"/>
        <bgColor indexed="64"/>
      </patternFill>
    </fill>
    <fill>
      <patternFill patternType="solid">
        <fgColor indexed="42"/>
        <bgColor indexed="64"/>
      </patternFill>
    </fill>
    <fill>
      <patternFill patternType="solid">
        <fgColor indexed="9"/>
        <bgColor indexed="64"/>
      </patternFill>
    </fill>
    <fill>
      <patternFill patternType="solid">
        <fgColor indexed="44"/>
        <bgColor indexed="64"/>
      </patternFill>
    </fill>
    <fill>
      <patternFill patternType="solid">
        <fgColor theme="0" tint="-0.0499893185216834"/>
        <bgColor indexed="64"/>
      </patternFill>
    </fill>
    <fill>
      <patternFill patternType="solid">
        <fgColor theme="0" tint="-0.249977111117893"/>
        <bgColor indexed="64"/>
      </patternFill>
    </fill>
  </fills>
  <borders count="43">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style="thin">
        <color indexed="64"/>
      </left>
      <right/>
      <top/>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bottom style="medium">
        <color indexed="64"/>
      </bottom>
      <diagonal/>
    </border>
    <border>
      <left/>
      <right style="thin">
        <color indexed="64"/>
      </right>
      <top style="medium">
        <color indexed="64"/>
      </top>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s>
  <cellStyleXfs count="5">
    <xf numFmtId="0" fontId="1" fillId="0" borderId="0"/>
    <xf numFmtId="43" fontId="1" fillId="0" borderId="0"/>
    <xf numFmtId="44" fontId="1" fillId="0" borderId="0"/>
    <xf numFmtId="9" fontId="1" fillId="0" borderId="0"/>
    <xf numFmtId="0" fontId="10" fillId="0" borderId="0"/>
  </cellStyleXfs>
  <cellXfs count="78">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right"/>
    </xf>
    <xf numFmtId="0" fontId="5" fillId="0" borderId="0" applyAlignment="1" pivotButton="0" quotePrefix="0" xfId="0">
      <alignment wrapText="1"/>
    </xf>
    <xf numFmtId="164" fontId="6" fillId="2" borderId="1" applyAlignment="1" applyProtection="1" pivotButton="0" quotePrefix="0" xfId="1">
      <alignment wrapText="1"/>
      <protection locked="0" hidden="0"/>
    </xf>
    <xf numFmtId="0" fontId="5" fillId="0" borderId="0" pivotButton="0" quotePrefix="0" xfId="0"/>
    <xf numFmtId="0" fontId="6" fillId="5" borderId="5" applyAlignment="1" applyProtection="1" pivotButton="0" quotePrefix="0" xfId="0">
      <alignment wrapText="1"/>
      <protection locked="0" hidden="0"/>
    </xf>
    <xf numFmtId="0" fontId="6" fillId="2" borderId="9" applyAlignment="1" applyProtection="1" pivotButton="0" quotePrefix="0" xfId="0">
      <alignment wrapText="1"/>
      <protection locked="0" hidden="0"/>
    </xf>
    <xf numFmtId="165" fontId="6" fillId="5" borderId="5" applyAlignment="1" applyProtection="1" pivotButton="0" quotePrefix="0" xfId="0">
      <alignment wrapText="1"/>
      <protection locked="0" hidden="0"/>
    </xf>
    <xf numFmtId="165" fontId="6" fillId="5" borderId="12" applyAlignment="1" applyProtection="1" pivotButton="0" quotePrefix="0" xfId="0">
      <alignment wrapText="1"/>
      <protection locked="0" hidden="0"/>
    </xf>
    <xf numFmtId="0" fontId="8" fillId="4" borderId="15" applyProtection="1" pivotButton="0" quotePrefix="0" xfId="0">
      <protection locked="0" hidden="0"/>
    </xf>
    <xf numFmtId="0" fontId="8" fillId="4" borderId="16" applyProtection="1" pivotButton="0" quotePrefix="0" xfId="0">
      <protection locked="0" hidden="0"/>
    </xf>
    <xf numFmtId="0" fontId="8" fillId="4" borderId="17" applyProtection="1" pivotButton="0" quotePrefix="0" xfId="0">
      <protection locked="0" hidden="0"/>
    </xf>
    <xf numFmtId="0" fontId="8" fillId="4" borderId="18" applyAlignment="1" applyProtection="1" pivotButton="0" quotePrefix="0" xfId="0">
      <alignment horizontal="right" wrapText="1"/>
      <protection locked="0" hidden="0"/>
    </xf>
    <xf numFmtId="0" fontId="7" fillId="4" borderId="19" applyAlignment="1" applyProtection="1" pivotButton="0" quotePrefix="0" xfId="0">
      <alignment horizontal="center" wrapText="1"/>
      <protection locked="0" hidden="0"/>
    </xf>
    <xf numFmtId="0" fontId="7" fillId="4" borderId="20" applyAlignment="1" applyProtection="1" pivotButton="0" quotePrefix="0" xfId="0">
      <alignment horizontal="center" wrapText="1"/>
      <protection locked="0" hidden="0"/>
    </xf>
    <xf numFmtId="0" fontId="7" fillId="4" borderId="21" applyAlignment="1" applyProtection="1" pivotButton="0" quotePrefix="0" xfId="0">
      <alignment horizontal="center" wrapText="1"/>
      <protection locked="0" hidden="0"/>
    </xf>
    <xf numFmtId="0" fontId="6" fillId="2" borderId="22" applyAlignment="1" applyProtection="1" pivotButton="0" quotePrefix="0" xfId="0">
      <alignment horizontal="left" wrapText="1"/>
      <protection locked="0" hidden="0"/>
    </xf>
    <xf numFmtId="3" fontId="6" fillId="2" borderId="23" applyAlignment="1" applyProtection="1" pivotButton="0" quotePrefix="0" xfId="0">
      <alignment wrapText="1"/>
      <protection locked="0" hidden="0"/>
    </xf>
    <xf numFmtId="42" fontId="6" fillId="5" borderId="24" applyAlignment="1" applyProtection="1" pivotButton="0" quotePrefix="0" xfId="0">
      <alignment wrapText="1"/>
      <protection locked="0" hidden="0"/>
    </xf>
    <xf numFmtId="2" fontId="6" fillId="2" borderId="25" applyAlignment="1" applyProtection="1" pivotButton="0" quotePrefix="0" xfId="0">
      <alignment wrapText="1"/>
      <protection locked="0" hidden="0"/>
    </xf>
    <xf numFmtId="0" fontId="6" fillId="3" borderId="26" applyAlignment="1" applyProtection="1" pivotButton="0" quotePrefix="0" xfId="0">
      <alignment wrapText="1"/>
      <protection locked="0" hidden="0"/>
    </xf>
    <xf numFmtId="0" fontId="6" fillId="3" borderId="27" applyAlignment="1" applyProtection="1" pivotButton="0" quotePrefix="0" xfId="0">
      <alignment wrapText="1"/>
      <protection locked="0" hidden="0"/>
    </xf>
    <xf numFmtId="0" fontId="5" fillId="2" borderId="5" applyAlignment="1" applyProtection="1" pivotButton="0" quotePrefix="0" xfId="0">
      <alignment horizontal="left" wrapText="1"/>
      <protection locked="0" hidden="0"/>
    </xf>
    <xf numFmtId="164" fontId="6" fillId="2" borderId="28" applyAlignment="1" applyProtection="1" pivotButton="0" quotePrefix="0" xfId="0">
      <alignment wrapText="1"/>
      <protection locked="0" hidden="0"/>
    </xf>
    <xf numFmtId="2" fontId="6" fillId="2" borderId="29" applyAlignment="1" applyProtection="1" pivotButton="0" quotePrefix="0" xfId="0">
      <alignment wrapText="1"/>
      <protection locked="0" hidden="0"/>
    </xf>
    <xf numFmtId="0" fontId="6" fillId="3" borderId="30" applyAlignment="1" applyProtection="1" pivotButton="0" quotePrefix="0" xfId="0">
      <alignment wrapText="1"/>
      <protection locked="0" hidden="0"/>
    </xf>
    <xf numFmtId="0" fontId="6" fillId="3" borderId="31" applyAlignment="1" applyProtection="1" pivotButton="0" quotePrefix="0" xfId="0">
      <alignment wrapText="1"/>
      <protection locked="0" hidden="0"/>
    </xf>
    <xf numFmtId="0" fontId="6" fillId="2" borderId="5" applyAlignment="1" applyProtection="1" pivotButton="0" quotePrefix="0" xfId="0">
      <alignment horizontal="left" wrapText="1" indent="1"/>
      <protection locked="0" hidden="0"/>
    </xf>
    <xf numFmtId="0" fontId="6" fillId="4" borderId="32" applyAlignment="1" applyProtection="1" pivotButton="0" quotePrefix="0" xfId="0">
      <alignment horizontal="left" wrapText="1"/>
      <protection locked="0" hidden="0"/>
    </xf>
    <xf numFmtId="164" fontId="6" fillId="5" borderId="33" applyAlignment="1" applyProtection="1" pivotButton="0" quotePrefix="0" xfId="0">
      <alignment wrapText="1"/>
      <protection locked="0" hidden="0"/>
    </xf>
    <xf numFmtId="42" fontId="6" fillId="5" borderId="34" applyAlignment="1" applyProtection="1" pivotButton="0" quotePrefix="0" xfId="0">
      <alignment wrapText="1"/>
      <protection locked="0" hidden="0"/>
    </xf>
    <xf numFmtId="2" fontId="6" fillId="4" borderId="33" applyAlignment="1" applyProtection="1" pivotButton="0" quotePrefix="0" xfId="0">
      <alignment wrapText="1"/>
      <protection locked="0" hidden="0"/>
    </xf>
    <xf numFmtId="0" fontId="6" fillId="4" borderId="33" applyAlignment="1" applyProtection="1" pivotButton="0" quotePrefix="0" xfId="0">
      <alignment wrapText="1"/>
      <protection locked="0" hidden="0"/>
    </xf>
    <xf numFmtId="0" fontId="6" fillId="4" borderId="35" applyAlignment="1" applyProtection="1" pivotButton="0" quotePrefix="0" xfId="0">
      <alignment wrapText="1"/>
      <protection locked="0" hidden="0"/>
    </xf>
    <xf numFmtId="164" fontId="0" fillId="0" borderId="0" pivotButton="0" quotePrefix="0" xfId="0"/>
    <xf numFmtId="0" fontId="0" fillId="6" borderId="36" pivotButton="0" quotePrefix="0" xfId="0"/>
    <xf numFmtId="0" fontId="6" fillId="6" borderId="36" pivotButton="0" quotePrefix="0" xfId="0"/>
    <xf numFmtId="164" fontId="0" fillId="6" borderId="36" pivotButton="0" quotePrefix="0" xfId="1"/>
    <xf numFmtId="9" fontId="0" fillId="6" borderId="36" pivotButton="0" quotePrefix="0" xfId="0"/>
    <xf numFmtId="0" fontId="9" fillId="6" borderId="36" pivotButton="0" quotePrefix="0" xfId="0"/>
    <xf numFmtId="0" fontId="10" fillId="0" borderId="0" pivotButton="0" quotePrefix="0" xfId="4"/>
    <xf numFmtId="0" fontId="0" fillId="0" borderId="0" applyAlignment="1" pivotButton="0" quotePrefix="0" xfId="0">
      <alignment horizontal="left"/>
    </xf>
    <xf numFmtId="0" fontId="2" fillId="7" borderId="0" pivotButton="0" quotePrefix="0" xfId="0"/>
    <xf numFmtId="0" fontId="0" fillId="0" borderId="0" applyAlignment="1" pivotButton="0" quotePrefix="0" xfId="0">
      <alignment wrapText="1"/>
    </xf>
    <xf numFmtId="166" fontId="0" fillId="0" borderId="0" pivotButton="0" quotePrefix="0" xfId="3"/>
    <xf numFmtId="167" fontId="0" fillId="0" borderId="0" pivotButton="0" quotePrefix="0" xfId="0"/>
    <xf numFmtId="168" fontId="0" fillId="0" borderId="0" pivotButton="0" quotePrefix="0" xfId="2"/>
    <xf numFmtId="0" fontId="11" fillId="0" borderId="0" pivotButton="0" quotePrefix="0" xfId="0"/>
    <xf numFmtId="0" fontId="0" fillId="0" borderId="0" applyAlignment="1" pivotButton="0" quotePrefix="0" xfId="0">
      <alignment horizontal="right"/>
    </xf>
    <xf numFmtId="0" fontId="6" fillId="3" borderId="13" applyAlignment="1" applyProtection="1" pivotButton="0" quotePrefix="0" xfId="0">
      <alignment wrapText="1"/>
      <protection locked="0" hidden="0"/>
    </xf>
    <xf numFmtId="0" fontId="0" fillId="0" borderId="4" pivotButton="0" quotePrefix="0" xfId="0"/>
    <xf numFmtId="0" fontId="0" fillId="0" borderId="14" pivotButton="0" quotePrefix="0" xfId="0"/>
    <xf numFmtId="0" fontId="0" fillId="0" borderId="0" applyAlignment="1" pivotButton="0" quotePrefix="0" xfId="0">
      <alignment horizontal="left" wrapText="1"/>
    </xf>
    <xf numFmtId="0" fontId="6" fillId="3" borderId="2" applyAlignment="1" applyProtection="1" pivotButton="0" quotePrefix="0" xfId="0">
      <alignment wrapText="1"/>
      <protection locked="0" hidden="0"/>
    </xf>
    <xf numFmtId="0" fontId="0" fillId="0" borderId="2" pivotButton="0" quotePrefix="0" xfId="0"/>
    <xf numFmtId="0" fontId="0" fillId="0" borderId="3" pivotButton="0" quotePrefix="0" xfId="0"/>
    <xf numFmtId="0" fontId="7" fillId="4" borderId="4" applyAlignment="1" applyProtection="1" pivotButton="0" quotePrefix="0" xfId="0">
      <alignment horizontal="center" wrapText="1"/>
      <protection locked="0" hidden="0"/>
    </xf>
    <xf numFmtId="0" fontId="6" fillId="3" borderId="6" applyAlignment="1" applyProtection="1" pivotButton="0" quotePrefix="0" xfId="0">
      <alignment wrapText="1"/>
      <protection locked="0" hidden="0"/>
    </xf>
    <xf numFmtId="0" fontId="0" fillId="0" borderId="7" pivotButton="0" quotePrefix="0" xfId="0"/>
    <xf numFmtId="0" fontId="0" fillId="0" borderId="8" pivotButton="0" quotePrefix="0" xfId="0"/>
    <xf numFmtId="0" fontId="6" fillId="3" borderId="10" applyAlignment="1" applyProtection="1" pivotButton="0" quotePrefix="0" xfId="0">
      <alignment wrapText="1"/>
      <protection locked="0" hidden="0"/>
    </xf>
    <xf numFmtId="0" fontId="0" fillId="0" borderId="0" pivotButton="0" quotePrefix="0" xfId="0"/>
    <xf numFmtId="0" fontId="0" fillId="0" borderId="11" pivotButton="0" quotePrefix="0" xfId="0"/>
    <xf numFmtId="0" fontId="12" fillId="0" borderId="0" pivotButton="0" quotePrefix="0" xfId="0"/>
    <xf numFmtId="0" fontId="0" fillId="0" borderId="39" applyProtection="1" pivotButton="0" quotePrefix="0" xfId="0">
      <protection locked="0" hidden="0"/>
    </xf>
    <xf numFmtId="0" fontId="0" fillId="0" borderId="40" applyProtection="1" pivotButton="0" quotePrefix="0" xfId="0">
      <protection locked="0" hidden="0"/>
    </xf>
    <xf numFmtId="0" fontId="0" fillId="0" borderId="4" applyProtection="1" pivotButton="0" quotePrefix="0" xfId="0">
      <protection locked="0" hidden="0"/>
    </xf>
    <xf numFmtId="0" fontId="6" fillId="3" borderId="41" applyAlignment="1" applyProtection="1" pivotButton="0" quotePrefix="0" xfId="0">
      <alignment wrapText="1"/>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6" fillId="3" borderId="42" applyAlignment="1" applyProtection="1" pivotButton="0" quotePrefix="0" xfId="0">
      <alignment wrapText="1"/>
      <protection locked="0" hidden="0"/>
    </xf>
    <xf numFmtId="0" fontId="0" fillId="0" borderId="0" applyProtection="1" pivotButton="0" quotePrefix="0" xfId="0">
      <protection locked="0" hidden="0"/>
    </xf>
    <xf numFmtId="0" fontId="0" fillId="0" borderId="11" applyProtection="1" pivotButton="0" quotePrefix="0" xfId="0">
      <protection locked="0" hidden="0"/>
    </xf>
    <xf numFmtId="0" fontId="6" fillId="3" borderId="37" applyAlignment="1" applyProtection="1" pivotButton="0" quotePrefix="0" xfId="0">
      <alignment wrapText="1"/>
      <protection locked="0" hidden="0"/>
    </xf>
    <xf numFmtId="0" fontId="0" fillId="0" borderId="14" applyProtection="1" pivotButton="0" quotePrefix="0" xfId="0">
      <protection locked="0" hidden="0"/>
    </xf>
    <xf numFmtId="0" fontId="13" fillId="0" borderId="0" pivotButton="0" quotePrefix="0" xfId="0"/>
  </cellXfs>
  <cellStyles count="5">
    <cellStyle name="Normal" xfId="0" builtinId="0"/>
    <cellStyle name="Comma" xfId="1" builtinId="3"/>
    <cellStyle name="Currency" xfId="2" builtinId="4"/>
    <cellStyle name="Percent" xfId="3" builtinId="5"/>
    <cellStyle name="Hyperlink" xfId="4"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678180</xdr:colOff>
      <xdr:row>31</xdr:row>
      <xdr:rowOff>76200</xdr:rowOff>
    </xdr:from>
    <xdr:to>
      <xdr:col>4</xdr:col>
      <xdr:colOff>769620</xdr:colOff>
      <xdr:row>33</xdr:row>
      <xdr:rowOff>38100</xdr:rowOff>
    </xdr:to>
    <xdr:sp macro="" textlink="">
      <xdr:nvSpPr>
        <xdr:cNvPr id="3" name="Rounded Rectangle 2">
          <a:extLst>
            <a:ext uri="{FF2B5EF4-FFF2-40B4-BE49-F238E27FC236}">
              <a16:creationId xmlns:a16="http://schemas.microsoft.com/office/drawing/2014/main" id="{00000000-0008-0000-0100-000003000000}"/>
            </a:ext>
          </a:extLst>
        </xdr:cNvPr>
        <xdr:cNvSpPr/>
      </xdr:nvSpPr>
      <xdr:spPr>
        <a:xfrm>
          <a:off x="4935855" y="76200"/>
          <a:ext cx="1339215" cy="409575"/>
        </a:xfrm>
        <a:prstGeom prst="roundRect">
          <a:avLst/>
        </a:prstGeom>
        <a:solidFill>
          <a:srgbClr val="8080E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0" cap="none" spc="0">
              <a:ln w="0"/>
              <a:solidFill>
                <a:schemeClr val="bg1"/>
              </a:solidFill>
              <a:effectLst>
                <a:outerShdw blurRad="38100" dist="25400" dir="5400000" algn="ctr" rotWithShape="0">
                  <a:srgbClr val="6E747A">
                    <a:alpha val="43000"/>
                  </a:srgbClr>
                </a:outerShdw>
              </a:effectLst>
              <a:latin typeface="Arial" panose="020B0604020202020204" pitchFamily="34" charset="0"/>
              <a:ea typeface="+mn-ea"/>
              <a:cs typeface="Arial" panose="020B0604020202020204" pitchFamily="34" charset="0"/>
            </a:rPr>
            <a:t>Input Sheet</a:t>
          </a:r>
        </a:p>
      </xdr:txBody>
    </xdr:sp>
    <xdr:clientData/>
  </xdr:twoCellAnchor>
  <xdr:twoCellAnchor>
    <xdr:from>
      <xdr:col>3</xdr:col>
      <xdr:colOff>678180</xdr:colOff>
      <xdr:row>33</xdr:row>
      <xdr:rowOff>106680</xdr:rowOff>
    </xdr:from>
    <xdr:to>
      <xdr:col>4</xdr:col>
      <xdr:colOff>769620</xdr:colOff>
      <xdr:row>35</xdr:row>
      <xdr:rowOff>152400</xdr:rowOff>
    </xdr:to>
    <xdr:sp macro="" textlink="">
      <xdr:nvSpPr>
        <xdr:cNvPr id="4" name="Rounded Rectangle 3">
          <a:extLst>
            <a:ext uri="{FF2B5EF4-FFF2-40B4-BE49-F238E27FC236}">
              <a16:creationId xmlns:a16="http://schemas.microsoft.com/office/drawing/2014/main" id="{00000000-0008-0000-0100-000004000000}"/>
            </a:ext>
          </a:extLst>
        </xdr:cNvPr>
        <xdr:cNvSpPr/>
      </xdr:nvSpPr>
      <xdr:spPr>
        <a:xfrm>
          <a:off x="4935855" y="554355"/>
          <a:ext cx="1339215" cy="407670"/>
        </a:xfrm>
        <a:prstGeom prst="roundRect">
          <a:avLst/>
        </a:prstGeom>
        <a:solidFill>
          <a:srgbClr val="8080E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1" cap="none" spc="0">
              <a:ln w="0"/>
              <a:solidFill>
                <a:schemeClr val="bg1"/>
              </a:solidFill>
              <a:effectLst>
                <a:outerShdw blurRad="38100" dist="25400" dir="5400000" algn="ctr" rotWithShape="0">
                  <a:srgbClr val="6E747A">
                    <a:alpha val="43000"/>
                  </a:srgbClr>
                </a:outerShdw>
              </a:effectLst>
              <a:latin typeface="Arial" panose="020B0604020202020204" pitchFamily="34" charset="0"/>
              <a:ea typeface="+mn-ea"/>
              <a:cs typeface="Arial" panose="020B0604020202020204" pitchFamily="34" charset="0"/>
            </a:rPr>
            <a:t>Key</a:t>
          </a:r>
        </a:p>
      </xdr:txBody>
    </xdr:sp>
    <xdr:clientData/>
  </xdr:twoCellAnchor>
  <xdr:twoCellAnchor editAs="oneCell">
    <xdr:from>
      <xdr:col>0</xdr:col>
      <xdr:colOff>0</xdr:colOff>
      <xdr:row>0</xdr:row>
      <xdr:rowOff>0</xdr:rowOff>
    </xdr:from>
    <xdr:to>
      <xdr:col>10</xdr:col>
      <xdr:colOff>722200</xdr:colOff>
      <xdr:row>23</xdr:row>
      <xdr:rowOff>94690</xdr:rowOff>
    </xdr:to>
    <xdr:pic>
      <xdr:nvPicPr>
        <xdr:cNvPr id="6" name="Pictur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1"/>
        <a:stretch>
          <a:fillRect/>
        </a:stretch>
      </xdr:blipFill>
      <xdr:spPr>
        <a:xfrm>
          <a:off x="0" y="0"/>
          <a:ext cx="13600000" cy="4476190"/>
        </a:xfrm>
        <a:prstGeom prst="rect">
          <a:avLst/>
        </a:prstGeom>
      </xdr:spPr>
    </xdr:pic>
    <xdr:clientData/>
  </xdr:twoCellAnchor>
  <xdr:twoCellAnchor editAs="oneCell">
    <xdr:from>
      <xdr:col>1</xdr:col>
      <xdr:colOff>0</xdr:colOff>
      <xdr:row>78</xdr:row>
      <xdr:rowOff>0</xdr:rowOff>
    </xdr:from>
    <xdr:to>
      <xdr:col>9</xdr:col>
      <xdr:colOff>198543</xdr:colOff>
      <xdr:row>98</xdr:row>
      <xdr:rowOff>85238</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2"/>
        <a:stretch>
          <a:fillRect/>
        </a:stretch>
      </xdr:blipFill>
      <xdr:spPr>
        <a:xfrm>
          <a:off x="609600" y="15563850"/>
          <a:ext cx="11857143" cy="389523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nrel.gov/hydrogen/assets/docs/current-central-pem-electrolysis-v3-2018.xlsm" TargetMode="External" Id="rId1"/><Relationship Type="http://schemas.openxmlformats.org/officeDocument/2006/relationships/hyperlink" Target="https://ieaghg.org/exco_docs/2017-02.pdf" TargetMode="External" Id="rId2"/><Relationship Type="http://schemas.openxmlformats.org/officeDocument/2006/relationships/hyperlink" Target="https://ieaghg.org/docs/General_Docs/Reports/2014-03.pdf" TargetMode="External" Id="rId3"/></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B38"/>
  <sheetViews>
    <sheetView topLeftCell="A1" workbookViewId="0">
      <selection activeCell="A1" sqref="A1"/>
    </sheetView>
  </sheetViews>
  <sheetFormatPr baseColWidth="8" defaultRowHeight="14.5"/>
  <cols>
    <col width="65.1796875" customWidth="1" style="63" min="2" max="2"/>
  </cols>
  <sheetData>
    <row r="1">
      <c r="A1" s="1" t="inlineStr">
        <is>
          <t>SoHPCCbRIC Share of Hydrogen Production Capital Costs by Recipient ISIC Code</t>
        </is>
      </c>
    </row>
    <row r="2"/>
    <row r="3">
      <c r="A3" s="1" t="inlineStr">
        <is>
          <t>Sources:</t>
        </is>
      </c>
      <c r="B3" s="44" t="inlineStr">
        <is>
          <t>Electrolysis</t>
        </is>
      </c>
    </row>
    <row r="4">
      <c r="B4" t="inlineStr">
        <is>
          <t>NREL</t>
        </is>
      </c>
    </row>
    <row r="5">
      <c r="B5" s="43" t="n">
        <v>2018</v>
      </c>
    </row>
    <row r="6">
      <c r="B6" t="inlineStr">
        <is>
          <t>Current Central Hydrogen Production from Grid PEM Electrolysis</t>
        </is>
      </c>
    </row>
    <row r="7">
      <c r="B7" s="42" t="inlineStr">
        <is>
          <t>https://www.nrel.gov/hydrogen/assets/docs/current-central-pem-electrolysis-v3-2018.xlsm</t>
        </is>
      </c>
    </row>
    <row r="8">
      <c r="B8" t="inlineStr">
        <is>
          <t>"Capital Costs" tab</t>
        </is>
      </c>
    </row>
    <row r="9"/>
    <row r="10">
      <c r="B10" s="44" t="inlineStr">
        <is>
          <t>Natural Gas Reforming</t>
        </is>
      </c>
    </row>
    <row r="11">
      <c r="B11" t="inlineStr">
        <is>
          <t>IEA</t>
        </is>
      </c>
    </row>
    <row r="12">
      <c r="B12" s="43" t="n">
        <v>2017</v>
      </c>
    </row>
    <row r="13">
      <c r="B13" t="inlineStr">
        <is>
          <t>Techno-Economic Evaluation of SMR Based Standalone (Merchant) Hydrogen Plant with CCS</t>
        </is>
      </c>
    </row>
    <row r="14">
      <c r="B14" s="42" t="inlineStr">
        <is>
          <t>https://ieaghg.org/exco_docs/2017-02.pdf</t>
        </is>
      </c>
    </row>
    <row r="15">
      <c r="B15" t="inlineStr">
        <is>
          <t>Techno-Economic Evaluation of Standalone (Merchant) H2 Plant (p.222)</t>
        </is>
      </c>
    </row>
    <row r="16"/>
    <row r="17">
      <c r="B17" s="44" t="inlineStr">
        <is>
          <t xml:space="preserve">Coal/Biomass Gasification </t>
        </is>
      </c>
    </row>
    <row r="18">
      <c r="B18" t="inlineStr">
        <is>
          <t>IEA</t>
        </is>
      </c>
    </row>
    <row r="19">
      <c r="B19" s="43" t="n">
        <v>2014</v>
      </c>
    </row>
    <row r="20">
      <c r="B20" t="inlineStr">
        <is>
          <t>CO2 CAPTURE AT COAL BASED POWER AND HYDROGEN PLANTS</t>
        </is>
      </c>
    </row>
    <row r="21">
      <c r="B21" s="42" t="inlineStr">
        <is>
          <t>https://ieaghg.org/docs/General_Docs/Reports/2014-03.pdf</t>
        </is>
      </c>
    </row>
    <row r="22" ht="29" customHeight="1" s="63">
      <c r="B22" s="45" t="inlineStr">
        <is>
          <t>Chapter F, Table 12, CO2 CAPTURE AT BASED POWER AND HYDROGEN PLANTS CASE 5.3 - IGCC (GE Energy) HYDROGEN PRODUCTION - BOILER</t>
        </is>
      </c>
    </row>
    <row r="23"/>
    <row r="24">
      <c r="A24" s="1" t="inlineStr">
        <is>
          <t>Notes</t>
        </is>
      </c>
    </row>
    <row r="25">
      <c r="A25" t="inlineStr">
        <is>
          <t>We do not have data on thermochemical water splitting.  This hydrogen production pathway</t>
        </is>
      </c>
    </row>
    <row r="26">
      <c r="A26" t="inlineStr">
        <is>
          <t>is not used in the U.S. EPS as of 3.0.0, so it doesn't matter what data are included here for</t>
        </is>
      </c>
    </row>
    <row r="27">
      <c r="A27" t="inlineStr">
        <is>
          <t>that pathway.  We use the data for coal gasification as a stand-in, so that if</t>
        </is>
      </c>
    </row>
    <row r="28">
      <c r="A28" t="inlineStr">
        <is>
          <t>someone enables this pathway in the future, the revenues from equipment</t>
        </is>
      </c>
    </row>
    <row r="29">
      <c r="A29" t="inlineStr">
        <is>
          <t>purchases will not simply vanish, but will be allocated to ISIC codes, and</t>
        </is>
      </c>
    </row>
    <row r="30">
      <c r="A30" t="inlineStr">
        <is>
          <t>expenses and revenues will still balance.  (They should update the allocations in</t>
        </is>
      </c>
    </row>
    <row r="31">
      <c r="A31" t="inlineStr">
        <is>
          <t>this variable when they enable the thermochemical water splitting pathway.)</t>
        </is>
      </c>
    </row>
    <row r="33">
      <c r="A33" s="65" t="inlineStr">
        <is>
          <t>52-code expansion (2026-07-17):</t>
        </is>
      </c>
    </row>
    <row r="34">
      <c r="A34" t="inlineStr">
        <is>
          <t>The output tabs produce the 52-code ISIC list. The derivation above is unchanged and live; output-tab formulas reference the derivation tabs</t>
        </is>
      </c>
    </row>
    <row r="35">
      <c r="A35" t="inlineStr">
        <is>
          <t>directly, with the original header-label criteria written as literals (the derivation tabs still use the pre-split 42-code labels).</t>
        </is>
      </c>
    </row>
    <row r="37">
      <c r="A37" t="inlineStr">
        <is>
          <t>Children of split parents multiply the parent's allocation by the factors on the 'Factors applied' tab (editable; defaults = BEA 2024 gross-</t>
        </is>
      </c>
    </row>
    <row r="38">
      <c r="A38" t="inlineStr">
        <is>
          <t>output shares from io-model/BObIC; semantic overrides documented per row with rationale).</t>
        </is>
      </c>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G114"/>
  <sheetViews>
    <sheetView workbookViewId="0">
      <selection activeCell="A1" sqref="A1"/>
    </sheetView>
  </sheetViews>
  <sheetFormatPr baseColWidth="8" defaultRowHeight="15"/>
  <cols>
    <col width="28" customWidth="1" style="63" min="1" max="1"/>
    <col width="30" customWidth="1" style="63" min="2" max="2"/>
    <col width="44" customWidth="1" style="63" min="6" max="6"/>
  </cols>
  <sheetData>
    <row r="1">
      <c r="A1" s="65" t="inlineStr">
        <is>
          <t>Child factors applied inline in the output-tab formulas (editable). Defaults = BEA 2024 output shares; semantic overrides and fuel reroutes noted per row.</t>
        </is>
      </c>
    </row>
    <row r="2">
      <c r="A2" s="65" t="inlineStr">
        <is>
          <t>File</t>
        </is>
      </c>
      <c r="B2" s="65" t="inlineStr">
        <is>
          <t>Row context</t>
        </is>
      </c>
      <c r="C2" s="65" t="inlineStr">
        <is>
          <t>Child</t>
        </is>
      </c>
      <c r="D2" s="65" t="inlineStr">
        <is>
          <t>Parent</t>
        </is>
      </c>
      <c r="E2" s="65" t="inlineStr">
        <is>
          <t>Factor</t>
        </is>
      </c>
      <c r="F2" s="65" t="inlineStr">
        <is>
          <t>Rationale</t>
        </is>
      </c>
      <c r="G2" s="65" t="inlineStr">
        <is>
          <t>BEA 2024 output share</t>
        </is>
      </c>
    </row>
    <row r="3">
      <c r="A3" t="inlineStr">
        <is>
          <t>SoHPCCbRIC.csv</t>
        </is>
      </c>
      <c r="B3" t="inlineStr">
        <is>
          <t>biomass gasification</t>
        </is>
      </c>
      <c r="C3" t="inlineStr">
        <is>
          <t>ISIC 01</t>
        </is>
      </c>
      <c r="D3" t="inlineStr">
        <is>
          <t>ISIC 01T03</t>
        </is>
      </c>
      <c r="E3" t="n">
        <v>0.9429986826432329</v>
      </c>
      <c r="F3" t="inlineStr">
        <is>
          <t>BEA 2024 output share (default)</t>
        </is>
      </c>
      <c r="G3" t="n">
        <v>0.9429986826432329</v>
      </c>
    </row>
    <row r="4">
      <c r="A4" t="inlineStr">
        <is>
          <t>SoHPCCbRIC.csv</t>
        </is>
      </c>
      <c r="B4" t="inlineStr">
        <is>
          <t>biomass gasification</t>
        </is>
      </c>
      <c r="C4" t="inlineStr">
        <is>
          <t>ISIC 02</t>
        </is>
      </c>
      <c r="D4" t="inlineStr">
        <is>
          <t>ISIC 01T03</t>
        </is>
      </c>
      <c r="E4" t="n">
        <v>0.04176573136965662</v>
      </c>
      <c r="F4" t="inlineStr">
        <is>
          <t>BEA 2024 output share (default)</t>
        </is>
      </c>
      <c r="G4" t="n">
        <v>0.04176573136965662</v>
      </c>
    </row>
    <row r="5">
      <c r="A5" t="inlineStr">
        <is>
          <t>SoHPCCbRIC.csv</t>
        </is>
      </c>
      <c r="B5" t="inlineStr">
        <is>
          <t>biomass gasification</t>
        </is>
      </c>
      <c r="C5" t="inlineStr">
        <is>
          <t>ISIC 03</t>
        </is>
      </c>
      <c r="D5" t="inlineStr">
        <is>
          <t>ISIC 01T03</t>
        </is>
      </c>
      <c r="E5" t="n">
        <v>0.01523558598711041</v>
      </c>
      <c r="F5" t="inlineStr">
        <is>
          <t>BEA 2024 output share (default)</t>
        </is>
      </c>
      <c r="G5" t="n">
        <v>0.01523558598711041</v>
      </c>
    </row>
    <row r="6">
      <c r="A6" t="inlineStr">
        <is>
          <t>SoHPCCbRIC.csv</t>
        </is>
      </c>
      <c r="B6" t="inlineStr">
        <is>
          <t>biomass gasification</t>
        </is>
      </c>
      <c r="C6" t="inlineStr">
        <is>
          <t>ISIC 07</t>
        </is>
      </c>
      <c r="D6" t="inlineStr">
        <is>
          <t>ISIC 07T08</t>
        </is>
      </c>
      <c r="E6" t="n">
        <v>0.4327368836123752</v>
      </c>
      <c r="F6" t="inlineStr">
        <is>
          <t>BEA 2024 output share (default)</t>
        </is>
      </c>
      <c r="G6" t="n">
        <v>0.4327368836123752</v>
      </c>
    </row>
    <row r="7">
      <c r="A7" t="inlineStr">
        <is>
          <t>SoHPCCbRIC.csv</t>
        </is>
      </c>
      <c r="B7" t="inlineStr">
        <is>
          <t>biomass gasification</t>
        </is>
      </c>
      <c r="C7" t="inlineStr">
        <is>
          <t>ISIC 08</t>
        </is>
      </c>
      <c r="D7" t="inlineStr">
        <is>
          <t>ISIC 07T08</t>
        </is>
      </c>
      <c r="E7" t="n">
        <v>0.5672631163876248</v>
      </c>
      <c r="F7" t="inlineStr">
        <is>
          <t>BEA 2024 output share (default)</t>
        </is>
      </c>
      <c r="G7" t="n">
        <v>0.5672631163876248</v>
      </c>
    </row>
    <row r="8">
      <c r="A8" t="inlineStr">
        <is>
          <t>SoHPCCbRIC.csv</t>
        </is>
      </c>
      <c r="B8" t="inlineStr">
        <is>
          <t>biomass gasification</t>
        </is>
      </c>
      <c r="C8" t="inlineStr">
        <is>
          <t>ISIC 301</t>
        </is>
      </c>
      <c r="D8" t="inlineStr">
        <is>
          <t>ISIC 30</t>
        </is>
      </c>
      <c r="E8" t="n">
        <v>0.1171368722490322</v>
      </c>
      <c r="F8" t="inlineStr">
        <is>
          <t>BEA 2024 output share (default)</t>
        </is>
      </c>
      <c r="G8" t="n">
        <v>0.1171368722490322</v>
      </c>
    </row>
    <row r="9">
      <c r="A9" t="inlineStr">
        <is>
          <t>SoHPCCbRIC.csv</t>
        </is>
      </c>
      <c r="B9" t="inlineStr">
        <is>
          <t>biomass gasification</t>
        </is>
      </c>
      <c r="C9" t="inlineStr">
        <is>
          <t>ISIC 302T309</t>
        </is>
      </c>
      <c r="D9" t="inlineStr">
        <is>
          <t>ISIC 30</t>
        </is>
      </c>
      <c r="E9" t="n">
        <v>0.8828631277509678</v>
      </c>
      <c r="F9" t="inlineStr">
        <is>
          <t>BEA 2024 output share (default)</t>
        </is>
      </c>
      <c r="G9" t="n">
        <v>0.8828631277509678</v>
      </c>
    </row>
    <row r="10">
      <c r="A10" t="inlineStr">
        <is>
          <t>SoHPCCbRIC.csv</t>
        </is>
      </c>
      <c r="B10" t="inlineStr">
        <is>
          <t>biomass gasification</t>
        </is>
      </c>
      <c r="C10" t="inlineStr">
        <is>
          <t>ISIC 49</t>
        </is>
      </c>
      <c r="D10" t="inlineStr">
        <is>
          <t>ISIC 49T53</t>
        </is>
      </c>
      <c r="E10" t="n">
        <v>0.45630816353267</v>
      </c>
      <c r="F10" t="inlineStr">
        <is>
          <t>BEA 2024 output share (default)</t>
        </is>
      </c>
      <c r="G10" t="n">
        <v>0.45630816353267</v>
      </c>
    </row>
    <row r="11">
      <c r="A11" t="inlineStr">
        <is>
          <t>SoHPCCbRIC.csv</t>
        </is>
      </c>
      <c r="B11" t="inlineStr">
        <is>
          <t>biomass gasification</t>
        </is>
      </c>
      <c r="C11" t="inlineStr">
        <is>
          <t>ISIC 50</t>
        </is>
      </c>
      <c r="D11" t="inlineStr">
        <is>
          <t>ISIC 49T53</t>
        </is>
      </c>
      <c r="E11" t="n">
        <v>0.04437004750051631</v>
      </c>
      <c r="F11" t="inlineStr">
        <is>
          <t>BEA 2024 output share (default)</t>
        </is>
      </c>
      <c r="G11" t="n">
        <v>0.04437004750051631</v>
      </c>
    </row>
    <row r="12">
      <c r="A12" t="inlineStr">
        <is>
          <t>SoHPCCbRIC.csv</t>
        </is>
      </c>
      <c r="B12" t="inlineStr">
        <is>
          <t>biomass gasification</t>
        </is>
      </c>
      <c r="C12" t="inlineStr">
        <is>
          <t>ISIC 51</t>
        </is>
      </c>
      <c r="D12" t="inlineStr">
        <is>
          <t>ISIC 49T53</t>
        </is>
      </c>
      <c r="E12" t="n">
        <v>0.1883750452665103</v>
      </c>
      <c r="F12" t="inlineStr">
        <is>
          <t>BEA 2024 output share (default)</t>
        </is>
      </c>
      <c r="G12" t="n">
        <v>0.1883750452665103</v>
      </c>
    </row>
    <row r="13">
      <c r="A13" t="inlineStr">
        <is>
          <t>SoHPCCbRIC.csv</t>
        </is>
      </c>
      <c r="B13" t="inlineStr">
        <is>
          <t>biomass gasification</t>
        </is>
      </c>
      <c r="C13" t="inlineStr">
        <is>
          <t>ISIC 52</t>
        </is>
      </c>
      <c r="D13" t="inlineStr">
        <is>
          <t>ISIC 49T53</t>
        </is>
      </c>
      <c r="E13" t="n">
        <v>0.2228651226758185</v>
      </c>
      <c r="F13" t="inlineStr">
        <is>
          <t>BEA 2024 output share (default)</t>
        </is>
      </c>
      <c r="G13" t="n">
        <v>0.2228651226758185</v>
      </c>
    </row>
    <row r="14">
      <c r="A14" t="inlineStr">
        <is>
          <t>SoHPCCbRIC.csv</t>
        </is>
      </c>
      <c r="B14" t="inlineStr">
        <is>
          <t>biomass gasification</t>
        </is>
      </c>
      <c r="C14" t="inlineStr">
        <is>
          <t>ISIC 53</t>
        </is>
      </c>
      <c r="D14" t="inlineStr">
        <is>
          <t>ISIC 49T53</t>
        </is>
      </c>
      <c r="E14" t="n">
        <v>0.08808162102448482</v>
      </c>
      <c r="F14" t="inlineStr">
        <is>
          <t>BEA 2024 output share (default)</t>
        </is>
      </c>
      <c r="G14" t="n">
        <v>0.08808162102448482</v>
      </c>
    </row>
    <row r="15">
      <c r="A15" t="inlineStr">
        <is>
          <t>SoHPCCbRIC.csv</t>
        </is>
      </c>
      <c r="B15" t="inlineStr">
        <is>
          <t>biomass gasification</t>
        </is>
      </c>
      <c r="C15" t="inlineStr">
        <is>
          <t>ISIC 69T75</t>
        </is>
      </c>
      <c r="D15" t="inlineStr">
        <is>
          <t>ISIC 69T82</t>
        </is>
      </c>
      <c r="E15" t="n">
        <v>1</v>
      </c>
      <c r="F15" t="inlineStr">
        <is>
          <t>semantic override</t>
        </is>
      </c>
      <c r="G15" t="n">
        <v>0.7298219447914125</v>
      </c>
    </row>
    <row r="16">
      <c r="A16" t="inlineStr">
        <is>
          <t>SoHPCCbRIC.csv</t>
        </is>
      </c>
      <c r="B16" t="inlineStr">
        <is>
          <t>biomass gasification</t>
        </is>
      </c>
      <c r="C16" t="inlineStr">
        <is>
          <t>ISIC 77T82</t>
        </is>
      </c>
      <c r="D16" t="inlineStr">
        <is>
          <t>ISIC 69T82</t>
        </is>
      </c>
      <c r="E16" t="n">
        <v>0</v>
      </c>
      <c r="F16" t="inlineStr">
        <is>
          <t>semantic override</t>
        </is>
      </c>
      <c r="G16" t="n">
        <v>0.2701780552085875</v>
      </c>
    </row>
    <row r="17">
      <c r="A17" t="inlineStr">
        <is>
          <t>SoHPCCbRIC.csv</t>
        </is>
      </c>
      <c r="B17" t="inlineStr">
        <is>
          <t>biomass gasification</t>
        </is>
      </c>
      <c r="C17" t="inlineStr">
        <is>
          <t>ISIC 90T93</t>
        </is>
      </c>
      <c r="D17" t="inlineStr">
        <is>
          <t>ISIC 90T96</t>
        </is>
      </c>
      <c r="E17" t="n">
        <v>0.4216249514352275</v>
      </c>
      <c r="F17" t="inlineStr">
        <is>
          <t>BEA 2024 output share (default)</t>
        </is>
      </c>
      <c r="G17" t="n">
        <v>0.4216249514352275</v>
      </c>
    </row>
    <row r="18">
      <c r="A18" t="inlineStr">
        <is>
          <t>SoHPCCbRIC.csv</t>
        </is>
      </c>
      <c r="B18" t="inlineStr">
        <is>
          <t>biomass gasification</t>
        </is>
      </c>
      <c r="C18" t="inlineStr">
        <is>
          <t>ISIC 94T96</t>
        </is>
      </c>
      <c r="D18" t="inlineStr">
        <is>
          <t>ISIC 90T96</t>
        </is>
      </c>
      <c r="E18" t="n">
        <v>0.5783750485647725</v>
      </c>
      <c r="F18" t="inlineStr">
        <is>
          <t>BEA 2024 output share (default)</t>
        </is>
      </c>
      <c r="G18" t="n">
        <v>0.5783750485647725</v>
      </c>
    </row>
    <row r="19">
      <c r="A19" t="inlineStr">
        <is>
          <t>SoHPCCbRIC.csv</t>
        </is>
      </c>
      <c r="B19" t="inlineStr">
        <is>
          <t>coal gasification</t>
        </is>
      </c>
      <c r="C19" t="inlineStr">
        <is>
          <t>ISIC 01</t>
        </is>
      </c>
      <c r="D19" t="inlineStr">
        <is>
          <t>ISIC 01T03</t>
        </is>
      </c>
      <c r="E19" t="n">
        <v>0.9429986826432329</v>
      </c>
      <c r="F19" t="inlineStr">
        <is>
          <t>BEA 2024 output share (default)</t>
        </is>
      </c>
      <c r="G19" t="n">
        <v>0.9429986826432329</v>
      </c>
    </row>
    <row r="20">
      <c r="A20" t="inlineStr">
        <is>
          <t>SoHPCCbRIC.csv</t>
        </is>
      </c>
      <c r="B20" t="inlineStr">
        <is>
          <t>coal gasification</t>
        </is>
      </c>
      <c r="C20" t="inlineStr">
        <is>
          <t>ISIC 02</t>
        </is>
      </c>
      <c r="D20" t="inlineStr">
        <is>
          <t>ISIC 01T03</t>
        </is>
      </c>
      <c r="E20" t="n">
        <v>0.04176573136965662</v>
      </c>
      <c r="F20" t="inlineStr">
        <is>
          <t>BEA 2024 output share (default)</t>
        </is>
      </c>
      <c r="G20" t="n">
        <v>0.04176573136965662</v>
      </c>
    </row>
    <row r="21">
      <c r="A21" t="inlineStr">
        <is>
          <t>SoHPCCbRIC.csv</t>
        </is>
      </c>
      <c r="B21" t="inlineStr">
        <is>
          <t>coal gasification</t>
        </is>
      </c>
      <c r="C21" t="inlineStr">
        <is>
          <t>ISIC 03</t>
        </is>
      </c>
      <c r="D21" t="inlineStr">
        <is>
          <t>ISIC 01T03</t>
        </is>
      </c>
      <c r="E21" t="n">
        <v>0.01523558598711041</v>
      </c>
      <c r="F21" t="inlineStr">
        <is>
          <t>BEA 2024 output share (default)</t>
        </is>
      </c>
      <c r="G21" t="n">
        <v>0.01523558598711041</v>
      </c>
    </row>
    <row r="22">
      <c r="A22" t="inlineStr">
        <is>
          <t>SoHPCCbRIC.csv</t>
        </is>
      </c>
      <c r="B22" t="inlineStr">
        <is>
          <t>coal gasification</t>
        </is>
      </c>
      <c r="C22" t="inlineStr">
        <is>
          <t>ISIC 07</t>
        </is>
      </c>
      <c r="D22" t="inlineStr">
        <is>
          <t>ISIC 07T08</t>
        </is>
      </c>
      <c r="E22" t="n">
        <v>0.4327368836123752</v>
      </c>
      <c r="F22" t="inlineStr">
        <is>
          <t>BEA 2024 output share (default)</t>
        </is>
      </c>
      <c r="G22" t="n">
        <v>0.4327368836123752</v>
      </c>
    </row>
    <row r="23">
      <c r="A23" t="inlineStr">
        <is>
          <t>SoHPCCbRIC.csv</t>
        </is>
      </c>
      <c r="B23" t="inlineStr">
        <is>
          <t>coal gasification</t>
        </is>
      </c>
      <c r="C23" t="inlineStr">
        <is>
          <t>ISIC 08</t>
        </is>
      </c>
      <c r="D23" t="inlineStr">
        <is>
          <t>ISIC 07T08</t>
        </is>
      </c>
      <c r="E23" t="n">
        <v>0.5672631163876248</v>
      </c>
      <c r="F23" t="inlineStr">
        <is>
          <t>BEA 2024 output share (default)</t>
        </is>
      </c>
      <c r="G23" t="n">
        <v>0.5672631163876248</v>
      </c>
    </row>
    <row r="24">
      <c r="A24" t="inlineStr">
        <is>
          <t>SoHPCCbRIC.csv</t>
        </is>
      </c>
      <c r="B24" t="inlineStr">
        <is>
          <t>coal gasification</t>
        </is>
      </c>
      <c r="C24" t="inlineStr">
        <is>
          <t>ISIC 301</t>
        </is>
      </c>
      <c r="D24" t="inlineStr">
        <is>
          <t>ISIC 30</t>
        </is>
      </c>
      <c r="E24" t="n">
        <v>0.1171368722490322</v>
      </c>
      <c r="F24" t="inlineStr">
        <is>
          <t>BEA 2024 output share (default)</t>
        </is>
      </c>
      <c r="G24" t="n">
        <v>0.1171368722490322</v>
      </c>
    </row>
    <row r="25">
      <c r="A25" t="inlineStr">
        <is>
          <t>SoHPCCbRIC.csv</t>
        </is>
      </c>
      <c r="B25" t="inlineStr">
        <is>
          <t>coal gasification</t>
        </is>
      </c>
      <c r="C25" t="inlineStr">
        <is>
          <t>ISIC 302T309</t>
        </is>
      </c>
      <c r="D25" t="inlineStr">
        <is>
          <t>ISIC 30</t>
        </is>
      </c>
      <c r="E25" t="n">
        <v>0.8828631277509678</v>
      </c>
      <c r="F25" t="inlineStr">
        <is>
          <t>BEA 2024 output share (default)</t>
        </is>
      </c>
      <c r="G25" t="n">
        <v>0.8828631277509678</v>
      </c>
    </row>
    <row r="26">
      <c r="A26" t="inlineStr">
        <is>
          <t>SoHPCCbRIC.csv</t>
        </is>
      </c>
      <c r="B26" t="inlineStr">
        <is>
          <t>coal gasification</t>
        </is>
      </c>
      <c r="C26" t="inlineStr">
        <is>
          <t>ISIC 49</t>
        </is>
      </c>
      <c r="D26" t="inlineStr">
        <is>
          <t>ISIC 49T53</t>
        </is>
      </c>
      <c r="E26" t="n">
        <v>0.45630816353267</v>
      </c>
      <c r="F26" t="inlineStr">
        <is>
          <t>BEA 2024 output share (default)</t>
        </is>
      </c>
      <c r="G26" t="n">
        <v>0.45630816353267</v>
      </c>
    </row>
    <row r="27">
      <c r="A27" t="inlineStr">
        <is>
          <t>SoHPCCbRIC.csv</t>
        </is>
      </c>
      <c r="B27" t="inlineStr">
        <is>
          <t>coal gasification</t>
        </is>
      </c>
      <c r="C27" t="inlineStr">
        <is>
          <t>ISIC 50</t>
        </is>
      </c>
      <c r="D27" t="inlineStr">
        <is>
          <t>ISIC 49T53</t>
        </is>
      </c>
      <c r="E27" t="n">
        <v>0.04437004750051631</v>
      </c>
      <c r="F27" t="inlineStr">
        <is>
          <t>BEA 2024 output share (default)</t>
        </is>
      </c>
      <c r="G27" t="n">
        <v>0.04437004750051631</v>
      </c>
    </row>
    <row r="28">
      <c r="A28" t="inlineStr">
        <is>
          <t>SoHPCCbRIC.csv</t>
        </is>
      </c>
      <c r="B28" t="inlineStr">
        <is>
          <t>coal gasification</t>
        </is>
      </c>
      <c r="C28" t="inlineStr">
        <is>
          <t>ISIC 51</t>
        </is>
      </c>
      <c r="D28" t="inlineStr">
        <is>
          <t>ISIC 49T53</t>
        </is>
      </c>
      <c r="E28" t="n">
        <v>0.1883750452665103</v>
      </c>
      <c r="F28" t="inlineStr">
        <is>
          <t>BEA 2024 output share (default)</t>
        </is>
      </c>
      <c r="G28" t="n">
        <v>0.1883750452665103</v>
      </c>
    </row>
    <row r="29">
      <c r="A29" t="inlineStr">
        <is>
          <t>SoHPCCbRIC.csv</t>
        </is>
      </c>
      <c r="B29" t="inlineStr">
        <is>
          <t>coal gasification</t>
        </is>
      </c>
      <c r="C29" t="inlineStr">
        <is>
          <t>ISIC 52</t>
        </is>
      </c>
      <c r="D29" t="inlineStr">
        <is>
          <t>ISIC 49T53</t>
        </is>
      </c>
      <c r="E29" t="n">
        <v>0.2228651226758185</v>
      </c>
      <c r="F29" t="inlineStr">
        <is>
          <t>BEA 2024 output share (default)</t>
        </is>
      </c>
      <c r="G29" t="n">
        <v>0.2228651226758185</v>
      </c>
    </row>
    <row r="30">
      <c r="A30" t="inlineStr">
        <is>
          <t>SoHPCCbRIC.csv</t>
        </is>
      </c>
      <c r="B30" t="inlineStr">
        <is>
          <t>coal gasification</t>
        </is>
      </c>
      <c r="C30" t="inlineStr">
        <is>
          <t>ISIC 53</t>
        </is>
      </c>
      <c r="D30" t="inlineStr">
        <is>
          <t>ISIC 49T53</t>
        </is>
      </c>
      <c r="E30" t="n">
        <v>0.08808162102448482</v>
      </c>
      <c r="F30" t="inlineStr">
        <is>
          <t>BEA 2024 output share (default)</t>
        </is>
      </c>
      <c r="G30" t="n">
        <v>0.08808162102448482</v>
      </c>
    </row>
    <row r="31">
      <c r="A31" t="inlineStr">
        <is>
          <t>SoHPCCbRIC.csv</t>
        </is>
      </c>
      <c r="B31" t="inlineStr">
        <is>
          <t>coal gasification</t>
        </is>
      </c>
      <c r="C31" t="inlineStr">
        <is>
          <t>ISIC 69T75</t>
        </is>
      </c>
      <c r="D31" t="inlineStr">
        <is>
          <t>ISIC 69T82</t>
        </is>
      </c>
      <c r="E31" t="n">
        <v>1</v>
      </c>
      <c r="F31" t="inlineStr">
        <is>
          <t>semantic override</t>
        </is>
      </c>
      <c r="G31" t="n">
        <v>0.7298219447914125</v>
      </c>
    </row>
    <row r="32">
      <c r="A32" t="inlineStr">
        <is>
          <t>SoHPCCbRIC.csv</t>
        </is>
      </c>
      <c r="B32" t="inlineStr">
        <is>
          <t>coal gasification</t>
        </is>
      </c>
      <c r="C32" t="inlineStr">
        <is>
          <t>ISIC 77T82</t>
        </is>
      </c>
      <c r="D32" t="inlineStr">
        <is>
          <t>ISIC 69T82</t>
        </is>
      </c>
      <c r="E32" t="n">
        <v>0</v>
      </c>
      <c r="F32" t="inlineStr">
        <is>
          <t>semantic override</t>
        </is>
      </c>
      <c r="G32" t="n">
        <v>0.2701780552085875</v>
      </c>
    </row>
    <row r="33">
      <c r="A33" t="inlineStr">
        <is>
          <t>SoHPCCbRIC.csv</t>
        </is>
      </c>
      <c r="B33" t="inlineStr">
        <is>
          <t>coal gasification</t>
        </is>
      </c>
      <c r="C33" t="inlineStr">
        <is>
          <t>ISIC 90T93</t>
        </is>
      </c>
      <c r="D33" t="inlineStr">
        <is>
          <t>ISIC 90T96</t>
        </is>
      </c>
      <c r="E33" t="n">
        <v>0.4216249514352275</v>
      </c>
      <c r="F33" t="inlineStr">
        <is>
          <t>BEA 2024 output share (default)</t>
        </is>
      </c>
      <c r="G33" t="n">
        <v>0.4216249514352275</v>
      </c>
    </row>
    <row r="34">
      <c r="A34" t="inlineStr">
        <is>
          <t>SoHPCCbRIC.csv</t>
        </is>
      </c>
      <c r="B34" t="inlineStr">
        <is>
          <t>coal gasification</t>
        </is>
      </c>
      <c r="C34" t="inlineStr">
        <is>
          <t>ISIC 94T96</t>
        </is>
      </c>
      <c r="D34" t="inlineStr">
        <is>
          <t>ISIC 90T96</t>
        </is>
      </c>
      <c r="E34" t="n">
        <v>0.5783750485647725</v>
      </c>
      <c r="F34" t="inlineStr">
        <is>
          <t>BEA 2024 output share (default)</t>
        </is>
      </c>
      <c r="G34" t="n">
        <v>0.5783750485647725</v>
      </c>
    </row>
    <row r="35">
      <c r="A35" t="inlineStr">
        <is>
          <t>SoHPCCbRIC.csv</t>
        </is>
      </c>
      <c r="B35" t="inlineStr">
        <is>
          <t>electrolysis</t>
        </is>
      </c>
      <c r="C35" t="inlineStr">
        <is>
          <t>ISIC 01</t>
        </is>
      </c>
      <c r="D35" t="inlineStr">
        <is>
          <t>ISIC 01T03</t>
        </is>
      </c>
      <c r="E35" t="n">
        <v>0.9429986826432329</v>
      </c>
      <c r="F35" t="inlineStr">
        <is>
          <t>BEA 2024 output share (default)</t>
        </is>
      </c>
      <c r="G35" t="n">
        <v>0.9429986826432329</v>
      </c>
    </row>
    <row r="36">
      <c r="A36" t="inlineStr">
        <is>
          <t>SoHPCCbRIC.csv</t>
        </is>
      </c>
      <c r="B36" t="inlineStr">
        <is>
          <t>electrolysis</t>
        </is>
      </c>
      <c r="C36" t="inlineStr">
        <is>
          <t>ISIC 02</t>
        </is>
      </c>
      <c r="D36" t="inlineStr">
        <is>
          <t>ISIC 01T03</t>
        </is>
      </c>
      <c r="E36" t="n">
        <v>0.04176573136965662</v>
      </c>
      <c r="F36" t="inlineStr">
        <is>
          <t>BEA 2024 output share (default)</t>
        </is>
      </c>
      <c r="G36" t="n">
        <v>0.04176573136965662</v>
      </c>
    </row>
    <row r="37">
      <c r="A37" t="inlineStr">
        <is>
          <t>SoHPCCbRIC.csv</t>
        </is>
      </c>
      <c r="B37" t="inlineStr">
        <is>
          <t>electrolysis</t>
        </is>
      </c>
      <c r="C37" t="inlineStr">
        <is>
          <t>ISIC 03</t>
        </is>
      </c>
      <c r="D37" t="inlineStr">
        <is>
          <t>ISIC 01T03</t>
        </is>
      </c>
      <c r="E37" t="n">
        <v>0.01523558598711041</v>
      </c>
      <c r="F37" t="inlineStr">
        <is>
          <t>BEA 2024 output share (default)</t>
        </is>
      </c>
      <c r="G37" t="n">
        <v>0.01523558598711041</v>
      </c>
    </row>
    <row r="38">
      <c r="A38" t="inlineStr">
        <is>
          <t>SoHPCCbRIC.csv</t>
        </is>
      </c>
      <c r="B38" t="inlineStr">
        <is>
          <t>electrolysis</t>
        </is>
      </c>
      <c r="C38" t="inlineStr">
        <is>
          <t>ISIC 07</t>
        </is>
      </c>
      <c r="D38" t="inlineStr">
        <is>
          <t>ISIC 07T08</t>
        </is>
      </c>
      <c r="E38" t="n">
        <v>0.4327368836123752</v>
      </c>
      <c r="F38" t="inlineStr">
        <is>
          <t>BEA 2024 output share (default)</t>
        </is>
      </c>
      <c r="G38" t="n">
        <v>0.4327368836123752</v>
      </c>
    </row>
    <row r="39">
      <c r="A39" t="inlineStr">
        <is>
          <t>SoHPCCbRIC.csv</t>
        </is>
      </c>
      <c r="B39" t="inlineStr">
        <is>
          <t>electrolysis</t>
        </is>
      </c>
      <c r="C39" t="inlineStr">
        <is>
          <t>ISIC 08</t>
        </is>
      </c>
      <c r="D39" t="inlineStr">
        <is>
          <t>ISIC 07T08</t>
        </is>
      </c>
      <c r="E39" t="n">
        <v>0.5672631163876248</v>
      </c>
      <c r="F39" t="inlineStr">
        <is>
          <t>BEA 2024 output share (default)</t>
        </is>
      </c>
      <c r="G39" t="n">
        <v>0.5672631163876248</v>
      </c>
    </row>
    <row r="40">
      <c r="A40" t="inlineStr">
        <is>
          <t>SoHPCCbRIC.csv</t>
        </is>
      </c>
      <c r="B40" t="inlineStr">
        <is>
          <t>electrolysis</t>
        </is>
      </c>
      <c r="C40" t="inlineStr">
        <is>
          <t>ISIC 301</t>
        </is>
      </c>
      <c r="D40" t="inlineStr">
        <is>
          <t>ISIC 30</t>
        </is>
      </c>
      <c r="E40" t="n">
        <v>0.1171368722490322</v>
      </c>
      <c r="F40" t="inlineStr">
        <is>
          <t>BEA 2024 output share (default)</t>
        </is>
      </c>
      <c r="G40" t="n">
        <v>0.1171368722490322</v>
      </c>
    </row>
    <row r="41">
      <c r="A41" t="inlineStr">
        <is>
          <t>SoHPCCbRIC.csv</t>
        </is>
      </c>
      <c r="B41" t="inlineStr">
        <is>
          <t>electrolysis</t>
        </is>
      </c>
      <c r="C41" t="inlineStr">
        <is>
          <t>ISIC 302T309</t>
        </is>
      </c>
      <c r="D41" t="inlineStr">
        <is>
          <t>ISIC 30</t>
        </is>
      </c>
      <c r="E41" t="n">
        <v>0.8828631277509678</v>
      </c>
      <c r="F41" t="inlineStr">
        <is>
          <t>BEA 2024 output share (default)</t>
        </is>
      </c>
      <c r="G41" t="n">
        <v>0.8828631277509678</v>
      </c>
    </row>
    <row r="42">
      <c r="A42" t="inlineStr">
        <is>
          <t>SoHPCCbRIC.csv</t>
        </is>
      </c>
      <c r="B42" t="inlineStr">
        <is>
          <t>electrolysis</t>
        </is>
      </c>
      <c r="C42" t="inlineStr">
        <is>
          <t>ISIC 49</t>
        </is>
      </c>
      <c r="D42" t="inlineStr">
        <is>
          <t>ISIC 49T53</t>
        </is>
      </c>
      <c r="E42" t="n">
        <v>0.45630816353267</v>
      </c>
      <c r="F42" t="inlineStr">
        <is>
          <t>BEA 2024 output share (default)</t>
        </is>
      </c>
      <c r="G42" t="n">
        <v>0.45630816353267</v>
      </c>
    </row>
    <row r="43">
      <c r="A43" t="inlineStr">
        <is>
          <t>SoHPCCbRIC.csv</t>
        </is>
      </c>
      <c r="B43" t="inlineStr">
        <is>
          <t>electrolysis</t>
        </is>
      </c>
      <c r="C43" t="inlineStr">
        <is>
          <t>ISIC 50</t>
        </is>
      </c>
      <c r="D43" t="inlineStr">
        <is>
          <t>ISIC 49T53</t>
        </is>
      </c>
      <c r="E43" t="n">
        <v>0.04437004750051631</v>
      </c>
      <c r="F43" t="inlineStr">
        <is>
          <t>BEA 2024 output share (default)</t>
        </is>
      </c>
      <c r="G43" t="n">
        <v>0.04437004750051631</v>
      </c>
    </row>
    <row r="44">
      <c r="A44" t="inlineStr">
        <is>
          <t>SoHPCCbRIC.csv</t>
        </is>
      </c>
      <c r="B44" t="inlineStr">
        <is>
          <t>electrolysis</t>
        </is>
      </c>
      <c r="C44" t="inlineStr">
        <is>
          <t>ISIC 51</t>
        </is>
      </c>
      <c r="D44" t="inlineStr">
        <is>
          <t>ISIC 49T53</t>
        </is>
      </c>
      <c r="E44" t="n">
        <v>0.1883750452665103</v>
      </c>
      <c r="F44" t="inlineStr">
        <is>
          <t>BEA 2024 output share (default)</t>
        </is>
      </c>
      <c r="G44" t="n">
        <v>0.1883750452665103</v>
      </c>
    </row>
    <row r="45">
      <c r="A45" t="inlineStr">
        <is>
          <t>SoHPCCbRIC.csv</t>
        </is>
      </c>
      <c r="B45" t="inlineStr">
        <is>
          <t>electrolysis</t>
        </is>
      </c>
      <c r="C45" t="inlineStr">
        <is>
          <t>ISIC 52</t>
        </is>
      </c>
      <c r="D45" t="inlineStr">
        <is>
          <t>ISIC 49T53</t>
        </is>
      </c>
      <c r="E45" t="n">
        <v>0.2228651226758185</v>
      </c>
      <c r="F45" t="inlineStr">
        <is>
          <t>BEA 2024 output share (default)</t>
        </is>
      </c>
      <c r="G45" t="n">
        <v>0.2228651226758185</v>
      </c>
    </row>
    <row r="46">
      <c r="A46" t="inlineStr">
        <is>
          <t>SoHPCCbRIC.csv</t>
        </is>
      </c>
      <c r="B46" t="inlineStr">
        <is>
          <t>electrolysis</t>
        </is>
      </c>
      <c r="C46" t="inlineStr">
        <is>
          <t>ISIC 53</t>
        </is>
      </c>
      <c r="D46" t="inlineStr">
        <is>
          <t>ISIC 49T53</t>
        </is>
      </c>
      <c r="E46" t="n">
        <v>0.08808162102448482</v>
      </c>
      <c r="F46" t="inlineStr">
        <is>
          <t>BEA 2024 output share (default)</t>
        </is>
      </c>
      <c r="G46" t="n">
        <v>0.08808162102448482</v>
      </c>
    </row>
    <row r="47">
      <c r="A47" t="inlineStr">
        <is>
          <t>SoHPCCbRIC.csv</t>
        </is>
      </c>
      <c r="B47" t="inlineStr">
        <is>
          <t>electrolysis</t>
        </is>
      </c>
      <c r="C47" t="inlineStr">
        <is>
          <t>ISIC 69T75</t>
        </is>
      </c>
      <c r="D47" t="inlineStr">
        <is>
          <t>ISIC 69T82</t>
        </is>
      </c>
      <c r="E47" t="n">
        <v>1</v>
      </c>
      <c r="F47" t="inlineStr">
        <is>
          <t>semantic override</t>
        </is>
      </c>
      <c r="G47" t="n">
        <v>0.7298219447914125</v>
      </c>
    </row>
    <row r="48">
      <c r="A48" t="inlineStr">
        <is>
          <t>SoHPCCbRIC.csv</t>
        </is>
      </c>
      <c r="B48" t="inlineStr">
        <is>
          <t>electrolysis</t>
        </is>
      </c>
      <c r="C48" t="inlineStr">
        <is>
          <t>ISIC 77T82</t>
        </is>
      </c>
      <c r="D48" t="inlineStr">
        <is>
          <t>ISIC 69T82</t>
        </is>
      </c>
      <c r="E48" t="n">
        <v>0</v>
      </c>
      <c r="F48" t="inlineStr">
        <is>
          <t>semantic override</t>
        </is>
      </c>
      <c r="G48" t="n">
        <v>0.2701780552085875</v>
      </c>
    </row>
    <row r="49">
      <c r="A49" t="inlineStr">
        <is>
          <t>SoHPCCbRIC.csv</t>
        </is>
      </c>
      <c r="B49" t="inlineStr">
        <is>
          <t>electrolysis</t>
        </is>
      </c>
      <c r="C49" t="inlineStr">
        <is>
          <t>ISIC 90T93</t>
        </is>
      </c>
      <c r="D49" t="inlineStr">
        <is>
          <t>ISIC 90T96</t>
        </is>
      </c>
      <c r="E49" t="n">
        <v>0.4216249514352275</v>
      </c>
      <c r="F49" t="inlineStr">
        <is>
          <t>BEA 2024 output share (default)</t>
        </is>
      </c>
      <c r="G49" t="n">
        <v>0.4216249514352275</v>
      </c>
    </row>
    <row r="50">
      <c r="A50" t="inlineStr">
        <is>
          <t>SoHPCCbRIC.csv</t>
        </is>
      </c>
      <c r="B50" t="inlineStr">
        <is>
          <t>electrolysis</t>
        </is>
      </c>
      <c r="C50" t="inlineStr">
        <is>
          <t>ISIC 94T96</t>
        </is>
      </c>
      <c r="D50" t="inlineStr">
        <is>
          <t>ISIC 90T96</t>
        </is>
      </c>
      <c r="E50" t="n">
        <v>0.5783750485647725</v>
      </c>
      <c r="F50" t="inlineStr">
        <is>
          <t>BEA 2024 output share (default)</t>
        </is>
      </c>
      <c r="G50" t="n">
        <v>0.5783750485647725</v>
      </c>
    </row>
    <row r="51">
      <c r="A51" t="inlineStr">
        <is>
          <t>SoHPCCbRIC.csv</t>
        </is>
      </c>
      <c r="B51" t="inlineStr">
        <is>
          <t>electrolysis with guaranteed clean electricity</t>
        </is>
      </c>
      <c r="C51" t="inlineStr">
        <is>
          <t>ISIC 01</t>
        </is>
      </c>
      <c r="D51" t="inlineStr">
        <is>
          <t>ISIC 01T03</t>
        </is>
      </c>
      <c r="E51" t="n">
        <v>0.9429986826432329</v>
      </c>
      <c r="F51" t="inlineStr">
        <is>
          <t>BEA 2024 output share (default)</t>
        </is>
      </c>
      <c r="G51" t="n">
        <v>0.9429986826432329</v>
      </c>
    </row>
    <row r="52">
      <c r="A52" t="inlineStr">
        <is>
          <t>SoHPCCbRIC.csv</t>
        </is>
      </c>
      <c r="B52" t="inlineStr">
        <is>
          <t>electrolysis with guaranteed clean electricity</t>
        </is>
      </c>
      <c r="C52" t="inlineStr">
        <is>
          <t>ISIC 02</t>
        </is>
      </c>
      <c r="D52" t="inlineStr">
        <is>
          <t>ISIC 01T03</t>
        </is>
      </c>
      <c r="E52" t="n">
        <v>0.04176573136965662</v>
      </c>
      <c r="F52" t="inlineStr">
        <is>
          <t>BEA 2024 output share (default)</t>
        </is>
      </c>
      <c r="G52" t="n">
        <v>0.04176573136965662</v>
      </c>
    </row>
    <row r="53">
      <c r="A53" t="inlineStr">
        <is>
          <t>SoHPCCbRIC.csv</t>
        </is>
      </c>
      <c r="B53" t="inlineStr">
        <is>
          <t>electrolysis with guaranteed clean electricity</t>
        </is>
      </c>
      <c r="C53" t="inlineStr">
        <is>
          <t>ISIC 03</t>
        </is>
      </c>
      <c r="D53" t="inlineStr">
        <is>
          <t>ISIC 01T03</t>
        </is>
      </c>
      <c r="E53" t="n">
        <v>0.01523558598711041</v>
      </c>
      <c r="F53" t="inlineStr">
        <is>
          <t>BEA 2024 output share (default)</t>
        </is>
      </c>
      <c r="G53" t="n">
        <v>0.01523558598711041</v>
      </c>
    </row>
    <row r="54">
      <c r="A54" t="inlineStr">
        <is>
          <t>SoHPCCbRIC.csv</t>
        </is>
      </c>
      <c r="B54" t="inlineStr">
        <is>
          <t>electrolysis with guaranteed clean electricity</t>
        </is>
      </c>
      <c r="C54" t="inlineStr">
        <is>
          <t>ISIC 07</t>
        </is>
      </c>
      <c r="D54" t="inlineStr">
        <is>
          <t>ISIC 07T08</t>
        </is>
      </c>
      <c r="E54" t="n">
        <v>0.4327368836123752</v>
      </c>
      <c r="F54" t="inlineStr">
        <is>
          <t>BEA 2024 output share (default)</t>
        </is>
      </c>
      <c r="G54" t="n">
        <v>0.4327368836123752</v>
      </c>
    </row>
    <row r="55">
      <c r="A55" t="inlineStr">
        <is>
          <t>SoHPCCbRIC.csv</t>
        </is>
      </c>
      <c r="B55" t="inlineStr">
        <is>
          <t>electrolysis with guaranteed clean electricity</t>
        </is>
      </c>
      <c r="C55" t="inlineStr">
        <is>
          <t>ISIC 08</t>
        </is>
      </c>
      <c r="D55" t="inlineStr">
        <is>
          <t>ISIC 07T08</t>
        </is>
      </c>
      <c r="E55" t="n">
        <v>0.5672631163876248</v>
      </c>
      <c r="F55" t="inlineStr">
        <is>
          <t>BEA 2024 output share (default)</t>
        </is>
      </c>
      <c r="G55" t="n">
        <v>0.5672631163876248</v>
      </c>
    </row>
    <row r="56">
      <c r="A56" t="inlineStr">
        <is>
          <t>SoHPCCbRIC.csv</t>
        </is>
      </c>
      <c r="B56" t="inlineStr">
        <is>
          <t>electrolysis with guaranteed clean electricity</t>
        </is>
      </c>
      <c r="C56" t="inlineStr">
        <is>
          <t>ISIC 301</t>
        </is>
      </c>
      <c r="D56" t="inlineStr">
        <is>
          <t>ISIC 30</t>
        </is>
      </c>
      <c r="E56" t="n">
        <v>0.1171368722490322</v>
      </c>
      <c r="F56" t="inlineStr">
        <is>
          <t>BEA 2024 output share (default)</t>
        </is>
      </c>
      <c r="G56" t="n">
        <v>0.1171368722490322</v>
      </c>
    </row>
    <row r="57">
      <c r="A57" t="inlineStr">
        <is>
          <t>SoHPCCbRIC.csv</t>
        </is>
      </c>
      <c r="B57" t="inlineStr">
        <is>
          <t>electrolysis with guaranteed clean electricity</t>
        </is>
      </c>
      <c r="C57" t="inlineStr">
        <is>
          <t>ISIC 302T309</t>
        </is>
      </c>
      <c r="D57" t="inlineStr">
        <is>
          <t>ISIC 30</t>
        </is>
      </c>
      <c r="E57" t="n">
        <v>0.8828631277509678</v>
      </c>
      <c r="F57" t="inlineStr">
        <is>
          <t>BEA 2024 output share (default)</t>
        </is>
      </c>
      <c r="G57" t="n">
        <v>0.8828631277509678</v>
      </c>
    </row>
    <row r="58">
      <c r="A58" t="inlineStr">
        <is>
          <t>SoHPCCbRIC.csv</t>
        </is>
      </c>
      <c r="B58" t="inlineStr">
        <is>
          <t>electrolysis with guaranteed clean electricity</t>
        </is>
      </c>
      <c r="C58" t="inlineStr">
        <is>
          <t>ISIC 49</t>
        </is>
      </c>
      <c r="D58" t="inlineStr">
        <is>
          <t>ISIC 49T53</t>
        </is>
      </c>
      <c r="E58" t="n">
        <v>0.45630816353267</v>
      </c>
      <c r="F58" t="inlineStr">
        <is>
          <t>BEA 2024 output share (default)</t>
        </is>
      </c>
      <c r="G58" t="n">
        <v>0.45630816353267</v>
      </c>
    </row>
    <row r="59">
      <c r="A59" t="inlineStr">
        <is>
          <t>SoHPCCbRIC.csv</t>
        </is>
      </c>
      <c r="B59" t="inlineStr">
        <is>
          <t>electrolysis with guaranteed clean electricity</t>
        </is>
      </c>
      <c r="C59" t="inlineStr">
        <is>
          <t>ISIC 50</t>
        </is>
      </c>
      <c r="D59" t="inlineStr">
        <is>
          <t>ISIC 49T53</t>
        </is>
      </c>
      <c r="E59" t="n">
        <v>0.04437004750051631</v>
      </c>
      <c r="F59" t="inlineStr">
        <is>
          <t>BEA 2024 output share (default)</t>
        </is>
      </c>
      <c r="G59" t="n">
        <v>0.04437004750051631</v>
      </c>
    </row>
    <row r="60">
      <c r="A60" t="inlineStr">
        <is>
          <t>SoHPCCbRIC.csv</t>
        </is>
      </c>
      <c r="B60" t="inlineStr">
        <is>
          <t>electrolysis with guaranteed clean electricity</t>
        </is>
      </c>
      <c r="C60" t="inlineStr">
        <is>
          <t>ISIC 51</t>
        </is>
      </c>
      <c r="D60" t="inlineStr">
        <is>
          <t>ISIC 49T53</t>
        </is>
      </c>
      <c r="E60" t="n">
        <v>0.1883750452665103</v>
      </c>
      <c r="F60" t="inlineStr">
        <is>
          <t>BEA 2024 output share (default)</t>
        </is>
      </c>
      <c r="G60" t="n">
        <v>0.1883750452665103</v>
      </c>
    </row>
    <row r="61">
      <c r="A61" t="inlineStr">
        <is>
          <t>SoHPCCbRIC.csv</t>
        </is>
      </c>
      <c r="B61" t="inlineStr">
        <is>
          <t>electrolysis with guaranteed clean electricity</t>
        </is>
      </c>
      <c r="C61" t="inlineStr">
        <is>
          <t>ISIC 52</t>
        </is>
      </c>
      <c r="D61" t="inlineStr">
        <is>
          <t>ISIC 49T53</t>
        </is>
      </c>
      <c r="E61" t="n">
        <v>0.2228651226758185</v>
      </c>
      <c r="F61" t="inlineStr">
        <is>
          <t>BEA 2024 output share (default)</t>
        </is>
      </c>
      <c r="G61" t="n">
        <v>0.2228651226758185</v>
      </c>
    </row>
    <row r="62">
      <c r="A62" t="inlineStr">
        <is>
          <t>SoHPCCbRIC.csv</t>
        </is>
      </c>
      <c r="B62" t="inlineStr">
        <is>
          <t>electrolysis with guaranteed clean electricity</t>
        </is>
      </c>
      <c r="C62" t="inlineStr">
        <is>
          <t>ISIC 53</t>
        </is>
      </c>
      <c r="D62" t="inlineStr">
        <is>
          <t>ISIC 49T53</t>
        </is>
      </c>
      <c r="E62" t="n">
        <v>0.08808162102448482</v>
      </c>
      <c r="F62" t="inlineStr">
        <is>
          <t>BEA 2024 output share (default)</t>
        </is>
      </c>
      <c r="G62" t="n">
        <v>0.08808162102448482</v>
      </c>
    </row>
    <row r="63">
      <c r="A63" t="inlineStr">
        <is>
          <t>SoHPCCbRIC.csv</t>
        </is>
      </c>
      <c r="B63" t="inlineStr">
        <is>
          <t>electrolysis with guaranteed clean electricity</t>
        </is>
      </c>
      <c r="C63" t="inlineStr">
        <is>
          <t>ISIC 69T75</t>
        </is>
      </c>
      <c r="D63" t="inlineStr">
        <is>
          <t>ISIC 69T82</t>
        </is>
      </c>
      <c r="E63" t="n">
        <v>1</v>
      </c>
      <c r="F63" t="inlineStr">
        <is>
          <t>semantic override</t>
        </is>
      </c>
      <c r="G63" t="n">
        <v>0.7298219447914125</v>
      </c>
    </row>
    <row r="64">
      <c r="A64" t="inlineStr">
        <is>
          <t>SoHPCCbRIC.csv</t>
        </is>
      </c>
      <c r="B64" t="inlineStr">
        <is>
          <t>electrolysis with guaranteed clean electricity</t>
        </is>
      </c>
      <c r="C64" t="inlineStr">
        <is>
          <t>ISIC 77T82</t>
        </is>
      </c>
      <c r="D64" t="inlineStr">
        <is>
          <t>ISIC 69T82</t>
        </is>
      </c>
      <c r="E64" t="n">
        <v>0</v>
      </c>
      <c r="F64" t="inlineStr">
        <is>
          <t>semantic override</t>
        </is>
      </c>
      <c r="G64" t="n">
        <v>0.2701780552085875</v>
      </c>
    </row>
    <row r="65">
      <c r="A65" t="inlineStr">
        <is>
          <t>SoHPCCbRIC.csv</t>
        </is>
      </c>
      <c r="B65" t="inlineStr">
        <is>
          <t>electrolysis with guaranteed clean electricity</t>
        </is>
      </c>
      <c r="C65" t="inlineStr">
        <is>
          <t>ISIC 90T93</t>
        </is>
      </c>
      <c r="D65" t="inlineStr">
        <is>
          <t>ISIC 90T96</t>
        </is>
      </c>
      <c r="E65" t="n">
        <v>0.4216249514352275</v>
      </c>
      <c r="F65" t="inlineStr">
        <is>
          <t>BEA 2024 output share (default)</t>
        </is>
      </c>
      <c r="G65" t="n">
        <v>0.4216249514352275</v>
      </c>
    </row>
    <row r="66">
      <c r="A66" t="inlineStr">
        <is>
          <t>SoHPCCbRIC.csv</t>
        </is>
      </c>
      <c r="B66" t="inlineStr">
        <is>
          <t>electrolysis with guaranteed clean electricity</t>
        </is>
      </c>
      <c r="C66" t="inlineStr">
        <is>
          <t>ISIC 94T96</t>
        </is>
      </c>
      <c r="D66" t="inlineStr">
        <is>
          <t>ISIC 90T96</t>
        </is>
      </c>
      <c r="E66" t="n">
        <v>0.5783750485647725</v>
      </c>
      <c r="F66" t="inlineStr">
        <is>
          <t>BEA 2024 output share (default)</t>
        </is>
      </c>
      <c r="G66" t="n">
        <v>0.5783750485647725</v>
      </c>
    </row>
    <row r="67">
      <c r="A67" t="inlineStr">
        <is>
          <t>SoHPCCbRIC.csv</t>
        </is>
      </c>
      <c r="B67" t="inlineStr">
        <is>
          <t>hydrocarbon partial oxidation</t>
        </is>
      </c>
      <c r="C67" t="inlineStr">
        <is>
          <t>ISIC 01</t>
        </is>
      </c>
      <c r="D67" t="inlineStr">
        <is>
          <t>ISIC 01T03</t>
        </is>
      </c>
      <c r="E67" t="n">
        <v>0.9429986826432329</v>
      </c>
      <c r="F67" t="inlineStr">
        <is>
          <t>BEA 2024 output share (default)</t>
        </is>
      </c>
      <c r="G67" t="n">
        <v>0.9429986826432329</v>
      </c>
    </row>
    <row r="68">
      <c r="A68" t="inlineStr">
        <is>
          <t>SoHPCCbRIC.csv</t>
        </is>
      </c>
      <c r="B68" t="inlineStr">
        <is>
          <t>hydrocarbon partial oxidation</t>
        </is>
      </c>
      <c r="C68" t="inlineStr">
        <is>
          <t>ISIC 02</t>
        </is>
      </c>
      <c r="D68" t="inlineStr">
        <is>
          <t>ISIC 01T03</t>
        </is>
      </c>
      <c r="E68" t="n">
        <v>0.04176573136965662</v>
      </c>
      <c r="F68" t="inlineStr">
        <is>
          <t>BEA 2024 output share (default)</t>
        </is>
      </c>
      <c r="G68" t="n">
        <v>0.04176573136965662</v>
      </c>
    </row>
    <row r="69">
      <c r="A69" t="inlineStr">
        <is>
          <t>SoHPCCbRIC.csv</t>
        </is>
      </c>
      <c r="B69" t="inlineStr">
        <is>
          <t>hydrocarbon partial oxidation</t>
        </is>
      </c>
      <c r="C69" t="inlineStr">
        <is>
          <t>ISIC 03</t>
        </is>
      </c>
      <c r="D69" t="inlineStr">
        <is>
          <t>ISIC 01T03</t>
        </is>
      </c>
      <c r="E69" t="n">
        <v>0.01523558598711041</v>
      </c>
      <c r="F69" t="inlineStr">
        <is>
          <t>BEA 2024 output share (default)</t>
        </is>
      </c>
      <c r="G69" t="n">
        <v>0.01523558598711041</v>
      </c>
    </row>
    <row r="70">
      <c r="A70" t="inlineStr">
        <is>
          <t>SoHPCCbRIC.csv</t>
        </is>
      </c>
      <c r="B70" t="inlineStr">
        <is>
          <t>hydrocarbon partial oxidation</t>
        </is>
      </c>
      <c r="C70" t="inlineStr">
        <is>
          <t>ISIC 07</t>
        </is>
      </c>
      <c r="D70" t="inlineStr">
        <is>
          <t>ISIC 07T08</t>
        </is>
      </c>
      <c r="E70" t="n">
        <v>0.4327368836123752</v>
      </c>
      <c r="F70" t="inlineStr">
        <is>
          <t>BEA 2024 output share (default)</t>
        </is>
      </c>
      <c r="G70" t="n">
        <v>0.4327368836123752</v>
      </c>
    </row>
    <row r="71">
      <c r="A71" t="inlineStr">
        <is>
          <t>SoHPCCbRIC.csv</t>
        </is>
      </c>
      <c r="B71" t="inlineStr">
        <is>
          <t>hydrocarbon partial oxidation</t>
        </is>
      </c>
      <c r="C71" t="inlineStr">
        <is>
          <t>ISIC 08</t>
        </is>
      </c>
      <c r="D71" t="inlineStr">
        <is>
          <t>ISIC 07T08</t>
        </is>
      </c>
      <c r="E71" t="n">
        <v>0.5672631163876248</v>
      </c>
      <c r="F71" t="inlineStr">
        <is>
          <t>BEA 2024 output share (default)</t>
        </is>
      </c>
      <c r="G71" t="n">
        <v>0.5672631163876248</v>
      </c>
    </row>
    <row r="72">
      <c r="A72" t="inlineStr">
        <is>
          <t>SoHPCCbRIC.csv</t>
        </is>
      </c>
      <c r="B72" t="inlineStr">
        <is>
          <t>hydrocarbon partial oxidation</t>
        </is>
      </c>
      <c r="C72" t="inlineStr">
        <is>
          <t>ISIC 301</t>
        </is>
      </c>
      <c r="D72" t="inlineStr">
        <is>
          <t>ISIC 30</t>
        </is>
      </c>
      <c r="E72" t="n">
        <v>0.1171368722490322</v>
      </c>
      <c r="F72" t="inlineStr">
        <is>
          <t>BEA 2024 output share (default)</t>
        </is>
      </c>
      <c r="G72" t="n">
        <v>0.1171368722490322</v>
      </c>
    </row>
    <row r="73">
      <c r="A73" t="inlineStr">
        <is>
          <t>SoHPCCbRIC.csv</t>
        </is>
      </c>
      <c r="B73" t="inlineStr">
        <is>
          <t>hydrocarbon partial oxidation</t>
        </is>
      </c>
      <c r="C73" t="inlineStr">
        <is>
          <t>ISIC 302T309</t>
        </is>
      </c>
      <c r="D73" t="inlineStr">
        <is>
          <t>ISIC 30</t>
        </is>
      </c>
      <c r="E73" t="n">
        <v>0.8828631277509678</v>
      </c>
      <c r="F73" t="inlineStr">
        <is>
          <t>BEA 2024 output share (default)</t>
        </is>
      </c>
      <c r="G73" t="n">
        <v>0.8828631277509678</v>
      </c>
    </row>
    <row r="74">
      <c r="A74" t="inlineStr">
        <is>
          <t>SoHPCCbRIC.csv</t>
        </is>
      </c>
      <c r="B74" t="inlineStr">
        <is>
          <t>hydrocarbon partial oxidation</t>
        </is>
      </c>
      <c r="C74" t="inlineStr">
        <is>
          <t>ISIC 49</t>
        </is>
      </c>
      <c r="D74" t="inlineStr">
        <is>
          <t>ISIC 49T53</t>
        </is>
      </c>
      <c r="E74" t="n">
        <v>0.45630816353267</v>
      </c>
      <c r="F74" t="inlineStr">
        <is>
          <t>BEA 2024 output share (default)</t>
        </is>
      </c>
      <c r="G74" t="n">
        <v>0.45630816353267</v>
      </c>
    </row>
    <row r="75">
      <c r="A75" t="inlineStr">
        <is>
          <t>SoHPCCbRIC.csv</t>
        </is>
      </c>
      <c r="B75" t="inlineStr">
        <is>
          <t>hydrocarbon partial oxidation</t>
        </is>
      </c>
      <c r="C75" t="inlineStr">
        <is>
          <t>ISIC 50</t>
        </is>
      </c>
      <c r="D75" t="inlineStr">
        <is>
          <t>ISIC 49T53</t>
        </is>
      </c>
      <c r="E75" t="n">
        <v>0.04437004750051631</v>
      </c>
      <c r="F75" t="inlineStr">
        <is>
          <t>BEA 2024 output share (default)</t>
        </is>
      </c>
      <c r="G75" t="n">
        <v>0.04437004750051631</v>
      </c>
    </row>
    <row r="76">
      <c r="A76" t="inlineStr">
        <is>
          <t>SoHPCCbRIC.csv</t>
        </is>
      </c>
      <c r="B76" t="inlineStr">
        <is>
          <t>hydrocarbon partial oxidation</t>
        </is>
      </c>
      <c r="C76" t="inlineStr">
        <is>
          <t>ISIC 51</t>
        </is>
      </c>
      <c r="D76" t="inlineStr">
        <is>
          <t>ISIC 49T53</t>
        </is>
      </c>
      <c r="E76" t="n">
        <v>0.1883750452665103</v>
      </c>
      <c r="F76" t="inlineStr">
        <is>
          <t>BEA 2024 output share (default)</t>
        </is>
      </c>
      <c r="G76" t="n">
        <v>0.1883750452665103</v>
      </c>
    </row>
    <row r="77">
      <c r="A77" t="inlineStr">
        <is>
          <t>SoHPCCbRIC.csv</t>
        </is>
      </c>
      <c r="B77" t="inlineStr">
        <is>
          <t>hydrocarbon partial oxidation</t>
        </is>
      </c>
      <c r="C77" t="inlineStr">
        <is>
          <t>ISIC 52</t>
        </is>
      </c>
      <c r="D77" t="inlineStr">
        <is>
          <t>ISIC 49T53</t>
        </is>
      </c>
      <c r="E77" t="n">
        <v>0.2228651226758185</v>
      </c>
      <c r="F77" t="inlineStr">
        <is>
          <t>BEA 2024 output share (default)</t>
        </is>
      </c>
      <c r="G77" t="n">
        <v>0.2228651226758185</v>
      </c>
    </row>
    <row r="78">
      <c r="A78" t="inlineStr">
        <is>
          <t>SoHPCCbRIC.csv</t>
        </is>
      </c>
      <c r="B78" t="inlineStr">
        <is>
          <t>hydrocarbon partial oxidation</t>
        </is>
      </c>
      <c r="C78" t="inlineStr">
        <is>
          <t>ISIC 53</t>
        </is>
      </c>
      <c r="D78" t="inlineStr">
        <is>
          <t>ISIC 49T53</t>
        </is>
      </c>
      <c r="E78" t="n">
        <v>0.08808162102448482</v>
      </c>
      <c r="F78" t="inlineStr">
        <is>
          <t>BEA 2024 output share (default)</t>
        </is>
      </c>
      <c r="G78" t="n">
        <v>0.08808162102448482</v>
      </c>
    </row>
    <row r="79">
      <c r="A79" t="inlineStr">
        <is>
          <t>SoHPCCbRIC.csv</t>
        </is>
      </c>
      <c r="B79" t="inlineStr">
        <is>
          <t>hydrocarbon partial oxidation</t>
        </is>
      </c>
      <c r="C79" t="inlineStr">
        <is>
          <t>ISIC 69T75</t>
        </is>
      </c>
      <c r="D79" t="inlineStr">
        <is>
          <t>ISIC 69T82</t>
        </is>
      </c>
      <c r="E79" t="n">
        <v>1</v>
      </c>
      <c r="F79" t="inlineStr">
        <is>
          <t>semantic override</t>
        </is>
      </c>
      <c r="G79" t="n">
        <v>0.7298219447914125</v>
      </c>
    </row>
    <row r="80">
      <c r="A80" t="inlineStr">
        <is>
          <t>SoHPCCbRIC.csv</t>
        </is>
      </c>
      <c r="B80" t="inlineStr">
        <is>
          <t>hydrocarbon partial oxidation</t>
        </is>
      </c>
      <c r="C80" t="inlineStr">
        <is>
          <t>ISIC 77T82</t>
        </is>
      </c>
      <c r="D80" t="inlineStr">
        <is>
          <t>ISIC 69T82</t>
        </is>
      </c>
      <c r="E80" t="n">
        <v>0</v>
      </c>
      <c r="F80" t="inlineStr">
        <is>
          <t>semantic override</t>
        </is>
      </c>
      <c r="G80" t="n">
        <v>0.2701780552085875</v>
      </c>
    </row>
    <row r="81">
      <c r="A81" t="inlineStr">
        <is>
          <t>SoHPCCbRIC.csv</t>
        </is>
      </c>
      <c r="B81" t="inlineStr">
        <is>
          <t>hydrocarbon partial oxidation</t>
        </is>
      </c>
      <c r="C81" t="inlineStr">
        <is>
          <t>ISIC 90T93</t>
        </is>
      </c>
      <c r="D81" t="inlineStr">
        <is>
          <t>ISIC 90T96</t>
        </is>
      </c>
      <c r="E81" t="n">
        <v>0.4216249514352275</v>
      </c>
      <c r="F81" t="inlineStr">
        <is>
          <t>BEA 2024 output share (default)</t>
        </is>
      </c>
      <c r="G81" t="n">
        <v>0.4216249514352275</v>
      </c>
    </row>
    <row r="82">
      <c r="A82" t="inlineStr">
        <is>
          <t>SoHPCCbRIC.csv</t>
        </is>
      </c>
      <c r="B82" t="inlineStr">
        <is>
          <t>hydrocarbon partial oxidation</t>
        </is>
      </c>
      <c r="C82" t="inlineStr">
        <is>
          <t>ISIC 94T96</t>
        </is>
      </c>
      <c r="D82" t="inlineStr">
        <is>
          <t>ISIC 90T96</t>
        </is>
      </c>
      <c r="E82" t="n">
        <v>0.5783750485647725</v>
      </c>
      <c r="F82" t="inlineStr">
        <is>
          <t>BEA 2024 output share (default)</t>
        </is>
      </c>
      <c r="G82" t="n">
        <v>0.5783750485647725</v>
      </c>
    </row>
    <row r="83">
      <c r="A83" t="inlineStr">
        <is>
          <t>SoHPCCbRIC.csv</t>
        </is>
      </c>
      <c r="B83" t="inlineStr">
        <is>
          <t>natural gas reforming</t>
        </is>
      </c>
      <c r="C83" t="inlineStr">
        <is>
          <t>ISIC 01</t>
        </is>
      </c>
      <c r="D83" t="inlineStr">
        <is>
          <t>ISIC 01T03</t>
        </is>
      </c>
      <c r="E83" t="n">
        <v>0.9429986826432329</v>
      </c>
      <c r="F83" t="inlineStr">
        <is>
          <t>BEA 2024 output share (default)</t>
        </is>
      </c>
      <c r="G83" t="n">
        <v>0.9429986826432329</v>
      </c>
    </row>
    <row r="84">
      <c r="A84" t="inlineStr">
        <is>
          <t>SoHPCCbRIC.csv</t>
        </is>
      </c>
      <c r="B84" t="inlineStr">
        <is>
          <t>natural gas reforming</t>
        </is>
      </c>
      <c r="C84" t="inlineStr">
        <is>
          <t>ISIC 02</t>
        </is>
      </c>
      <c r="D84" t="inlineStr">
        <is>
          <t>ISIC 01T03</t>
        </is>
      </c>
      <c r="E84" t="n">
        <v>0.04176573136965662</v>
      </c>
      <c r="F84" t="inlineStr">
        <is>
          <t>BEA 2024 output share (default)</t>
        </is>
      </c>
      <c r="G84" t="n">
        <v>0.04176573136965662</v>
      </c>
    </row>
    <row r="85">
      <c r="A85" t="inlineStr">
        <is>
          <t>SoHPCCbRIC.csv</t>
        </is>
      </c>
      <c r="B85" t="inlineStr">
        <is>
          <t>natural gas reforming</t>
        </is>
      </c>
      <c r="C85" t="inlineStr">
        <is>
          <t>ISIC 03</t>
        </is>
      </c>
      <c r="D85" t="inlineStr">
        <is>
          <t>ISIC 01T03</t>
        </is>
      </c>
      <c r="E85" t="n">
        <v>0.01523558598711041</v>
      </c>
      <c r="F85" t="inlineStr">
        <is>
          <t>BEA 2024 output share (default)</t>
        </is>
      </c>
      <c r="G85" t="n">
        <v>0.01523558598711041</v>
      </c>
    </row>
    <row r="86">
      <c r="A86" t="inlineStr">
        <is>
          <t>SoHPCCbRIC.csv</t>
        </is>
      </c>
      <c r="B86" t="inlineStr">
        <is>
          <t>natural gas reforming</t>
        </is>
      </c>
      <c r="C86" t="inlineStr">
        <is>
          <t>ISIC 07</t>
        </is>
      </c>
      <c r="D86" t="inlineStr">
        <is>
          <t>ISIC 07T08</t>
        </is>
      </c>
      <c r="E86" t="n">
        <v>0.4327368836123752</v>
      </c>
      <c r="F86" t="inlineStr">
        <is>
          <t>BEA 2024 output share (default)</t>
        </is>
      </c>
      <c r="G86" t="n">
        <v>0.4327368836123752</v>
      </c>
    </row>
    <row r="87">
      <c r="A87" t="inlineStr">
        <is>
          <t>SoHPCCbRIC.csv</t>
        </is>
      </c>
      <c r="B87" t="inlineStr">
        <is>
          <t>natural gas reforming</t>
        </is>
      </c>
      <c r="C87" t="inlineStr">
        <is>
          <t>ISIC 08</t>
        </is>
      </c>
      <c r="D87" t="inlineStr">
        <is>
          <t>ISIC 07T08</t>
        </is>
      </c>
      <c r="E87" t="n">
        <v>0.5672631163876248</v>
      </c>
      <c r="F87" t="inlineStr">
        <is>
          <t>BEA 2024 output share (default)</t>
        </is>
      </c>
      <c r="G87" t="n">
        <v>0.5672631163876248</v>
      </c>
    </row>
    <row r="88">
      <c r="A88" t="inlineStr">
        <is>
          <t>SoHPCCbRIC.csv</t>
        </is>
      </c>
      <c r="B88" t="inlineStr">
        <is>
          <t>natural gas reforming</t>
        </is>
      </c>
      <c r="C88" t="inlineStr">
        <is>
          <t>ISIC 301</t>
        </is>
      </c>
      <c r="D88" t="inlineStr">
        <is>
          <t>ISIC 30</t>
        </is>
      </c>
      <c r="E88" t="n">
        <v>0.1171368722490322</v>
      </c>
      <c r="F88" t="inlineStr">
        <is>
          <t>BEA 2024 output share (default)</t>
        </is>
      </c>
      <c r="G88" t="n">
        <v>0.1171368722490322</v>
      </c>
    </row>
    <row r="89">
      <c r="A89" t="inlineStr">
        <is>
          <t>SoHPCCbRIC.csv</t>
        </is>
      </c>
      <c r="B89" t="inlineStr">
        <is>
          <t>natural gas reforming</t>
        </is>
      </c>
      <c r="C89" t="inlineStr">
        <is>
          <t>ISIC 302T309</t>
        </is>
      </c>
      <c r="D89" t="inlineStr">
        <is>
          <t>ISIC 30</t>
        </is>
      </c>
      <c r="E89" t="n">
        <v>0.8828631277509678</v>
      </c>
      <c r="F89" t="inlineStr">
        <is>
          <t>BEA 2024 output share (default)</t>
        </is>
      </c>
      <c r="G89" t="n">
        <v>0.8828631277509678</v>
      </c>
    </row>
    <row r="90">
      <c r="A90" t="inlineStr">
        <is>
          <t>SoHPCCbRIC.csv</t>
        </is>
      </c>
      <c r="B90" t="inlineStr">
        <is>
          <t>natural gas reforming</t>
        </is>
      </c>
      <c r="C90" t="inlineStr">
        <is>
          <t>ISIC 49</t>
        </is>
      </c>
      <c r="D90" t="inlineStr">
        <is>
          <t>ISIC 49T53</t>
        </is>
      </c>
      <c r="E90" t="n">
        <v>0.45630816353267</v>
      </c>
      <c r="F90" t="inlineStr">
        <is>
          <t>BEA 2024 output share (default)</t>
        </is>
      </c>
      <c r="G90" t="n">
        <v>0.45630816353267</v>
      </c>
    </row>
    <row r="91">
      <c r="A91" t="inlineStr">
        <is>
          <t>SoHPCCbRIC.csv</t>
        </is>
      </c>
      <c r="B91" t="inlineStr">
        <is>
          <t>natural gas reforming</t>
        </is>
      </c>
      <c r="C91" t="inlineStr">
        <is>
          <t>ISIC 50</t>
        </is>
      </c>
      <c r="D91" t="inlineStr">
        <is>
          <t>ISIC 49T53</t>
        </is>
      </c>
      <c r="E91" t="n">
        <v>0.04437004750051631</v>
      </c>
      <c r="F91" t="inlineStr">
        <is>
          <t>BEA 2024 output share (default)</t>
        </is>
      </c>
      <c r="G91" t="n">
        <v>0.04437004750051631</v>
      </c>
    </row>
    <row r="92">
      <c r="A92" t="inlineStr">
        <is>
          <t>SoHPCCbRIC.csv</t>
        </is>
      </c>
      <c r="B92" t="inlineStr">
        <is>
          <t>natural gas reforming</t>
        </is>
      </c>
      <c r="C92" t="inlineStr">
        <is>
          <t>ISIC 51</t>
        </is>
      </c>
      <c r="D92" t="inlineStr">
        <is>
          <t>ISIC 49T53</t>
        </is>
      </c>
      <c r="E92" t="n">
        <v>0.1883750452665103</v>
      </c>
      <c r="F92" t="inlineStr">
        <is>
          <t>BEA 2024 output share (default)</t>
        </is>
      </c>
      <c r="G92" t="n">
        <v>0.1883750452665103</v>
      </c>
    </row>
    <row r="93">
      <c r="A93" t="inlineStr">
        <is>
          <t>SoHPCCbRIC.csv</t>
        </is>
      </c>
      <c r="B93" t="inlineStr">
        <is>
          <t>natural gas reforming</t>
        </is>
      </c>
      <c r="C93" t="inlineStr">
        <is>
          <t>ISIC 52</t>
        </is>
      </c>
      <c r="D93" t="inlineStr">
        <is>
          <t>ISIC 49T53</t>
        </is>
      </c>
      <c r="E93" t="n">
        <v>0.2228651226758185</v>
      </c>
      <c r="F93" t="inlineStr">
        <is>
          <t>BEA 2024 output share (default)</t>
        </is>
      </c>
      <c r="G93" t="n">
        <v>0.2228651226758185</v>
      </c>
    </row>
    <row r="94">
      <c r="A94" t="inlineStr">
        <is>
          <t>SoHPCCbRIC.csv</t>
        </is>
      </c>
      <c r="B94" t="inlineStr">
        <is>
          <t>natural gas reforming</t>
        </is>
      </c>
      <c r="C94" t="inlineStr">
        <is>
          <t>ISIC 53</t>
        </is>
      </c>
      <c r="D94" t="inlineStr">
        <is>
          <t>ISIC 49T53</t>
        </is>
      </c>
      <c r="E94" t="n">
        <v>0.08808162102448482</v>
      </c>
      <c r="F94" t="inlineStr">
        <is>
          <t>BEA 2024 output share (default)</t>
        </is>
      </c>
      <c r="G94" t="n">
        <v>0.08808162102448482</v>
      </c>
    </row>
    <row r="95">
      <c r="A95" t="inlineStr">
        <is>
          <t>SoHPCCbRIC.csv</t>
        </is>
      </c>
      <c r="B95" t="inlineStr">
        <is>
          <t>natural gas reforming</t>
        </is>
      </c>
      <c r="C95" t="inlineStr">
        <is>
          <t>ISIC 69T75</t>
        </is>
      </c>
      <c r="D95" t="inlineStr">
        <is>
          <t>ISIC 69T82</t>
        </is>
      </c>
      <c r="E95" t="n">
        <v>1</v>
      </c>
      <c r="F95" t="inlineStr">
        <is>
          <t>semantic override</t>
        </is>
      </c>
      <c r="G95" t="n">
        <v>0.7298219447914125</v>
      </c>
    </row>
    <row r="96">
      <c r="A96" t="inlineStr">
        <is>
          <t>SoHPCCbRIC.csv</t>
        </is>
      </c>
      <c r="B96" t="inlineStr">
        <is>
          <t>natural gas reforming</t>
        </is>
      </c>
      <c r="C96" t="inlineStr">
        <is>
          <t>ISIC 77T82</t>
        </is>
      </c>
      <c r="D96" t="inlineStr">
        <is>
          <t>ISIC 69T82</t>
        </is>
      </c>
      <c r="E96" t="n">
        <v>0</v>
      </c>
      <c r="F96" t="inlineStr">
        <is>
          <t>semantic override</t>
        </is>
      </c>
      <c r="G96" t="n">
        <v>0.2701780552085875</v>
      </c>
    </row>
    <row r="97">
      <c r="A97" t="inlineStr">
        <is>
          <t>SoHPCCbRIC.csv</t>
        </is>
      </c>
      <c r="B97" t="inlineStr">
        <is>
          <t>natural gas reforming</t>
        </is>
      </c>
      <c r="C97" t="inlineStr">
        <is>
          <t>ISIC 90T93</t>
        </is>
      </c>
      <c r="D97" t="inlineStr">
        <is>
          <t>ISIC 90T96</t>
        </is>
      </c>
      <c r="E97" t="n">
        <v>0.4216249514352275</v>
      </c>
      <c r="F97" t="inlineStr">
        <is>
          <t>BEA 2024 output share (default)</t>
        </is>
      </c>
      <c r="G97" t="n">
        <v>0.4216249514352275</v>
      </c>
    </row>
    <row r="98">
      <c r="A98" t="inlineStr">
        <is>
          <t>SoHPCCbRIC.csv</t>
        </is>
      </c>
      <c r="B98" t="inlineStr">
        <is>
          <t>natural gas reforming</t>
        </is>
      </c>
      <c r="C98" t="inlineStr">
        <is>
          <t>ISIC 94T96</t>
        </is>
      </c>
      <c r="D98" t="inlineStr">
        <is>
          <t>ISIC 90T96</t>
        </is>
      </c>
      <c r="E98" t="n">
        <v>0.5783750485647725</v>
      </c>
      <c r="F98" t="inlineStr">
        <is>
          <t>BEA 2024 output share (default)</t>
        </is>
      </c>
      <c r="G98" t="n">
        <v>0.5783750485647725</v>
      </c>
    </row>
    <row r="99">
      <c r="A99" t="inlineStr">
        <is>
          <t>SoHPCCbRIC.csv</t>
        </is>
      </c>
      <c r="B99" t="inlineStr">
        <is>
          <t>natural gas reforming with CCS</t>
        </is>
      </c>
      <c r="C99" t="inlineStr">
        <is>
          <t>ISIC 01</t>
        </is>
      </c>
      <c r="D99" t="inlineStr">
        <is>
          <t>ISIC 01T03</t>
        </is>
      </c>
      <c r="E99" t="n">
        <v>0.9429986826432329</v>
      </c>
      <c r="F99" t="inlineStr">
        <is>
          <t>BEA 2024 output share (default)</t>
        </is>
      </c>
      <c r="G99" t="n">
        <v>0.9429986826432329</v>
      </c>
    </row>
    <row r="100">
      <c r="A100" t="inlineStr">
        <is>
          <t>SoHPCCbRIC.csv</t>
        </is>
      </c>
      <c r="B100" t="inlineStr">
        <is>
          <t>natural gas reforming with CCS</t>
        </is>
      </c>
      <c r="C100" t="inlineStr">
        <is>
          <t>ISIC 02</t>
        </is>
      </c>
      <c r="D100" t="inlineStr">
        <is>
          <t>ISIC 01T03</t>
        </is>
      </c>
      <c r="E100" t="n">
        <v>0.04176573136965662</v>
      </c>
      <c r="F100" t="inlineStr">
        <is>
          <t>BEA 2024 output share (default)</t>
        </is>
      </c>
      <c r="G100" t="n">
        <v>0.04176573136965662</v>
      </c>
    </row>
    <row r="101">
      <c r="A101" t="inlineStr">
        <is>
          <t>SoHPCCbRIC.csv</t>
        </is>
      </c>
      <c r="B101" t="inlineStr">
        <is>
          <t>natural gas reforming with CCS</t>
        </is>
      </c>
      <c r="C101" t="inlineStr">
        <is>
          <t>ISIC 03</t>
        </is>
      </c>
      <c r="D101" t="inlineStr">
        <is>
          <t>ISIC 01T03</t>
        </is>
      </c>
      <c r="E101" t="n">
        <v>0.01523558598711041</v>
      </c>
      <c r="F101" t="inlineStr">
        <is>
          <t>BEA 2024 output share (default)</t>
        </is>
      </c>
      <c r="G101" t="n">
        <v>0.01523558598711041</v>
      </c>
    </row>
    <row r="102">
      <c r="A102" t="inlineStr">
        <is>
          <t>SoHPCCbRIC.csv</t>
        </is>
      </c>
      <c r="B102" t="inlineStr">
        <is>
          <t>natural gas reforming with CCS</t>
        </is>
      </c>
      <c r="C102" t="inlineStr">
        <is>
          <t>ISIC 07</t>
        </is>
      </c>
      <c r="D102" t="inlineStr">
        <is>
          <t>ISIC 07T08</t>
        </is>
      </c>
      <c r="E102" t="n">
        <v>0.4327368836123752</v>
      </c>
      <c r="F102" t="inlineStr">
        <is>
          <t>BEA 2024 output share (default)</t>
        </is>
      </c>
      <c r="G102" t="n">
        <v>0.4327368836123752</v>
      </c>
    </row>
    <row r="103">
      <c r="A103" t="inlineStr">
        <is>
          <t>SoHPCCbRIC.csv</t>
        </is>
      </c>
      <c r="B103" t="inlineStr">
        <is>
          <t>natural gas reforming with CCS</t>
        </is>
      </c>
      <c r="C103" t="inlineStr">
        <is>
          <t>ISIC 08</t>
        </is>
      </c>
      <c r="D103" t="inlineStr">
        <is>
          <t>ISIC 07T08</t>
        </is>
      </c>
      <c r="E103" t="n">
        <v>0.5672631163876248</v>
      </c>
      <c r="F103" t="inlineStr">
        <is>
          <t>BEA 2024 output share (default)</t>
        </is>
      </c>
      <c r="G103" t="n">
        <v>0.5672631163876248</v>
      </c>
    </row>
    <row r="104">
      <c r="A104" t="inlineStr">
        <is>
          <t>SoHPCCbRIC.csv</t>
        </is>
      </c>
      <c r="B104" t="inlineStr">
        <is>
          <t>natural gas reforming with CCS</t>
        </is>
      </c>
      <c r="C104" t="inlineStr">
        <is>
          <t>ISIC 301</t>
        </is>
      </c>
      <c r="D104" t="inlineStr">
        <is>
          <t>ISIC 30</t>
        </is>
      </c>
      <c r="E104" t="n">
        <v>0.1171368722490322</v>
      </c>
      <c r="F104" t="inlineStr">
        <is>
          <t>BEA 2024 output share (default)</t>
        </is>
      </c>
      <c r="G104" t="n">
        <v>0.1171368722490322</v>
      </c>
    </row>
    <row r="105">
      <c r="A105" t="inlineStr">
        <is>
          <t>SoHPCCbRIC.csv</t>
        </is>
      </c>
      <c r="B105" t="inlineStr">
        <is>
          <t>natural gas reforming with CCS</t>
        </is>
      </c>
      <c r="C105" t="inlineStr">
        <is>
          <t>ISIC 302T309</t>
        </is>
      </c>
      <c r="D105" t="inlineStr">
        <is>
          <t>ISIC 30</t>
        </is>
      </c>
      <c r="E105" t="n">
        <v>0.8828631277509678</v>
      </c>
      <c r="F105" t="inlineStr">
        <is>
          <t>BEA 2024 output share (default)</t>
        </is>
      </c>
      <c r="G105" t="n">
        <v>0.8828631277509678</v>
      </c>
    </row>
    <row r="106">
      <c r="A106" t="inlineStr">
        <is>
          <t>SoHPCCbRIC.csv</t>
        </is>
      </c>
      <c r="B106" t="inlineStr">
        <is>
          <t>natural gas reforming with CCS</t>
        </is>
      </c>
      <c r="C106" t="inlineStr">
        <is>
          <t>ISIC 49</t>
        </is>
      </c>
      <c r="D106" t="inlineStr">
        <is>
          <t>ISIC 49T53</t>
        </is>
      </c>
      <c r="E106" t="n">
        <v>0.45630816353267</v>
      </c>
      <c r="F106" t="inlineStr">
        <is>
          <t>BEA 2024 output share (default)</t>
        </is>
      </c>
      <c r="G106" t="n">
        <v>0.45630816353267</v>
      </c>
    </row>
    <row r="107">
      <c r="A107" t="inlineStr">
        <is>
          <t>SoHPCCbRIC.csv</t>
        </is>
      </c>
      <c r="B107" t="inlineStr">
        <is>
          <t>natural gas reforming with CCS</t>
        </is>
      </c>
      <c r="C107" t="inlineStr">
        <is>
          <t>ISIC 50</t>
        </is>
      </c>
      <c r="D107" t="inlineStr">
        <is>
          <t>ISIC 49T53</t>
        </is>
      </c>
      <c r="E107" t="n">
        <v>0.04437004750051631</v>
      </c>
      <c r="F107" t="inlineStr">
        <is>
          <t>BEA 2024 output share (default)</t>
        </is>
      </c>
      <c r="G107" t="n">
        <v>0.04437004750051631</v>
      </c>
    </row>
    <row r="108">
      <c r="A108" t="inlineStr">
        <is>
          <t>SoHPCCbRIC.csv</t>
        </is>
      </c>
      <c r="B108" t="inlineStr">
        <is>
          <t>natural gas reforming with CCS</t>
        </is>
      </c>
      <c r="C108" t="inlineStr">
        <is>
          <t>ISIC 51</t>
        </is>
      </c>
      <c r="D108" t="inlineStr">
        <is>
          <t>ISIC 49T53</t>
        </is>
      </c>
      <c r="E108" t="n">
        <v>0.1883750452665103</v>
      </c>
      <c r="F108" t="inlineStr">
        <is>
          <t>BEA 2024 output share (default)</t>
        </is>
      </c>
      <c r="G108" t="n">
        <v>0.1883750452665103</v>
      </c>
    </row>
    <row r="109">
      <c r="A109" t="inlineStr">
        <is>
          <t>SoHPCCbRIC.csv</t>
        </is>
      </c>
      <c r="B109" t="inlineStr">
        <is>
          <t>natural gas reforming with CCS</t>
        </is>
      </c>
      <c r="C109" t="inlineStr">
        <is>
          <t>ISIC 52</t>
        </is>
      </c>
      <c r="D109" t="inlineStr">
        <is>
          <t>ISIC 49T53</t>
        </is>
      </c>
      <c r="E109" t="n">
        <v>0.2228651226758185</v>
      </c>
      <c r="F109" t="inlineStr">
        <is>
          <t>BEA 2024 output share (default)</t>
        </is>
      </c>
      <c r="G109" t="n">
        <v>0.2228651226758185</v>
      </c>
    </row>
    <row r="110">
      <c r="A110" t="inlineStr">
        <is>
          <t>SoHPCCbRIC.csv</t>
        </is>
      </c>
      <c r="B110" t="inlineStr">
        <is>
          <t>natural gas reforming with CCS</t>
        </is>
      </c>
      <c r="C110" t="inlineStr">
        <is>
          <t>ISIC 53</t>
        </is>
      </c>
      <c r="D110" t="inlineStr">
        <is>
          <t>ISIC 49T53</t>
        </is>
      </c>
      <c r="E110" t="n">
        <v>0.08808162102448482</v>
      </c>
      <c r="F110" t="inlineStr">
        <is>
          <t>BEA 2024 output share (default)</t>
        </is>
      </c>
      <c r="G110" t="n">
        <v>0.08808162102448482</v>
      </c>
    </row>
    <row r="111">
      <c r="A111" t="inlineStr">
        <is>
          <t>SoHPCCbRIC.csv</t>
        </is>
      </c>
      <c r="B111" t="inlineStr">
        <is>
          <t>natural gas reforming with CCS</t>
        </is>
      </c>
      <c r="C111" t="inlineStr">
        <is>
          <t>ISIC 69T75</t>
        </is>
      </c>
      <c r="D111" t="inlineStr">
        <is>
          <t>ISIC 69T82</t>
        </is>
      </c>
      <c r="E111" t="n">
        <v>1</v>
      </c>
      <c r="F111" t="inlineStr">
        <is>
          <t>semantic override</t>
        </is>
      </c>
      <c r="G111" t="n">
        <v>0.7298219447914125</v>
      </c>
    </row>
    <row r="112">
      <c r="A112" t="inlineStr">
        <is>
          <t>SoHPCCbRIC.csv</t>
        </is>
      </c>
      <c r="B112" t="inlineStr">
        <is>
          <t>natural gas reforming with CCS</t>
        </is>
      </c>
      <c r="C112" t="inlineStr">
        <is>
          <t>ISIC 77T82</t>
        </is>
      </c>
      <c r="D112" t="inlineStr">
        <is>
          <t>ISIC 69T82</t>
        </is>
      </c>
      <c r="E112" t="n">
        <v>0</v>
      </c>
      <c r="F112" t="inlineStr">
        <is>
          <t>semantic override</t>
        </is>
      </c>
      <c r="G112" t="n">
        <v>0.2701780552085875</v>
      </c>
    </row>
    <row r="113">
      <c r="A113" t="inlineStr">
        <is>
          <t>SoHPCCbRIC.csv</t>
        </is>
      </c>
      <c r="B113" t="inlineStr">
        <is>
          <t>natural gas reforming with CCS</t>
        </is>
      </c>
      <c r="C113" t="inlineStr">
        <is>
          <t>ISIC 90T93</t>
        </is>
      </c>
      <c r="D113" t="inlineStr">
        <is>
          <t>ISIC 90T96</t>
        </is>
      </c>
      <c r="E113" t="n">
        <v>0.4216249514352275</v>
      </c>
      <c r="F113" t="inlineStr">
        <is>
          <t>BEA 2024 output share (default)</t>
        </is>
      </c>
      <c r="G113" t="n">
        <v>0.4216249514352275</v>
      </c>
    </row>
    <row r="114">
      <c r="A114" t="inlineStr">
        <is>
          <t>SoHPCCbRIC.csv</t>
        </is>
      </c>
      <c r="B114" t="inlineStr">
        <is>
          <t>natural gas reforming with CCS</t>
        </is>
      </c>
      <c r="C114" t="inlineStr">
        <is>
          <t>ISIC 94T96</t>
        </is>
      </c>
      <c r="D114" t="inlineStr">
        <is>
          <t>ISIC 90T96</t>
        </is>
      </c>
      <c r="E114" t="n">
        <v>0.5783750485647725</v>
      </c>
      <c r="F114" t="inlineStr">
        <is>
          <t>BEA 2024 output share (default)</t>
        </is>
      </c>
      <c r="G114" t="n">
        <v>0.5783750485647725</v>
      </c>
    </row>
  </sheetData>
  <pageMargins left="0.75" right="0.75" top="1" bottom="1" header="0.5" footer="0.5"/>
</worksheet>
</file>

<file path=xl/worksheets/sheet3.xml><?xml version="1.0" encoding="utf-8"?>
<worksheet xmlns:r="http://schemas.openxmlformats.org/officeDocument/2006/relationships" xmlns="http://schemas.openxmlformats.org/spreadsheetml/2006/main">
  <sheetPr>
    <outlinePr summaryBelow="1" summaryRight="1"/>
    <pageSetUpPr/>
  </sheetPr>
  <dimension ref="B10:N98"/>
  <sheetViews>
    <sheetView topLeftCell="A22" zoomScale="70" zoomScaleNormal="70" workbookViewId="0">
      <selection activeCell="A1" sqref="A1"/>
    </sheetView>
  </sheetViews>
  <sheetFormatPr baseColWidth="8" defaultRowHeight="14.5"/>
  <cols>
    <col width="99.1796875" bestFit="1" customWidth="1" style="63" min="2" max="2"/>
    <col width="12.26953125" bestFit="1" customWidth="1" style="63" min="3" max="3"/>
    <col width="13.453125" bestFit="1" customWidth="1" style="63" min="4" max="4"/>
    <col width="13.453125" bestFit="1" customWidth="1" style="63" min="6" max="6"/>
    <col width="18" bestFit="1" customWidth="1" style="63" min="11" max="11"/>
    <col width="15.26953125" bestFit="1" customWidth="1" style="63" min="12" max="12"/>
  </cols>
  <sheetData>
    <row r="10">
      <c r="L10" s="48" t="n">
        <v>68084000</v>
      </c>
      <c r="M10" t="inlineStr">
        <is>
          <t>ISIC 28</t>
        </is>
      </c>
    </row>
    <row r="11">
      <c r="L11" s="48" t="n"/>
    </row>
    <row r="12">
      <c r="L12" s="48" t="n">
        <v>49148000</v>
      </c>
      <c r="M12" t="inlineStr">
        <is>
          <t>ISIC 41T43</t>
        </is>
      </c>
    </row>
    <row r="13">
      <c r="L13" s="48" t="n"/>
    </row>
    <row r="14">
      <c r="L14" s="48" t="n"/>
    </row>
    <row r="15">
      <c r="L15" s="48" t="n"/>
    </row>
    <row r="16">
      <c r="L16" s="48" t="n">
        <v>3658000</v>
      </c>
      <c r="M16" t="inlineStr">
        <is>
          <t>ISIC 28</t>
        </is>
      </c>
    </row>
    <row r="17">
      <c r="L17" s="48" t="n"/>
    </row>
    <row r="18">
      <c r="L18" s="48" t="n">
        <v>21570000</v>
      </c>
      <c r="M18" t="inlineStr">
        <is>
          <t>ISIC 41T43</t>
        </is>
      </c>
    </row>
    <row r="19">
      <c r="L19" s="48" t="n"/>
    </row>
    <row r="20">
      <c r="L20" s="48" t="n"/>
    </row>
    <row r="21">
      <c r="L21" s="48" t="n">
        <v>28492000</v>
      </c>
      <c r="M21" t="inlineStr">
        <is>
          <t>ISIC 64T66</t>
        </is>
      </c>
    </row>
    <row r="33" ht="22" customHeight="1" s="63">
      <c r="B33" s="2" t="inlineStr">
        <is>
          <t>Capital Costs</t>
        </is>
      </c>
      <c r="F33" s="54" t="n"/>
    </row>
    <row r="34"/>
    <row r="35" ht="15.5" customHeight="1" s="63">
      <c r="C35" s="3" t="inlineStr">
        <is>
          <t>Color Key</t>
        </is>
      </c>
    </row>
    <row r="36" ht="15.5" customHeight="1" s="63">
      <c r="C36" s="3" t="n"/>
    </row>
    <row r="37" ht="16" customHeight="1" s="63" thickBot="1">
      <c r="C37" s="3" t="n"/>
    </row>
    <row r="38" ht="15" customHeight="1" s="63" thickBot="1">
      <c r="B38" s="4" t="inlineStr">
        <is>
          <t>Design Plant Hydrogen Production (kg/day)</t>
        </is>
      </c>
      <c r="C38" s="5" t="n">
        <v>50000</v>
      </c>
      <c r="D38" s="55" t="inlineStr">
        <is>
          <t>Capital costs for the design plant (baseline) are entered on this sheet. Use the Plant Scaling sheet to set scaling parameters for scaling up or down in size from the baseline plant. Enter the output kg/day for the plant you wish to analyze on the Input Sheet</t>
        </is>
      </c>
      <c r="E38" s="66" t="n"/>
      <c r="F38" s="66" t="n"/>
      <c r="G38" s="66" t="n"/>
      <c r="H38" s="67" t="n"/>
    </row>
    <row r="39" ht="15" customHeight="1" s="63" thickBot="1">
      <c r="D39" s="58" t="inlineStr">
        <is>
          <t>Comments</t>
        </is>
      </c>
      <c r="E39" s="68" t="n"/>
      <c r="F39" s="68" t="n"/>
      <c r="G39" s="68" t="n"/>
      <c r="H39" s="68" t="n"/>
    </row>
    <row r="40">
      <c r="B40" s="6" t="inlineStr">
        <is>
          <t>Basis year for capital costs</t>
        </is>
      </c>
      <c r="C40" s="7" t="n">
        <v>2012</v>
      </c>
      <c r="D40" s="69" t="n"/>
      <c r="E40" s="70" t="n"/>
      <c r="F40" s="70" t="n"/>
      <c r="G40" s="70" t="n"/>
      <c r="H40" s="71" t="n"/>
    </row>
    <row r="41">
      <c r="B41" s="6" t="inlineStr">
        <is>
          <t>Enter current year for capital costs</t>
        </is>
      </c>
      <c r="C41" s="8" t="n">
        <v>2010</v>
      </c>
      <c r="D41" s="72" t="n"/>
      <c r="E41" s="73" t="n"/>
      <c r="F41" s="73" t="n"/>
      <c r="G41" s="73" t="n"/>
      <c r="H41" s="74" t="n"/>
    </row>
    <row r="42" ht="41.25" customHeight="1" s="63">
      <c r="B42" s="6" t="inlineStr">
        <is>
          <t>CEPCI Inflator (2012 to )</t>
        </is>
      </c>
      <c r="C42" s="9" t="n">
        <v>0.942182689018132</v>
      </c>
      <c r="D42" s="72" t="inlineStr">
        <is>
          <t>The Chemical Engineering Plant Cost Index (CEPCI) is used to adjust the capital cost of the H2 Production facility from the basis year to the current year.</t>
        </is>
      </c>
      <c r="E42" s="73" t="n"/>
      <c r="F42" s="73" t="n"/>
      <c r="G42" s="73" t="n"/>
      <c r="H42" s="74" t="n"/>
      <c r="M42" t="inlineStr">
        <is>
          <t>ISIC 01T03</t>
        </is>
      </c>
      <c r="N42" t="inlineStr">
        <is>
          <t>Agriculture, forestry and fishing</t>
        </is>
      </c>
    </row>
    <row r="43" ht="30" customHeight="1" s="63" thickBot="1">
      <c r="B43" s="6" t="inlineStr">
        <is>
          <t>Consumer Price Inflator ( to 2016)</t>
        </is>
      </c>
      <c r="C43" s="10" t="n">
        <v>1.100724186648488</v>
      </c>
      <c r="D43" s="75" t="inlineStr">
        <is>
          <t>The Consumer Price Inflator (CPI) is used to deflate all dollars from the current year to the Reference Year.</t>
        </is>
      </c>
      <c r="E43" s="68" t="n"/>
      <c r="F43" s="68" t="n"/>
      <c r="G43" s="68" t="n"/>
      <c r="H43" s="76" t="n"/>
      <c r="M43" t="inlineStr">
        <is>
          <t>ISIC 05</t>
        </is>
      </c>
      <c r="N43" t="inlineStr">
        <is>
          <t>Coal mining</t>
        </is>
      </c>
    </row>
    <row r="44" ht="15" customHeight="1" s="63" thickBot="1">
      <c r="M44" t="inlineStr">
        <is>
          <t>ISIC 06</t>
        </is>
      </c>
      <c r="N44" t="inlineStr">
        <is>
          <t>Oil and gas extraction</t>
        </is>
      </c>
    </row>
    <row r="45" ht="16.5" customHeight="1" s="63" thickBot="1" thickTop="1">
      <c r="B45" s="11" t="inlineStr">
        <is>
          <t>CAPITAL INVESTMENT (Inputs REQUIRED in Basis Year, (2012) $)</t>
        </is>
      </c>
      <c r="C45" s="12" t="n"/>
      <c r="D45" s="12" t="n"/>
      <c r="E45" s="12" t="n"/>
      <c r="F45" s="12" t="n"/>
      <c r="G45" s="12" t="n"/>
      <c r="H45" s="13" t="n"/>
      <c r="M45" t="inlineStr">
        <is>
          <t>ISIC 07T08</t>
        </is>
      </c>
      <c r="N45" t="inlineStr">
        <is>
          <t>Mining and quarrying of non-energy producing products</t>
        </is>
      </c>
    </row>
    <row r="46" ht="53.5" customHeight="1" s="63" thickBot="1" thickTop="1">
      <c r="B46" s="14" t="inlineStr">
        <is>
          <t>Major pieces/systems of equipment</t>
        </is>
      </c>
      <c r="C46" s="15" t="inlineStr">
        <is>
          <t>Baseline Uninstalled Costs $2012 Dollars</t>
        </is>
      </c>
      <c r="D46" s="15" t="inlineStr">
        <is>
          <t>Baseline Uninstalled Costs $2016 Dollars</t>
        </is>
      </c>
      <c r="E46" s="15" t="inlineStr">
        <is>
          <t>Installation Cost Factor</t>
        </is>
      </c>
      <c r="F46" s="16" t="inlineStr">
        <is>
          <t>Baseline Installed Costs</t>
        </is>
      </c>
      <c r="G46" s="15" t="inlineStr">
        <is>
          <t>Comments</t>
        </is>
      </c>
      <c r="H46" s="17" t="inlineStr">
        <is>
          <t>Data Source</t>
        </is>
      </c>
      <c r="M46" t="inlineStr">
        <is>
          <t>ISIC 09</t>
        </is>
      </c>
      <c r="N46" t="inlineStr">
        <is>
          <t>Mining support service activities</t>
        </is>
      </c>
    </row>
    <row r="47">
      <c r="B47" s="18" t="inlineStr">
        <is>
          <t>Stacks</t>
        </is>
      </c>
      <c r="C47" s="19" t="n">
        <v>47851875</v>
      </c>
      <c r="D47" s="20" t="n">
        <v>49626379.19413316</v>
      </c>
      <c r="E47" s="21" t="n">
        <v>1.12</v>
      </c>
      <c r="F47" s="20" t="n">
        <v>55581544.69742915</v>
      </c>
      <c r="G47" s="22" t="n"/>
      <c r="H47" s="23" t="n"/>
      <c r="I47" t="inlineStr">
        <is>
          <t>ISIC 28</t>
        </is>
      </c>
      <c r="J47" s="46">
        <f>D47/$F$58</f>
        <v/>
      </c>
      <c r="M47" t="inlineStr">
        <is>
          <t>ISIC 10T12</t>
        </is>
      </c>
      <c r="N47" t="inlineStr">
        <is>
          <t>Food products, beverages and tobacco</t>
        </is>
      </c>
    </row>
    <row r="48">
      <c r="B48" s="24" t="inlineStr">
        <is>
          <t>BoP Breakdown</t>
        </is>
      </c>
      <c r="C48" s="25" t="n"/>
      <c r="D48" s="20" t="n">
        <v>0</v>
      </c>
      <c r="E48" s="26" t="n">
        <v>1.12</v>
      </c>
      <c r="F48" s="20" t="n">
        <v>0</v>
      </c>
      <c r="G48" s="27" t="n"/>
      <c r="H48" s="28" t="n"/>
      <c r="J48" s="46" t="n"/>
      <c r="M48" t="inlineStr">
        <is>
          <t>ISIC 13T15</t>
        </is>
      </c>
      <c r="N48" t="inlineStr">
        <is>
          <t>Textiles, wearing apparel, leather and related products</t>
        </is>
      </c>
    </row>
    <row r="49">
      <c r="B49" s="29" t="inlineStr">
        <is>
          <t>Hydrogen Gas Management System-Cathode system side</t>
        </is>
      </c>
      <c r="C49" s="25" t="n">
        <v>9163125</v>
      </c>
      <c r="D49" s="20" t="n">
        <v>9502923.675472308</v>
      </c>
      <c r="E49" s="26" t="n">
        <v>1.12</v>
      </c>
      <c r="F49" s="20" t="n">
        <v>10643274.51652899</v>
      </c>
      <c r="G49" s="27" t="n"/>
      <c r="H49" s="28" t="n"/>
      <c r="I49" t="inlineStr">
        <is>
          <t>ISIC 28</t>
        </is>
      </c>
      <c r="J49" s="46">
        <f>D49/$F$58</f>
        <v/>
      </c>
      <c r="M49" t="inlineStr">
        <is>
          <t>ISIC 16</t>
        </is>
      </c>
      <c r="N49" t="inlineStr">
        <is>
          <t>Wood and of products of wood and cork (except furniture)</t>
        </is>
      </c>
    </row>
    <row r="50">
      <c r="B50" s="29" t="inlineStr">
        <is>
          <t>Oxygen Gas Management System-Anode system side</t>
        </is>
      </c>
      <c r="C50" s="25" t="n">
        <v>3054375</v>
      </c>
      <c r="D50" s="20" t="n">
        <v>3167641.225157436</v>
      </c>
      <c r="E50" s="26" t="n">
        <v>1.12</v>
      </c>
      <c r="F50" s="20" t="n">
        <v>3547758.172176328</v>
      </c>
      <c r="G50" s="27" t="n"/>
      <c r="H50" s="28" t="n"/>
      <c r="I50" t="inlineStr">
        <is>
          <t>ISIC 28</t>
        </is>
      </c>
      <c r="J50" s="46">
        <f>D50/$F$58</f>
        <v/>
      </c>
      <c r="M50" t="inlineStr">
        <is>
          <t>ISIC 17T18</t>
        </is>
      </c>
      <c r="N50" t="inlineStr">
        <is>
          <t>Paper products and printing</t>
        </is>
      </c>
    </row>
    <row r="51">
      <c r="B51" s="29" t="inlineStr">
        <is>
          <t>Water Reacant Delivery Management System</t>
        </is>
      </c>
      <c r="C51" s="25" t="n">
        <v>5090625</v>
      </c>
      <c r="D51" s="20" t="n">
        <v>5279402.04192906</v>
      </c>
      <c r="E51" s="26" t="n">
        <v>1.12</v>
      </c>
      <c r="F51" s="20" t="n">
        <v>5912930.286960548</v>
      </c>
      <c r="G51" s="27" t="n"/>
      <c r="H51" s="28" t="n"/>
      <c r="I51" t="inlineStr">
        <is>
          <t>ISIC 28</t>
        </is>
      </c>
      <c r="J51" s="46">
        <f>D51/$F$58</f>
        <v/>
      </c>
      <c r="M51" t="inlineStr">
        <is>
          <t>ISIC 19</t>
        </is>
      </c>
      <c r="N51" t="inlineStr">
        <is>
          <t>Coke and refined petroleum products</t>
        </is>
      </c>
    </row>
    <row r="52">
      <c r="B52" s="29" t="inlineStr">
        <is>
          <t>Thermal Management System</t>
        </is>
      </c>
      <c r="C52" s="25" t="n">
        <v>5090625</v>
      </c>
      <c r="D52" s="20" t="n">
        <v>5279402.04192906</v>
      </c>
      <c r="E52" s="26" t="n">
        <v>1.12</v>
      </c>
      <c r="F52" s="20" t="n">
        <v>5912930.286960548</v>
      </c>
      <c r="G52" s="27" t="n"/>
      <c r="H52" s="28" t="n"/>
      <c r="I52" t="inlineStr">
        <is>
          <t>ISIC 28</t>
        </is>
      </c>
      <c r="J52" s="46">
        <f>D52/$F$58</f>
        <v/>
      </c>
      <c r="M52" t="inlineStr">
        <is>
          <t>ISIC 20</t>
        </is>
      </c>
      <c r="N52" t="inlineStr">
        <is>
          <t>Chemicals</t>
        </is>
      </c>
    </row>
    <row r="53">
      <c r="B53" s="29" t="inlineStr">
        <is>
          <t>Power Electronics</t>
        </is>
      </c>
      <c r="C53" s="25" t="n">
        <v>21380625</v>
      </c>
      <c r="D53" s="20" t="n">
        <v>22173488.57610205</v>
      </c>
      <c r="E53" s="26" t="n">
        <v>1.12</v>
      </c>
      <c r="F53" s="20" t="n">
        <v>24834307.2052343</v>
      </c>
      <c r="G53" s="27" t="n"/>
      <c r="H53" s="28" t="n"/>
      <c r="I53" t="inlineStr">
        <is>
          <t>ISIC 27</t>
        </is>
      </c>
      <c r="J53" s="46">
        <f>D53/$F$58</f>
        <v/>
      </c>
      <c r="M53" t="inlineStr">
        <is>
          <t>ISIC 21</t>
        </is>
      </c>
      <c r="N53" t="inlineStr">
        <is>
          <t>Pharmaceuticals</t>
        </is>
      </c>
    </row>
    <row r="54">
      <c r="B54" s="29" t="inlineStr">
        <is>
          <t>Controls &amp; Sensors</t>
        </is>
      </c>
      <c r="C54" s="25" t="n">
        <v>2036250</v>
      </c>
      <c r="D54" s="20" t="n">
        <v>2111760.816771624</v>
      </c>
      <c r="E54" s="26" t="n">
        <v>1.12</v>
      </c>
      <c r="F54" s="20" t="n">
        <v>2365172.114784219</v>
      </c>
      <c r="G54" s="27" t="n"/>
      <c r="H54" s="28" t="n"/>
      <c r="I54" t="inlineStr">
        <is>
          <t>ISIC 27</t>
        </is>
      </c>
      <c r="J54" s="46">
        <f>D54/$F$58</f>
        <v/>
      </c>
      <c r="M54" t="inlineStr">
        <is>
          <t>ISIC 22</t>
        </is>
      </c>
      <c r="N54" t="inlineStr">
        <is>
          <t>Rubber and plastics products</t>
        </is>
      </c>
    </row>
    <row r="55">
      <c r="B55" s="29" t="inlineStr">
        <is>
          <t>Mechanical Balance of Plant-ss plumbing/copper cabling/Dryer valves...</t>
        </is>
      </c>
      <c r="C55" s="25" t="n">
        <v>5090625</v>
      </c>
      <c r="D55" s="20" t="n">
        <v>5279402.04192906</v>
      </c>
      <c r="E55" s="26" t="n">
        <v>1.12</v>
      </c>
      <c r="F55" s="20" t="n">
        <v>5912930.286960548</v>
      </c>
      <c r="G55" s="27" t="n"/>
      <c r="H55" s="28" t="n"/>
      <c r="I55" t="inlineStr">
        <is>
          <t>ISIC 28</t>
        </is>
      </c>
      <c r="J55" s="46">
        <f>D55/$F$58</f>
        <v/>
      </c>
      <c r="M55" t="inlineStr">
        <is>
          <t>ISIC 231</t>
        </is>
      </c>
      <c r="N55" t="inlineStr">
        <is>
          <t>Glass</t>
        </is>
      </c>
    </row>
    <row r="56">
      <c r="B56" s="29" t="inlineStr">
        <is>
          <t>Item Breakdown- Other</t>
        </is>
      </c>
      <c r="C56" s="25" t="n">
        <v>1018125</v>
      </c>
      <c r="D56" s="20" t="n">
        <v>1055880.408385812</v>
      </c>
      <c r="E56" s="26" t="n">
        <v>1.12</v>
      </c>
      <c r="F56" s="20" t="n">
        <v>1182586.05739211</v>
      </c>
      <c r="G56" s="27" t="n"/>
      <c r="H56" s="28" t="n"/>
      <c r="I56" t="inlineStr">
        <is>
          <t>ISIC 28</t>
        </is>
      </c>
      <c r="J56" s="46">
        <f>D56/$F$58</f>
        <v/>
      </c>
      <c r="M56" t="inlineStr">
        <is>
          <t>ISIC 239</t>
        </is>
      </c>
      <c r="N56" t="inlineStr">
        <is>
          <t>Cement and other nonmetallic minerals</t>
        </is>
      </c>
    </row>
    <row r="57">
      <c r="B57" s="29" t="inlineStr">
        <is>
          <t>Item Breakdown-Assembly Labor</t>
        </is>
      </c>
      <c r="C57" s="25" t="n">
        <v>2036250</v>
      </c>
      <c r="D57" s="20" t="n">
        <v>2111760.816771624</v>
      </c>
      <c r="E57" s="26" t="n">
        <v>1.12</v>
      </c>
      <c r="F57" s="20" t="n">
        <v>2365172.114784219</v>
      </c>
      <c r="G57" s="27" t="n"/>
      <c r="H57" s="28" t="n"/>
      <c r="I57" t="inlineStr">
        <is>
          <t>ISIC 41T43</t>
        </is>
      </c>
      <c r="J57" s="46">
        <f>D57/$F$58</f>
        <v/>
      </c>
      <c r="M57" t="inlineStr">
        <is>
          <t>ISIC 241</t>
        </is>
      </c>
      <c r="N57" t="inlineStr">
        <is>
          <t>Iron and steel</t>
        </is>
      </c>
    </row>
    <row r="58" ht="15" customHeight="1" s="63" thickBot="1">
      <c r="B58" s="30" t="n"/>
      <c r="C58" s="31" t="n">
        <v>101812500</v>
      </c>
      <c r="D58" s="32" t="n">
        <v>105588040.8385812</v>
      </c>
      <c r="E58" s="33" t="n"/>
      <c r="F58" s="32" t="n">
        <v>118258605.7392109</v>
      </c>
      <c r="G58" s="34" t="n"/>
      <c r="H58" s="35" t="n"/>
      <c r="I58" t="inlineStr">
        <is>
          <t>ISIC 41T43</t>
        </is>
      </c>
      <c r="J58" s="46">
        <f>(F58-D58)/F58</f>
        <v/>
      </c>
      <c r="M58" t="inlineStr">
        <is>
          <t>ISIC 242</t>
        </is>
      </c>
      <c r="N58" t="inlineStr">
        <is>
          <t>Other metals</t>
        </is>
      </c>
    </row>
    <row r="59" ht="15" customHeight="1" s="63" thickTop="1">
      <c r="C59" s="36" t="n"/>
      <c r="M59" t="inlineStr">
        <is>
          <t>ISIC 25</t>
        </is>
      </c>
      <c r="N59" t="inlineStr">
        <is>
          <t>Fabricated metal products, except machinery and equipment</t>
        </is>
      </c>
    </row>
    <row r="60">
      <c r="M60" t="inlineStr">
        <is>
          <t>ISIC 26</t>
        </is>
      </c>
      <c r="N60" t="inlineStr">
        <is>
          <t>Computer, electronic and optical products</t>
        </is>
      </c>
    </row>
    <row r="61">
      <c r="B61" s="37" t="inlineStr">
        <is>
          <t>Uninstalled Cost - ($/kW)  (with suggested subsystem breakdown, further breakdown desirable if available )</t>
        </is>
      </c>
      <c r="C61" s="37" t="n">
        <v>900</v>
      </c>
      <c r="M61" t="inlineStr">
        <is>
          <t>ISIC 27</t>
        </is>
      </c>
      <c r="N61" t="inlineStr">
        <is>
          <t>Electrical equipment</t>
        </is>
      </c>
    </row>
    <row r="62">
      <c r="B62" s="38" t="inlineStr">
        <is>
          <t>Electricity Usage (kWh/kg)</t>
        </is>
      </c>
      <c r="C62" s="37" t="n">
        <v>54.3</v>
      </c>
      <c r="M62" t="inlineStr">
        <is>
          <t>ISIC 28</t>
        </is>
      </c>
      <c r="N62" t="inlineStr">
        <is>
          <t>Machinery and equipment n.e.c.</t>
        </is>
      </c>
    </row>
    <row r="63">
      <c r="B63" s="38" t="inlineStr">
        <is>
          <t>System Power (kW)</t>
        </is>
      </c>
      <c r="C63" s="39" t="n">
        <v>113125</v>
      </c>
      <c r="M63" t="inlineStr">
        <is>
          <t>ISIC 29</t>
        </is>
      </c>
      <c r="N63" t="inlineStr">
        <is>
          <t>Motor vehicles, trailers and semi-trailers</t>
        </is>
      </c>
    </row>
    <row r="64">
      <c r="B64" s="37" t="inlineStr">
        <is>
          <t>Stacks</t>
        </is>
      </c>
      <c r="C64" s="40" t="n">
        <v>0.47</v>
      </c>
      <c r="M64" t="inlineStr">
        <is>
          <t>ISIC 30</t>
        </is>
      </c>
      <c r="N64" t="inlineStr">
        <is>
          <t>Other transport equipment</t>
        </is>
      </c>
    </row>
    <row r="65">
      <c r="B65" s="37" t="inlineStr">
        <is>
          <t>BoP Total</t>
        </is>
      </c>
      <c r="C65" s="40" t="n">
        <v>0.53</v>
      </c>
      <c r="M65" t="inlineStr">
        <is>
          <t>ISIC 31T33</t>
        </is>
      </c>
      <c r="N65" t="inlineStr">
        <is>
          <t>Other manufacturing; repair and installation of machinery and equipment</t>
        </is>
      </c>
    </row>
    <row r="66">
      <c r="B66" s="41" t="inlineStr">
        <is>
          <t>Hydrogen Gas Management System-Cathode system side</t>
        </is>
      </c>
      <c r="C66" s="40" t="n">
        <v>0.09</v>
      </c>
      <c r="M66" t="inlineStr">
        <is>
          <t>ISIC 351</t>
        </is>
      </c>
      <c r="N66" t="inlineStr">
        <is>
          <t>Electricity generation and distribution</t>
        </is>
      </c>
    </row>
    <row r="67">
      <c r="B67" s="41" t="inlineStr">
        <is>
          <t>Oxygen Gas Management System-Anode system side</t>
        </is>
      </c>
      <c r="C67" s="40" t="n">
        <v>0.03</v>
      </c>
      <c r="M67" t="inlineStr">
        <is>
          <t>ISIC 352T353</t>
        </is>
      </c>
      <c r="N67" t="inlineStr">
        <is>
          <t>Energy pipelines and gas processing</t>
        </is>
      </c>
    </row>
    <row r="68">
      <c r="B68" s="41" t="inlineStr">
        <is>
          <t>Water Reacant Delivery Management System</t>
        </is>
      </c>
      <c r="C68" s="40" t="n">
        <v>0.05</v>
      </c>
      <c r="M68" t="inlineStr">
        <is>
          <t>ISIC 36T39</t>
        </is>
      </c>
      <c r="N68" t="inlineStr">
        <is>
          <t>Water and waste</t>
        </is>
      </c>
    </row>
    <row r="69">
      <c r="B69" s="41" t="inlineStr">
        <is>
          <t>Thermal Management System</t>
        </is>
      </c>
      <c r="C69" s="40" t="n">
        <v>0.05</v>
      </c>
      <c r="M69" t="inlineStr">
        <is>
          <t>ISIC 41T43</t>
        </is>
      </c>
      <c r="N69" t="inlineStr">
        <is>
          <t>Construction</t>
        </is>
      </c>
    </row>
    <row r="70">
      <c r="B70" s="41" t="inlineStr">
        <is>
          <t>Power Electronics</t>
        </is>
      </c>
      <c r="C70" s="40" t="n">
        <v>0.21</v>
      </c>
      <c r="M70" t="inlineStr">
        <is>
          <t>ISIC 45T47</t>
        </is>
      </c>
      <c r="N70" t="inlineStr">
        <is>
          <t>Wholesale and retail trade; repair of motor vehicles</t>
        </is>
      </c>
    </row>
    <row r="71">
      <c r="B71" s="41" t="inlineStr">
        <is>
          <t>Controls &amp; Sensors</t>
        </is>
      </c>
      <c r="C71" s="40" t="n">
        <v>0.02</v>
      </c>
      <c r="M71" t="inlineStr">
        <is>
          <t>ISIC 49T53</t>
        </is>
      </c>
      <c r="N71" t="inlineStr">
        <is>
          <t>Transportation and storage</t>
        </is>
      </c>
    </row>
    <row r="72">
      <c r="B72" s="41" t="inlineStr">
        <is>
          <t>Mechanical Balance of Plant-ss plumbing/copper cabling/Dryer valves...</t>
        </is>
      </c>
      <c r="C72" s="40" t="n">
        <v>0.05</v>
      </c>
      <c r="M72" t="inlineStr">
        <is>
          <t>ISIC 55T56</t>
        </is>
      </c>
      <c r="N72" t="inlineStr">
        <is>
          <t>Accomodation and food services</t>
        </is>
      </c>
    </row>
    <row r="73">
      <c r="B73" s="41" t="inlineStr">
        <is>
          <t>Item Breakdown- Other</t>
        </is>
      </c>
      <c r="C73" s="40" t="n">
        <v>0.01</v>
      </c>
      <c r="M73" t="inlineStr">
        <is>
          <t>ISIC 58T60</t>
        </is>
      </c>
      <c r="N73" t="inlineStr">
        <is>
          <t>Publishing, audiovisual and broadcasting activities</t>
        </is>
      </c>
    </row>
    <row r="74">
      <c r="B74" s="41" t="inlineStr">
        <is>
          <t>Item Breakdown-Assembly Labor</t>
        </is>
      </c>
      <c r="C74" s="40" t="n">
        <v>0.02</v>
      </c>
      <c r="M74" t="inlineStr">
        <is>
          <t>ISIC 61</t>
        </is>
      </c>
      <c r="N74" t="inlineStr">
        <is>
          <t>Telecommunications</t>
        </is>
      </c>
    </row>
    <row r="75">
      <c r="M75" t="inlineStr">
        <is>
          <t>ISIC 62T63</t>
        </is>
      </c>
      <c r="N75" t="inlineStr">
        <is>
          <t>IT and other information services</t>
        </is>
      </c>
    </row>
    <row r="76">
      <c r="M76" t="inlineStr">
        <is>
          <t>ISIC 64T66</t>
        </is>
      </c>
      <c r="N76" t="inlineStr">
        <is>
          <t>Financial and insurance activities</t>
        </is>
      </c>
    </row>
    <row r="77">
      <c r="M77" t="inlineStr">
        <is>
          <t>ISIC 68</t>
        </is>
      </c>
      <c r="N77" t="inlineStr">
        <is>
          <t>Real estate activities</t>
        </is>
      </c>
    </row>
    <row r="78">
      <c r="M78" t="inlineStr">
        <is>
          <t>ISIC 69T82</t>
        </is>
      </c>
      <c r="N78" t="inlineStr">
        <is>
          <t>Other business sector services</t>
        </is>
      </c>
    </row>
    <row r="79">
      <c r="M79" t="inlineStr">
        <is>
          <t>ISIC 84</t>
        </is>
      </c>
      <c r="N79" t="inlineStr">
        <is>
          <t>Public administration and defence; compulsory social security</t>
        </is>
      </c>
    </row>
    <row r="80">
      <c r="M80" t="inlineStr">
        <is>
          <t>ISIC 85</t>
        </is>
      </c>
      <c r="N80" t="inlineStr">
        <is>
          <t>Education</t>
        </is>
      </c>
    </row>
    <row r="81">
      <c r="M81" t="inlineStr">
        <is>
          <t>ISIC 86T88</t>
        </is>
      </c>
      <c r="N81" t="inlineStr">
        <is>
          <t>Human health and social work</t>
        </is>
      </c>
    </row>
    <row r="82">
      <c r="M82" t="inlineStr">
        <is>
          <t>ISIC 90T96</t>
        </is>
      </c>
      <c r="N82" t="inlineStr">
        <is>
          <t>Arts, entertainment, recreation and other service activities</t>
        </is>
      </c>
    </row>
    <row r="83">
      <c r="M83" t="inlineStr">
        <is>
          <t>ISIC 97T98</t>
        </is>
      </c>
      <c r="N83" t="inlineStr">
        <is>
          <t>Private households with employed persons</t>
        </is>
      </c>
    </row>
    <row r="86">
      <c r="K86" s="48" t="n">
        <v>1088450000</v>
      </c>
      <c r="L86" t="inlineStr">
        <is>
          <t>ISIC 28</t>
        </is>
      </c>
    </row>
    <row r="87">
      <c r="K87" s="48" t="n">
        <v>483000000</v>
      </c>
      <c r="L87" t="inlineStr">
        <is>
          <t>ISIC 41T43</t>
        </is>
      </c>
    </row>
    <row r="88">
      <c r="K88" s="48" t="n"/>
    </row>
    <row r="89">
      <c r="K89" s="48" t="n"/>
    </row>
    <row r="90">
      <c r="K90" s="48" t="n">
        <v>87900000</v>
      </c>
      <c r="L90" t="inlineStr">
        <is>
          <t>ISIC 28</t>
        </is>
      </c>
    </row>
    <row r="91">
      <c r="K91" s="48" t="n"/>
    </row>
    <row r="92">
      <c r="K92" s="48" t="n">
        <v>250600000</v>
      </c>
      <c r="L92" t="inlineStr">
        <is>
          <t>ISIC 41T43</t>
        </is>
      </c>
    </row>
    <row r="93">
      <c r="K93" s="48" t="n"/>
    </row>
    <row r="94">
      <c r="K94" s="48" t="n"/>
    </row>
    <row r="95">
      <c r="K95" s="48" t="n">
        <v>191000000</v>
      </c>
      <c r="L95" t="inlineStr">
        <is>
          <t>ISIC 64T66</t>
        </is>
      </c>
    </row>
    <row r="98">
      <c r="K98" s="47">
        <f>SUM(K86:K95)</f>
        <v/>
      </c>
    </row>
  </sheetData>
  <mergeCells count="7">
    <mergeCell ref="F33:H35"/>
    <mergeCell ref="D39:H39"/>
    <mergeCell ref="D43:H43"/>
    <mergeCell ref="D42:H42"/>
    <mergeCell ref="D38:H38"/>
    <mergeCell ref="D41:H41"/>
    <mergeCell ref="D40:H40"/>
  </mergeCells>
  <dataValidations count="1">
    <dataValidation sqref="C41" showDropDown="0" showInputMessage="1" showErrorMessage="1" allowBlank="1" type="whole">
      <formula1>1992</formula1>
      <formula2>2016</formula2>
    </dataValidation>
  </dataValidations>
  <pageMargins left="0.7" right="0.7" top="0.75" bottom="0.75" header="0.3" footer="0.3"/>
  <drawing r:id="rId1"/>
</worksheet>
</file>

<file path=xl/worksheets/sheet4.xml><?xml version="1.0" encoding="utf-8"?>
<worksheet xmlns="http://schemas.openxmlformats.org/spreadsheetml/2006/main">
  <sheetPr>
    <outlinePr summaryBelow="1" summaryRight="1"/>
    <pageSetUpPr/>
  </sheetPr>
  <dimension ref="A1:C45"/>
  <sheetViews>
    <sheetView workbookViewId="0">
      <selection activeCell="A1" sqref="A1"/>
    </sheetView>
  </sheetViews>
  <sheetFormatPr baseColWidth="8" defaultRowHeight="15"/>
  <cols>
    <col width="60" customWidth="1" style="63" min="1" max="1"/>
  </cols>
  <sheetData>
    <row r="1">
      <c r="A1" s="65" t="inlineStr">
        <is>
          <t>Validation checks</t>
        </is>
      </c>
    </row>
    <row r="3">
      <c r="A3" s="65" t="inlineStr">
        <is>
          <t>Child-factor groups sum to 1 (per file/context/parent; rate-file reroutes excluded)</t>
        </is>
      </c>
    </row>
    <row r="4">
      <c r="A4" t="inlineStr">
        <is>
          <t>SoHPCCbRIC.csv | biomass gasification | ISIC 01T03</t>
        </is>
      </c>
      <c r="B4">
        <f>('Factors applied'!$E$3+'Factors applied'!$E$4+'Factors applied'!$E$5)</f>
        <v/>
      </c>
      <c r="C4" s="65">
        <f>IF(ABS(B4-1)&lt;0.000000001,"PASS","FAIL")</f>
        <v/>
      </c>
    </row>
    <row r="5">
      <c r="A5" t="inlineStr">
        <is>
          <t>SoHPCCbRIC.csv | biomass gasification | ISIC 07T08</t>
        </is>
      </c>
      <c r="B5">
        <f>('Factors applied'!$E$6+'Factors applied'!$E$7)</f>
        <v/>
      </c>
      <c r="C5" s="65">
        <f>IF(ABS(B5-1)&lt;0.000000001,"PASS","FAIL")</f>
        <v/>
      </c>
    </row>
    <row r="6">
      <c r="A6" t="inlineStr">
        <is>
          <t>SoHPCCbRIC.csv | biomass gasification | ISIC 30</t>
        </is>
      </c>
      <c r="B6">
        <f>('Factors applied'!$E$8+'Factors applied'!$E$9)</f>
        <v/>
      </c>
      <c r="C6" s="65">
        <f>IF(ABS(B6-1)&lt;0.000000001,"PASS","FAIL")</f>
        <v/>
      </c>
    </row>
    <row r="7">
      <c r="A7" t="inlineStr">
        <is>
          <t>SoHPCCbRIC.csv | biomass gasification | ISIC 49T53</t>
        </is>
      </c>
      <c r="B7">
        <f>('Factors applied'!$E$10+'Factors applied'!$E$11+'Factors applied'!$E$12+'Factors applied'!$E$13+'Factors applied'!$E$14)</f>
        <v/>
      </c>
      <c r="C7" s="65">
        <f>IF(ABS(B7-1)&lt;0.000000001,"PASS","FAIL")</f>
        <v/>
      </c>
    </row>
    <row r="8">
      <c r="A8" t="inlineStr">
        <is>
          <t>SoHPCCbRIC.csv | biomass gasification | ISIC 69T82</t>
        </is>
      </c>
      <c r="B8">
        <f>('Factors applied'!$E$15+'Factors applied'!$E$16)</f>
        <v/>
      </c>
      <c r="C8" s="65">
        <f>IF(ABS(B8-1)&lt;0.000000001,"PASS","FAIL")</f>
        <v/>
      </c>
    </row>
    <row r="9">
      <c r="A9" t="inlineStr">
        <is>
          <t>SoHPCCbRIC.csv | biomass gasification | ISIC 90T96</t>
        </is>
      </c>
      <c r="B9">
        <f>('Factors applied'!$E$17+'Factors applied'!$E$18)</f>
        <v/>
      </c>
      <c r="C9" s="65">
        <f>IF(ABS(B9-1)&lt;0.000000001,"PASS","FAIL")</f>
        <v/>
      </c>
    </row>
    <row r="10">
      <c r="A10" t="inlineStr">
        <is>
          <t>SoHPCCbRIC.csv | coal gasification | ISIC 01T03</t>
        </is>
      </c>
      <c r="B10">
        <f>('Factors applied'!$E$19+'Factors applied'!$E$20+'Factors applied'!$E$21)</f>
        <v/>
      </c>
      <c r="C10" s="65">
        <f>IF(ABS(B10-1)&lt;0.000000001,"PASS","FAIL")</f>
        <v/>
      </c>
    </row>
    <row r="11">
      <c r="A11" t="inlineStr">
        <is>
          <t>SoHPCCbRIC.csv | coal gasification | ISIC 07T08</t>
        </is>
      </c>
      <c r="B11">
        <f>('Factors applied'!$E$22+'Factors applied'!$E$23)</f>
        <v/>
      </c>
      <c r="C11" s="65">
        <f>IF(ABS(B11-1)&lt;0.000000001,"PASS","FAIL")</f>
        <v/>
      </c>
    </row>
    <row r="12">
      <c r="A12" t="inlineStr">
        <is>
          <t>SoHPCCbRIC.csv | coal gasification | ISIC 30</t>
        </is>
      </c>
      <c r="B12">
        <f>('Factors applied'!$E$24+'Factors applied'!$E$25)</f>
        <v/>
      </c>
      <c r="C12" s="65">
        <f>IF(ABS(B12-1)&lt;0.000000001,"PASS","FAIL")</f>
        <v/>
      </c>
    </row>
    <row r="13">
      <c r="A13" t="inlineStr">
        <is>
          <t>SoHPCCbRIC.csv | coal gasification | ISIC 49T53</t>
        </is>
      </c>
      <c r="B13">
        <f>('Factors applied'!$E$26+'Factors applied'!$E$27+'Factors applied'!$E$28+'Factors applied'!$E$29+'Factors applied'!$E$30)</f>
        <v/>
      </c>
      <c r="C13" s="65">
        <f>IF(ABS(B13-1)&lt;0.000000001,"PASS","FAIL")</f>
        <v/>
      </c>
    </row>
    <row r="14">
      <c r="A14" t="inlineStr">
        <is>
          <t>SoHPCCbRIC.csv | coal gasification | ISIC 69T82</t>
        </is>
      </c>
      <c r="B14">
        <f>('Factors applied'!$E$31+'Factors applied'!$E$32)</f>
        <v/>
      </c>
      <c r="C14" s="65">
        <f>IF(ABS(B14-1)&lt;0.000000001,"PASS","FAIL")</f>
        <v/>
      </c>
    </row>
    <row r="15">
      <c r="A15" t="inlineStr">
        <is>
          <t>SoHPCCbRIC.csv | coal gasification | ISIC 90T96</t>
        </is>
      </c>
      <c r="B15">
        <f>('Factors applied'!$E$33+'Factors applied'!$E$34)</f>
        <v/>
      </c>
      <c r="C15" s="65">
        <f>IF(ABS(B15-1)&lt;0.000000001,"PASS","FAIL")</f>
        <v/>
      </c>
    </row>
    <row r="16">
      <c r="A16" t="inlineStr">
        <is>
          <t>SoHPCCbRIC.csv | electrolysis | ISIC 01T03</t>
        </is>
      </c>
      <c r="B16">
        <f>('Factors applied'!$E$35+'Factors applied'!$E$36+'Factors applied'!$E$37)</f>
        <v/>
      </c>
      <c r="C16" s="65">
        <f>IF(ABS(B16-1)&lt;0.000000001,"PASS","FAIL")</f>
        <v/>
      </c>
    </row>
    <row r="17">
      <c r="A17" t="inlineStr">
        <is>
          <t>SoHPCCbRIC.csv | electrolysis | ISIC 07T08</t>
        </is>
      </c>
      <c r="B17">
        <f>('Factors applied'!$E$38+'Factors applied'!$E$39)</f>
        <v/>
      </c>
      <c r="C17" s="65">
        <f>IF(ABS(B17-1)&lt;0.000000001,"PASS","FAIL")</f>
        <v/>
      </c>
    </row>
    <row r="18">
      <c r="A18" t="inlineStr">
        <is>
          <t>SoHPCCbRIC.csv | electrolysis | ISIC 30</t>
        </is>
      </c>
      <c r="B18">
        <f>('Factors applied'!$E$40+'Factors applied'!$E$41)</f>
        <v/>
      </c>
      <c r="C18" s="65">
        <f>IF(ABS(B18-1)&lt;0.000000001,"PASS","FAIL")</f>
        <v/>
      </c>
    </row>
    <row r="19">
      <c r="A19" t="inlineStr">
        <is>
          <t>SoHPCCbRIC.csv | electrolysis | ISIC 49T53</t>
        </is>
      </c>
      <c r="B19">
        <f>('Factors applied'!$E$42+'Factors applied'!$E$43+'Factors applied'!$E$44+'Factors applied'!$E$45+'Factors applied'!$E$46)</f>
        <v/>
      </c>
      <c r="C19" s="65">
        <f>IF(ABS(B19-1)&lt;0.000000001,"PASS","FAIL")</f>
        <v/>
      </c>
    </row>
    <row r="20">
      <c r="A20" t="inlineStr">
        <is>
          <t>SoHPCCbRIC.csv | electrolysis | ISIC 69T82</t>
        </is>
      </c>
      <c r="B20">
        <f>('Factors applied'!$E$47+'Factors applied'!$E$48)</f>
        <v/>
      </c>
      <c r="C20" s="65">
        <f>IF(ABS(B20-1)&lt;0.000000001,"PASS","FAIL")</f>
        <v/>
      </c>
    </row>
    <row r="21">
      <c r="A21" t="inlineStr">
        <is>
          <t>SoHPCCbRIC.csv | electrolysis | ISIC 90T96</t>
        </is>
      </c>
      <c r="B21">
        <f>('Factors applied'!$E$49+'Factors applied'!$E$50)</f>
        <v/>
      </c>
      <c r="C21" s="65">
        <f>IF(ABS(B21-1)&lt;0.000000001,"PASS","FAIL")</f>
        <v/>
      </c>
    </row>
    <row r="22">
      <c r="A22" t="inlineStr">
        <is>
          <t>SoHPCCbRIC.csv | electrolysis with guaranteed c | ISIC 01T03</t>
        </is>
      </c>
      <c r="B22">
        <f>('Factors applied'!$E$51+'Factors applied'!$E$52+'Factors applied'!$E$53)</f>
        <v/>
      </c>
      <c r="C22" s="65">
        <f>IF(ABS(B22-1)&lt;0.000000001,"PASS","FAIL")</f>
        <v/>
      </c>
    </row>
    <row r="23">
      <c r="A23" t="inlineStr">
        <is>
          <t>SoHPCCbRIC.csv | electrolysis with guaranteed c | ISIC 07T08</t>
        </is>
      </c>
      <c r="B23">
        <f>('Factors applied'!$E$54+'Factors applied'!$E$55)</f>
        <v/>
      </c>
      <c r="C23" s="65">
        <f>IF(ABS(B23-1)&lt;0.000000001,"PASS","FAIL")</f>
        <v/>
      </c>
    </row>
    <row r="24">
      <c r="A24" t="inlineStr">
        <is>
          <t>SoHPCCbRIC.csv | electrolysis with guaranteed c | ISIC 30</t>
        </is>
      </c>
      <c r="B24">
        <f>('Factors applied'!$E$56+'Factors applied'!$E$57)</f>
        <v/>
      </c>
      <c r="C24" s="65">
        <f>IF(ABS(B24-1)&lt;0.000000001,"PASS","FAIL")</f>
        <v/>
      </c>
    </row>
    <row r="25">
      <c r="A25" t="inlineStr">
        <is>
          <t>SoHPCCbRIC.csv | electrolysis with guaranteed c | ISIC 49T53</t>
        </is>
      </c>
      <c r="B25">
        <f>('Factors applied'!$E$58+'Factors applied'!$E$59+'Factors applied'!$E$60+'Factors applied'!$E$61+'Factors applied'!$E$62)</f>
        <v/>
      </c>
      <c r="C25" s="65">
        <f>IF(ABS(B25-1)&lt;0.000000001,"PASS","FAIL")</f>
        <v/>
      </c>
    </row>
    <row r="26">
      <c r="A26" t="inlineStr">
        <is>
          <t>SoHPCCbRIC.csv | electrolysis with guaranteed c | ISIC 69T82</t>
        </is>
      </c>
      <c r="B26">
        <f>('Factors applied'!$E$63+'Factors applied'!$E$64)</f>
        <v/>
      </c>
      <c r="C26" s="65">
        <f>IF(ABS(B26-1)&lt;0.000000001,"PASS","FAIL")</f>
        <v/>
      </c>
    </row>
    <row r="27">
      <c r="A27" t="inlineStr">
        <is>
          <t>SoHPCCbRIC.csv | electrolysis with guaranteed c | ISIC 90T96</t>
        </is>
      </c>
      <c r="B27">
        <f>('Factors applied'!$E$65+'Factors applied'!$E$66)</f>
        <v/>
      </c>
      <c r="C27" s="65">
        <f>IF(ABS(B27-1)&lt;0.000000001,"PASS","FAIL")</f>
        <v/>
      </c>
    </row>
    <row r="28">
      <c r="A28" t="inlineStr">
        <is>
          <t>SoHPCCbRIC.csv | hydrocarbon partial oxidation | ISIC 01T03</t>
        </is>
      </c>
      <c r="B28">
        <f>('Factors applied'!$E$67+'Factors applied'!$E$68+'Factors applied'!$E$69)</f>
        <v/>
      </c>
      <c r="C28" s="65">
        <f>IF(ABS(B28-1)&lt;0.000000001,"PASS","FAIL")</f>
        <v/>
      </c>
    </row>
    <row r="29">
      <c r="A29" t="inlineStr">
        <is>
          <t>SoHPCCbRIC.csv | hydrocarbon partial oxidation | ISIC 07T08</t>
        </is>
      </c>
      <c r="B29">
        <f>('Factors applied'!$E$70+'Factors applied'!$E$71)</f>
        <v/>
      </c>
      <c r="C29" s="65">
        <f>IF(ABS(B29-1)&lt;0.000000001,"PASS","FAIL")</f>
        <v/>
      </c>
    </row>
    <row r="30">
      <c r="A30" t="inlineStr">
        <is>
          <t>SoHPCCbRIC.csv | hydrocarbon partial oxidation | ISIC 30</t>
        </is>
      </c>
      <c r="B30">
        <f>('Factors applied'!$E$72+'Factors applied'!$E$73)</f>
        <v/>
      </c>
      <c r="C30" s="65">
        <f>IF(ABS(B30-1)&lt;0.000000001,"PASS","FAIL")</f>
        <v/>
      </c>
    </row>
    <row r="31">
      <c r="A31" t="inlineStr">
        <is>
          <t>SoHPCCbRIC.csv | hydrocarbon partial oxidation | ISIC 49T53</t>
        </is>
      </c>
      <c r="B31">
        <f>('Factors applied'!$E$74+'Factors applied'!$E$75+'Factors applied'!$E$76+'Factors applied'!$E$77+'Factors applied'!$E$78)</f>
        <v/>
      </c>
      <c r="C31" s="65">
        <f>IF(ABS(B31-1)&lt;0.000000001,"PASS","FAIL")</f>
        <v/>
      </c>
    </row>
    <row r="32">
      <c r="A32" t="inlineStr">
        <is>
          <t>SoHPCCbRIC.csv | hydrocarbon partial oxidation | ISIC 69T82</t>
        </is>
      </c>
      <c r="B32">
        <f>('Factors applied'!$E$79+'Factors applied'!$E$80)</f>
        <v/>
      </c>
      <c r="C32" s="65">
        <f>IF(ABS(B32-1)&lt;0.000000001,"PASS","FAIL")</f>
        <v/>
      </c>
    </row>
    <row r="33">
      <c r="A33" t="inlineStr">
        <is>
          <t>SoHPCCbRIC.csv | hydrocarbon partial oxidation | ISIC 90T96</t>
        </is>
      </c>
      <c r="B33">
        <f>('Factors applied'!$E$81+'Factors applied'!$E$82)</f>
        <v/>
      </c>
      <c r="C33" s="65">
        <f>IF(ABS(B33-1)&lt;0.000000001,"PASS","FAIL")</f>
        <v/>
      </c>
    </row>
    <row r="34">
      <c r="A34" t="inlineStr">
        <is>
          <t>SoHPCCbRIC.csv | natural gas reforming | ISIC 01T03</t>
        </is>
      </c>
      <c r="B34">
        <f>('Factors applied'!$E$83+'Factors applied'!$E$84+'Factors applied'!$E$85)</f>
        <v/>
      </c>
      <c r="C34" s="65">
        <f>IF(ABS(B34-1)&lt;0.000000001,"PASS","FAIL")</f>
        <v/>
      </c>
    </row>
    <row r="35">
      <c r="A35" t="inlineStr">
        <is>
          <t>SoHPCCbRIC.csv | natural gas reforming | ISIC 07T08</t>
        </is>
      </c>
      <c r="B35">
        <f>('Factors applied'!$E$86+'Factors applied'!$E$87)</f>
        <v/>
      </c>
      <c r="C35" s="65">
        <f>IF(ABS(B35-1)&lt;0.000000001,"PASS","FAIL")</f>
        <v/>
      </c>
    </row>
    <row r="36">
      <c r="A36" t="inlineStr">
        <is>
          <t>SoHPCCbRIC.csv | natural gas reforming | ISIC 30</t>
        </is>
      </c>
      <c r="B36">
        <f>('Factors applied'!$E$88+'Factors applied'!$E$89)</f>
        <v/>
      </c>
      <c r="C36" s="65">
        <f>IF(ABS(B36-1)&lt;0.000000001,"PASS","FAIL")</f>
        <v/>
      </c>
    </row>
    <row r="37">
      <c r="A37" t="inlineStr">
        <is>
          <t>SoHPCCbRIC.csv | natural gas reforming | ISIC 49T53</t>
        </is>
      </c>
      <c r="B37">
        <f>('Factors applied'!$E$90+'Factors applied'!$E$91+'Factors applied'!$E$92+'Factors applied'!$E$93+'Factors applied'!$E$94)</f>
        <v/>
      </c>
      <c r="C37" s="65">
        <f>IF(ABS(B37-1)&lt;0.000000001,"PASS","FAIL")</f>
        <v/>
      </c>
    </row>
    <row r="38">
      <c r="A38" t="inlineStr">
        <is>
          <t>SoHPCCbRIC.csv | natural gas reforming | ISIC 69T82</t>
        </is>
      </c>
      <c r="B38">
        <f>('Factors applied'!$E$95+'Factors applied'!$E$96)</f>
        <v/>
      </c>
      <c r="C38" s="65">
        <f>IF(ABS(B38-1)&lt;0.000000001,"PASS","FAIL")</f>
        <v/>
      </c>
    </row>
    <row r="39">
      <c r="A39" t="inlineStr">
        <is>
          <t>SoHPCCbRIC.csv | natural gas reforming | ISIC 90T96</t>
        </is>
      </c>
      <c r="B39">
        <f>('Factors applied'!$E$97+'Factors applied'!$E$98)</f>
        <v/>
      </c>
      <c r="C39" s="65">
        <f>IF(ABS(B39-1)&lt;0.000000001,"PASS","FAIL")</f>
        <v/>
      </c>
    </row>
    <row r="40">
      <c r="A40" t="inlineStr">
        <is>
          <t>SoHPCCbRIC.csv | natural gas reforming with CCS | ISIC 01T03</t>
        </is>
      </c>
      <c r="B40">
        <f>('Factors applied'!$E$99+'Factors applied'!$E$100+'Factors applied'!$E$101)</f>
        <v/>
      </c>
      <c r="C40" s="65">
        <f>IF(ABS(B40-1)&lt;0.000000001,"PASS","FAIL")</f>
        <v/>
      </c>
    </row>
    <row r="41">
      <c r="A41" t="inlineStr">
        <is>
          <t>SoHPCCbRIC.csv | natural gas reforming with CCS | ISIC 07T08</t>
        </is>
      </c>
      <c r="B41">
        <f>('Factors applied'!$E$102+'Factors applied'!$E$103)</f>
        <v/>
      </c>
      <c r="C41" s="65">
        <f>IF(ABS(B41-1)&lt;0.000000001,"PASS","FAIL")</f>
        <v/>
      </c>
    </row>
    <row r="42">
      <c r="A42" t="inlineStr">
        <is>
          <t>SoHPCCbRIC.csv | natural gas reforming with CCS | ISIC 30</t>
        </is>
      </c>
      <c r="B42">
        <f>('Factors applied'!$E$104+'Factors applied'!$E$105)</f>
        <v/>
      </c>
      <c r="C42" s="65">
        <f>IF(ABS(B42-1)&lt;0.000000001,"PASS","FAIL")</f>
        <v/>
      </c>
    </row>
    <row r="43">
      <c r="A43" t="inlineStr">
        <is>
          <t>SoHPCCbRIC.csv | natural gas reforming with CCS | ISIC 49T53</t>
        </is>
      </c>
      <c r="B43">
        <f>('Factors applied'!$E$106+'Factors applied'!$E$107+'Factors applied'!$E$108+'Factors applied'!$E$109+'Factors applied'!$E$110)</f>
        <v/>
      </c>
      <c r="C43" s="65">
        <f>IF(ABS(B43-1)&lt;0.000000001,"PASS","FAIL")</f>
        <v/>
      </c>
    </row>
    <row r="44">
      <c r="A44" t="inlineStr">
        <is>
          <t>SoHPCCbRIC.csv | natural gas reforming with CCS | ISIC 69T82</t>
        </is>
      </c>
      <c r="B44">
        <f>('Factors applied'!$E$111+'Factors applied'!$E$112)</f>
        <v/>
      </c>
      <c r="C44" s="65">
        <f>IF(ABS(B44-1)&lt;0.000000001,"PASS","FAIL")</f>
        <v/>
      </c>
    </row>
    <row r="45">
      <c r="A45" t="inlineStr">
        <is>
          <t>SoHPCCbRIC.csv | natural gas reforming with CCS | ISIC 90T96</t>
        </is>
      </c>
      <c r="B45">
        <f>('Factors applied'!$E$113+'Factors applied'!$E$114)</f>
        <v/>
      </c>
      <c r="C45" s="65">
        <f>IF(ABS(B45-1)&lt;0.000000001,"PASS","FAIL")</f>
        <v/>
      </c>
    </row>
  </sheetData>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BA8"/>
  <sheetViews>
    <sheetView tabSelected="1" workbookViewId="0">
      <selection activeCell="AO8" sqref="A8:AO8"/>
    </sheetView>
  </sheetViews>
  <sheetFormatPr baseColWidth="8" defaultRowHeight="14.5"/>
  <cols>
    <col width="29.26953125" bestFit="1" customWidth="1" style="63" min="1" max="1"/>
    <col width="10.7265625" customWidth="1" style="63" min="2" max="26"/>
    <col width="13.1796875" customWidth="1" style="63" min="27" max="27"/>
    <col width="10.7265625" customWidth="1" style="63" min="28" max="43"/>
  </cols>
  <sheetData>
    <row r="1">
      <c r="A1" s="77" t="inlineStr">
        <is>
          <t>Unit: dimensionless (share of costs)</t>
        </is>
      </c>
      <c r="B1" s="65" t="inlineStr">
        <is>
          <t>ISIC 01</t>
        </is>
      </c>
      <c r="C1" s="65" t="inlineStr">
        <is>
          <t>ISIC 02</t>
        </is>
      </c>
      <c r="D1" s="65" t="inlineStr">
        <is>
          <t>ISIC 03</t>
        </is>
      </c>
      <c r="E1" s="65" t="inlineStr">
        <is>
          <t>ISIC 05</t>
        </is>
      </c>
      <c r="F1" s="65" t="inlineStr">
        <is>
          <t>ISIC 06</t>
        </is>
      </c>
      <c r="G1" s="65" t="inlineStr">
        <is>
          <t>ISIC 07</t>
        </is>
      </c>
      <c r="H1" s="65" t="inlineStr">
        <is>
          <t>ISIC 08</t>
        </is>
      </c>
      <c r="I1" s="65" t="inlineStr">
        <is>
          <t>ISIC 09</t>
        </is>
      </c>
      <c r="J1" s="65" t="inlineStr">
        <is>
          <t>ISIC 10T12</t>
        </is>
      </c>
      <c r="K1" s="65" t="inlineStr">
        <is>
          <t>ISIC 13T15</t>
        </is>
      </c>
      <c r="L1" s="65" t="inlineStr">
        <is>
          <t>ISIC 16</t>
        </is>
      </c>
      <c r="M1" s="65" t="inlineStr">
        <is>
          <t>ISIC 17T18</t>
        </is>
      </c>
      <c r="N1" s="65" t="inlineStr">
        <is>
          <t>ISIC 19</t>
        </is>
      </c>
      <c r="O1" s="65" t="inlineStr">
        <is>
          <t>ISIC 20</t>
        </is>
      </c>
      <c r="P1" s="65" t="inlineStr">
        <is>
          <t>ISIC 21</t>
        </is>
      </c>
      <c r="Q1" s="65" t="inlineStr">
        <is>
          <t>ISIC 22</t>
        </is>
      </c>
      <c r="R1" s="65" t="inlineStr">
        <is>
          <t>ISIC 231</t>
        </is>
      </c>
      <c r="S1" s="65" t="inlineStr">
        <is>
          <t>ISIC 239</t>
        </is>
      </c>
      <c r="T1" s="65" t="inlineStr">
        <is>
          <t>ISIC 241</t>
        </is>
      </c>
      <c r="U1" s="65" t="inlineStr">
        <is>
          <t>ISIC 242</t>
        </is>
      </c>
      <c r="V1" s="65" t="inlineStr">
        <is>
          <t>ISIC 25</t>
        </is>
      </c>
      <c r="W1" s="65" t="inlineStr">
        <is>
          <t>ISIC 26</t>
        </is>
      </c>
      <c r="X1" s="65" t="inlineStr">
        <is>
          <t>ISIC 27</t>
        </is>
      </c>
      <c r="Y1" s="65" t="inlineStr">
        <is>
          <t>ISIC 28</t>
        </is>
      </c>
      <c r="Z1" s="65" t="inlineStr">
        <is>
          <t>ISIC 29</t>
        </is>
      </c>
      <c r="AA1" s="65" t="inlineStr">
        <is>
          <t>ISIC 301</t>
        </is>
      </c>
      <c r="AB1" s="65" t="inlineStr">
        <is>
          <t>ISIC 302T309</t>
        </is>
      </c>
      <c r="AC1" s="65" t="inlineStr">
        <is>
          <t>ISIC 31T33</t>
        </is>
      </c>
      <c r="AD1" s="65" t="inlineStr">
        <is>
          <t>ISIC 351</t>
        </is>
      </c>
      <c r="AE1" s="65" t="inlineStr">
        <is>
          <t>ISIC 352T353</t>
        </is>
      </c>
      <c r="AF1" s="65" t="inlineStr">
        <is>
          <t>ISIC 36T39</t>
        </is>
      </c>
      <c r="AG1" s="65" t="inlineStr">
        <is>
          <t>ISIC 41T43</t>
        </is>
      </c>
      <c r="AH1" s="65" t="inlineStr">
        <is>
          <t>ISIC 45T47</t>
        </is>
      </c>
      <c r="AI1" s="65" t="inlineStr">
        <is>
          <t>ISIC 49</t>
        </is>
      </c>
      <c r="AJ1" s="65" t="inlineStr">
        <is>
          <t>ISIC 50</t>
        </is>
      </c>
      <c r="AK1" s="65" t="inlineStr">
        <is>
          <t>ISIC 51</t>
        </is>
      </c>
      <c r="AL1" s="65" t="inlineStr">
        <is>
          <t>ISIC 52</t>
        </is>
      </c>
      <c r="AM1" s="65" t="inlineStr">
        <is>
          <t>ISIC 53</t>
        </is>
      </c>
      <c r="AN1" s="65" t="inlineStr">
        <is>
          <t>ISIC 55T56</t>
        </is>
      </c>
      <c r="AO1" s="65" t="inlineStr">
        <is>
          <t>ISIC 58T60</t>
        </is>
      </c>
      <c r="AP1" s="65" t="inlineStr">
        <is>
          <t>ISIC 61</t>
        </is>
      </c>
      <c r="AQ1" s="65" t="inlineStr">
        <is>
          <t>ISIC 62T63</t>
        </is>
      </c>
      <c r="AR1" s="65" t="inlineStr">
        <is>
          <t>ISIC 64T66</t>
        </is>
      </c>
      <c r="AS1" s="65" t="inlineStr">
        <is>
          <t>ISIC 68</t>
        </is>
      </c>
      <c r="AT1" s="65" t="inlineStr">
        <is>
          <t>ISIC 69T75</t>
        </is>
      </c>
      <c r="AU1" s="65" t="inlineStr">
        <is>
          <t>ISIC 77T82</t>
        </is>
      </c>
      <c r="AV1" s="65" t="inlineStr">
        <is>
          <t>ISIC 84</t>
        </is>
      </c>
      <c r="AW1" s="65" t="inlineStr">
        <is>
          <t>ISIC 85</t>
        </is>
      </c>
      <c r="AX1" s="65" t="inlineStr">
        <is>
          <t>ISIC 86T88</t>
        </is>
      </c>
      <c r="AY1" s="65" t="inlineStr">
        <is>
          <t>ISIC 90T93</t>
        </is>
      </c>
      <c r="AZ1" s="65" t="inlineStr">
        <is>
          <t>ISIC 94T96</t>
        </is>
      </c>
      <c r="BA1" s="65" t="inlineStr">
        <is>
          <t>ISIC 97T98</t>
        </is>
      </c>
    </row>
    <row r="2">
      <c r="A2" t="inlineStr">
        <is>
          <t>electrolysis</t>
        </is>
      </c>
      <c r="B2">
        <f>(SUMIF(Data!$I$47:$I$58,"ISIC 01T03",Data!$J$47:$J$58))*'Factors applied'!$E$35</f>
        <v/>
      </c>
      <c r="C2">
        <f>(SUMIF(Data!$I$47:$I$58,"ISIC 01T03",Data!$J$47:$J$58))*'Factors applied'!$E$36</f>
        <v/>
      </c>
      <c r="D2">
        <f>(SUMIF(Data!$I$47:$I$58,"ISIC 01T03",Data!$J$47:$J$58))*'Factors applied'!$E$37</f>
        <v/>
      </c>
      <c r="E2">
        <f>(SUMIF(Data!$I$47:$I$58,"ISIC 05",Data!$J$47:$J$58))</f>
        <v/>
      </c>
      <c r="F2">
        <f>(SUMIF(Data!$I$47:$I$58,"ISIC 06",Data!$J$47:$J$58))</f>
        <v/>
      </c>
      <c r="G2">
        <f>(SUMIF(Data!$I$47:$I$58,"ISIC 07T08",Data!$J$47:$J$58))*'Factors applied'!$E$38</f>
        <v/>
      </c>
      <c r="H2">
        <f>(SUMIF(Data!$I$47:$I$58,"ISIC 07T08",Data!$J$47:$J$58))*'Factors applied'!$E$39</f>
        <v/>
      </c>
      <c r="I2">
        <f>(SUMIF(Data!$I$47:$I$58,"ISIC 09",Data!$J$47:$J$58))</f>
        <v/>
      </c>
      <c r="J2">
        <f>(SUMIF(Data!$I$47:$I$58,"ISIC 10T12",Data!$J$47:$J$58))</f>
        <v/>
      </c>
      <c r="K2">
        <f>(SUMIF(Data!$I$47:$I$58,"ISIC 13T15",Data!$J$47:$J$58))</f>
        <v/>
      </c>
      <c r="L2">
        <f>(SUMIF(Data!$I$47:$I$58,"ISIC 16",Data!$J$47:$J$58))</f>
        <v/>
      </c>
      <c r="M2">
        <f>(SUMIF(Data!$I$47:$I$58,"ISIC 17T18",Data!$J$47:$J$58))</f>
        <v/>
      </c>
      <c r="N2">
        <f>(SUMIF(Data!$I$47:$I$58,"ISIC 19",Data!$J$47:$J$58))</f>
        <v/>
      </c>
      <c r="O2">
        <f>(SUMIF(Data!$I$47:$I$58,"ISIC 20",Data!$J$47:$J$58))</f>
        <v/>
      </c>
      <c r="P2">
        <f>(SUMIF(Data!$I$47:$I$58,"ISIC 21",Data!$J$47:$J$58))</f>
        <v/>
      </c>
      <c r="Q2">
        <f>(SUMIF(Data!$I$47:$I$58,"ISIC 22",Data!$J$47:$J$58))</f>
        <v/>
      </c>
      <c r="R2">
        <f>(SUMIF(Data!$I$47:$I$58,"ISIC 231",Data!$J$47:$J$58))</f>
        <v/>
      </c>
      <c r="S2">
        <f>(SUMIF(Data!$I$47:$I$58,"ISIC 239",Data!$J$47:$J$58))</f>
        <v/>
      </c>
      <c r="T2">
        <f>(SUMIF(Data!$I$47:$I$58,"ISIC 241",Data!$J$47:$J$58))</f>
        <v/>
      </c>
      <c r="U2">
        <f>(SUMIF(Data!$I$47:$I$58,"ISIC 242",Data!$J$47:$J$58))</f>
        <v/>
      </c>
      <c r="V2">
        <f>(SUMIF(Data!$I$47:$I$58,"ISIC 25",Data!$J$47:$J$58))</f>
        <v/>
      </c>
      <c r="W2">
        <f>(SUMIF(Data!$I$47:$I$58,"ISIC 26",Data!$J$47:$J$58))</f>
        <v/>
      </c>
      <c r="X2">
        <f>(SUMIF(Data!$I$47:$I$58,"ISIC 27",Data!$J$47:$J$58))</f>
        <v/>
      </c>
      <c r="Y2">
        <f>(SUMIF(Data!$I$47:$I$58,"ISIC 28",Data!$J$47:$J$58))</f>
        <v/>
      </c>
      <c r="Z2">
        <f>(SUMIF(Data!$I$47:$I$58,"ISIC 29",Data!$J$47:$J$58))</f>
        <v/>
      </c>
      <c r="AA2">
        <f>(SUMIF(Data!$I$47:$I$58,"ISIC 30",Data!$J$47:$J$58))*'Factors applied'!$E$40</f>
        <v/>
      </c>
      <c r="AB2">
        <f>(SUMIF(Data!$I$47:$I$58,"ISIC 30",Data!$J$47:$J$58))*'Factors applied'!$E$41</f>
        <v/>
      </c>
      <c r="AC2">
        <f>(SUMIF(Data!$I$47:$I$58,"ISIC 31T33",Data!$J$47:$J$58))</f>
        <v/>
      </c>
      <c r="AD2">
        <f>(SUMIF(Data!$I$47:$I$58,"ISIC 351",Data!$J$47:$J$58))</f>
        <v/>
      </c>
      <c r="AE2">
        <f>(SUMIF(Data!$I$47:$I$58,"ISIC 352T353",Data!$J$47:$J$58))</f>
        <v/>
      </c>
      <c r="AF2">
        <f>(SUMIF(Data!$I$47:$I$58,"ISIC 36T39",Data!$J$47:$J$58))</f>
        <v/>
      </c>
      <c r="AG2">
        <f>(SUMIF(Data!$I$47:$I$58,"ISIC 41T43",Data!$J$47:$J$58))</f>
        <v/>
      </c>
      <c r="AH2">
        <f>(SUMIF(Data!$I$47:$I$58,"ISIC 45T47",Data!$J$47:$J$58))</f>
        <v/>
      </c>
      <c r="AI2">
        <f>(SUMIF(Data!$I$47:$I$58,"ISIC 49T53",Data!$J$47:$J$58))*'Factors applied'!$E$42</f>
        <v/>
      </c>
      <c r="AJ2">
        <f>(SUMIF(Data!$I$47:$I$58,"ISIC 49T53",Data!$J$47:$J$58))*'Factors applied'!$E$43</f>
        <v/>
      </c>
      <c r="AK2">
        <f>(SUMIF(Data!$I$47:$I$58,"ISIC 49T53",Data!$J$47:$J$58))*'Factors applied'!$E$44</f>
        <v/>
      </c>
      <c r="AL2">
        <f>(SUMIF(Data!$I$47:$I$58,"ISIC 49T53",Data!$J$47:$J$58))*'Factors applied'!$E$45</f>
        <v/>
      </c>
      <c r="AM2">
        <f>(SUMIF(Data!$I$47:$I$58,"ISIC 49T53",Data!$J$47:$J$58))*'Factors applied'!$E$46</f>
        <v/>
      </c>
      <c r="AN2">
        <f>(SUMIF(Data!$I$47:$I$58,"ISIC 55T56",Data!$J$47:$J$58))</f>
        <v/>
      </c>
      <c r="AO2">
        <f>(SUMIF(Data!$I$47:$I$58,"ISIC 58T60",Data!$J$47:$J$58))</f>
        <v/>
      </c>
      <c r="AP2">
        <f>(SUMIF(Data!$I$47:$I$58,"ISIC 61",Data!$J$47:$J$58))</f>
        <v/>
      </c>
      <c r="AQ2">
        <f>(SUMIF(Data!$I$47:$I$58,"ISIC 62T63",Data!$J$47:$J$58))</f>
        <v/>
      </c>
      <c r="AR2">
        <f>(SUMIF(Data!$I$47:$I$58,"ISIC 64T66",Data!$J$47:$J$58))</f>
        <v/>
      </c>
      <c r="AS2">
        <f>(SUMIF(Data!$I$47:$I$58,"ISIC 68",Data!$J$47:$J$58))</f>
        <v/>
      </c>
      <c r="AT2">
        <f>(SUMIF(Data!$I$47:$I$58,"ISIC 69T82",Data!$J$47:$J$58))*'Factors applied'!$E$47</f>
        <v/>
      </c>
      <c r="AU2">
        <f>(SUMIF(Data!$I$47:$I$58,"ISIC 69T82",Data!$J$47:$J$58))*'Factors applied'!$E$48</f>
        <v/>
      </c>
      <c r="AV2">
        <f>(SUMIF(Data!$I$47:$I$58,"ISIC 84",Data!$J$47:$J$58))</f>
        <v/>
      </c>
      <c r="AW2">
        <f>(SUMIF(Data!$I$47:$I$58,"ISIC 85",Data!$J$47:$J$58))</f>
        <v/>
      </c>
      <c r="AX2">
        <f>(SUMIF(Data!$I$47:$I$58,"ISIC 86T88",Data!$J$47:$J$58))</f>
        <v/>
      </c>
      <c r="AY2">
        <f>(SUMIF(Data!$I$47:$I$58,"ISIC 90T96",Data!$J$47:$J$58))*'Factors applied'!$E$49</f>
        <v/>
      </c>
      <c r="AZ2">
        <f>(SUMIF(Data!$I$47:$I$58,"ISIC 90T96",Data!$J$47:$J$58))*'Factors applied'!$E$50</f>
        <v/>
      </c>
      <c r="BA2">
        <f>(SUMIF(Data!$I$47:$I$58,"ISIC 97T98",Data!$J$47:$J$58))</f>
        <v/>
      </c>
    </row>
    <row r="3">
      <c r="A3" t="inlineStr">
        <is>
          <t>natural gas reforming</t>
        </is>
      </c>
      <c r="B3">
        <f>(SUMIF(Data!$M$10:$M$21,"ISIC 01T03",Data!$L$10:$L$21)/SUM(Data!$L$10:$L$21))*'Factors applied'!$E$83</f>
        <v/>
      </c>
      <c r="C3">
        <f>(SUMIF(Data!$M$10:$M$21,"ISIC 01T03",Data!$L$10:$L$21)/SUM(Data!$L$10:$L$21))*'Factors applied'!$E$84</f>
        <v/>
      </c>
      <c r="D3">
        <f>(SUMIF(Data!$M$10:$M$21,"ISIC 01T03",Data!$L$10:$L$21)/SUM(Data!$L$10:$L$21))*'Factors applied'!$E$85</f>
        <v/>
      </c>
      <c r="E3">
        <f>(SUMIF(Data!$M$10:$M$21,"ISIC 05",Data!$L$10:$L$21)/SUM(Data!$L$10:$L$21))</f>
        <v/>
      </c>
      <c r="F3">
        <f>(SUMIF(Data!$M$10:$M$21,"ISIC 06",Data!$L$10:$L$21)/SUM(Data!$L$10:$L$21))</f>
        <v/>
      </c>
      <c r="G3">
        <f>(SUMIF(Data!$M$10:$M$21,"ISIC 07T08",Data!$L$10:$L$21)/SUM(Data!$L$10:$L$21))*'Factors applied'!$E$86</f>
        <v/>
      </c>
      <c r="H3">
        <f>(SUMIF(Data!$M$10:$M$21,"ISIC 07T08",Data!$L$10:$L$21)/SUM(Data!$L$10:$L$21))*'Factors applied'!$E$87</f>
        <v/>
      </c>
      <c r="I3">
        <f>(SUMIF(Data!$M$10:$M$21,"ISIC 09",Data!$L$10:$L$21)/SUM(Data!$L$10:$L$21))</f>
        <v/>
      </c>
      <c r="J3">
        <f>(SUMIF(Data!$M$10:$M$21,"ISIC 10T12",Data!$L$10:$L$21)/SUM(Data!$L$10:$L$21))</f>
        <v/>
      </c>
      <c r="K3">
        <f>(SUMIF(Data!$M$10:$M$21,"ISIC 13T15",Data!$L$10:$L$21)/SUM(Data!$L$10:$L$21))</f>
        <v/>
      </c>
      <c r="L3">
        <f>(SUMIF(Data!$M$10:$M$21,"ISIC 16",Data!$L$10:$L$21)/SUM(Data!$L$10:$L$21))</f>
        <v/>
      </c>
      <c r="M3">
        <f>(SUMIF(Data!$M$10:$M$21,"ISIC 17T18",Data!$L$10:$L$21)/SUM(Data!$L$10:$L$21))</f>
        <v/>
      </c>
      <c r="N3">
        <f>(SUMIF(Data!$M$10:$M$21,"ISIC 19",Data!$L$10:$L$21)/SUM(Data!$L$10:$L$21))</f>
        <v/>
      </c>
      <c r="O3">
        <f>(SUMIF(Data!$M$10:$M$21,"ISIC 20",Data!$L$10:$L$21)/SUM(Data!$L$10:$L$21))</f>
        <v/>
      </c>
      <c r="P3">
        <f>(SUMIF(Data!$M$10:$M$21,"ISIC 21",Data!$L$10:$L$21)/SUM(Data!$L$10:$L$21))</f>
        <v/>
      </c>
      <c r="Q3">
        <f>(SUMIF(Data!$M$10:$M$21,"ISIC 22",Data!$L$10:$L$21)/SUM(Data!$L$10:$L$21))</f>
        <v/>
      </c>
      <c r="R3">
        <f>(SUMIF(Data!$M$10:$M$21,"ISIC 231",Data!$L$10:$L$21)/SUM(Data!$L$10:$L$21))</f>
        <v/>
      </c>
      <c r="S3">
        <f>(SUMIF(Data!$M$10:$M$21,"ISIC 239",Data!$L$10:$L$21)/SUM(Data!$L$10:$L$21))</f>
        <v/>
      </c>
      <c r="T3">
        <f>(SUMIF(Data!$M$10:$M$21,"ISIC 241",Data!$L$10:$L$21)/SUM(Data!$L$10:$L$21))</f>
        <v/>
      </c>
      <c r="U3">
        <f>(SUMIF(Data!$M$10:$M$21,"ISIC 242",Data!$L$10:$L$21)/SUM(Data!$L$10:$L$21))</f>
        <v/>
      </c>
      <c r="V3">
        <f>(SUMIF(Data!$M$10:$M$21,"ISIC 25",Data!$L$10:$L$21)/SUM(Data!$L$10:$L$21))</f>
        <v/>
      </c>
      <c r="W3">
        <f>(SUMIF(Data!$M$10:$M$21,"ISIC 26",Data!$L$10:$L$21)/SUM(Data!$L$10:$L$21))</f>
        <v/>
      </c>
      <c r="X3">
        <f>(SUMIF(Data!$M$10:$M$21,"ISIC 27",Data!$L$10:$L$21)/SUM(Data!$L$10:$L$21))</f>
        <v/>
      </c>
      <c r="Y3">
        <f>(SUMIF(Data!$M$10:$M$21,"ISIC 28",Data!$L$10:$L$21)/SUM(Data!$L$10:$L$21))</f>
        <v/>
      </c>
      <c r="Z3">
        <f>(SUMIF(Data!$M$10:$M$21,"ISIC 29",Data!$L$10:$L$21)/SUM(Data!$L$10:$L$21))</f>
        <v/>
      </c>
      <c r="AA3">
        <f>(SUMIF(Data!$M$10:$M$21,"ISIC 30",Data!$L$10:$L$21)/SUM(Data!$L$10:$L$21))*'Factors applied'!$E$88</f>
        <v/>
      </c>
      <c r="AB3">
        <f>(SUMIF(Data!$M$10:$M$21,"ISIC 30",Data!$L$10:$L$21)/SUM(Data!$L$10:$L$21))*'Factors applied'!$E$89</f>
        <v/>
      </c>
      <c r="AC3">
        <f>(SUMIF(Data!$M$10:$M$21,"ISIC 31T33",Data!$L$10:$L$21)/SUM(Data!$L$10:$L$21))</f>
        <v/>
      </c>
      <c r="AD3">
        <f>(SUMIF(Data!$M$10:$M$21,"ISIC 351",Data!$L$10:$L$21)/SUM(Data!$L$10:$L$21))</f>
        <v/>
      </c>
      <c r="AE3">
        <f>(SUMIF(Data!$M$10:$M$21,"ISIC 352T353",Data!$L$10:$L$21)/SUM(Data!$L$10:$L$21))</f>
        <v/>
      </c>
      <c r="AF3">
        <f>(SUMIF(Data!$M$10:$M$21,"ISIC 36T39",Data!$L$10:$L$21)/SUM(Data!$L$10:$L$21))</f>
        <v/>
      </c>
      <c r="AG3">
        <f>(SUMIF(Data!$M$10:$M$21,"ISIC 41T43",Data!$L$10:$L$21)/SUM(Data!$L$10:$L$21))</f>
        <v/>
      </c>
      <c r="AH3">
        <f>(SUMIF(Data!$M$10:$M$21,"ISIC 45T47",Data!$L$10:$L$21)/SUM(Data!$L$10:$L$21))</f>
        <v/>
      </c>
      <c r="AI3">
        <f>(SUMIF(Data!$M$10:$M$21,"ISIC 49T53",Data!$L$10:$L$21)/SUM(Data!$L$10:$L$21))*'Factors applied'!$E$90</f>
        <v/>
      </c>
      <c r="AJ3">
        <f>(SUMIF(Data!$M$10:$M$21,"ISIC 49T53",Data!$L$10:$L$21)/SUM(Data!$L$10:$L$21))*'Factors applied'!$E$91</f>
        <v/>
      </c>
      <c r="AK3">
        <f>(SUMIF(Data!$M$10:$M$21,"ISIC 49T53",Data!$L$10:$L$21)/SUM(Data!$L$10:$L$21))*'Factors applied'!$E$92</f>
        <v/>
      </c>
      <c r="AL3">
        <f>(SUMIF(Data!$M$10:$M$21,"ISIC 49T53",Data!$L$10:$L$21)/SUM(Data!$L$10:$L$21))*'Factors applied'!$E$93</f>
        <v/>
      </c>
      <c r="AM3">
        <f>(SUMIF(Data!$M$10:$M$21,"ISIC 49T53",Data!$L$10:$L$21)/SUM(Data!$L$10:$L$21))*'Factors applied'!$E$94</f>
        <v/>
      </c>
      <c r="AN3">
        <f>(SUMIF(Data!$M$10:$M$21,"ISIC 55T56",Data!$L$10:$L$21)/SUM(Data!$L$10:$L$21))</f>
        <v/>
      </c>
      <c r="AO3">
        <f>(SUMIF(Data!$M$10:$M$21,"ISIC 58T60",Data!$L$10:$L$21)/SUM(Data!$L$10:$L$21))</f>
        <v/>
      </c>
      <c r="AP3">
        <f>(SUMIF(Data!$M$10:$M$21,"ISIC 61",Data!$L$10:$L$21)/SUM(Data!$L$10:$L$21))</f>
        <v/>
      </c>
      <c r="AQ3">
        <f>(SUMIF(Data!$M$10:$M$21,"ISIC 62T63",Data!$L$10:$L$21)/SUM(Data!$L$10:$L$21))</f>
        <v/>
      </c>
      <c r="AR3">
        <f>(SUMIF(Data!$M$10:$M$21,"ISIC 64T66",Data!$L$10:$L$21)/SUM(Data!$L$10:$L$21))</f>
        <v/>
      </c>
      <c r="AS3">
        <f>(SUMIF(Data!$M$10:$M$21,"ISIC 68",Data!$L$10:$L$21)/SUM(Data!$L$10:$L$21))</f>
        <v/>
      </c>
      <c r="AT3">
        <f>(SUMIF(Data!$M$10:$M$21,"ISIC 69T82",Data!$L$10:$L$21)/SUM(Data!$L$10:$L$21))*'Factors applied'!$E$95</f>
        <v/>
      </c>
      <c r="AU3">
        <f>(SUMIF(Data!$M$10:$M$21,"ISIC 69T82",Data!$L$10:$L$21)/SUM(Data!$L$10:$L$21))*'Factors applied'!$E$96</f>
        <v/>
      </c>
      <c r="AV3">
        <f>(SUMIF(Data!$M$10:$M$21,"ISIC 84",Data!$L$10:$L$21)/SUM(Data!$L$10:$L$21))</f>
        <v/>
      </c>
      <c r="AW3">
        <f>(SUMIF(Data!$M$10:$M$21,"ISIC 85",Data!$L$10:$L$21)/SUM(Data!$L$10:$L$21))</f>
        <v/>
      </c>
      <c r="AX3">
        <f>(SUMIF(Data!$M$10:$M$21,"ISIC 86T88",Data!$L$10:$L$21)/SUM(Data!$L$10:$L$21))</f>
        <v/>
      </c>
      <c r="AY3">
        <f>(SUMIF(Data!$M$10:$M$21,"ISIC 90T96",Data!$L$10:$L$21)/SUM(Data!$L$10:$L$21))*'Factors applied'!$E$97</f>
        <v/>
      </c>
      <c r="AZ3">
        <f>(SUMIF(Data!$M$10:$M$21,"ISIC 90T96",Data!$L$10:$L$21)/SUM(Data!$L$10:$L$21))*'Factors applied'!$E$98</f>
        <v/>
      </c>
      <c r="BA3">
        <f>(SUMIF(Data!$M$10:$M$21,"ISIC 97T98",Data!$L$10:$L$21)/SUM(Data!$L$10:$L$21))</f>
        <v/>
      </c>
    </row>
    <row r="4">
      <c r="A4" t="inlineStr">
        <is>
          <t>coal gasification</t>
        </is>
      </c>
      <c r="B4">
        <f>(SUMIF(Data!$L$86:$L$95,"ISIC 01T03",Data!$K$86:$K$95)/SUM(Data!$K$86:$K$95))*'Factors applied'!$E$19</f>
        <v/>
      </c>
      <c r="C4">
        <f>(SUMIF(Data!$L$86:$L$95,"ISIC 01T03",Data!$K$86:$K$95)/SUM(Data!$K$86:$K$95))*'Factors applied'!$E$20</f>
        <v/>
      </c>
      <c r="D4">
        <f>(SUMIF(Data!$L$86:$L$95,"ISIC 01T03",Data!$K$86:$K$95)/SUM(Data!$K$86:$K$95))*'Factors applied'!$E$21</f>
        <v/>
      </c>
      <c r="E4">
        <f>(SUMIF(Data!$L$86:$L$95,"ISIC 05",Data!$K$86:$K$95)/SUM(Data!$K$86:$K$95))</f>
        <v/>
      </c>
      <c r="F4">
        <f>(SUMIF(Data!$L$86:$L$95,"ISIC 06",Data!$K$86:$K$95)/SUM(Data!$K$86:$K$95))</f>
        <v/>
      </c>
      <c r="G4">
        <f>(SUMIF(Data!$L$86:$L$95,"ISIC 07T08",Data!$K$86:$K$95)/SUM(Data!$K$86:$K$95))*'Factors applied'!$E$22</f>
        <v/>
      </c>
      <c r="H4">
        <f>(SUMIF(Data!$L$86:$L$95,"ISIC 07T08",Data!$K$86:$K$95)/SUM(Data!$K$86:$K$95))*'Factors applied'!$E$23</f>
        <v/>
      </c>
      <c r="I4">
        <f>(SUMIF(Data!$L$86:$L$95,"ISIC 09",Data!$K$86:$K$95)/SUM(Data!$K$86:$K$95))</f>
        <v/>
      </c>
      <c r="J4">
        <f>(SUMIF(Data!$L$86:$L$95,"ISIC 10T12",Data!$K$86:$K$95)/SUM(Data!$K$86:$K$95))</f>
        <v/>
      </c>
      <c r="K4">
        <f>(SUMIF(Data!$L$86:$L$95,"ISIC 13T15",Data!$K$86:$K$95)/SUM(Data!$K$86:$K$95))</f>
        <v/>
      </c>
      <c r="L4">
        <f>(SUMIF(Data!$L$86:$L$95,"ISIC 16",Data!$K$86:$K$95)/SUM(Data!$K$86:$K$95))</f>
        <v/>
      </c>
      <c r="M4">
        <f>(SUMIF(Data!$L$86:$L$95,"ISIC 17T18",Data!$K$86:$K$95)/SUM(Data!$K$86:$K$95))</f>
        <v/>
      </c>
      <c r="N4">
        <f>(SUMIF(Data!$L$86:$L$95,"ISIC 19",Data!$K$86:$K$95)/SUM(Data!$K$86:$K$95))</f>
        <v/>
      </c>
      <c r="O4">
        <f>(SUMIF(Data!$L$86:$L$95,"ISIC 20",Data!$K$86:$K$95)/SUM(Data!$K$86:$K$95))</f>
        <v/>
      </c>
      <c r="P4">
        <f>(SUMIF(Data!$L$86:$L$95,"ISIC 21",Data!$K$86:$K$95)/SUM(Data!$K$86:$K$95))</f>
        <v/>
      </c>
      <c r="Q4">
        <f>(SUMIF(Data!$L$86:$L$95,"ISIC 22",Data!$K$86:$K$95)/SUM(Data!$K$86:$K$95))</f>
        <v/>
      </c>
      <c r="R4">
        <f>(SUMIF(Data!$L$86:$L$95,"ISIC 231",Data!$K$86:$K$95)/SUM(Data!$K$86:$K$95))</f>
        <v/>
      </c>
      <c r="S4">
        <f>(SUMIF(Data!$L$86:$L$95,"ISIC 239",Data!$K$86:$K$95)/SUM(Data!$K$86:$K$95))</f>
        <v/>
      </c>
      <c r="T4">
        <f>(SUMIF(Data!$L$86:$L$95,"ISIC 241",Data!$K$86:$K$95)/SUM(Data!$K$86:$K$95))</f>
        <v/>
      </c>
      <c r="U4">
        <f>(SUMIF(Data!$L$86:$L$95,"ISIC 242",Data!$K$86:$K$95)/SUM(Data!$K$86:$K$95))</f>
        <v/>
      </c>
      <c r="V4">
        <f>(SUMIF(Data!$L$86:$L$95,"ISIC 25",Data!$K$86:$K$95)/SUM(Data!$K$86:$K$95))</f>
        <v/>
      </c>
      <c r="W4">
        <f>(SUMIF(Data!$L$86:$L$95,"ISIC 26",Data!$K$86:$K$95)/SUM(Data!$K$86:$K$95))</f>
        <v/>
      </c>
      <c r="X4">
        <f>(SUMIF(Data!$L$86:$L$95,"ISIC 27",Data!$K$86:$K$95)/SUM(Data!$K$86:$K$95))</f>
        <v/>
      </c>
      <c r="Y4">
        <f>(SUMIF(Data!$L$86:$L$95,"ISIC 28",Data!$K$86:$K$95)/SUM(Data!$K$86:$K$95))</f>
        <v/>
      </c>
      <c r="Z4">
        <f>(SUMIF(Data!$L$86:$L$95,"ISIC 29",Data!$K$86:$K$95)/SUM(Data!$K$86:$K$95))</f>
        <v/>
      </c>
      <c r="AA4">
        <f>(SUMIF(Data!$L$86:$L$95,"ISIC 30",Data!$K$86:$K$95)/SUM(Data!$K$86:$K$95))*'Factors applied'!$E$24</f>
        <v/>
      </c>
      <c r="AB4">
        <f>(SUMIF(Data!$L$86:$L$95,"ISIC 30",Data!$K$86:$K$95)/SUM(Data!$K$86:$K$95))*'Factors applied'!$E$25</f>
        <v/>
      </c>
      <c r="AC4">
        <f>(SUMIF(Data!$L$86:$L$95,"ISIC 31T33",Data!$K$86:$K$95)/SUM(Data!$K$86:$K$95))</f>
        <v/>
      </c>
      <c r="AD4">
        <f>(SUMIF(Data!$L$86:$L$95,"ISIC 351",Data!$K$86:$K$95)/SUM(Data!$K$86:$K$95))</f>
        <v/>
      </c>
      <c r="AE4">
        <f>(SUMIF(Data!$L$86:$L$95,"ISIC 352T353",Data!$K$86:$K$95)/SUM(Data!$K$86:$K$95))</f>
        <v/>
      </c>
      <c r="AF4">
        <f>(SUMIF(Data!$L$86:$L$95,"ISIC 36T39",Data!$K$86:$K$95)/SUM(Data!$K$86:$K$95))</f>
        <v/>
      </c>
      <c r="AG4">
        <f>(SUMIF(Data!$L$86:$L$95,"ISIC 41T43",Data!$K$86:$K$95)/SUM(Data!$K$86:$K$95))</f>
        <v/>
      </c>
      <c r="AH4">
        <f>(SUMIF(Data!$L$86:$L$95,"ISIC 45T47",Data!$K$86:$K$95)/SUM(Data!$K$86:$K$95))</f>
        <v/>
      </c>
      <c r="AI4">
        <f>(SUMIF(Data!$L$86:$L$95,"ISIC 49T53",Data!$K$86:$K$95)/SUM(Data!$K$86:$K$95))*'Factors applied'!$E$26</f>
        <v/>
      </c>
      <c r="AJ4">
        <f>(SUMIF(Data!$L$86:$L$95,"ISIC 49T53",Data!$K$86:$K$95)/SUM(Data!$K$86:$K$95))*'Factors applied'!$E$27</f>
        <v/>
      </c>
      <c r="AK4">
        <f>(SUMIF(Data!$L$86:$L$95,"ISIC 49T53",Data!$K$86:$K$95)/SUM(Data!$K$86:$K$95))*'Factors applied'!$E$28</f>
        <v/>
      </c>
      <c r="AL4">
        <f>(SUMIF(Data!$L$86:$L$95,"ISIC 49T53",Data!$K$86:$K$95)/SUM(Data!$K$86:$K$95))*'Factors applied'!$E$29</f>
        <v/>
      </c>
      <c r="AM4">
        <f>(SUMIF(Data!$L$86:$L$95,"ISIC 49T53",Data!$K$86:$K$95)/SUM(Data!$K$86:$K$95))*'Factors applied'!$E$30</f>
        <v/>
      </c>
      <c r="AN4">
        <f>(SUMIF(Data!$L$86:$L$95,"ISIC 55T56",Data!$K$86:$K$95)/SUM(Data!$K$86:$K$95))</f>
        <v/>
      </c>
      <c r="AO4">
        <f>(SUMIF(Data!$L$86:$L$95,"ISIC 58T60",Data!$K$86:$K$95)/SUM(Data!$K$86:$K$95))</f>
        <v/>
      </c>
      <c r="AP4">
        <f>(SUMIF(Data!$L$86:$L$95,"ISIC 61",Data!$K$86:$K$95)/SUM(Data!$K$86:$K$95))</f>
        <v/>
      </c>
      <c r="AQ4">
        <f>(SUMIF(Data!$L$86:$L$95,"ISIC 62T63",Data!$K$86:$K$95)/SUM(Data!$K$86:$K$95))</f>
        <v/>
      </c>
      <c r="AR4">
        <f>(SUMIF(Data!$L$86:$L$95,"ISIC 64T66",Data!$K$86:$K$95)/SUM(Data!$K$86:$K$95))</f>
        <v/>
      </c>
      <c r="AS4">
        <f>(SUMIF(Data!$L$86:$L$95,"ISIC 68",Data!$K$86:$K$95)/SUM(Data!$K$86:$K$95))</f>
        <v/>
      </c>
      <c r="AT4">
        <f>(SUMIF(Data!$L$86:$L$95,"ISIC 69T82",Data!$K$86:$K$95)/SUM(Data!$K$86:$K$95))*'Factors applied'!$E$31</f>
        <v/>
      </c>
      <c r="AU4">
        <f>(SUMIF(Data!$L$86:$L$95,"ISIC 69T82",Data!$K$86:$K$95)/SUM(Data!$K$86:$K$95))*'Factors applied'!$E$32</f>
        <v/>
      </c>
      <c r="AV4">
        <f>(SUMIF(Data!$L$86:$L$95,"ISIC 84",Data!$K$86:$K$95)/SUM(Data!$K$86:$K$95))</f>
        <v/>
      </c>
      <c r="AW4">
        <f>(SUMIF(Data!$L$86:$L$95,"ISIC 85",Data!$K$86:$K$95)/SUM(Data!$K$86:$K$95))</f>
        <v/>
      </c>
      <c r="AX4">
        <f>(SUMIF(Data!$L$86:$L$95,"ISIC 86T88",Data!$K$86:$K$95)/SUM(Data!$K$86:$K$95))</f>
        <v/>
      </c>
      <c r="AY4">
        <f>(SUMIF(Data!$L$86:$L$95,"ISIC 90T96",Data!$K$86:$K$95)/SUM(Data!$K$86:$K$95))*'Factors applied'!$E$33</f>
        <v/>
      </c>
      <c r="AZ4">
        <f>(SUMIF(Data!$L$86:$L$95,"ISIC 90T96",Data!$K$86:$K$95)/SUM(Data!$K$86:$K$95))*'Factors applied'!$E$34</f>
        <v/>
      </c>
      <c r="BA4">
        <f>(SUMIF(Data!$L$86:$L$95,"ISIC 97T98",Data!$K$86:$K$95)/SUM(Data!$K$86:$K$95))</f>
        <v/>
      </c>
    </row>
    <row r="5">
      <c r="A5" t="inlineStr">
        <is>
          <t>biomass gasification</t>
        </is>
      </c>
      <c r="B5">
        <f>((SUMIF(Data!$L$86:$L$95,"ISIC 01T03",Data!$K$86:$K$95)/SUM(Data!$K$86:$K$95)))*'Factors applied'!$E$3</f>
        <v/>
      </c>
      <c r="C5">
        <f>((SUMIF(Data!$L$86:$L$95,"ISIC 01T03",Data!$K$86:$K$95)/SUM(Data!$K$86:$K$95)))*'Factors applied'!$E$4</f>
        <v/>
      </c>
      <c r="D5">
        <f>((SUMIF(Data!$L$86:$L$95,"ISIC 01T03",Data!$K$86:$K$95)/SUM(Data!$K$86:$K$95)))*'Factors applied'!$E$5</f>
        <v/>
      </c>
      <c r="E5">
        <f>((SUMIF(Data!$L$86:$L$95,"ISIC 05",Data!$K$86:$K$95)/SUM(Data!$K$86:$K$95)))</f>
        <v/>
      </c>
      <c r="F5">
        <f>((SUMIF(Data!$L$86:$L$95,"ISIC 06",Data!$K$86:$K$95)/SUM(Data!$K$86:$K$95)))</f>
        <v/>
      </c>
      <c r="G5">
        <f>((SUMIF(Data!$L$86:$L$95,"ISIC 07T08",Data!$K$86:$K$95)/SUM(Data!$K$86:$K$95)))*'Factors applied'!$E$6</f>
        <v/>
      </c>
      <c r="H5">
        <f>((SUMIF(Data!$L$86:$L$95,"ISIC 07T08",Data!$K$86:$K$95)/SUM(Data!$K$86:$K$95)))*'Factors applied'!$E$7</f>
        <v/>
      </c>
      <c r="I5">
        <f>((SUMIF(Data!$L$86:$L$95,"ISIC 09",Data!$K$86:$K$95)/SUM(Data!$K$86:$K$95)))</f>
        <v/>
      </c>
      <c r="J5">
        <f>((SUMIF(Data!$L$86:$L$95,"ISIC 10T12",Data!$K$86:$K$95)/SUM(Data!$K$86:$K$95)))</f>
        <v/>
      </c>
      <c r="K5">
        <f>((SUMIF(Data!$L$86:$L$95,"ISIC 13T15",Data!$K$86:$K$95)/SUM(Data!$K$86:$K$95)))</f>
        <v/>
      </c>
      <c r="L5">
        <f>((SUMIF(Data!$L$86:$L$95,"ISIC 16",Data!$K$86:$K$95)/SUM(Data!$K$86:$K$95)))</f>
        <v/>
      </c>
      <c r="M5">
        <f>((SUMIF(Data!$L$86:$L$95,"ISIC 17T18",Data!$K$86:$K$95)/SUM(Data!$K$86:$K$95)))</f>
        <v/>
      </c>
      <c r="N5">
        <f>((SUMIF(Data!$L$86:$L$95,"ISIC 19",Data!$K$86:$K$95)/SUM(Data!$K$86:$K$95)))</f>
        <v/>
      </c>
      <c r="O5">
        <f>((SUMIF(Data!$L$86:$L$95,"ISIC 20",Data!$K$86:$K$95)/SUM(Data!$K$86:$K$95)))</f>
        <v/>
      </c>
      <c r="P5">
        <f>((SUMIF(Data!$L$86:$L$95,"ISIC 21",Data!$K$86:$K$95)/SUM(Data!$K$86:$K$95)))</f>
        <v/>
      </c>
      <c r="Q5">
        <f>((SUMIF(Data!$L$86:$L$95,"ISIC 22",Data!$K$86:$K$95)/SUM(Data!$K$86:$K$95)))</f>
        <v/>
      </c>
      <c r="R5">
        <f>((SUMIF(Data!$L$86:$L$95,"ISIC 231",Data!$K$86:$K$95)/SUM(Data!$K$86:$K$95)))</f>
        <v/>
      </c>
      <c r="S5">
        <f>((SUMIF(Data!$L$86:$L$95,"ISIC 239",Data!$K$86:$K$95)/SUM(Data!$K$86:$K$95)))</f>
        <v/>
      </c>
      <c r="T5">
        <f>((SUMIF(Data!$L$86:$L$95,"ISIC 241",Data!$K$86:$K$95)/SUM(Data!$K$86:$K$95)))</f>
        <v/>
      </c>
      <c r="U5">
        <f>((SUMIF(Data!$L$86:$L$95,"ISIC 242",Data!$K$86:$K$95)/SUM(Data!$K$86:$K$95)))</f>
        <v/>
      </c>
      <c r="V5">
        <f>((SUMIF(Data!$L$86:$L$95,"ISIC 25",Data!$K$86:$K$95)/SUM(Data!$K$86:$K$95)))</f>
        <v/>
      </c>
      <c r="W5">
        <f>((SUMIF(Data!$L$86:$L$95,"ISIC 26",Data!$K$86:$K$95)/SUM(Data!$K$86:$K$95)))</f>
        <v/>
      </c>
      <c r="X5">
        <f>((SUMIF(Data!$L$86:$L$95,"ISIC 27",Data!$K$86:$K$95)/SUM(Data!$K$86:$K$95)))</f>
        <v/>
      </c>
      <c r="Y5">
        <f>((SUMIF(Data!$L$86:$L$95,"ISIC 28",Data!$K$86:$K$95)/SUM(Data!$K$86:$K$95)))</f>
        <v/>
      </c>
      <c r="Z5">
        <f>((SUMIF(Data!$L$86:$L$95,"ISIC 29",Data!$K$86:$K$95)/SUM(Data!$K$86:$K$95)))</f>
        <v/>
      </c>
      <c r="AA5">
        <f>((SUMIF(Data!$L$86:$L$95,"ISIC 30",Data!$K$86:$K$95)/SUM(Data!$K$86:$K$95)))*'Factors applied'!$E$8</f>
        <v/>
      </c>
      <c r="AB5">
        <f>((SUMIF(Data!$L$86:$L$95,"ISIC 30",Data!$K$86:$K$95)/SUM(Data!$K$86:$K$95)))*'Factors applied'!$E$9</f>
        <v/>
      </c>
      <c r="AC5">
        <f>((SUMIF(Data!$L$86:$L$95,"ISIC 31T33",Data!$K$86:$K$95)/SUM(Data!$K$86:$K$95)))</f>
        <v/>
      </c>
      <c r="AD5">
        <f>((SUMIF(Data!$L$86:$L$95,"ISIC 351",Data!$K$86:$K$95)/SUM(Data!$K$86:$K$95)))</f>
        <v/>
      </c>
      <c r="AE5">
        <f>((SUMIF(Data!$L$86:$L$95,"ISIC 352T353",Data!$K$86:$K$95)/SUM(Data!$K$86:$K$95)))</f>
        <v/>
      </c>
      <c r="AF5">
        <f>((SUMIF(Data!$L$86:$L$95,"ISIC 36T39",Data!$K$86:$K$95)/SUM(Data!$K$86:$K$95)))</f>
        <v/>
      </c>
      <c r="AG5">
        <f>((SUMIF(Data!$L$86:$L$95,"ISIC 41T43",Data!$K$86:$K$95)/SUM(Data!$K$86:$K$95)))</f>
        <v/>
      </c>
      <c r="AH5">
        <f>((SUMIF(Data!$L$86:$L$95,"ISIC 45T47",Data!$K$86:$K$95)/SUM(Data!$K$86:$K$95)))</f>
        <v/>
      </c>
      <c r="AI5">
        <f>((SUMIF(Data!$L$86:$L$95,"ISIC 49T53",Data!$K$86:$K$95)/SUM(Data!$K$86:$K$95)))*'Factors applied'!$E$10</f>
        <v/>
      </c>
      <c r="AJ5">
        <f>((SUMIF(Data!$L$86:$L$95,"ISIC 49T53",Data!$K$86:$K$95)/SUM(Data!$K$86:$K$95)))*'Factors applied'!$E$11</f>
        <v/>
      </c>
      <c r="AK5">
        <f>((SUMIF(Data!$L$86:$L$95,"ISIC 49T53",Data!$K$86:$K$95)/SUM(Data!$K$86:$K$95)))*'Factors applied'!$E$12</f>
        <v/>
      </c>
      <c r="AL5">
        <f>((SUMIF(Data!$L$86:$L$95,"ISIC 49T53",Data!$K$86:$K$95)/SUM(Data!$K$86:$K$95)))*'Factors applied'!$E$13</f>
        <v/>
      </c>
      <c r="AM5">
        <f>((SUMIF(Data!$L$86:$L$95,"ISIC 49T53",Data!$K$86:$K$95)/SUM(Data!$K$86:$K$95)))*'Factors applied'!$E$14</f>
        <v/>
      </c>
      <c r="AN5">
        <f>((SUMIF(Data!$L$86:$L$95,"ISIC 55T56",Data!$K$86:$K$95)/SUM(Data!$K$86:$K$95)))</f>
        <v/>
      </c>
      <c r="AO5">
        <f>((SUMIF(Data!$L$86:$L$95,"ISIC 58T60",Data!$K$86:$K$95)/SUM(Data!$K$86:$K$95)))</f>
        <v/>
      </c>
      <c r="AP5">
        <f>((SUMIF(Data!$L$86:$L$95,"ISIC 61",Data!$K$86:$K$95)/SUM(Data!$K$86:$K$95)))</f>
        <v/>
      </c>
      <c r="AQ5">
        <f>((SUMIF(Data!$L$86:$L$95,"ISIC 62T63",Data!$K$86:$K$95)/SUM(Data!$K$86:$K$95)))</f>
        <v/>
      </c>
      <c r="AR5">
        <f>((SUMIF(Data!$L$86:$L$95,"ISIC 64T66",Data!$K$86:$K$95)/SUM(Data!$K$86:$K$95)))</f>
        <v/>
      </c>
      <c r="AS5">
        <f>((SUMIF(Data!$L$86:$L$95,"ISIC 68",Data!$K$86:$K$95)/SUM(Data!$K$86:$K$95)))</f>
        <v/>
      </c>
      <c r="AT5">
        <f>((SUMIF(Data!$L$86:$L$95,"ISIC 69T82",Data!$K$86:$K$95)/SUM(Data!$K$86:$K$95)))*'Factors applied'!$E$15</f>
        <v/>
      </c>
      <c r="AU5">
        <f>((SUMIF(Data!$L$86:$L$95,"ISIC 69T82",Data!$K$86:$K$95)/SUM(Data!$K$86:$K$95)))*'Factors applied'!$E$16</f>
        <v/>
      </c>
      <c r="AV5">
        <f>((SUMIF(Data!$L$86:$L$95,"ISIC 84",Data!$K$86:$K$95)/SUM(Data!$K$86:$K$95)))</f>
        <v/>
      </c>
      <c r="AW5">
        <f>((SUMIF(Data!$L$86:$L$95,"ISIC 85",Data!$K$86:$K$95)/SUM(Data!$K$86:$K$95)))</f>
        <v/>
      </c>
      <c r="AX5">
        <f>((SUMIF(Data!$L$86:$L$95,"ISIC 86T88",Data!$K$86:$K$95)/SUM(Data!$K$86:$K$95)))</f>
        <v/>
      </c>
      <c r="AY5">
        <f>((SUMIF(Data!$L$86:$L$95,"ISIC 90T96",Data!$K$86:$K$95)/SUM(Data!$K$86:$K$95)))*'Factors applied'!$E$17</f>
        <v/>
      </c>
      <c r="AZ5">
        <f>((SUMIF(Data!$L$86:$L$95,"ISIC 90T96",Data!$K$86:$K$95)/SUM(Data!$K$86:$K$95)))*'Factors applied'!$E$18</f>
        <v/>
      </c>
      <c r="BA5">
        <f>((SUMIF(Data!$L$86:$L$95,"ISIC 97T98",Data!$K$86:$K$95)/SUM(Data!$K$86:$K$95)))</f>
        <v/>
      </c>
    </row>
    <row r="6">
      <c r="A6" t="inlineStr">
        <is>
          <t>hydrocarbon partial oxidation</t>
        </is>
      </c>
      <c r="B6">
        <f>((SUMIF(Data!$M$10:$M$21,"ISIC 01T03",Data!$L$10:$L$21)/SUM(Data!$L$10:$L$21)))*'Factors applied'!$E$67</f>
        <v/>
      </c>
      <c r="C6">
        <f>((SUMIF(Data!$M$10:$M$21,"ISIC 01T03",Data!$L$10:$L$21)/SUM(Data!$L$10:$L$21)))*'Factors applied'!$E$68</f>
        <v/>
      </c>
      <c r="D6">
        <f>((SUMIF(Data!$M$10:$M$21,"ISIC 01T03",Data!$L$10:$L$21)/SUM(Data!$L$10:$L$21)))*'Factors applied'!$E$69</f>
        <v/>
      </c>
      <c r="E6">
        <f>((SUMIF(Data!$M$10:$M$21,"ISIC 05",Data!$L$10:$L$21)/SUM(Data!$L$10:$L$21)))</f>
        <v/>
      </c>
      <c r="F6">
        <f>((SUMIF(Data!$M$10:$M$21,"ISIC 06",Data!$L$10:$L$21)/SUM(Data!$L$10:$L$21)))</f>
        <v/>
      </c>
      <c r="G6">
        <f>((SUMIF(Data!$M$10:$M$21,"ISIC 07T08",Data!$L$10:$L$21)/SUM(Data!$L$10:$L$21)))*'Factors applied'!$E$70</f>
        <v/>
      </c>
      <c r="H6">
        <f>((SUMIF(Data!$M$10:$M$21,"ISIC 07T08",Data!$L$10:$L$21)/SUM(Data!$L$10:$L$21)))*'Factors applied'!$E$71</f>
        <v/>
      </c>
      <c r="I6">
        <f>((SUMIF(Data!$M$10:$M$21,"ISIC 09",Data!$L$10:$L$21)/SUM(Data!$L$10:$L$21)))</f>
        <v/>
      </c>
      <c r="J6">
        <f>((SUMIF(Data!$M$10:$M$21,"ISIC 10T12",Data!$L$10:$L$21)/SUM(Data!$L$10:$L$21)))</f>
        <v/>
      </c>
      <c r="K6">
        <f>((SUMIF(Data!$M$10:$M$21,"ISIC 13T15",Data!$L$10:$L$21)/SUM(Data!$L$10:$L$21)))</f>
        <v/>
      </c>
      <c r="L6">
        <f>((SUMIF(Data!$M$10:$M$21,"ISIC 16",Data!$L$10:$L$21)/SUM(Data!$L$10:$L$21)))</f>
        <v/>
      </c>
      <c r="M6">
        <f>((SUMIF(Data!$M$10:$M$21,"ISIC 17T18",Data!$L$10:$L$21)/SUM(Data!$L$10:$L$21)))</f>
        <v/>
      </c>
      <c r="N6">
        <f>((SUMIF(Data!$M$10:$M$21,"ISIC 19",Data!$L$10:$L$21)/SUM(Data!$L$10:$L$21)))</f>
        <v/>
      </c>
      <c r="O6">
        <f>((SUMIF(Data!$M$10:$M$21,"ISIC 20",Data!$L$10:$L$21)/SUM(Data!$L$10:$L$21)))</f>
        <v/>
      </c>
      <c r="P6">
        <f>((SUMIF(Data!$M$10:$M$21,"ISIC 21",Data!$L$10:$L$21)/SUM(Data!$L$10:$L$21)))</f>
        <v/>
      </c>
      <c r="Q6">
        <f>((SUMIF(Data!$M$10:$M$21,"ISIC 22",Data!$L$10:$L$21)/SUM(Data!$L$10:$L$21)))</f>
        <v/>
      </c>
      <c r="R6">
        <f>((SUMIF(Data!$M$10:$M$21,"ISIC 231",Data!$L$10:$L$21)/SUM(Data!$L$10:$L$21)))</f>
        <v/>
      </c>
      <c r="S6">
        <f>((SUMIF(Data!$M$10:$M$21,"ISIC 239",Data!$L$10:$L$21)/SUM(Data!$L$10:$L$21)))</f>
        <v/>
      </c>
      <c r="T6">
        <f>((SUMIF(Data!$M$10:$M$21,"ISIC 241",Data!$L$10:$L$21)/SUM(Data!$L$10:$L$21)))</f>
        <v/>
      </c>
      <c r="U6">
        <f>((SUMIF(Data!$M$10:$M$21,"ISIC 242",Data!$L$10:$L$21)/SUM(Data!$L$10:$L$21)))</f>
        <v/>
      </c>
      <c r="V6">
        <f>((SUMIF(Data!$M$10:$M$21,"ISIC 25",Data!$L$10:$L$21)/SUM(Data!$L$10:$L$21)))</f>
        <v/>
      </c>
      <c r="W6">
        <f>((SUMIF(Data!$M$10:$M$21,"ISIC 26",Data!$L$10:$L$21)/SUM(Data!$L$10:$L$21)))</f>
        <v/>
      </c>
      <c r="X6">
        <f>((SUMIF(Data!$M$10:$M$21,"ISIC 27",Data!$L$10:$L$21)/SUM(Data!$L$10:$L$21)))</f>
        <v/>
      </c>
      <c r="Y6">
        <f>((SUMIF(Data!$M$10:$M$21,"ISIC 28",Data!$L$10:$L$21)/SUM(Data!$L$10:$L$21)))</f>
        <v/>
      </c>
      <c r="Z6">
        <f>((SUMIF(Data!$M$10:$M$21,"ISIC 29",Data!$L$10:$L$21)/SUM(Data!$L$10:$L$21)))</f>
        <v/>
      </c>
      <c r="AA6">
        <f>((SUMIF(Data!$M$10:$M$21,"ISIC 30",Data!$L$10:$L$21)/SUM(Data!$L$10:$L$21)))*'Factors applied'!$E$72</f>
        <v/>
      </c>
      <c r="AB6">
        <f>((SUMIF(Data!$M$10:$M$21,"ISIC 30",Data!$L$10:$L$21)/SUM(Data!$L$10:$L$21)))*'Factors applied'!$E$73</f>
        <v/>
      </c>
      <c r="AC6">
        <f>((SUMIF(Data!$M$10:$M$21,"ISIC 31T33",Data!$L$10:$L$21)/SUM(Data!$L$10:$L$21)))</f>
        <v/>
      </c>
      <c r="AD6">
        <f>((SUMIF(Data!$M$10:$M$21,"ISIC 351",Data!$L$10:$L$21)/SUM(Data!$L$10:$L$21)))</f>
        <v/>
      </c>
      <c r="AE6">
        <f>((SUMIF(Data!$M$10:$M$21,"ISIC 352T353",Data!$L$10:$L$21)/SUM(Data!$L$10:$L$21)))</f>
        <v/>
      </c>
      <c r="AF6">
        <f>((SUMIF(Data!$M$10:$M$21,"ISIC 36T39",Data!$L$10:$L$21)/SUM(Data!$L$10:$L$21)))</f>
        <v/>
      </c>
      <c r="AG6">
        <f>((SUMIF(Data!$M$10:$M$21,"ISIC 41T43",Data!$L$10:$L$21)/SUM(Data!$L$10:$L$21)))</f>
        <v/>
      </c>
      <c r="AH6">
        <f>((SUMIF(Data!$M$10:$M$21,"ISIC 45T47",Data!$L$10:$L$21)/SUM(Data!$L$10:$L$21)))</f>
        <v/>
      </c>
      <c r="AI6">
        <f>((SUMIF(Data!$M$10:$M$21,"ISIC 49T53",Data!$L$10:$L$21)/SUM(Data!$L$10:$L$21)))*'Factors applied'!$E$74</f>
        <v/>
      </c>
      <c r="AJ6">
        <f>((SUMIF(Data!$M$10:$M$21,"ISIC 49T53",Data!$L$10:$L$21)/SUM(Data!$L$10:$L$21)))*'Factors applied'!$E$75</f>
        <v/>
      </c>
      <c r="AK6">
        <f>((SUMIF(Data!$M$10:$M$21,"ISIC 49T53",Data!$L$10:$L$21)/SUM(Data!$L$10:$L$21)))*'Factors applied'!$E$76</f>
        <v/>
      </c>
      <c r="AL6">
        <f>((SUMIF(Data!$M$10:$M$21,"ISIC 49T53",Data!$L$10:$L$21)/SUM(Data!$L$10:$L$21)))*'Factors applied'!$E$77</f>
        <v/>
      </c>
      <c r="AM6">
        <f>((SUMIF(Data!$M$10:$M$21,"ISIC 49T53",Data!$L$10:$L$21)/SUM(Data!$L$10:$L$21)))*'Factors applied'!$E$78</f>
        <v/>
      </c>
      <c r="AN6">
        <f>((SUMIF(Data!$M$10:$M$21,"ISIC 55T56",Data!$L$10:$L$21)/SUM(Data!$L$10:$L$21)))</f>
        <v/>
      </c>
      <c r="AO6">
        <f>((SUMIF(Data!$M$10:$M$21,"ISIC 58T60",Data!$L$10:$L$21)/SUM(Data!$L$10:$L$21)))</f>
        <v/>
      </c>
      <c r="AP6">
        <f>((SUMIF(Data!$M$10:$M$21,"ISIC 61",Data!$L$10:$L$21)/SUM(Data!$L$10:$L$21)))</f>
        <v/>
      </c>
      <c r="AQ6">
        <f>((SUMIF(Data!$M$10:$M$21,"ISIC 62T63",Data!$L$10:$L$21)/SUM(Data!$L$10:$L$21)))</f>
        <v/>
      </c>
      <c r="AR6">
        <f>((SUMIF(Data!$M$10:$M$21,"ISIC 64T66",Data!$L$10:$L$21)/SUM(Data!$L$10:$L$21)))</f>
        <v/>
      </c>
      <c r="AS6">
        <f>((SUMIF(Data!$M$10:$M$21,"ISIC 68",Data!$L$10:$L$21)/SUM(Data!$L$10:$L$21)))</f>
        <v/>
      </c>
      <c r="AT6">
        <f>((SUMIF(Data!$M$10:$M$21,"ISIC 69T82",Data!$L$10:$L$21)/SUM(Data!$L$10:$L$21)))*'Factors applied'!$E$79</f>
        <v/>
      </c>
      <c r="AU6">
        <f>((SUMIF(Data!$M$10:$M$21,"ISIC 69T82",Data!$L$10:$L$21)/SUM(Data!$L$10:$L$21)))*'Factors applied'!$E$80</f>
        <v/>
      </c>
      <c r="AV6">
        <f>((SUMIF(Data!$M$10:$M$21,"ISIC 84",Data!$L$10:$L$21)/SUM(Data!$L$10:$L$21)))</f>
        <v/>
      </c>
      <c r="AW6">
        <f>((SUMIF(Data!$M$10:$M$21,"ISIC 85",Data!$L$10:$L$21)/SUM(Data!$L$10:$L$21)))</f>
        <v/>
      </c>
      <c r="AX6">
        <f>((SUMIF(Data!$M$10:$M$21,"ISIC 86T88",Data!$L$10:$L$21)/SUM(Data!$L$10:$L$21)))</f>
        <v/>
      </c>
      <c r="AY6">
        <f>((SUMIF(Data!$M$10:$M$21,"ISIC 90T96",Data!$L$10:$L$21)/SUM(Data!$L$10:$L$21)))*'Factors applied'!$E$81</f>
        <v/>
      </c>
      <c r="AZ6">
        <f>((SUMIF(Data!$M$10:$M$21,"ISIC 90T96",Data!$L$10:$L$21)/SUM(Data!$L$10:$L$21)))*'Factors applied'!$E$82</f>
        <v/>
      </c>
      <c r="BA6">
        <f>((SUMIF(Data!$M$10:$M$21,"ISIC 97T98",Data!$L$10:$L$21)/SUM(Data!$L$10:$L$21)))</f>
        <v/>
      </c>
    </row>
    <row r="7">
      <c r="A7" t="inlineStr">
        <is>
          <t>electrolysis with guaranteed clean electricity</t>
        </is>
      </c>
      <c r="B7">
        <f>((SUMIF(Data!$I$47:$I$58,"ISIC 01T03",Data!$J$47:$J$58)))*'Factors applied'!$E$51</f>
        <v/>
      </c>
      <c r="C7">
        <f>((SUMIF(Data!$I$47:$I$58,"ISIC 01T03",Data!$J$47:$J$58)))*'Factors applied'!$E$52</f>
        <v/>
      </c>
      <c r="D7">
        <f>((SUMIF(Data!$I$47:$I$58,"ISIC 01T03",Data!$J$47:$J$58)))*'Factors applied'!$E$53</f>
        <v/>
      </c>
      <c r="E7">
        <f>((SUMIF(Data!$I$47:$I$58,"ISIC 05",Data!$J$47:$J$58)))</f>
        <v/>
      </c>
      <c r="F7">
        <f>((SUMIF(Data!$I$47:$I$58,"ISIC 06",Data!$J$47:$J$58)))</f>
        <v/>
      </c>
      <c r="G7">
        <f>((SUMIF(Data!$I$47:$I$58,"ISIC 07T08",Data!$J$47:$J$58)))*'Factors applied'!$E$54</f>
        <v/>
      </c>
      <c r="H7">
        <f>((SUMIF(Data!$I$47:$I$58,"ISIC 07T08",Data!$J$47:$J$58)))*'Factors applied'!$E$55</f>
        <v/>
      </c>
      <c r="I7">
        <f>((SUMIF(Data!$I$47:$I$58,"ISIC 09",Data!$J$47:$J$58)))</f>
        <v/>
      </c>
      <c r="J7">
        <f>((SUMIF(Data!$I$47:$I$58,"ISIC 10T12",Data!$J$47:$J$58)))</f>
        <v/>
      </c>
      <c r="K7">
        <f>((SUMIF(Data!$I$47:$I$58,"ISIC 13T15",Data!$J$47:$J$58)))</f>
        <v/>
      </c>
      <c r="L7">
        <f>((SUMIF(Data!$I$47:$I$58,"ISIC 16",Data!$J$47:$J$58)))</f>
        <v/>
      </c>
      <c r="M7">
        <f>((SUMIF(Data!$I$47:$I$58,"ISIC 17T18",Data!$J$47:$J$58)))</f>
        <v/>
      </c>
      <c r="N7">
        <f>((SUMIF(Data!$I$47:$I$58,"ISIC 19",Data!$J$47:$J$58)))</f>
        <v/>
      </c>
      <c r="O7">
        <f>((SUMIF(Data!$I$47:$I$58,"ISIC 20",Data!$J$47:$J$58)))</f>
        <v/>
      </c>
      <c r="P7">
        <f>((SUMIF(Data!$I$47:$I$58,"ISIC 21",Data!$J$47:$J$58)))</f>
        <v/>
      </c>
      <c r="Q7">
        <f>((SUMIF(Data!$I$47:$I$58,"ISIC 22",Data!$J$47:$J$58)))</f>
        <v/>
      </c>
      <c r="R7">
        <f>((SUMIF(Data!$I$47:$I$58,"ISIC 231",Data!$J$47:$J$58)))</f>
        <v/>
      </c>
      <c r="S7">
        <f>((SUMIF(Data!$I$47:$I$58,"ISIC 239",Data!$J$47:$J$58)))</f>
        <v/>
      </c>
      <c r="T7">
        <f>((SUMIF(Data!$I$47:$I$58,"ISIC 241",Data!$J$47:$J$58)))</f>
        <v/>
      </c>
      <c r="U7">
        <f>((SUMIF(Data!$I$47:$I$58,"ISIC 242",Data!$J$47:$J$58)))</f>
        <v/>
      </c>
      <c r="V7">
        <f>((SUMIF(Data!$I$47:$I$58,"ISIC 25",Data!$J$47:$J$58)))</f>
        <v/>
      </c>
      <c r="W7">
        <f>((SUMIF(Data!$I$47:$I$58,"ISIC 26",Data!$J$47:$J$58)))</f>
        <v/>
      </c>
      <c r="X7">
        <f>((SUMIF(Data!$I$47:$I$58,"ISIC 27",Data!$J$47:$J$58)))</f>
        <v/>
      </c>
      <c r="Y7">
        <f>((SUMIF(Data!$I$47:$I$58,"ISIC 28",Data!$J$47:$J$58)))</f>
        <v/>
      </c>
      <c r="Z7">
        <f>((SUMIF(Data!$I$47:$I$58,"ISIC 29",Data!$J$47:$J$58)))</f>
        <v/>
      </c>
      <c r="AA7">
        <f>((SUMIF(Data!$I$47:$I$58,"ISIC 30",Data!$J$47:$J$58)))*'Factors applied'!$E$56</f>
        <v/>
      </c>
      <c r="AB7">
        <f>((SUMIF(Data!$I$47:$I$58,"ISIC 30",Data!$J$47:$J$58)))*'Factors applied'!$E$57</f>
        <v/>
      </c>
      <c r="AC7">
        <f>((SUMIF(Data!$I$47:$I$58,"ISIC 31T33",Data!$J$47:$J$58)))</f>
        <v/>
      </c>
      <c r="AD7">
        <f>((SUMIF(Data!$I$47:$I$58,"ISIC 351",Data!$J$47:$J$58)))</f>
        <v/>
      </c>
      <c r="AE7">
        <f>((SUMIF(Data!$I$47:$I$58,"ISIC 352T353",Data!$J$47:$J$58)))</f>
        <v/>
      </c>
      <c r="AF7">
        <f>((SUMIF(Data!$I$47:$I$58,"ISIC 36T39",Data!$J$47:$J$58)))</f>
        <v/>
      </c>
      <c r="AG7">
        <f>((SUMIF(Data!$I$47:$I$58,"ISIC 41T43",Data!$J$47:$J$58)))</f>
        <v/>
      </c>
      <c r="AH7">
        <f>((SUMIF(Data!$I$47:$I$58,"ISIC 45T47",Data!$J$47:$J$58)))</f>
        <v/>
      </c>
      <c r="AI7">
        <f>((SUMIF(Data!$I$47:$I$58,"ISIC 49T53",Data!$J$47:$J$58)))*'Factors applied'!$E$58</f>
        <v/>
      </c>
      <c r="AJ7">
        <f>((SUMIF(Data!$I$47:$I$58,"ISIC 49T53",Data!$J$47:$J$58)))*'Factors applied'!$E$59</f>
        <v/>
      </c>
      <c r="AK7">
        <f>((SUMIF(Data!$I$47:$I$58,"ISIC 49T53",Data!$J$47:$J$58)))*'Factors applied'!$E$60</f>
        <v/>
      </c>
      <c r="AL7">
        <f>((SUMIF(Data!$I$47:$I$58,"ISIC 49T53",Data!$J$47:$J$58)))*'Factors applied'!$E$61</f>
        <v/>
      </c>
      <c r="AM7">
        <f>((SUMIF(Data!$I$47:$I$58,"ISIC 49T53",Data!$J$47:$J$58)))*'Factors applied'!$E$62</f>
        <v/>
      </c>
      <c r="AN7">
        <f>((SUMIF(Data!$I$47:$I$58,"ISIC 55T56",Data!$J$47:$J$58)))</f>
        <v/>
      </c>
      <c r="AO7">
        <f>((SUMIF(Data!$I$47:$I$58,"ISIC 58T60",Data!$J$47:$J$58)))</f>
        <v/>
      </c>
      <c r="AP7">
        <f>((SUMIF(Data!$I$47:$I$58,"ISIC 61",Data!$J$47:$J$58)))</f>
        <v/>
      </c>
      <c r="AQ7">
        <f>((SUMIF(Data!$I$47:$I$58,"ISIC 62T63",Data!$J$47:$J$58)))</f>
        <v/>
      </c>
      <c r="AR7">
        <f>((SUMIF(Data!$I$47:$I$58,"ISIC 64T66",Data!$J$47:$J$58)))</f>
        <v/>
      </c>
      <c r="AS7">
        <f>((SUMIF(Data!$I$47:$I$58,"ISIC 68",Data!$J$47:$J$58)))</f>
        <v/>
      </c>
      <c r="AT7">
        <f>((SUMIF(Data!$I$47:$I$58,"ISIC 69T82",Data!$J$47:$J$58)))*'Factors applied'!$E$63</f>
        <v/>
      </c>
      <c r="AU7">
        <f>((SUMIF(Data!$I$47:$I$58,"ISIC 69T82",Data!$J$47:$J$58)))*'Factors applied'!$E$64</f>
        <v/>
      </c>
      <c r="AV7">
        <f>((SUMIF(Data!$I$47:$I$58,"ISIC 84",Data!$J$47:$J$58)))</f>
        <v/>
      </c>
      <c r="AW7">
        <f>((SUMIF(Data!$I$47:$I$58,"ISIC 85",Data!$J$47:$J$58)))</f>
        <v/>
      </c>
      <c r="AX7">
        <f>((SUMIF(Data!$I$47:$I$58,"ISIC 86T88",Data!$J$47:$J$58)))</f>
        <v/>
      </c>
      <c r="AY7">
        <f>((SUMIF(Data!$I$47:$I$58,"ISIC 90T96",Data!$J$47:$J$58)))*'Factors applied'!$E$65</f>
        <v/>
      </c>
      <c r="AZ7">
        <f>((SUMIF(Data!$I$47:$I$58,"ISIC 90T96",Data!$J$47:$J$58)))*'Factors applied'!$E$66</f>
        <v/>
      </c>
      <c r="BA7">
        <f>((SUMIF(Data!$I$47:$I$58,"ISIC 97T98",Data!$J$47:$J$58)))</f>
        <v/>
      </c>
    </row>
    <row r="8">
      <c r="A8" t="inlineStr">
        <is>
          <t>natural gas reforming with CCS</t>
        </is>
      </c>
      <c r="B8">
        <f>((SUMIF(Data!$M$10:$M$21,"ISIC 01T03",Data!$L$10:$L$21)/SUM(Data!$L$10:$L$21)))*'Factors applied'!$E$99</f>
        <v/>
      </c>
      <c r="C8">
        <f>((SUMIF(Data!$M$10:$M$21,"ISIC 01T03",Data!$L$10:$L$21)/SUM(Data!$L$10:$L$21)))*'Factors applied'!$E$100</f>
        <v/>
      </c>
      <c r="D8">
        <f>((SUMIF(Data!$M$10:$M$21,"ISIC 01T03",Data!$L$10:$L$21)/SUM(Data!$L$10:$L$21)))*'Factors applied'!$E$101</f>
        <v/>
      </c>
      <c r="E8">
        <f>((SUMIF(Data!$M$10:$M$21,"ISIC 05",Data!$L$10:$L$21)/SUM(Data!$L$10:$L$21)))</f>
        <v/>
      </c>
      <c r="F8">
        <f>((SUMIF(Data!$M$10:$M$21,"ISIC 06",Data!$L$10:$L$21)/SUM(Data!$L$10:$L$21)))</f>
        <v/>
      </c>
      <c r="G8">
        <f>((SUMIF(Data!$M$10:$M$21,"ISIC 07T08",Data!$L$10:$L$21)/SUM(Data!$L$10:$L$21)))*'Factors applied'!$E$102</f>
        <v/>
      </c>
      <c r="H8">
        <f>((SUMIF(Data!$M$10:$M$21,"ISIC 07T08",Data!$L$10:$L$21)/SUM(Data!$L$10:$L$21)))*'Factors applied'!$E$103</f>
        <v/>
      </c>
      <c r="I8">
        <f>((SUMIF(Data!$M$10:$M$21,"ISIC 09",Data!$L$10:$L$21)/SUM(Data!$L$10:$L$21)))</f>
        <v/>
      </c>
      <c r="J8">
        <f>((SUMIF(Data!$M$10:$M$21,"ISIC 10T12",Data!$L$10:$L$21)/SUM(Data!$L$10:$L$21)))</f>
        <v/>
      </c>
      <c r="K8">
        <f>((SUMIF(Data!$M$10:$M$21,"ISIC 13T15",Data!$L$10:$L$21)/SUM(Data!$L$10:$L$21)))</f>
        <v/>
      </c>
      <c r="L8">
        <f>((SUMIF(Data!$M$10:$M$21,"ISIC 16",Data!$L$10:$L$21)/SUM(Data!$L$10:$L$21)))</f>
        <v/>
      </c>
      <c r="M8">
        <f>((SUMIF(Data!$M$10:$M$21,"ISIC 17T18",Data!$L$10:$L$21)/SUM(Data!$L$10:$L$21)))</f>
        <v/>
      </c>
      <c r="N8">
        <f>((SUMIF(Data!$M$10:$M$21,"ISIC 19",Data!$L$10:$L$21)/SUM(Data!$L$10:$L$21)))</f>
        <v/>
      </c>
      <c r="O8">
        <f>((SUMIF(Data!$M$10:$M$21,"ISIC 20",Data!$L$10:$L$21)/SUM(Data!$L$10:$L$21)))</f>
        <v/>
      </c>
      <c r="P8">
        <f>((SUMIF(Data!$M$10:$M$21,"ISIC 21",Data!$L$10:$L$21)/SUM(Data!$L$10:$L$21)))</f>
        <v/>
      </c>
      <c r="Q8">
        <f>((SUMIF(Data!$M$10:$M$21,"ISIC 22",Data!$L$10:$L$21)/SUM(Data!$L$10:$L$21)))</f>
        <v/>
      </c>
      <c r="R8">
        <f>((SUMIF(Data!$M$10:$M$21,"ISIC 231",Data!$L$10:$L$21)/SUM(Data!$L$10:$L$21)))</f>
        <v/>
      </c>
      <c r="S8">
        <f>((SUMIF(Data!$M$10:$M$21,"ISIC 239",Data!$L$10:$L$21)/SUM(Data!$L$10:$L$21)))</f>
        <v/>
      </c>
      <c r="T8">
        <f>((SUMIF(Data!$M$10:$M$21,"ISIC 241",Data!$L$10:$L$21)/SUM(Data!$L$10:$L$21)))</f>
        <v/>
      </c>
      <c r="U8">
        <f>((SUMIF(Data!$M$10:$M$21,"ISIC 242",Data!$L$10:$L$21)/SUM(Data!$L$10:$L$21)))</f>
        <v/>
      </c>
      <c r="V8">
        <f>((SUMIF(Data!$M$10:$M$21,"ISIC 25",Data!$L$10:$L$21)/SUM(Data!$L$10:$L$21)))</f>
        <v/>
      </c>
      <c r="W8">
        <f>((SUMIF(Data!$M$10:$M$21,"ISIC 26",Data!$L$10:$L$21)/SUM(Data!$L$10:$L$21)))</f>
        <v/>
      </c>
      <c r="X8">
        <f>((SUMIF(Data!$M$10:$M$21,"ISIC 27",Data!$L$10:$L$21)/SUM(Data!$L$10:$L$21)))</f>
        <v/>
      </c>
      <c r="Y8">
        <f>((SUMIF(Data!$M$10:$M$21,"ISIC 28",Data!$L$10:$L$21)/SUM(Data!$L$10:$L$21)))</f>
        <v/>
      </c>
      <c r="Z8">
        <f>((SUMIF(Data!$M$10:$M$21,"ISIC 29",Data!$L$10:$L$21)/SUM(Data!$L$10:$L$21)))</f>
        <v/>
      </c>
      <c r="AA8">
        <f>((SUMIF(Data!$M$10:$M$21,"ISIC 30",Data!$L$10:$L$21)/SUM(Data!$L$10:$L$21)))*'Factors applied'!$E$104</f>
        <v/>
      </c>
      <c r="AB8">
        <f>((SUMIF(Data!$M$10:$M$21,"ISIC 30",Data!$L$10:$L$21)/SUM(Data!$L$10:$L$21)))*'Factors applied'!$E$105</f>
        <v/>
      </c>
      <c r="AC8">
        <f>((SUMIF(Data!$M$10:$M$21,"ISIC 31T33",Data!$L$10:$L$21)/SUM(Data!$L$10:$L$21)))</f>
        <v/>
      </c>
      <c r="AD8">
        <f>((SUMIF(Data!$M$10:$M$21,"ISIC 351",Data!$L$10:$L$21)/SUM(Data!$L$10:$L$21)))</f>
        <v/>
      </c>
      <c r="AE8">
        <f>((SUMIF(Data!$M$10:$M$21,"ISIC 352T353",Data!$L$10:$L$21)/SUM(Data!$L$10:$L$21)))</f>
        <v/>
      </c>
      <c r="AF8">
        <f>((SUMIF(Data!$M$10:$M$21,"ISIC 36T39",Data!$L$10:$L$21)/SUM(Data!$L$10:$L$21)))</f>
        <v/>
      </c>
      <c r="AG8">
        <f>((SUMIF(Data!$M$10:$M$21,"ISIC 41T43",Data!$L$10:$L$21)/SUM(Data!$L$10:$L$21)))</f>
        <v/>
      </c>
      <c r="AH8">
        <f>((SUMIF(Data!$M$10:$M$21,"ISIC 45T47",Data!$L$10:$L$21)/SUM(Data!$L$10:$L$21)))</f>
        <v/>
      </c>
      <c r="AI8">
        <f>((SUMIF(Data!$M$10:$M$21,"ISIC 49T53",Data!$L$10:$L$21)/SUM(Data!$L$10:$L$21)))*'Factors applied'!$E$106</f>
        <v/>
      </c>
      <c r="AJ8">
        <f>((SUMIF(Data!$M$10:$M$21,"ISIC 49T53",Data!$L$10:$L$21)/SUM(Data!$L$10:$L$21)))*'Factors applied'!$E$107</f>
        <v/>
      </c>
      <c r="AK8">
        <f>((SUMIF(Data!$M$10:$M$21,"ISIC 49T53",Data!$L$10:$L$21)/SUM(Data!$L$10:$L$21)))*'Factors applied'!$E$108</f>
        <v/>
      </c>
      <c r="AL8">
        <f>((SUMIF(Data!$M$10:$M$21,"ISIC 49T53",Data!$L$10:$L$21)/SUM(Data!$L$10:$L$21)))*'Factors applied'!$E$109</f>
        <v/>
      </c>
      <c r="AM8">
        <f>((SUMIF(Data!$M$10:$M$21,"ISIC 49T53",Data!$L$10:$L$21)/SUM(Data!$L$10:$L$21)))*'Factors applied'!$E$110</f>
        <v/>
      </c>
      <c r="AN8">
        <f>((SUMIF(Data!$M$10:$M$21,"ISIC 55T56",Data!$L$10:$L$21)/SUM(Data!$L$10:$L$21)))</f>
        <v/>
      </c>
      <c r="AO8">
        <f>((SUMIF(Data!$M$10:$M$21,"ISIC 58T60",Data!$L$10:$L$21)/SUM(Data!$L$10:$L$21)))</f>
        <v/>
      </c>
      <c r="AP8">
        <f>((SUMIF(Data!$M$10:$M$21,"ISIC 61",Data!$L$10:$L$21)/SUM(Data!$L$10:$L$21)))</f>
        <v/>
      </c>
      <c r="AQ8">
        <f>((SUMIF(Data!$M$10:$M$21,"ISIC 62T63",Data!$L$10:$L$21)/SUM(Data!$L$10:$L$21)))</f>
        <v/>
      </c>
      <c r="AR8">
        <f>((SUMIF(Data!$M$10:$M$21,"ISIC 64T66",Data!$L$10:$L$21)/SUM(Data!$L$10:$L$21)))</f>
        <v/>
      </c>
      <c r="AS8">
        <f>((SUMIF(Data!$M$10:$M$21,"ISIC 68",Data!$L$10:$L$21)/SUM(Data!$L$10:$L$21)))</f>
        <v/>
      </c>
      <c r="AT8">
        <f>((SUMIF(Data!$M$10:$M$21,"ISIC 69T82",Data!$L$10:$L$21)/SUM(Data!$L$10:$L$21)))*'Factors applied'!$E$111</f>
        <v/>
      </c>
      <c r="AU8">
        <f>((SUMIF(Data!$M$10:$M$21,"ISIC 69T82",Data!$L$10:$L$21)/SUM(Data!$L$10:$L$21)))*'Factors applied'!$E$112</f>
        <v/>
      </c>
      <c r="AV8">
        <f>((SUMIF(Data!$M$10:$M$21,"ISIC 84",Data!$L$10:$L$21)/SUM(Data!$L$10:$L$21)))</f>
        <v/>
      </c>
      <c r="AW8">
        <f>((SUMIF(Data!$M$10:$M$21,"ISIC 85",Data!$L$10:$L$21)/SUM(Data!$L$10:$L$21)))</f>
        <v/>
      </c>
      <c r="AX8">
        <f>((SUMIF(Data!$M$10:$M$21,"ISIC 86T88",Data!$L$10:$L$21)/SUM(Data!$L$10:$L$21)))</f>
        <v/>
      </c>
      <c r="AY8">
        <f>((SUMIF(Data!$M$10:$M$21,"ISIC 90T96",Data!$L$10:$L$21)/SUM(Data!$L$10:$L$21)))*'Factors applied'!$E$113</f>
        <v/>
      </c>
      <c r="AZ8">
        <f>((SUMIF(Data!$M$10:$M$21,"ISIC 90T96",Data!$L$10:$L$21)/SUM(Data!$L$10:$L$21)))*'Factors applied'!$E$114</f>
        <v/>
      </c>
      <c r="BA8">
        <f>((SUMIF(Data!$M$10:$M$21,"ISIC 97T98",Data!$L$10:$L$21)/SUM(Data!$L$10:$L$21)))</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Robbie Orvis</dc:creator>
  <dcterms:created xmlns:dcterms="http://purl.org/dc/terms/" xmlns:xsi="http://www.w3.org/2001/XMLSchema-instance" xsi:type="dcterms:W3CDTF">2020-09-30T16:01:44Z</dcterms:created>
  <dcterms:modified xmlns:dcterms="http://purl.org/dc/terms/" xmlns:xsi="http://www.w3.org/2001/XMLSchema-instance" xsi:type="dcterms:W3CDTF">2026-07-21T14:40:52Z</dcterms:modified>
  <cp:lastModifiedBy>Dan O'Brien</cp:lastModifiedBy>
</cp:coreProperties>
</file>