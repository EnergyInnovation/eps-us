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Default Extension="png" ContentType="image/png"/>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395" yWindow="1440" windowWidth="25290" windowHeight="13845" tabRatio="600" firstSheet="0" activeTab="2" autoFilterDateGrouping="1"/>
  </bookViews>
  <sheets>
    <sheet xmlns:r="http://schemas.openxmlformats.org/officeDocument/2006/relationships" name="About" sheetId="1" state="visible" r:id="rId1"/>
    <sheet xmlns:r="http://schemas.openxmlformats.org/officeDocument/2006/relationships" name="Checks" sheetId="2" state="visible" r:id="rId2"/>
    <sheet xmlns:r="http://schemas.openxmlformats.org/officeDocument/2006/relationships" name="Data" sheetId="3" state="visible" r:id="rId3"/>
    <sheet xmlns:r="http://schemas.openxmlformats.org/officeDocument/2006/relationships" name="SoHPCCbRIC" sheetId="4" state="visible" r:id="rId4"/>
  </sheets>
  <definedNames>
    <definedName name="CEPCIinflator">Data!$C$11</definedName>
    <definedName name="CPIinflator">Data!$C$12</definedName>
    <definedName name="CurrentYear">Data!$C$10</definedName>
  </definedNames>
  <calcPr calcId="191029" fullCalcOnLoad="1"/>
</workbook>
</file>

<file path=xl/styles.xml><?xml version="1.0" encoding="utf-8"?>
<styleSheet xmlns="http://schemas.openxmlformats.org/spreadsheetml/2006/main">
  <numFmts count="5">
    <numFmt numFmtId="164" formatCode="_(* #,##0_);_(* \(#,##0\);_(* &quot;-&quot;??_);_(@_)"/>
    <numFmt numFmtId="165" formatCode="0.000"/>
    <numFmt numFmtId="166" formatCode="0.0%"/>
    <numFmt numFmtId="167" formatCode="&quot;$&quot;#,##0"/>
    <numFmt numFmtId="168" formatCode="_(&quot;$&quot;* #,##0_);_(&quot;$&quot;* \(#,##0\);_(&quot;$&quot;* &quot;-&quot;??_);_(@_)"/>
  </numFmts>
  <fonts count="13">
    <font>
      <name val="Calibri"/>
      <family val="2"/>
      <color theme="1"/>
      <sz val="11"/>
      <scheme val="minor"/>
    </font>
    <font>
      <name val="Calibri"/>
      <family val="2"/>
      <color theme="1"/>
      <sz val="11"/>
      <scheme val="minor"/>
    </font>
    <font>
      <name val="Calibri"/>
      <family val="2"/>
      <b val="1"/>
      <color theme="1"/>
      <sz val="11"/>
      <scheme val="minor"/>
    </font>
    <font>
      <name val="Arial Black"/>
      <family val="2"/>
      <color indexed="12"/>
      <sz val="14"/>
    </font>
    <font>
      <name val="Arial"/>
      <family val="2"/>
      <b val="1"/>
      <color indexed="12"/>
      <sz val="12"/>
    </font>
    <font>
      <name val="Arial"/>
      <family val="2"/>
      <b val="1"/>
      <sz val="10"/>
    </font>
    <font>
      <name val="Arial"/>
      <family val="2"/>
      <sz val="10"/>
    </font>
    <font>
      <name val="Arial"/>
      <family val="2"/>
      <b val="1"/>
      <color indexed="23"/>
      <sz val="10"/>
    </font>
    <font>
      <name val="Arial"/>
      <family val="2"/>
      <b val="1"/>
      <color indexed="23"/>
      <sz val="12"/>
    </font>
    <font>
      <name val="Arial"/>
      <family val="2"/>
      <i val="1"/>
      <sz val="10"/>
    </font>
    <font>
      <name val="Calibri"/>
      <family val="2"/>
      <color theme="10"/>
      <sz val="11"/>
      <u val="single"/>
      <scheme val="minor"/>
    </font>
    <font>
      <name val="Calibri"/>
      <family val="2"/>
      <i val="1"/>
      <color theme="1"/>
      <sz val="11"/>
      <scheme val="minor"/>
    </font>
    <font>
      <b val="1"/>
    </font>
  </fonts>
  <fills count="8">
    <fill>
      <patternFill/>
    </fill>
    <fill>
      <patternFill patternType="gray125"/>
    </fill>
    <fill>
      <patternFill patternType="solid">
        <fgColor indexed="47"/>
        <bgColor indexed="64"/>
      </patternFill>
    </fill>
    <fill>
      <patternFill patternType="solid">
        <fgColor indexed="42"/>
        <bgColor indexed="64"/>
      </patternFill>
    </fill>
    <fill>
      <patternFill patternType="solid">
        <fgColor indexed="9"/>
        <bgColor indexed="64"/>
      </patternFill>
    </fill>
    <fill>
      <patternFill patternType="solid">
        <fgColor indexed="44"/>
        <bgColor indexed="64"/>
      </patternFill>
    </fill>
    <fill>
      <patternFill patternType="solid">
        <fgColor theme="0" tint="-0.0499893185216834"/>
        <bgColor indexed="64"/>
      </patternFill>
    </fill>
    <fill>
      <patternFill patternType="solid">
        <fgColor theme="0" tint="-0.249977111117893"/>
        <bgColor indexed="64"/>
      </patternFill>
    </fill>
  </fills>
  <borders count="43">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style="thin">
        <color indexed="64"/>
      </left>
      <right/>
      <top/>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bottom style="medium">
        <color indexed="64"/>
      </bottom>
      <diagonal/>
    </border>
    <border>
      <left/>
      <right style="thin">
        <color indexed="64"/>
      </right>
      <top style="medium">
        <color indexed="64"/>
      </top>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s>
  <cellStyleXfs count="5">
    <xf numFmtId="0" fontId="1" fillId="0" borderId="0"/>
    <xf numFmtId="43" fontId="1" fillId="0" borderId="0"/>
    <xf numFmtId="44" fontId="1" fillId="0" borderId="0"/>
    <xf numFmtId="9" fontId="1" fillId="0" borderId="0"/>
    <xf numFmtId="0" fontId="10" fillId="0" borderId="0"/>
  </cellStyleXfs>
  <cellXfs count="78">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right"/>
    </xf>
    <xf numFmtId="0" fontId="5" fillId="0" borderId="0" applyAlignment="1" pivotButton="0" quotePrefix="0" xfId="0">
      <alignment wrapText="1"/>
    </xf>
    <xf numFmtId="164" fontId="6" fillId="2" borderId="1" applyAlignment="1" applyProtection="1" pivotButton="0" quotePrefix="0" xfId="1">
      <alignment wrapText="1"/>
      <protection locked="0" hidden="0"/>
    </xf>
    <xf numFmtId="0" fontId="5" fillId="0" borderId="0" pivotButton="0" quotePrefix="0" xfId="0"/>
    <xf numFmtId="0" fontId="6" fillId="5" borderId="5" applyAlignment="1" applyProtection="1" pivotButton="0" quotePrefix="0" xfId="0">
      <alignment wrapText="1"/>
      <protection locked="0" hidden="0"/>
    </xf>
    <xf numFmtId="0" fontId="6" fillId="2" borderId="9" applyAlignment="1" applyProtection="1" pivotButton="0" quotePrefix="0" xfId="0">
      <alignment wrapText="1"/>
      <protection locked="0" hidden="0"/>
    </xf>
    <xf numFmtId="165" fontId="6" fillId="5" borderId="5" applyAlignment="1" applyProtection="1" pivotButton="0" quotePrefix="0" xfId="0">
      <alignment wrapText="1"/>
      <protection locked="0" hidden="0"/>
    </xf>
    <xf numFmtId="165" fontId="6" fillId="5" borderId="12" applyAlignment="1" applyProtection="1" pivotButton="0" quotePrefix="0" xfId="0">
      <alignment wrapText="1"/>
      <protection locked="0" hidden="0"/>
    </xf>
    <xf numFmtId="0" fontId="8" fillId="4" borderId="15" applyProtection="1" pivotButton="0" quotePrefix="0" xfId="0">
      <protection locked="0" hidden="0"/>
    </xf>
    <xf numFmtId="0" fontId="8" fillId="4" borderId="16" applyProtection="1" pivotButton="0" quotePrefix="0" xfId="0">
      <protection locked="0" hidden="0"/>
    </xf>
    <xf numFmtId="0" fontId="8" fillId="4" borderId="17" applyProtection="1" pivotButton="0" quotePrefix="0" xfId="0">
      <protection locked="0" hidden="0"/>
    </xf>
    <xf numFmtId="0" fontId="8" fillId="4" borderId="18" applyAlignment="1" applyProtection="1" pivotButton="0" quotePrefix="0" xfId="0">
      <alignment horizontal="right" wrapText="1"/>
      <protection locked="0" hidden="0"/>
    </xf>
    <xf numFmtId="0" fontId="7" fillId="4" borderId="19" applyAlignment="1" applyProtection="1" pivotButton="0" quotePrefix="0" xfId="0">
      <alignment horizontal="center" wrapText="1"/>
      <protection locked="0" hidden="0"/>
    </xf>
    <xf numFmtId="0" fontId="7" fillId="4" borderId="20" applyAlignment="1" applyProtection="1" pivotButton="0" quotePrefix="0" xfId="0">
      <alignment horizontal="center" wrapText="1"/>
      <protection locked="0" hidden="0"/>
    </xf>
    <xf numFmtId="0" fontId="7" fillId="4" borderId="21" applyAlignment="1" applyProtection="1" pivotButton="0" quotePrefix="0" xfId="0">
      <alignment horizontal="center" wrapText="1"/>
      <protection locked="0" hidden="0"/>
    </xf>
    <xf numFmtId="0" fontId="6" fillId="2" borderId="22" applyAlignment="1" applyProtection="1" pivotButton="0" quotePrefix="0" xfId="0">
      <alignment horizontal="left" wrapText="1"/>
      <protection locked="0" hidden="0"/>
    </xf>
    <xf numFmtId="3" fontId="6" fillId="2" borderId="23" applyAlignment="1" applyProtection="1" pivotButton="0" quotePrefix="0" xfId="0">
      <alignment wrapText="1"/>
      <protection locked="0" hidden="0"/>
    </xf>
    <xf numFmtId="42" fontId="6" fillId="5" borderId="24" applyAlignment="1" applyProtection="1" pivotButton="0" quotePrefix="0" xfId="0">
      <alignment wrapText="1"/>
      <protection locked="0" hidden="0"/>
    </xf>
    <xf numFmtId="2" fontId="6" fillId="2" borderId="25" applyAlignment="1" applyProtection="1" pivotButton="0" quotePrefix="0" xfId="0">
      <alignment wrapText="1"/>
      <protection locked="0" hidden="0"/>
    </xf>
    <xf numFmtId="0" fontId="6" fillId="3" borderId="26" applyAlignment="1" applyProtection="1" pivotButton="0" quotePrefix="0" xfId="0">
      <alignment wrapText="1"/>
      <protection locked="0" hidden="0"/>
    </xf>
    <xf numFmtId="0" fontId="6" fillId="3" borderId="27" applyAlignment="1" applyProtection="1" pivotButton="0" quotePrefix="0" xfId="0">
      <alignment wrapText="1"/>
      <protection locked="0" hidden="0"/>
    </xf>
    <xf numFmtId="0" fontId="5" fillId="2" borderId="5" applyAlignment="1" applyProtection="1" pivotButton="0" quotePrefix="0" xfId="0">
      <alignment horizontal="left" wrapText="1"/>
      <protection locked="0" hidden="0"/>
    </xf>
    <xf numFmtId="164" fontId="6" fillId="2" borderId="28" applyAlignment="1" applyProtection="1" pivotButton="0" quotePrefix="0" xfId="0">
      <alignment wrapText="1"/>
      <protection locked="0" hidden="0"/>
    </xf>
    <xf numFmtId="2" fontId="6" fillId="2" borderId="29" applyAlignment="1" applyProtection="1" pivotButton="0" quotePrefix="0" xfId="0">
      <alignment wrapText="1"/>
      <protection locked="0" hidden="0"/>
    </xf>
    <xf numFmtId="0" fontId="6" fillId="3" borderId="30" applyAlignment="1" applyProtection="1" pivotButton="0" quotePrefix="0" xfId="0">
      <alignment wrapText="1"/>
      <protection locked="0" hidden="0"/>
    </xf>
    <xf numFmtId="0" fontId="6" fillId="3" borderId="31" applyAlignment="1" applyProtection="1" pivotButton="0" quotePrefix="0" xfId="0">
      <alignment wrapText="1"/>
      <protection locked="0" hidden="0"/>
    </xf>
    <xf numFmtId="0" fontId="6" fillId="2" borderId="5" applyAlignment="1" applyProtection="1" pivotButton="0" quotePrefix="0" xfId="0">
      <alignment horizontal="left" wrapText="1" indent="1"/>
      <protection locked="0" hidden="0"/>
    </xf>
    <xf numFmtId="0" fontId="6" fillId="4" borderId="32" applyAlignment="1" applyProtection="1" pivotButton="0" quotePrefix="0" xfId="0">
      <alignment horizontal="left" wrapText="1"/>
      <protection locked="0" hidden="0"/>
    </xf>
    <xf numFmtId="164" fontId="6" fillId="5" borderId="33" applyAlignment="1" applyProtection="1" pivotButton="0" quotePrefix="0" xfId="0">
      <alignment wrapText="1"/>
      <protection locked="0" hidden="0"/>
    </xf>
    <xf numFmtId="42" fontId="6" fillId="5" borderId="34" applyAlignment="1" applyProtection="1" pivotButton="0" quotePrefix="0" xfId="0">
      <alignment wrapText="1"/>
      <protection locked="0" hidden="0"/>
    </xf>
    <xf numFmtId="2" fontId="6" fillId="4" borderId="33" applyAlignment="1" applyProtection="1" pivotButton="0" quotePrefix="0" xfId="0">
      <alignment wrapText="1"/>
      <protection locked="0" hidden="0"/>
    </xf>
    <xf numFmtId="0" fontId="6" fillId="4" borderId="33" applyAlignment="1" applyProtection="1" pivotButton="0" quotePrefix="0" xfId="0">
      <alignment wrapText="1"/>
      <protection locked="0" hidden="0"/>
    </xf>
    <xf numFmtId="0" fontId="6" fillId="4" borderId="35" applyAlignment="1" applyProtection="1" pivotButton="0" quotePrefix="0" xfId="0">
      <alignment wrapText="1"/>
      <protection locked="0" hidden="0"/>
    </xf>
    <xf numFmtId="164" fontId="0" fillId="0" borderId="0" pivotButton="0" quotePrefix="0" xfId="0"/>
    <xf numFmtId="0" fontId="0" fillId="6" borderId="36" pivotButton="0" quotePrefix="0" xfId="0"/>
    <xf numFmtId="0" fontId="6" fillId="6" borderId="36" pivotButton="0" quotePrefix="0" xfId="0"/>
    <xf numFmtId="164" fontId="0" fillId="6" borderId="36" pivotButton="0" quotePrefix="0" xfId="1"/>
    <xf numFmtId="9" fontId="0" fillId="6" borderId="36" pivotButton="0" quotePrefix="0" xfId="0"/>
    <xf numFmtId="0" fontId="9" fillId="6" borderId="36" pivotButton="0" quotePrefix="0" xfId="0"/>
    <xf numFmtId="0" fontId="10" fillId="0" borderId="0" pivotButton="0" quotePrefix="0" xfId="4"/>
    <xf numFmtId="0" fontId="0" fillId="0" borderId="0" applyAlignment="1" pivotButton="0" quotePrefix="0" xfId="0">
      <alignment horizontal="left"/>
    </xf>
    <xf numFmtId="0" fontId="2" fillId="7" borderId="0" pivotButton="0" quotePrefix="0" xfId="0"/>
    <xf numFmtId="0" fontId="0" fillId="0" borderId="0" applyAlignment="1" pivotButton="0" quotePrefix="0" xfId="0">
      <alignment wrapText="1"/>
    </xf>
    <xf numFmtId="166" fontId="0" fillId="0" borderId="0" pivotButton="0" quotePrefix="0" xfId="3"/>
    <xf numFmtId="167" fontId="0" fillId="0" borderId="0" pivotButton="0" quotePrefix="0" xfId="0"/>
    <xf numFmtId="168" fontId="0" fillId="0" borderId="0" pivotButton="0" quotePrefix="0" xfId="2"/>
    <xf numFmtId="0" fontId="11" fillId="0" borderId="0" pivotButton="0" quotePrefix="0" xfId="0"/>
    <xf numFmtId="0" fontId="0" fillId="0" borderId="0" applyAlignment="1" pivotButton="0" quotePrefix="0" xfId="0">
      <alignment horizontal="right"/>
    </xf>
    <xf numFmtId="0" fontId="6" fillId="3" borderId="13" applyAlignment="1" applyProtection="1" pivotButton="0" quotePrefix="0" xfId="0">
      <alignment wrapText="1"/>
      <protection locked="0" hidden="0"/>
    </xf>
    <xf numFmtId="0" fontId="0" fillId="0" borderId="4" pivotButton="0" quotePrefix="0" xfId="0"/>
    <xf numFmtId="0" fontId="0" fillId="0" borderId="14" pivotButton="0" quotePrefix="0" xfId="0"/>
    <xf numFmtId="0" fontId="0" fillId="0" borderId="0" applyAlignment="1" pivotButton="0" quotePrefix="0" xfId="0">
      <alignment horizontal="left" wrapText="1"/>
    </xf>
    <xf numFmtId="0" fontId="6" fillId="3" borderId="2" applyAlignment="1" applyProtection="1" pivotButton="0" quotePrefix="0" xfId="0">
      <alignment wrapText="1"/>
      <protection locked="0" hidden="0"/>
    </xf>
    <xf numFmtId="0" fontId="0" fillId="0" borderId="2" pivotButton="0" quotePrefix="0" xfId="0"/>
    <xf numFmtId="0" fontId="0" fillId="0" borderId="3" pivotButton="0" quotePrefix="0" xfId="0"/>
    <xf numFmtId="0" fontId="7" fillId="4" borderId="4" applyAlignment="1" applyProtection="1" pivotButton="0" quotePrefix="0" xfId="0">
      <alignment horizontal="center" wrapText="1"/>
      <protection locked="0" hidden="0"/>
    </xf>
    <xf numFmtId="0" fontId="6" fillId="3" borderId="6" applyAlignment="1" applyProtection="1" pivotButton="0" quotePrefix="0" xfId="0">
      <alignment wrapText="1"/>
      <protection locked="0" hidden="0"/>
    </xf>
    <xf numFmtId="0" fontId="0" fillId="0" borderId="7" pivotButton="0" quotePrefix="0" xfId="0"/>
    <xf numFmtId="0" fontId="0" fillId="0" borderId="8" pivotButton="0" quotePrefix="0" xfId="0"/>
    <xf numFmtId="0" fontId="6" fillId="3" borderId="10" applyAlignment="1" applyProtection="1" pivotButton="0" quotePrefix="0" xfId="0">
      <alignment wrapText="1"/>
      <protection locked="0" hidden="0"/>
    </xf>
    <xf numFmtId="0" fontId="0" fillId="0" borderId="0" pivotButton="0" quotePrefix="0" xfId="0"/>
    <xf numFmtId="0" fontId="0" fillId="0" borderId="11" pivotButton="0" quotePrefix="0" xfId="0"/>
    <xf numFmtId="0" fontId="12" fillId="0" borderId="0" pivotButton="0" quotePrefix="0" xfId="0"/>
    <xf numFmtId="0" fontId="0" fillId="0" borderId="0" applyAlignment="1" pivotButton="0" quotePrefix="0" xfId="0">
      <alignment horizontal="left" vertical="top" wrapText="1"/>
    </xf>
    <xf numFmtId="0" fontId="0" fillId="0" borderId="39" applyProtection="1" pivotButton="0" quotePrefix="0" xfId="0">
      <protection locked="0" hidden="0"/>
    </xf>
    <xf numFmtId="0" fontId="0" fillId="0" borderId="40" applyProtection="1" pivotButton="0" quotePrefix="0" xfId="0">
      <protection locked="0" hidden="0"/>
    </xf>
    <xf numFmtId="0" fontId="0" fillId="0" borderId="4" applyProtection="1" pivotButton="0" quotePrefix="0" xfId="0">
      <protection locked="0" hidden="0"/>
    </xf>
    <xf numFmtId="0" fontId="6" fillId="3" borderId="41" applyAlignment="1" applyProtection="1" pivotButton="0" quotePrefix="0" xfId="0">
      <alignment wrapText="1"/>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6" fillId="3" borderId="42" applyAlignment="1" applyProtection="1" pivotButton="0" quotePrefix="0" xfId="0">
      <alignment wrapText="1"/>
      <protection locked="0" hidden="0"/>
    </xf>
    <xf numFmtId="0" fontId="0" fillId="0" borderId="0" applyProtection="1" pivotButton="0" quotePrefix="0" xfId="0">
      <protection locked="0" hidden="0"/>
    </xf>
    <xf numFmtId="0" fontId="0" fillId="0" borderId="11" applyProtection="1" pivotButton="0" quotePrefix="0" xfId="0">
      <protection locked="0" hidden="0"/>
    </xf>
    <xf numFmtId="0" fontId="6" fillId="3" borderId="37" applyAlignment="1" applyProtection="1" pivotButton="0" quotePrefix="0" xfId="0">
      <alignment wrapText="1"/>
      <protection locked="0" hidden="0"/>
    </xf>
    <xf numFmtId="0" fontId="0" fillId="0" borderId="14" applyProtection="1" pivotButton="0" quotePrefix="0" xfId="0">
      <protection locked="0" hidden="0"/>
    </xf>
  </cellXfs>
  <cellStyles count="5">
    <cellStyle name="Normal" xfId="0" builtinId="0"/>
    <cellStyle name="Comma" xfId="1" builtinId="3"/>
    <cellStyle name="Currency" xfId="2" builtinId="4"/>
    <cellStyle name="Percent" xfId="3" builtinId="5"/>
    <cellStyle name="Hyperlink" xfId="4"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678180</xdr:colOff>
      <xdr:row>31</xdr:row>
      <xdr:rowOff>76200</xdr:rowOff>
    </xdr:from>
    <xdr:to>
      <xdr:col>4</xdr:col>
      <xdr:colOff>769620</xdr:colOff>
      <xdr:row>33</xdr:row>
      <xdr:rowOff>38100</xdr:rowOff>
    </xdr:to>
    <xdr:sp macro="" textlink="">
      <xdr:nvSpPr>
        <xdr:cNvPr id="3" name="Rounded Rectangle 2">
          <a:extLst>
            <a:ext uri="{FF2B5EF4-FFF2-40B4-BE49-F238E27FC236}">
              <a16:creationId xmlns:a16="http://schemas.microsoft.com/office/drawing/2014/main" id="{00000000-0008-0000-0100-000003000000}"/>
            </a:ext>
          </a:extLst>
        </xdr:cNvPr>
        <xdr:cNvSpPr/>
      </xdr:nvSpPr>
      <xdr:spPr>
        <a:xfrm>
          <a:off x="4935855" y="76200"/>
          <a:ext cx="1339215" cy="409575"/>
        </a:xfrm>
        <a:prstGeom prst="roundRect">
          <a:avLst/>
        </a:prstGeom>
        <a:solidFill>
          <a:srgbClr val="8080E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0" cap="none" spc="0">
              <a:ln w="0"/>
              <a:solidFill>
                <a:schemeClr val="bg1"/>
              </a:solidFill>
              <a:effectLst>
                <a:outerShdw blurRad="38100" dist="25400" dir="5400000" algn="ctr" rotWithShape="0">
                  <a:srgbClr val="6E747A">
                    <a:alpha val="43000"/>
                  </a:srgbClr>
                </a:outerShdw>
              </a:effectLst>
              <a:latin typeface="Arial" panose="020B0604020202020204" pitchFamily="34" charset="0"/>
              <a:ea typeface="+mn-ea"/>
              <a:cs typeface="Arial" panose="020B0604020202020204" pitchFamily="34" charset="0"/>
            </a:rPr>
            <a:t>Input Sheet</a:t>
          </a:r>
        </a:p>
      </xdr:txBody>
    </xdr:sp>
    <xdr:clientData/>
  </xdr:twoCellAnchor>
  <xdr:twoCellAnchor>
    <xdr:from>
      <xdr:col>3</xdr:col>
      <xdr:colOff>678180</xdr:colOff>
      <xdr:row>33</xdr:row>
      <xdr:rowOff>106680</xdr:rowOff>
    </xdr:from>
    <xdr:to>
      <xdr:col>4</xdr:col>
      <xdr:colOff>769620</xdr:colOff>
      <xdr:row>35</xdr:row>
      <xdr:rowOff>152400</xdr:rowOff>
    </xdr:to>
    <xdr:sp macro="" textlink="">
      <xdr:nvSpPr>
        <xdr:cNvPr id="4" name="Rounded Rectangle 3">
          <a:extLst>
            <a:ext uri="{FF2B5EF4-FFF2-40B4-BE49-F238E27FC236}">
              <a16:creationId xmlns:a16="http://schemas.microsoft.com/office/drawing/2014/main" id="{00000000-0008-0000-0100-000004000000}"/>
            </a:ext>
          </a:extLst>
        </xdr:cNvPr>
        <xdr:cNvSpPr/>
      </xdr:nvSpPr>
      <xdr:spPr>
        <a:xfrm>
          <a:off x="4935855" y="554355"/>
          <a:ext cx="1339215" cy="407670"/>
        </a:xfrm>
        <a:prstGeom prst="roundRect">
          <a:avLst/>
        </a:prstGeom>
        <a:solidFill>
          <a:srgbClr val="8080E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1" cap="none" spc="0">
              <a:ln w="0"/>
              <a:solidFill>
                <a:schemeClr val="bg1"/>
              </a:solidFill>
              <a:effectLst>
                <a:outerShdw blurRad="38100" dist="25400" dir="5400000" algn="ctr" rotWithShape="0">
                  <a:srgbClr val="6E747A">
                    <a:alpha val="43000"/>
                  </a:srgbClr>
                </a:outerShdw>
              </a:effectLst>
              <a:latin typeface="Arial" panose="020B0604020202020204" pitchFamily="34" charset="0"/>
              <a:ea typeface="+mn-ea"/>
              <a:cs typeface="Arial" panose="020B0604020202020204" pitchFamily="34" charset="0"/>
            </a:rPr>
            <a:t>Key</a:t>
          </a:r>
        </a:p>
      </xdr:txBody>
    </xdr:sp>
    <xdr:clientData/>
  </xdr:twoCellAnchor>
  <xdr:twoCellAnchor editAs="oneCell">
    <xdr:from>
      <xdr:col>0</xdr:col>
      <xdr:colOff>0</xdr:colOff>
      <xdr:row>0</xdr:row>
      <xdr:rowOff>0</xdr:rowOff>
    </xdr:from>
    <xdr:to>
      <xdr:col>10</xdr:col>
      <xdr:colOff>722200</xdr:colOff>
      <xdr:row>23</xdr:row>
      <xdr:rowOff>94690</xdr:rowOff>
    </xdr:to>
    <xdr:pic>
      <xdr:nvPicPr>
        <xdr:cNvPr id="6" name="Pictur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1"/>
        <a:stretch>
          <a:fillRect/>
        </a:stretch>
      </xdr:blipFill>
      <xdr:spPr>
        <a:xfrm>
          <a:off x="0" y="0"/>
          <a:ext cx="13600000" cy="4476190"/>
        </a:xfrm>
        <a:prstGeom prst="rect">
          <a:avLst/>
        </a:prstGeom>
      </xdr:spPr>
    </xdr:pic>
    <xdr:clientData/>
  </xdr:twoCellAnchor>
  <xdr:twoCellAnchor editAs="oneCell">
    <xdr:from>
      <xdr:col>1</xdr:col>
      <xdr:colOff>0</xdr:colOff>
      <xdr:row>78</xdr:row>
      <xdr:rowOff>0</xdr:rowOff>
    </xdr:from>
    <xdr:to>
      <xdr:col>9</xdr:col>
      <xdr:colOff>198543</xdr:colOff>
      <xdr:row>98</xdr:row>
      <xdr:rowOff>85238</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2"/>
        <a:stretch>
          <a:fillRect/>
        </a:stretch>
      </xdr:blipFill>
      <xdr:spPr>
        <a:xfrm>
          <a:off x="609600" y="15563850"/>
          <a:ext cx="11857143" cy="389523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nrel.gov/hydrogen/assets/docs/current-central-pem-electrolysis-v3-2018.xlsm" TargetMode="External" Id="rId1"/><Relationship Type="http://schemas.openxmlformats.org/officeDocument/2006/relationships/hyperlink" Target="https://ieaghg.org/exco_docs/2017-02.pdf" TargetMode="External" Id="rId2"/><Relationship Type="http://schemas.openxmlformats.org/officeDocument/2006/relationships/hyperlink" Target="https://ieaghg.org/docs/General_Docs/Reports/2014-03.pdf" TargetMode="External" Id="rId3"/></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B39"/>
  <sheetViews>
    <sheetView topLeftCell="A1" workbookViewId="0">
      <selection activeCell="A1" sqref="A1"/>
    </sheetView>
  </sheetViews>
  <sheetFormatPr baseColWidth="8" defaultRowHeight="14.5"/>
  <cols>
    <col width="65.1796875" customWidth="1" style="63" min="2" max="2"/>
  </cols>
  <sheetData>
    <row r="1">
      <c r="A1" s="1" t="inlineStr">
        <is>
          <t>SoHPCCbRIC Share of Hydrogen Production Capital Costs by Recipient ISIC Code</t>
        </is>
      </c>
    </row>
    <row r="2"/>
    <row r="3">
      <c r="A3" s="1" t="inlineStr">
        <is>
          <t>Sources:</t>
        </is>
      </c>
      <c r="B3" s="44" t="inlineStr">
        <is>
          <t>Electrolysis</t>
        </is>
      </c>
    </row>
    <row r="4">
      <c r="B4" t="inlineStr">
        <is>
          <t>NREL</t>
        </is>
      </c>
    </row>
    <row r="5">
      <c r="B5" s="43" t="n">
        <v>2018</v>
      </c>
    </row>
    <row r="6">
      <c r="B6" t="inlineStr">
        <is>
          <t>Current Central Hydrogen Production from Grid PEM Electrolysis</t>
        </is>
      </c>
    </row>
    <row r="7">
      <c r="B7" s="42" t="inlineStr">
        <is>
          <t>https://www.nrel.gov/hydrogen/assets/docs/current-central-pem-electrolysis-v3-2018.xlsm</t>
        </is>
      </c>
    </row>
    <row r="8">
      <c r="B8" t="inlineStr">
        <is>
          <t>"Capital Costs" tab</t>
        </is>
      </c>
    </row>
    <row r="9"/>
    <row r="10">
      <c r="B10" s="44" t="inlineStr">
        <is>
          <t>Natural Gas Reforming</t>
        </is>
      </c>
    </row>
    <row r="11">
      <c r="B11" t="inlineStr">
        <is>
          <t>IEA</t>
        </is>
      </c>
    </row>
    <row r="12">
      <c r="B12" s="43" t="n">
        <v>2017</v>
      </c>
    </row>
    <row r="13">
      <c r="B13" t="inlineStr">
        <is>
          <t>Techno-Economic Evaluation of SMR Based Standalone (Merchant) Hydrogen Plant with CCS</t>
        </is>
      </c>
    </row>
    <row r="14">
      <c r="B14" s="42" t="inlineStr">
        <is>
          <t>https://ieaghg.org/exco_docs/2017-02.pdf</t>
        </is>
      </c>
    </row>
    <row r="15">
      <c r="B15" t="inlineStr">
        <is>
          <t>Techno-Economic Evaluation of Standalone (Merchant) H2 Plant (p.222)</t>
        </is>
      </c>
    </row>
    <row r="16"/>
    <row r="17">
      <c r="B17" s="44" t="inlineStr">
        <is>
          <t xml:space="preserve">Coal/Biomass Gasification </t>
        </is>
      </c>
    </row>
    <row r="18">
      <c r="B18" t="inlineStr">
        <is>
          <t>IEA</t>
        </is>
      </c>
    </row>
    <row r="19">
      <c r="B19" s="43" t="n">
        <v>2014</v>
      </c>
    </row>
    <row r="20">
      <c r="B20" t="inlineStr">
        <is>
          <t>CO2 CAPTURE AT COAL BASED POWER AND HYDROGEN PLANTS</t>
        </is>
      </c>
    </row>
    <row r="21">
      <c r="B21" s="42" t="inlineStr">
        <is>
          <t>https://ieaghg.org/docs/General_Docs/Reports/2014-03.pdf</t>
        </is>
      </c>
    </row>
    <row r="22" ht="29" customHeight="1" s="63">
      <c r="B22" s="45" t="inlineStr">
        <is>
          <t>Chapter F, Table 12, CO2 CAPTURE AT BASED POWER AND HYDROGEN PLANTS CASE 5.3 - IGCC (GE Energy) HYDROGEN PRODUCTION - BOILER</t>
        </is>
      </c>
    </row>
    <row r="23"/>
    <row r="24">
      <c r="A24" s="1" t="inlineStr">
        <is>
          <t>Notes</t>
        </is>
      </c>
    </row>
    <row r="25">
      <c r="A25" t="inlineStr">
        <is>
          <t>We do not have data on thermochemical water splitting.  This hydrogen production pathway</t>
        </is>
      </c>
    </row>
    <row r="26">
      <c r="A26" t="inlineStr">
        <is>
          <t>is not used in the U.S. EPS as of 3.0.0, so it doesn't matter what data are included here for</t>
        </is>
      </c>
    </row>
    <row r="27">
      <c r="A27" t="inlineStr">
        <is>
          <t>that pathway.  We use the data for coal gasification as a stand-in, so that if</t>
        </is>
      </c>
    </row>
    <row r="28">
      <c r="A28" t="inlineStr">
        <is>
          <t>someone enables this pathway in the future, the revenues from equipment</t>
        </is>
      </c>
    </row>
    <row r="29">
      <c r="A29" t="inlineStr">
        <is>
          <t>purchases will not simply vanish, but will be allocated to ISIC codes, and</t>
        </is>
      </c>
    </row>
    <row r="30">
      <c r="A30" t="inlineStr">
        <is>
          <t>expenses and revenues will still balance.  (They should update the allocations in</t>
        </is>
      </c>
    </row>
    <row r="31">
      <c r="A31" t="inlineStr">
        <is>
          <t>this variable when they enable the thermochemical water splitting pathway.)</t>
        </is>
      </c>
    </row>
    <row r="33">
      <c r="A33" s="65" t="inlineStr">
        <is>
          <t>42-code sibling (build_sector_shares_42):</t>
        </is>
      </c>
    </row>
    <row r="34">
      <c r="A34" s="66" t="inlineStr">
        <is>
          <t>This workbook is the 42-code (un-split) sibling of the 52-code expansion. The 42 scheme is the 52 scheme with the six OECD-native parents</t>
        </is>
      </c>
    </row>
    <row r="35">
      <c r="A35" s="66" t="inlineStr">
        <is>
          <t>left merged (ISIC 01T03, 07T08, 30, 49T53, 69T82, 90T96); the BEA carves ISIC 231/239 and 351/352T353 are retained (present in both</t>
        </is>
      </c>
    </row>
    <row r="36">
      <c r="A36" s="66" t="inlineStr">
        <is>
          <t>schemes).</t>
        </is>
      </c>
    </row>
    <row r="38">
      <c r="A38" s="66" t="inlineStr">
        <is>
          <t>The output tabs are the stock derivation, unchanged and live: the stock workbook is natively 42-code (its output columns already are the</t>
        </is>
      </c>
    </row>
    <row r="39">
      <c r="A39" s="66" t="inlineStr">
        <is>
          <t>42-code ISIC list, in canonical order), so no child split is applied here.</t>
        </is>
      </c>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40" customWidth="1" style="63" min="1" max="1"/>
    <col width="14" customWidth="1" style="63" min="2" max="2"/>
  </cols>
  <sheetData>
    <row r="1">
      <c r="A1" s="65" t="inlineStr">
        <is>
          <t>Validation checks (42-code sibling)</t>
        </is>
      </c>
    </row>
    <row r="2">
      <c r="A2" s="66" t="inlineStr">
        <is>
          <t>Allocation output rows sum to 1 across the 42 ISIC codes (rate files excluded — see note).</t>
        </is>
      </c>
    </row>
    <row r="4">
      <c r="A4" s="65" t="inlineStr">
        <is>
          <t>SoHPCCbRIC.csv</t>
        </is>
      </c>
    </row>
    <row r="5">
      <c r="A5" t="inlineStr">
        <is>
          <t xml:space="preserve">  electrolysis</t>
        </is>
      </c>
      <c r="B5">
        <f>SUM('SoHPCCbRIC'!B2:AQ2)</f>
        <v/>
      </c>
      <c r="C5" s="65">
        <f>IF(ABS(B5-1)&lt;0.000001,"=1",IF(ABS(B5)&lt;0.000001,"=0","CHECK"))</f>
        <v/>
      </c>
    </row>
    <row r="6">
      <c r="A6" t="inlineStr">
        <is>
          <t xml:space="preserve">  natural gas reforming</t>
        </is>
      </c>
      <c r="B6">
        <f>SUM('SoHPCCbRIC'!B3:AQ3)</f>
        <v/>
      </c>
      <c r="C6" s="65">
        <f>IF(ABS(B6-1)&lt;0.000001,"=1",IF(ABS(B6)&lt;0.000001,"=0","CHECK"))</f>
        <v/>
      </c>
    </row>
    <row r="7">
      <c r="A7" t="inlineStr">
        <is>
          <t xml:space="preserve">  coal gasification</t>
        </is>
      </c>
      <c r="B7">
        <f>SUM('SoHPCCbRIC'!B4:AQ4)</f>
        <v/>
      </c>
      <c r="C7" s="65">
        <f>IF(ABS(B7-1)&lt;0.000001,"=1",IF(ABS(B7)&lt;0.000001,"=0","CHECK"))</f>
        <v/>
      </c>
    </row>
    <row r="8">
      <c r="A8" t="inlineStr">
        <is>
          <t xml:space="preserve">  biomass gasification</t>
        </is>
      </c>
      <c r="B8">
        <f>SUM('SoHPCCbRIC'!B5:AQ5)</f>
        <v/>
      </c>
      <c r="C8" s="65">
        <f>IF(ABS(B8-1)&lt;0.000001,"=1",IF(ABS(B8)&lt;0.000001,"=0","CHECK"))</f>
        <v/>
      </c>
    </row>
    <row r="9">
      <c r="A9" t="inlineStr">
        <is>
          <t xml:space="preserve">  hydrocarbon partial oxidation</t>
        </is>
      </c>
      <c r="B9">
        <f>SUM('SoHPCCbRIC'!B6:AQ6)</f>
        <v/>
      </c>
      <c r="C9" s="65">
        <f>IF(ABS(B9-1)&lt;0.000001,"=1",IF(ABS(B9)&lt;0.000001,"=0","CHECK"))</f>
        <v/>
      </c>
    </row>
    <row r="10">
      <c r="A10" t="inlineStr">
        <is>
          <t xml:space="preserve">  electrolysis with guaranteed clean electricity</t>
        </is>
      </c>
      <c r="B10">
        <f>SUM('SoHPCCbRIC'!B7:AQ7)</f>
        <v/>
      </c>
      <c r="C10" s="65">
        <f>IF(ABS(B10-1)&lt;0.000001,"=1",IF(ABS(B10)&lt;0.000001,"=0","CHECK"))</f>
        <v/>
      </c>
    </row>
    <row r="11">
      <c r="A11" t="inlineStr">
        <is>
          <t xml:space="preserve">  natural gas reforming with CCS</t>
        </is>
      </c>
      <c r="B11">
        <f>SUM('SoHPCCbRIC'!B8:AQ8)</f>
        <v/>
      </c>
      <c r="C11" s="65">
        <f>IF(ABS(B11-1)&lt;0.000001,"=1",IF(ABS(B11)&lt;0.000001,"=0","CHECK"))</f>
        <v/>
      </c>
    </row>
  </sheetData>
  <pageMargins left="0.75" right="0.75" top="1" bottom="1" header="0.5" footer="0.5"/>
</worksheet>
</file>

<file path=xl/worksheets/sheet3.xml><?xml version="1.0" encoding="utf-8"?>
<worksheet xmlns:r="http://schemas.openxmlformats.org/officeDocument/2006/relationships" xmlns="http://schemas.openxmlformats.org/spreadsheetml/2006/main">
  <sheetPr>
    <outlinePr summaryBelow="1" summaryRight="1"/>
    <pageSetUpPr/>
  </sheetPr>
  <dimension ref="B10:N98"/>
  <sheetViews>
    <sheetView topLeftCell="A22" zoomScale="70" zoomScaleNormal="70" workbookViewId="0">
      <selection activeCell="A1" sqref="A1"/>
    </sheetView>
  </sheetViews>
  <sheetFormatPr baseColWidth="8" defaultRowHeight="14.5"/>
  <cols>
    <col width="99.1796875" bestFit="1" customWidth="1" style="63" min="2" max="2"/>
    <col width="12.26953125" bestFit="1" customWidth="1" style="63" min="3" max="3"/>
    <col width="13.453125" bestFit="1" customWidth="1" style="63" min="4" max="4"/>
    <col width="13.453125" bestFit="1" customWidth="1" style="63" min="6" max="6"/>
    <col width="18" bestFit="1" customWidth="1" style="63" min="11" max="11"/>
    <col width="15.26953125" bestFit="1" customWidth="1" style="63" min="12" max="12"/>
  </cols>
  <sheetData>
    <row r="10">
      <c r="L10" s="48" t="n">
        <v>68084000</v>
      </c>
      <c r="M10" t="inlineStr">
        <is>
          <t>ISIC 28</t>
        </is>
      </c>
    </row>
    <row r="11">
      <c r="L11" s="48" t="n"/>
    </row>
    <row r="12">
      <c r="L12" s="48" t="n">
        <v>49148000</v>
      </c>
      <c r="M12" t="inlineStr">
        <is>
          <t>ISIC 41T43</t>
        </is>
      </c>
    </row>
    <row r="13">
      <c r="L13" s="48" t="n"/>
    </row>
    <row r="14">
      <c r="L14" s="48" t="n"/>
    </row>
    <row r="15">
      <c r="L15" s="48" t="n"/>
    </row>
    <row r="16">
      <c r="L16" s="48" t="n">
        <v>3658000</v>
      </c>
      <c r="M16" t="inlineStr">
        <is>
          <t>ISIC 28</t>
        </is>
      </c>
    </row>
    <row r="17">
      <c r="L17" s="48" t="n"/>
    </row>
    <row r="18">
      <c r="L18" s="48" t="n">
        <v>21570000</v>
      </c>
      <c r="M18" t="inlineStr">
        <is>
          <t>ISIC 41T43</t>
        </is>
      </c>
    </row>
    <row r="19">
      <c r="L19" s="48" t="n"/>
    </row>
    <row r="20">
      <c r="L20" s="48" t="n"/>
    </row>
    <row r="21">
      <c r="L21" s="48" t="n">
        <v>28492000</v>
      </c>
      <c r="M21" t="inlineStr">
        <is>
          <t>ISIC 64T66</t>
        </is>
      </c>
    </row>
    <row r="33" ht="22" customHeight="1" s="63">
      <c r="B33" s="2" t="inlineStr">
        <is>
          <t>Capital Costs</t>
        </is>
      </c>
      <c r="F33" s="54" t="n"/>
    </row>
    <row r="34"/>
    <row r="35" ht="15.5" customHeight="1" s="63">
      <c r="C35" s="3" t="inlineStr">
        <is>
          <t>Color Key</t>
        </is>
      </c>
    </row>
    <row r="36" ht="15.5" customHeight="1" s="63">
      <c r="C36" s="3" t="n"/>
    </row>
    <row r="37" ht="16" customHeight="1" s="63" thickBot="1">
      <c r="C37" s="3" t="n"/>
    </row>
    <row r="38" ht="15" customHeight="1" s="63" thickBot="1">
      <c r="B38" s="4" t="inlineStr">
        <is>
          <t>Design Plant Hydrogen Production (kg/day)</t>
        </is>
      </c>
      <c r="C38" s="5" t="n">
        <v>50000</v>
      </c>
      <c r="D38" s="55" t="inlineStr">
        <is>
          <t>Capital costs for the design plant (baseline) are entered on this sheet. Use the Plant Scaling sheet to set scaling parameters for scaling up or down in size from the baseline plant. Enter the output kg/day for the plant you wish to analyze on the Input Sheet</t>
        </is>
      </c>
      <c r="E38" s="67" t="n"/>
      <c r="F38" s="67" t="n"/>
      <c r="G38" s="67" t="n"/>
      <c r="H38" s="68" t="n"/>
    </row>
    <row r="39" ht="15" customHeight="1" s="63" thickBot="1">
      <c r="D39" s="58" t="inlineStr">
        <is>
          <t>Comments</t>
        </is>
      </c>
      <c r="E39" s="69" t="n"/>
      <c r="F39" s="69" t="n"/>
      <c r="G39" s="69" t="n"/>
      <c r="H39" s="69" t="n"/>
    </row>
    <row r="40">
      <c r="B40" s="6" t="inlineStr">
        <is>
          <t>Basis year for capital costs</t>
        </is>
      </c>
      <c r="C40" s="7" t="n">
        <v>2012</v>
      </c>
      <c r="D40" s="70" t="n"/>
      <c r="E40" s="71" t="n"/>
      <c r="F40" s="71" t="n"/>
      <c r="G40" s="71" t="n"/>
      <c r="H40" s="72" t="n"/>
    </row>
    <row r="41">
      <c r="B41" s="6" t="inlineStr">
        <is>
          <t>Enter current year for capital costs</t>
        </is>
      </c>
      <c r="C41" s="8" t="n">
        <v>2010</v>
      </c>
      <c r="D41" s="73" t="n"/>
      <c r="E41" s="74" t="n"/>
      <c r="F41" s="74" t="n"/>
      <c r="G41" s="74" t="n"/>
      <c r="H41" s="75" t="n"/>
    </row>
    <row r="42" ht="41.25" customHeight="1" s="63">
      <c r="B42" s="6" t="inlineStr">
        <is>
          <t>CEPCI Inflator (2012 to )</t>
        </is>
      </c>
      <c r="C42" s="9" t="n">
        <v>0.942182689018132</v>
      </c>
      <c r="D42" s="73" t="inlineStr">
        <is>
          <t>The Chemical Engineering Plant Cost Index (CEPCI) is used to adjust the capital cost of the H2 Production facility from the basis year to the current year.</t>
        </is>
      </c>
      <c r="E42" s="74" t="n"/>
      <c r="F42" s="74" t="n"/>
      <c r="G42" s="74" t="n"/>
      <c r="H42" s="75" t="n"/>
      <c r="M42" t="inlineStr">
        <is>
          <t>ISIC 01T03</t>
        </is>
      </c>
      <c r="N42" t="inlineStr">
        <is>
          <t>Agriculture, forestry and fishing</t>
        </is>
      </c>
    </row>
    <row r="43" ht="30" customHeight="1" s="63" thickBot="1">
      <c r="B43" s="6" t="inlineStr">
        <is>
          <t>Consumer Price Inflator ( to 2016)</t>
        </is>
      </c>
      <c r="C43" s="10" t="n">
        <v>1.100724186648488</v>
      </c>
      <c r="D43" s="76" t="inlineStr">
        <is>
          <t>The Consumer Price Inflator (CPI) is used to deflate all dollars from the current year to the Reference Year.</t>
        </is>
      </c>
      <c r="E43" s="69" t="n"/>
      <c r="F43" s="69" t="n"/>
      <c r="G43" s="69" t="n"/>
      <c r="H43" s="77" t="n"/>
      <c r="M43" t="inlineStr">
        <is>
          <t>ISIC 05</t>
        </is>
      </c>
      <c r="N43" t="inlineStr">
        <is>
          <t>Coal mining</t>
        </is>
      </c>
    </row>
    <row r="44" ht="15" customHeight="1" s="63" thickBot="1">
      <c r="M44" t="inlineStr">
        <is>
          <t>ISIC 06</t>
        </is>
      </c>
      <c r="N44" t="inlineStr">
        <is>
          <t>Oil and gas extraction</t>
        </is>
      </c>
    </row>
    <row r="45" ht="16.5" customHeight="1" s="63" thickBot="1" thickTop="1">
      <c r="B45" s="11" t="inlineStr">
        <is>
          <t>CAPITAL INVESTMENT (Inputs REQUIRED in Basis Year, (2012) $)</t>
        </is>
      </c>
      <c r="C45" s="12" t="n"/>
      <c r="D45" s="12" t="n"/>
      <c r="E45" s="12" t="n"/>
      <c r="F45" s="12" t="n"/>
      <c r="G45" s="12" t="n"/>
      <c r="H45" s="13" t="n"/>
      <c r="M45" t="inlineStr">
        <is>
          <t>ISIC 07T08</t>
        </is>
      </c>
      <c r="N45" t="inlineStr">
        <is>
          <t>Mining and quarrying of non-energy producing products</t>
        </is>
      </c>
    </row>
    <row r="46" ht="53.5" customHeight="1" s="63" thickBot="1" thickTop="1">
      <c r="B46" s="14" t="inlineStr">
        <is>
          <t>Major pieces/systems of equipment</t>
        </is>
      </c>
      <c r="C46" s="15" t="inlineStr">
        <is>
          <t>Baseline Uninstalled Costs $2012 Dollars</t>
        </is>
      </c>
      <c r="D46" s="15" t="inlineStr">
        <is>
          <t>Baseline Uninstalled Costs $2016 Dollars</t>
        </is>
      </c>
      <c r="E46" s="15" t="inlineStr">
        <is>
          <t>Installation Cost Factor</t>
        </is>
      </c>
      <c r="F46" s="16" t="inlineStr">
        <is>
          <t>Baseline Installed Costs</t>
        </is>
      </c>
      <c r="G46" s="15" t="inlineStr">
        <is>
          <t>Comments</t>
        </is>
      </c>
      <c r="H46" s="17" t="inlineStr">
        <is>
          <t>Data Source</t>
        </is>
      </c>
      <c r="M46" t="inlineStr">
        <is>
          <t>ISIC 09</t>
        </is>
      </c>
      <c r="N46" t="inlineStr">
        <is>
          <t>Mining support service activities</t>
        </is>
      </c>
    </row>
    <row r="47">
      <c r="B47" s="18" t="inlineStr">
        <is>
          <t>Stacks</t>
        </is>
      </c>
      <c r="C47" s="19" t="n">
        <v>47851875</v>
      </c>
      <c r="D47" s="20" t="n">
        <v>49626379.19413316</v>
      </c>
      <c r="E47" s="21" t="n">
        <v>1.12</v>
      </c>
      <c r="F47" s="20" t="n">
        <v>55581544.69742915</v>
      </c>
      <c r="G47" s="22" t="n"/>
      <c r="H47" s="23" t="n"/>
      <c r="I47" t="inlineStr">
        <is>
          <t>ISIC 28</t>
        </is>
      </c>
      <c r="J47" s="46">
        <f>D47/$F$58</f>
        <v/>
      </c>
      <c r="M47" t="inlineStr">
        <is>
          <t>ISIC 10T12</t>
        </is>
      </c>
      <c r="N47" t="inlineStr">
        <is>
          <t>Food products, beverages and tobacco</t>
        </is>
      </c>
    </row>
    <row r="48">
      <c r="B48" s="24" t="inlineStr">
        <is>
          <t>BoP Breakdown</t>
        </is>
      </c>
      <c r="C48" s="25" t="n"/>
      <c r="D48" s="20" t="n">
        <v>0</v>
      </c>
      <c r="E48" s="26" t="n">
        <v>1.12</v>
      </c>
      <c r="F48" s="20" t="n">
        <v>0</v>
      </c>
      <c r="G48" s="27" t="n"/>
      <c r="H48" s="28" t="n"/>
      <c r="J48" s="46" t="n"/>
      <c r="M48" t="inlineStr">
        <is>
          <t>ISIC 13T15</t>
        </is>
      </c>
      <c r="N48" t="inlineStr">
        <is>
          <t>Textiles, wearing apparel, leather and related products</t>
        </is>
      </c>
    </row>
    <row r="49">
      <c r="B49" s="29" t="inlineStr">
        <is>
          <t>Hydrogen Gas Management System-Cathode system side</t>
        </is>
      </c>
      <c r="C49" s="25" t="n">
        <v>9163125</v>
      </c>
      <c r="D49" s="20" t="n">
        <v>9502923.675472308</v>
      </c>
      <c r="E49" s="26" t="n">
        <v>1.12</v>
      </c>
      <c r="F49" s="20" t="n">
        <v>10643274.51652899</v>
      </c>
      <c r="G49" s="27" t="n"/>
      <c r="H49" s="28" t="n"/>
      <c r="I49" t="inlineStr">
        <is>
          <t>ISIC 28</t>
        </is>
      </c>
      <c r="J49" s="46">
        <f>D49/$F$58</f>
        <v/>
      </c>
      <c r="M49" t="inlineStr">
        <is>
          <t>ISIC 16</t>
        </is>
      </c>
      <c r="N49" t="inlineStr">
        <is>
          <t>Wood and of products of wood and cork (except furniture)</t>
        </is>
      </c>
    </row>
    <row r="50">
      <c r="B50" s="29" t="inlineStr">
        <is>
          <t>Oxygen Gas Management System-Anode system side</t>
        </is>
      </c>
      <c r="C50" s="25" t="n">
        <v>3054375</v>
      </c>
      <c r="D50" s="20" t="n">
        <v>3167641.225157436</v>
      </c>
      <c r="E50" s="26" t="n">
        <v>1.12</v>
      </c>
      <c r="F50" s="20" t="n">
        <v>3547758.172176328</v>
      </c>
      <c r="G50" s="27" t="n"/>
      <c r="H50" s="28" t="n"/>
      <c r="I50" t="inlineStr">
        <is>
          <t>ISIC 28</t>
        </is>
      </c>
      <c r="J50" s="46">
        <f>D50/$F$58</f>
        <v/>
      </c>
      <c r="M50" t="inlineStr">
        <is>
          <t>ISIC 17T18</t>
        </is>
      </c>
      <c r="N50" t="inlineStr">
        <is>
          <t>Paper products and printing</t>
        </is>
      </c>
    </row>
    <row r="51">
      <c r="B51" s="29" t="inlineStr">
        <is>
          <t>Water Reacant Delivery Management System</t>
        </is>
      </c>
      <c r="C51" s="25" t="n">
        <v>5090625</v>
      </c>
      <c r="D51" s="20" t="n">
        <v>5279402.04192906</v>
      </c>
      <c r="E51" s="26" t="n">
        <v>1.12</v>
      </c>
      <c r="F51" s="20" t="n">
        <v>5912930.286960548</v>
      </c>
      <c r="G51" s="27" t="n"/>
      <c r="H51" s="28" t="n"/>
      <c r="I51" t="inlineStr">
        <is>
          <t>ISIC 28</t>
        </is>
      </c>
      <c r="J51" s="46">
        <f>D51/$F$58</f>
        <v/>
      </c>
      <c r="M51" t="inlineStr">
        <is>
          <t>ISIC 19</t>
        </is>
      </c>
      <c r="N51" t="inlineStr">
        <is>
          <t>Coke and refined petroleum products</t>
        </is>
      </c>
    </row>
    <row r="52">
      <c r="B52" s="29" t="inlineStr">
        <is>
          <t>Thermal Management System</t>
        </is>
      </c>
      <c r="C52" s="25" t="n">
        <v>5090625</v>
      </c>
      <c r="D52" s="20" t="n">
        <v>5279402.04192906</v>
      </c>
      <c r="E52" s="26" t="n">
        <v>1.12</v>
      </c>
      <c r="F52" s="20" t="n">
        <v>5912930.286960548</v>
      </c>
      <c r="G52" s="27" t="n"/>
      <c r="H52" s="28" t="n"/>
      <c r="I52" t="inlineStr">
        <is>
          <t>ISIC 28</t>
        </is>
      </c>
      <c r="J52" s="46">
        <f>D52/$F$58</f>
        <v/>
      </c>
      <c r="M52" t="inlineStr">
        <is>
          <t>ISIC 20</t>
        </is>
      </c>
      <c r="N52" t="inlineStr">
        <is>
          <t>Chemicals</t>
        </is>
      </c>
    </row>
    <row r="53">
      <c r="B53" s="29" t="inlineStr">
        <is>
          <t>Power Electronics</t>
        </is>
      </c>
      <c r="C53" s="25" t="n">
        <v>21380625</v>
      </c>
      <c r="D53" s="20" t="n">
        <v>22173488.57610205</v>
      </c>
      <c r="E53" s="26" t="n">
        <v>1.12</v>
      </c>
      <c r="F53" s="20" t="n">
        <v>24834307.2052343</v>
      </c>
      <c r="G53" s="27" t="n"/>
      <c r="H53" s="28" t="n"/>
      <c r="I53" t="inlineStr">
        <is>
          <t>ISIC 27</t>
        </is>
      </c>
      <c r="J53" s="46">
        <f>D53/$F$58</f>
        <v/>
      </c>
      <c r="M53" t="inlineStr">
        <is>
          <t>ISIC 21</t>
        </is>
      </c>
      <c r="N53" t="inlineStr">
        <is>
          <t>Pharmaceuticals</t>
        </is>
      </c>
    </row>
    <row r="54">
      <c r="B54" s="29" t="inlineStr">
        <is>
          <t>Controls &amp; Sensors</t>
        </is>
      </c>
      <c r="C54" s="25" t="n">
        <v>2036250</v>
      </c>
      <c r="D54" s="20" t="n">
        <v>2111760.816771624</v>
      </c>
      <c r="E54" s="26" t="n">
        <v>1.12</v>
      </c>
      <c r="F54" s="20" t="n">
        <v>2365172.114784219</v>
      </c>
      <c r="G54" s="27" t="n"/>
      <c r="H54" s="28" t="n"/>
      <c r="I54" t="inlineStr">
        <is>
          <t>ISIC 27</t>
        </is>
      </c>
      <c r="J54" s="46">
        <f>D54/$F$58</f>
        <v/>
      </c>
      <c r="M54" t="inlineStr">
        <is>
          <t>ISIC 22</t>
        </is>
      </c>
      <c r="N54" t="inlineStr">
        <is>
          <t>Rubber and plastics products</t>
        </is>
      </c>
    </row>
    <row r="55">
      <c r="B55" s="29" t="inlineStr">
        <is>
          <t>Mechanical Balance of Plant-ss plumbing/copper cabling/Dryer valves...</t>
        </is>
      </c>
      <c r="C55" s="25" t="n">
        <v>5090625</v>
      </c>
      <c r="D55" s="20" t="n">
        <v>5279402.04192906</v>
      </c>
      <c r="E55" s="26" t="n">
        <v>1.12</v>
      </c>
      <c r="F55" s="20" t="n">
        <v>5912930.286960548</v>
      </c>
      <c r="G55" s="27" t="n"/>
      <c r="H55" s="28" t="n"/>
      <c r="I55" t="inlineStr">
        <is>
          <t>ISIC 28</t>
        </is>
      </c>
      <c r="J55" s="46">
        <f>D55/$F$58</f>
        <v/>
      </c>
      <c r="M55" t="inlineStr">
        <is>
          <t>ISIC 231</t>
        </is>
      </c>
      <c r="N55" t="inlineStr">
        <is>
          <t>Glass</t>
        </is>
      </c>
    </row>
    <row r="56">
      <c r="B56" s="29" t="inlineStr">
        <is>
          <t>Item Breakdown- Other</t>
        </is>
      </c>
      <c r="C56" s="25" t="n">
        <v>1018125</v>
      </c>
      <c r="D56" s="20" t="n">
        <v>1055880.408385812</v>
      </c>
      <c r="E56" s="26" t="n">
        <v>1.12</v>
      </c>
      <c r="F56" s="20" t="n">
        <v>1182586.05739211</v>
      </c>
      <c r="G56" s="27" t="n"/>
      <c r="H56" s="28" t="n"/>
      <c r="I56" t="inlineStr">
        <is>
          <t>ISIC 28</t>
        </is>
      </c>
      <c r="J56" s="46">
        <f>D56/$F$58</f>
        <v/>
      </c>
      <c r="M56" t="inlineStr">
        <is>
          <t>ISIC 239</t>
        </is>
      </c>
      <c r="N56" t="inlineStr">
        <is>
          <t>Cement and other nonmetallic minerals</t>
        </is>
      </c>
    </row>
    <row r="57">
      <c r="B57" s="29" t="inlineStr">
        <is>
          <t>Item Breakdown-Assembly Labor</t>
        </is>
      </c>
      <c r="C57" s="25" t="n">
        <v>2036250</v>
      </c>
      <c r="D57" s="20" t="n">
        <v>2111760.816771624</v>
      </c>
      <c r="E57" s="26" t="n">
        <v>1.12</v>
      </c>
      <c r="F57" s="20" t="n">
        <v>2365172.114784219</v>
      </c>
      <c r="G57" s="27" t="n"/>
      <c r="H57" s="28" t="n"/>
      <c r="I57" t="inlineStr">
        <is>
          <t>ISIC 41T43</t>
        </is>
      </c>
      <c r="J57" s="46">
        <f>D57/$F$58</f>
        <v/>
      </c>
      <c r="M57" t="inlineStr">
        <is>
          <t>ISIC 241</t>
        </is>
      </c>
      <c r="N57" t="inlineStr">
        <is>
          <t>Iron and steel</t>
        </is>
      </c>
    </row>
    <row r="58" ht="15" customHeight="1" s="63" thickBot="1">
      <c r="B58" s="30" t="n"/>
      <c r="C58" s="31" t="n">
        <v>101812500</v>
      </c>
      <c r="D58" s="32" t="n">
        <v>105588040.8385812</v>
      </c>
      <c r="E58" s="33" t="n"/>
      <c r="F58" s="32" t="n">
        <v>118258605.7392109</v>
      </c>
      <c r="G58" s="34" t="n"/>
      <c r="H58" s="35" t="n"/>
      <c r="I58" t="inlineStr">
        <is>
          <t>ISIC 41T43</t>
        </is>
      </c>
      <c r="J58" s="46">
        <f>(F58-D58)/F58</f>
        <v/>
      </c>
      <c r="M58" t="inlineStr">
        <is>
          <t>ISIC 242</t>
        </is>
      </c>
      <c r="N58" t="inlineStr">
        <is>
          <t>Other metals</t>
        </is>
      </c>
    </row>
    <row r="59" ht="15" customHeight="1" s="63" thickTop="1">
      <c r="C59" s="36" t="n"/>
      <c r="M59" t="inlineStr">
        <is>
          <t>ISIC 25</t>
        </is>
      </c>
      <c r="N59" t="inlineStr">
        <is>
          <t>Fabricated metal products, except machinery and equipment</t>
        </is>
      </c>
    </row>
    <row r="60">
      <c r="M60" t="inlineStr">
        <is>
          <t>ISIC 26</t>
        </is>
      </c>
      <c r="N60" t="inlineStr">
        <is>
          <t>Computer, electronic and optical products</t>
        </is>
      </c>
    </row>
    <row r="61">
      <c r="B61" s="37" t="inlineStr">
        <is>
          <t>Uninstalled Cost - ($/kW)  (with suggested subsystem breakdown, further breakdown desirable if available )</t>
        </is>
      </c>
      <c r="C61" s="37" t="n">
        <v>900</v>
      </c>
      <c r="M61" t="inlineStr">
        <is>
          <t>ISIC 27</t>
        </is>
      </c>
      <c r="N61" t="inlineStr">
        <is>
          <t>Electrical equipment</t>
        </is>
      </c>
    </row>
    <row r="62">
      <c r="B62" s="38" t="inlineStr">
        <is>
          <t>Electricity Usage (kWh/kg)</t>
        </is>
      </c>
      <c r="C62" s="37" t="n">
        <v>54.3</v>
      </c>
      <c r="M62" t="inlineStr">
        <is>
          <t>ISIC 28</t>
        </is>
      </c>
      <c r="N62" t="inlineStr">
        <is>
          <t>Machinery and equipment n.e.c.</t>
        </is>
      </c>
    </row>
    <row r="63">
      <c r="B63" s="38" t="inlineStr">
        <is>
          <t>System Power (kW)</t>
        </is>
      </c>
      <c r="C63" s="39" t="n">
        <v>113125</v>
      </c>
      <c r="M63" t="inlineStr">
        <is>
          <t>ISIC 29</t>
        </is>
      </c>
      <c r="N63" t="inlineStr">
        <is>
          <t>Motor vehicles, trailers and semi-trailers</t>
        </is>
      </c>
    </row>
    <row r="64">
      <c r="B64" s="37" t="inlineStr">
        <is>
          <t>Stacks</t>
        </is>
      </c>
      <c r="C64" s="40" t="n">
        <v>0.47</v>
      </c>
      <c r="M64" t="inlineStr">
        <is>
          <t>ISIC 30</t>
        </is>
      </c>
      <c r="N64" t="inlineStr">
        <is>
          <t>Other transport equipment</t>
        </is>
      </c>
    </row>
    <row r="65">
      <c r="B65" s="37" t="inlineStr">
        <is>
          <t>BoP Total</t>
        </is>
      </c>
      <c r="C65" s="40" t="n">
        <v>0.53</v>
      </c>
      <c r="M65" t="inlineStr">
        <is>
          <t>ISIC 31T33</t>
        </is>
      </c>
      <c r="N65" t="inlineStr">
        <is>
          <t>Other manufacturing; repair and installation of machinery and equipment</t>
        </is>
      </c>
    </row>
    <row r="66">
      <c r="B66" s="41" t="inlineStr">
        <is>
          <t>Hydrogen Gas Management System-Cathode system side</t>
        </is>
      </c>
      <c r="C66" s="40" t="n">
        <v>0.09</v>
      </c>
      <c r="M66" t="inlineStr">
        <is>
          <t>ISIC 351</t>
        </is>
      </c>
      <c r="N66" t="inlineStr">
        <is>
          <t>Electricity generation and distribution</t>
        </is>
      </c>
    </row>
    <row r="67">
      <c r="B67" s="41" t="inlineStr">
        <is>
          <t>Oxygen Gas Management System-Anode system side</t>
        </is>
      </c>
      <c r="C67" s="40" t="n">
        <v>0.03</v>
      </c>
      <c r="M67" t="inlineStr">
        <is>
          <t>ISIC 352T353</t>
        </is>
      </c>
      <c r="N67" t="inlineStr">
        <is>
          <t>Energy pipelines and gas processing</t>
        </is>
      </c>
    </row>
    <row r="68">
      <c r="B68" s="41" t="inlineStr">
        <is>
          <t>Water Reacant Delivery Management System</t>
        </is>
      </c>
      <c r="C68" s="40" t="n">
        <v>0.05</v>
      </c>
      <c r="M68" t="inlineStr">
        <is>
          <t>ISIC 36T39</t>
        </is>
      </c>
      <c r="N68" t="inlineStr">
        <is>
          <t>Water and waste</t>
        </is>
      </c>
    </row>
    <row r="69">
      <c r="B69" s="41" t="inlineStr">
        <is>
          <t>Thermal Management System</t>
        </is>
      </c>
      <c r="C69" s="40" t="n">
        <v>0.05</v>
      </c>
      <c r="M69" t="inlineStr">
        <is>
          <t>ISIC 41T43</t>
        </is>
      </c>
      <c r="N69" t="inlineStr">
        <is>
          <t>Construction</t>
        </is>
      </c>
    </row>
    <row r="70">
      <c r="B70" s="41" t="inlineStr">
        <is>
          <t>Power Electronics</t>
        </is>
      </c>
      <c r="C70" s="40" t="n">
        <v>0.21</v>
      </c>
      <c r="M70" t="inlineStr">
        <is>
          <t>ISIC 45T47</t>
        </is>
      </c>
      <c r="N70" t="inlineStr">
        <is>
          <t>Wholesale and retail trade; repair of motor vehicles</t>
        </is>
      </c>
    </row>
    <row r="71">
      <c r="B71" s="41" t="inlineStr">
        <is>
          <t>Controls &amp; Sensors</t>
        </is>
      </c>
      <c r="C71" s="40" t="n">
        <v>0.02</v>
      </c>
      <c r="M71" t="inlineStr">
        <is>
          <t>ISIC 49T53</t>
        </is>
      </c>
      <c r="N71" t="inlineStr">
        <is>
          <t>Transportation and storage</t>
        </is>
      </c>
    </row>
    <row r="72">
      <c r="B72" s="41" t="inlineStr">
        <is>
          <t>Mechanical Balance of Plant-ss plumbing/copper cabling/Dryer valves...</t>
        </is>
      </c>
      <c r="C72" s="40" t="n">
        <v>0.05</v>
      </c>
      <c r="M72" t="inlineStr">
        <is>
          <t>ISIC 55T56</t>
        </is>
      </c>
      <c r="N72" t="inlineStr">
        <is>
          <t>Accomodation and food services</t>
        </is>
      </c>
    </row>
    <row r="73">
      <c r="B73" s="41" t="inlineStr">
        <is>
          <t>Item Breakdown- Other</t>
        </is>
      </c>
      <c r="C73" s="40" t="n">
        <v>0.01</v>
      </c>
      <c r="M73" t="inlineStr">
        <is>
          <t>ISIC 58T60</t>
        </is>
      </c>
      <c r="N73" t="inlineStr">
        <is>
          <t>Publishing, audiovisual and broadcasting activities</t>
        </is>
      </c>
    </row>
    <row r="74">
      <c r="B74" s="41" t="inlineStr">
        <is>
          <t>Item Breakdown-Assembly Labor</t>
        </is>
      </c>
      <c r="C74" s="40" t="n">
        <v>0.02</v>
      </c>
      <c r="M74" t="inlineStr">
        <is>
          <t>ISIC 61</t>
        </is>
      </c>
      <c r="N74" t="inlineStr">
        <is>
          <t>Telecommunications</t>
        </is>
      </c>
    </row>
    <row r="75">
      <c r="M75" t="inlineStr">
        <is>
          <t>ISIC 62T63</t>
        </is>
      </c>
      <c r="N75" t="inlineStr">
        <is>
          <t>IT and other information services</t>
        </is>
      </c>
    </row>
    <row r="76">
      <c r="M76" t="inlineStr">
        <is>
          <t>ISIC 64T66</t>
        </is>
      </c>
      <c r="N76" t="inlineStr">
        <is>
          <t>Financial and insurance activities</t>
        </is>
      </c>
    </row>
    <row r="77">
      <c r="M77" t="inlineStr">
        <is>
          <t>ISIC 68</t>
        </is>
      </c>
      <c r="N77" t="inlineStr">
        <is>
          <t>Real estate activities</t>
        </is>
      </c>
    </row>
    <row r="78">
      <c r="M78" t="inlineStr">
        <is>
          <t>ISIC 69T82</t>
        </is>
      </c>
      <c r="N78" t="inlineStr">
        <is>
          <t>Other business sector services</t>
        </is>
      </c>
    </row>
    <row r="79">
      <c r="M79" t="inlineStr">
        <is>
          <t>ISIC 84</t>
        </is>
      </c>
      <c r="N79" t="inlineStr">
        <is>
          <t>Public administration and defence; compulsory social security</t>
        </is>
      </c>
    </row>
    <row r="80">
      <c r="M80" t="inlineStr">
        <is>
          <t>ISIC 85</t>
        </is>
      </c>
      <c r="N80" t="inlineStr">
        <is>
          <t>Education</t>
        </is>
      </c>
    </row>
    <row r="81">
      <c r="M81" t="inlineStr">
        <is>
          <t>ISIC 86T88</t>
        </is>
      </c>
      <c r="N81" t="inlineStr">
        <is>
          <t>Human health and social work</t>
        </is>
      </c>
    </row>
    <row r="82">
      <c r="M82" t="inlineStr">
        <is>
          <t>ISIC 90T96</t>
        </is>
      </c>
      <c r="N82" t="inlineStr">
        <is>
          <t>Arts, entertainment, recreation and other service activities</t>
        </is>
      </c>
    </row>
    <row r="83">
      <c r="M83" t="inlineStr">
        <is>
          <t>ISIC 97T98</t>
        </is>
      </c>
      <c r="N83" t="inlineStr">
        <is>
          <t>Private households with employed persons</t>
        </is>
      </c>
    </row>
    <row r="86">
      <c r="K86" s="48" t="n">
        <v>1088450000</v>
      </c>
      <c r="L86" t="inlineStr">
        <is>
          <t>ISIC 28</t>
        </is>
      </c>
    </row>
    <row r="87">
      <c r="K87" s="48" t="n">
        <v>483000000</v>
      </c>
      <c r="L87" t="inlineStr">
        <is>
          <t>ISIC 41T43</t>
        </is>
      </c>
    </row>
    <row r="88">
      <c r="K88" s="48" t="n"/>
    </row>
    <row r="89">
      <c r="K89" s="48" t="n"/>
    </row>
    <row r="90">
      <c r="K90" s="48" t="n">
        <v>87900000</v>
      </c>
      <c r="L90" t="inlineStr">
        <is>
          <t>ISIC 28</t>
        </is>
      </c>
    </row>
    <row r="91">
      <c r="K91" s="48" t="n"/>
    </row>
    <row r="92">
      <c r="K92" s="48" t="n">
        <v>250600000</v>
      </c>
      <c r="L92" t="inlineStr">
        <is>
          <t>ISIC 41T43</t>
        </is>
      </c>
    </row>
    <row r="93">
      <c r="K93" s="48" t="n"/>
    </row>
    <row r="94">
      <c r="K94" s="48" t="n"/>
    </row>
    <row r="95">
      <c r="K95" s="48" t="n">
        <v>191000000</v>
      </c>
      <c r="L95" t="inlineStr">
        <is>
          <t>ISIC 64T66</t>
        </is>
      </c>
    </row>
    <row r="98">
      <c r="K98" s="47">
        <f>SUM(K86:K95)</f>
        <v/>
      </c>
    </row>
  </sheetData>
  <mergeCells count="7">
    <mergeCell ref="F33:H35"/>
    <mergeCell ref="D39:H39"/>
    <mergeCell ref="D43:H43"/>
    <mergeCell ref="D42:H42"/>
    <mergeCell ref="D38:H38"/>
    <mergeCell ref="D41:H41"/>
    <mergeCell ref="D40:H40"/>
  </mergeCells>
  <dataValidations count="1">
    <dataValidation sqref="C41" showDropDown="0" showInputMessage="1" showErrorMessage="1" allowBlank="1" type="whole">
      <formula1>1992</formula1>
      <formula2>2016</formula2>
    </dataValidation>
  </dataValidations>
  <pageMargins left="0.7" right="0.7" top="0.75" bottom="0.75" header="0.3" footer="0.3"/>
  <drawing r:id="rId1"/>
</worksheet>
</file>

<file path=xl/worksheets/sheet4.xml><?xml version="1.0" encoding="utf-8"?>
<worksheet xmlns="http://schemas.openxmlformats.org/spreadsheetml/2006/main">
  <sheetPr>
    <tabColor rgb="001F3864"/>
    <outlinePr summaryBelow="1" summaryRight="1"/>
    <pageSetUpPr/>
  </sheetPr>
  <dimension ref="A1:AQ8"/>
  <sheetViews>
    <sheetView tabSelected="1" workbookViewId="0">
      <selection activeCell="AO8" sqref="A8:AO8"/>
    </sheetView>
  </sheetViews>
  <sheetFormatPr baseColWidth="8" defaultRowHeight="14.5"/>
  <cols>
    <col width="29.26953125" bestFit="1" customWidth="1" style="63" min="1" max="1"/>
    <col width="10.7265625" customWidth="1" style="63" min="2" max="26"/>
    <col width="13.1796875" customWidth="1" style="63" min="27" max="27"/>
    <col width="10.7265625" customWidth="1" style="63" min="28" max="43"/>
  </cols>
  <sheetData>
    <row r="1">
      <c r="A1" s="49" t="inlineStr">
        <is>
          <t>Unit: dimensionless (share of costs)</t>
        </is>
      </c>
      <c r="B1" s="50" t="inlineStr">
        <is>
          <t>ISIC 01T03</t>
        </is>
      </c>
      <c r="C1" s="50" t="inlineStr">
        <is>
          <t>ISIC 05</t>
        </is>
      </c>
      <c r="D1" s="50" t="inlineStr">
        <is>
          <t>ISIC 06</t>
        </is>
      </c>
      <c r="E1" s="50" t="inlineStr">
        <is>
          <t>ISIC 07T08</t>
        </is>
      </c>
      <c r="F1" s="50" t="inlineStr">
        <is>
          <t>ISIC 09</t>
        </is>
      </c>
      <c r="G1" s="50" t="inlineStr">
        <is>
          <t>ISIC 10T12</t>
        </is>
      </c>
      <c r="H1" s="50" t="inlineStr">
        <is>
          <t>ISIC 13T15</t>
        </is>
      </c>
      <c r="I1" s="50" t="inlineStr">
        <is>
          <t>ISIC 16</t>
        </is>
      </c>
      <c r="J1" s="50" t="inlineStr">
        <is>
          <t>ISIC 17T18</t>
        </is>
      </c>
      <c r="K1" s="50" t="inlineStr">
        <is>
          <t>ISIC 19</t>
        </is>
      </c>
      <c r="L1" s="50" t="inlineStr">
        <is>
          <t>ISIC 20</t>
        </is>
      </c>
      <c r="M1" s="50" t="inlineStr">
        <is>
          <t>ISIC 21</t>
        </is>
      </c>
      <c r="N1" s="50" t="inlineStr">
        <is>
          <t>ISIC 22</t>
        </is>
      </c>
      <c r="O1" s="50" t="inlineStr">
        <is>
          <t>ISIC 231</t>
        </is>
      </c>
      <c r="P1" s="50" t="inlineStr">
        <is>
          <t>ISIC 239</t>
        </is>
      </c>
      <c r="Q1" s="50" t="inlineStr">
        <is>
          <t>ISIC 241</t>
        </is>
      </c>
      <c r="R1" s="50" t="inlineStr">
        <is>
          <t>ISIC 242</t>
        </is>
      </c>
      <c r="S1" s="50" t="inlineStr">
        <is>
          <t>ISIC 25</t>
        </is>
      </c>
      <c r="T1" s="50" t="inlineStr">
        <is>
          <t>ISIC 26</t>
        </is>
      </c>
      <c r="U1" s="50" t="inlineStr">
        <is>
          <t>ISIC 27</t>
        </is>
      </c>
      <c r="V1" s="50" t="inlineStr">
        <is>
          <t>ISIC 28</t>
        </is>
      </c>
      <c r="W1" s="50" t="inlineStr">
        <is>
          <t>ISIC 29</t>
        </is>
      </c>
      <c r="X1" s="50" t="inlineStr">
        <is>
          <t>ISIC 30</t>
        </is>
      </c>
      <c r="Y1" s="50" t="inlineStr">
        <is>
          <t>ISIC 31T33</t>
        </is>
      </c>
      <c r="Z1" s="50" t="inlineStr">
        <is>
          <t>ISIC 351</t>
        </is>
      </c>
      <c r="AA1" s="50" t="inlineStr">
        <is>
          <t>ISIC 352T353</t>
        </is>
      </c>
      <c r="AB1" s="50" t="inlineStr">
        <is>
          <t>ISIC 36T39</t>
        </is>
      </c>
      <c r="AC1" s="50" t="inlineStr">
        <is>
          <t>ISIC 41T43</t>
        </is>
      </c>
      <c r="AD1" s="50" t="inlineStr">
        <is>
          <t>ISIC 45T47</t>
        </is>
      </c>
      <c r="AE1" s="50" t="inlineStr">
        <is>
          <t>ISIC 49T53</t>
        </is>
      </c>
      <c r="AF1" s="50" t="inlineStr">
        <is>
          <t>ISIC 55T56</t>
        </is>
      </c>
      <c r="AG1" s="50" t="inlineStr">
        <is>
          <t>ISIC 58T60</t>
        </is>
      </c>
      <c r="AH1" s="50" t="inlineStr">
        <is>
          <t>ISIC 61</t>
        </is>
      </c>
      <c r="AI1" s="50" t="inlineStr">
        <is>
          <t>ISIC 62T63</t>
        </is>
      </c>
      <c r="AJ1" s="50" t="inlineStr">
        <is>
          <t>ISIC 64T66</t>
        </is>
      </c>
      <c r="AK1" s="50" t="inlineStr">
        <is>
          <t>ISIC 68</t>
        </is>
      </c>
      <c r="AL1" s="50" t="inlineStr">
        <is>
          <t>ISIC 69T82</t>
        </is>
      </c>
      <c r="AM1" s="50" t="inlineStr">
        <is>
          <t>ISIC 84</t>
        </is>
      </c>
      <c r="AN1" s="50" t="inlineStr">
        <is>
          <t>ISIC 85</t>
        </is>
      </c>
      <c r="AO1" s="50" t="inlineStr">
        <is>
          <t>ISIC 86T88</t>
        </is>
      </c>
      <c r="AP1" s="50" t="inlineStr">
        <is>
          <t>ISIC 90T96</t>
        </is>
      </c>
      <c r="AQ1" s="50" t="inlineStr">
        <is>
          <t>ISIC 97T98</t>
        </is>
      </c>
    </row>
    <row r="2">
      <c r="A2" t="inlineStr">
        <is>
          <t>electrolysis</t>
        </is>
      </c>
      <c r="B2">
        <f>SUMIF(Data!$I$47:$I$58,B1,Data!$J$47:$J$58)</f>
        <v/>
      </c>
      <c r="C2">
        <f>SUMIF(Data!$I$47:$I$58,C1,Data!$J$47:$J$58)</f>
        <v/>
      </c>
      <c r="D2">
        <f>SUMIF(Data!$I$47:$I$58,D1,Data!$J$47:$J$58)</f>
        <v/>
      </c>
      <c r="E2">
        <f>SUMIF(Data!$I$47:$I$58,E1,Data!$J$47:$J$58)</f>
        <v/>
      </c>
      <c r="F2">
        <f>SUMIF(Data!$I$47:$I$58,F1,Data!$J$47:$J$58)</f>
        <v/>
      </c>
      <c r="G2">
        <f>SUMIF(Data!$I$47:$I$58,G1,Data!$J$47:$J$58)</f>
        <v/>
      </c>
      <c r="H2">
        <f>SUMIF(Data!$I$47:$I$58,H1,Data!$J$47:$J$58)</f>
        <v/>
      </c>
      <c r="I2">
        <f>SUMIF(Data!$I$47:$I$58,I1,Data!$J$47:$J$58)</f>
        <v/>
      </c>
      <c r="J2">
        <f>SUMIF(Data!$I$47:$I$58,J1,Data!$J$47:$J$58)</f>
        <v/>
      </c>
      <c r="K2">
        <f>SUMIF(Data!$I$47:$I$58,K1,Data!$J$47:$J$58)</f>
        <v/>
      </c>
      <c r="L2">
        <f>SUMIF(Data!$I$47:$I$58,L1,Data!$J$47:$J$58)</f>
        <v/>
      </c>
      <c r="M2">
        <f>SUMIF(Data!$I$47:$I$58,M1,Data!$J$47:$J$58)</f>
        <v/>
      </c>
      <c r="N2">
        <f>SUMIF(Data!$I$47:$I$58,N1,Data!$J$47:$J$58)</f>
        <v/>
      </c>
      <c r="O2">
        <f>SUMIF(Data!$I$47:$I$58,O1,Data!$J$47:$J$58)</f>
        <v/>
      </c>
      <c r="P2">
        <f>SUMIF(Data!$I$47:$I$58,P1,Data!$J$47:$J$58)</f>
        <v/>
      </c>
      <c r="Q2">
        <f>SUMIF(Data!$I$47:$I$58,Q1,Data!$J$47:$J$58)</f>
        <v/>
      </c>
      <c r="R2">
        <f>SUMIF(Data!$I$47:$I$58,R1,Data!$J$47:$J$58)</f>
        <v/>
      </c>
      <c r="S2">
        <f>SUMIF(Data!$I$47:$I$58,S1,Data!$J$47:$J$58)</f>
        <v/>
      </c>
      <c r="T2">
        <f>SUMIF(Data!$I$47:$I$58,T1,Data!$J$47:$J$58)</f>
        <v/>
      </c>
      <c r="U2">
        <f>SUMIF(Data!$I$47:$I$58,U1,Data!$J$47:$J$58)</f>
        <v/>
      </c>
      <c r="V2">
        <f>SUMIF(Data!$I$47:$I$58,V1,Data!$J$47:$J$58)</f>
        <v/>
      </c>
      <c r="W2">
        <f>SUMIF(Data!$I$47:$I$58,W1,Data!$J$47:$J$58)</f>
        <v/>
      </c>
      <c r="X2">
        <f>SUMIF(Data!$I$47:$I$58,X1,Data!$J$47:$J$58)</f>
        <v/>
      </c>
      <c r="Y2">
        <f>SUMIF(Data!$I$47:$I$58,Y1,Data!$J$47:$J$58)</f>
        <v/>
      </c>
      <c r="Z2">
        <f>SUMIF(Data!$I$47:$I$58,Z1,Data!$J$47:$J$58)</f>
        <v/>
      </c>
      <c r="AA2">
        <f>SUMIF(Data!$I$47:$I$58,AA1,Data!$J$47:$J$58)</f>
        <v/>
      </c>
      <c r="AB2">
        <f>SUMIF(Data!$I$47:$I$58,AB1,Data!$J$47:$J$58)</f>
        <v/>
      </c>
      <c r="AC2">
        <f>SUMIF(Data!$I$47:$I$58,AC1,Data!$J$47:$J$58)</f>
        <v/>
      </c>
      <c r="AD2">
        <f>SUMIF(Data!$I$47:$I$58,AD1,Data!$J$47:$J$58)</f>
        <v/>
      </c>
      <c r="AE2">
        <f>SUMIF(Data!$I$47:$I$58,AE1,Data!$J$47:$J$58)</f>
        <v/>
      </c>
      <c r="AF2">
        <f>SUMIF(Data!$I$47:$I$58,AF1,Data!$J$47:$J$58)</f>
        <v/>
      </c>
      <c r="AG2">
        <f>SUMIF(Data!$I$47:$I$58,AG1,Data!$J$47:$J$58)</f>
        <v/>
      </c>
      <c r="AH2">
        <f>SUMIF(Data!$I$47:$I$58,AH1,Data!$J$47:$J$58)</f>
        <v/>
      </c>
      <c r="AI2">
        <f>SUMIF(Data!$I$47:$I$58,AI1,Data!$J$47:$J$58)</f>
        <v/>
      </c>
      <c r="AJ2">
        <f>SUMIF(Data!$I$47:$I$58,AJ1,Data!$J$47:$J$58)</f>
        <v/>
      </c>
      <c r="AK2">
        <f>SUMIF(Data!$I$47:$I$58,AK1,Data!$J$47:$J$58)</f>
        <v/>
      </c>
      <c r="AL2">
        <f>SUMIF(Data!$I$47:$I$58,AL1,Data!$J$47:$J$58)</f>
        <v/>
      </c>
      <c r="AM2">
        <f>SUMIF(Data!$I$47:$I$58,AM1,Data!$J$47:$J$58)</f>
        <v/>
      </c>
      <c r="AN2">
        <f>SUMIF(Data!$I$47:$I$58,AN1,Data!$J$47:$J$58)</f>
        <v/>
      </c>
      <c r="AO2">
        <f>SUMIF(Data!$I$47:$I$58,AO1,Data!$J$47:$J$58)</f>
        <v/>
      </c>
      <c r="AP2">
        <f>SUMIF(Data!$I$47:$I$58,AP1,Data!$J$47:$J$58)</f>
        <v/>
      </c>
      <c r="AQ2">
        <f>SUMIF(Data!$I$47:$I$58,AQ1,Data!$J$47:$J$58)</f>
        <v/>
      </c>
    </row>
    <row r="3">
      <c r="A3" t="inlineStr">
        <is>
          <t>natural gas reforming</t>
        </is>
      </c>
      <c r="B3">
        <f>SUMIF(Data!$M$10:$M$21,SoHPCCbRIC!B1,Data!$L$10:$L$21)/SUM(Data!$L$10:$L$21)</f>
        <v/>
      </c>
      <c r="C3">
        <f>SUMIF(Data!$M$10:$M$21,SoHPCCbRIC!C1,Data!$L$10:$L$21)/SUM(Data!$L$10:$L$21)</f>
        <v/>
      </c>
      <c r="D3">
        <f>SUMIF(Data!$M$10:$M$21,SoHPCCbRIC!D1,Data!$L$10:$L$21)/SUM(Data!$L$10:$L$21)</f>
        <v/>
      </c>
      <c r="E3">
        <f>SUMIF(Data!$M$10:$M$21,SoHPCCbRIC!E1,Data!$L$10:$L$21)/SUM(Data!$L$10:$L$21)</f>
        <v/>
      </c>
      <c r="F3">
        <f>SUMIF(Data!$M$10:$M$21,SoHPCCbRIC!F1,Data!$L$10:$L$21)/SUM(Data!$L$10:$L$21)</f>
        <v/>
      </c>
      <c r="G3">
        <f>SUMIF(Data!$M$10:$M$21,SoHPCCbRIC!G1,Data!$L$10:$L$21)/SUM(Data!$L$10:$L$21)</f>
        <v/>
      </c>
      <c r="H3">
        <f>SUMIF(Data!$M$10:$M$21,SoHPCCbRIC!H1,Data!$L$10:$L$21)/SUM(Data!$L$10:$L$21)</f>
        <v/>
      </c>
      <c r="I3">
        <f>SUMIF(Data!$M$10:$M$21,SoHPCCbRIC!I1,Data!$L$10:$L$21)/SUM(Data!$L$10:$L$21)</f>
        <v/>
      </c>
      <c r="J3">
        <f>SUMIF(Data!$M$10:$M$21,SoHPCCbRIC!J1,Data!$L$10:$L$21)/SUM(Data!$L$10:$L$21)</f>
        <v/>
      </c>
      <c r="K3">
        <f>SUMIF(Data!$M$10:$M$21,SoHPCCbRIC!K1,Data!$L$10:$L$21)/SUM(Data!$L$10:$L$21)</f>
        <v/>
      </c>
      <c r="L3">
        <f>SUMIF(Data!$M$10:$M$21,SoHPCCbRIC!L1,Data!$L$10:$L$21)/SUM(Data!$L$10:$L$21)</f>
        <v/>
      </c>
      <c r="M3">
        <f>SUMIF(Data!$M$10:$M$21,SoHPCCbRIC!M1,Data!$L$10:$L$21)/SUM(Data!$L$10:$L$21)</f>
        <v/>
      </c>
      <c r="N3">
        <f>SUMIF(Data!$M$10:$M$21,SoHPCCbRIC!N1,Data!$L$10:$L$21)/SUM(Data!$L$10:$L$21)</f>
        <v/>
      </c>
      <c r="O3">
        <f>SUMIF(Data!$M$10:$M$21,SoHPCCbRIC!O1,Data!$L$10:$L$21)/SUM(Data!$L$10:$L$21)</f>
        <v/>
      </c>
      <c r="P3">
        <f>SUMIF(Data!$M$10:$M$21,SoHPCCbRIC!P1,Data!$L$10:$L$21)/SUM(Data!$L$10:$L$21)</f>
        <v/>
      </c>
      <c r="Q3">
        <f>SUMIF(Data!$M$10:$M$21,SoHPCCbRIC!Q1,Data!$L$10:$L$21)/SUM(Data!$L$10:$L$21)</f>
        <v/>
      </c>
      <c r="R3">
        <f>SUMIF(Data!$M$10:$M$21,SoHPCCbRIC!R1,Data!$L$10:$L$21)/SUM(Data!$L$10:$L$21)</f>
        <v/>
      </c>
      <c r="S3">
        <f>SUMIF(Data!$M$10:$M$21,SoHPCCbRIC!S1,Data!$L$10:$L$21)/SUM(Data!$L$10:$L$21)</f>
        <v/>
      </c>
      <c r="T3">
        <f>SUMIF(Data!$M$10:$M$21,SoHPCCbRIC!T1,Data!$L$10:$L$21)/SUM(Data!$L$10:$L$21)</f>
        <v/>
      </c>
      <c r="U3">
        <f>SUMIF(Data!$M$10:$M$21,SoHPCCbRIC!U1,Data!$L$10:$L$21)/SUM(Data!$L$10:$L$21)</f>
        <v/>
      </c>
      <c r="V3">
        <f>SUMIF(Data!$M$10:$M$21,SoHPCCbRIC!V1,Data!$L$10:$L$21)/SUM(Data!$L$10:$L$21)</f>
        <v/>
      </c>
      <c r="W3">
        <f>SUMIF(Data!$M$10:$M$21,SoHPCCbRIC!W1,Data!$L$10:$L$21)/SUM(Data!$L$10:$L$21)</f>
        <v/>
      </c>
      <c r="X3">
        <f>SUMIF(Data!$M$10:$M$21,SoHPCCbRIC!X1,Data!$L$10:$L$21)/SUM(Data!$L$10:$L$21)</f>
        <v/>
      </c>
      <c r="Y3">
        <f>SUMIF(Data!$M$10:$M$21,SoHPCCbRIC!Y1,Data!$L$10:$L$21)/SUM(Data!$L$10:$L$21)</f>
        <v/>
      </c>
      <c r="Z3">
        <f>SUMIF(Data!$M$10:$M$21,SoHPCCbRIC!Z1,Data!$L$10:$L$21)/SUM(Data!$L$10:$L$21)</f>
        <v/>
      </c>
      <c r="AA3">
        <f>SUMIF(Data!$M$10:$M$21,SoHPCCbRIC!AA1,Data!$L$10:$L$21)/SUM(Data!$L$10:$L$21)</f>
        <v/>
      </c>
      <c r="AB3">
        <f>SUMIF(Data!$M$10:$M$21,SoHPCCbRIC!AB1,Data!$L$10:$L$21)/SUM(Data!$L$10:$L$21)</f>
        <v/>
      </c>
      <c r="AC3">
        <f>SUMIF(Data!$M$10:$M$21,SoHPCCbRIC!AC1,Data!$L$10:$L$21)/SUM(Data!$L$10:$L$21)</f>
        <v/>
      </c>
      <c r="AD3">
        <f>SUMIF(Data!$M$10:$M$21,SoHPCCbRIC!AD1,Data!$L$10:$L$21)/SUM(Data!$L$10:$L$21)</f>
        <v/>
      </c>
      <c r="AE3">
        <f>SUMIF(Data!$M$10:$M$21,SoHPCCbRIC!AE1,Data!$L$10:$L$21)/SUM(Data!$L$10:$L$21)</f>
        <v/>
      </c>
      <c r="AF3">
        <f>SUMIF(Data!$M$10:$M$21,SoHPCCbRIC!AF1,Data!$L$10:$L$21)/SUM(Data!$L$10:$L$21)</f>
        <v/>
      </c>
      <c r="AG3">
        <f>SUMIF(Data!$M$10:$M$21,SoHPCCbRIC!AG1,Data!$L$10:$L$21)/SUM(Data!$L$10:$L$21)</f>
        <v/>
      </c>
      <c r="AH3">
        <f>SUMIF(Data!$M$10:$M$21,SoHPCCbRIC!AH1,Data!$L$10:$L$21)/SUM(Data!$L$10:$L$21)</f>
        <v/>
      </c>
      <c r="AI3">
        <f>SUMIF(Data!$M$10:$M$21,SoHPCCbRIC!AI1,Data!$L$10:$L$21)/SUM(Data!$L$10:$L$21)</f>
        <v/>
      </c>
      <c r="AJ3">
        <f>SUMIF(Data!$M$10:$M$21,SoHPCCbRIC!AJ1,Data!$L$10:$L$21)/SUM(Data!$L$10:$L$21)</f>
        <v/>
      </c>
      <c r="AK3">
        <f>SUMIF(Data!$M$10:$M$21,SoHPCCbRIC!AK1,Data!$L$10:$L$21)/SUM(Data!$L$10:$L$21)</f>
        <v/>
      </c>
      <c r="AL3">
        <f>SUMIF(Data!$M$10:$M$21,SoHPCCbRIC!AL1,Data!$L$10:$L$21)/SUM(Data!$L$10:$L$21)</f>
        <v/>
      </c>
      <c r="AM3">
        <f>SUMIF(Data!$M$10:$M$21,SoHPCCbRIC!AM1,Data!$L$10:$L$21)/SUM(Data!$L$10:$L$21)</f>
        <v/>
      </c>
      <c r="AN3">
        <f>SUMIF(Data!$M$10:$M$21,SoHPCCbRIC!AN1,Data!$L$10:$L$21)/SUM(Data!$L$10:$L$21)</f>
        <v/>
      </c>
      <c r="AO3">
        <f>SUMIF(Data!$M$10:$M$21,SoHPCCbRIC!AO1,Data!$L$10:$L$21)/SUM(Data!$L$10:$L$21)</f>
        <v/>
      </c>
      <c r="AP3">
        <f>SUMIF(Data!$M$10:$M$21,SoHPCCbRIC!AP1,Data!$L$10:$L$21)/SUM(Data!$L$10:$L$21)</f>
        <v/>
      </c>
      <c r="AQ3">
        <f>SUMIF(Data!$M$10:$M$21,SoHPCCbRIC!AQ1,Data!$L$10:$L$21)/SUM(Data!$L$10:$L$21)</f>
        <v/>
      </c>
    </row>
    <row r="4">
      <c r="A4" t="inlineStr">
        <is>
          <t>coal gasification</t>
        </is>
      </c>
      <c r="B4">
        <f>SUMIF(Data!$L$86:$L$95,B1,Data!$K$86:$K$95)/SUM(Data!$K$86:$K$95)</f>
        <v/>
      </c>
      <c r="C4">
        <f>SUMIF(Data!$L$86:$L$95,C1,Data!$K$86:$K$95)/SUM(Data!$K$86:$K$95)</f>
        <v/>
      </c>
      <c r="D4">
        <f>SUMIF(Data!$L$86:$L$95,D1,Data!$K$86:$K$95)/SUM(Data!$K$86:$K$95)</f>
        <v/>
      </c>
      <c r="E4">
        <f>SUMIF(Data!$L$86:$L$95,E1,Data!$K$86:$K$95)/SUM(Data!$K$86:$K$95)</f>
        <v/>
      </c>
      <c r="F4">
        <f>SUMIF(Data!$L$86:$L$95,F1,Data!$K$86:$K$95)/SUM(Data!$K$86:$K$95)</f>
        <v/>
      </c>
      <c r="G4">
        <f>SUMIF(Data!$L$86:$L$95,G1,Data!$K$86:$K$95)/SUM(Data!$K$86:$K$95)</f>
        <v/>
      </c>
      <c r="H4">
        <f>SUMIF(Data!$L$86:$L$95,H1,Data!$K$86:$K$95)/SUM(Data!$K$86:$K$95)</f>
        <v/>
      </c>
      <c r="I4">
        <f>SUMIF(Data!$L$86:$L$95,I1,Data!$K$86:$K$95)/SUM(Data!$K$86:$K$95)</f>
        <v/>
      </c>
      <c r="J4">
        <f>SUMIF(Data!$L$86:$L$95,J1,Data!$K$86:$K$95)/SUM(Data!$K$86:$K$95)</f>
        <v/>
      </c>
      <c r="K4">
        <f>SUMIF(Data!$L$86:$L$95,K1,Data!$K$86:$K$95)/SUM(Data!$K$86:$K$95)</f>
        <v/>
      </c>
      <c r="L4">
        <f>SUMIF(Data!$L$86:$L$95,L1,Data!$K$86:$K$95)/SUM(Data!$K$86:$K$95)</f>
        <v/>
      </c>
      <c r="M4">
        <f>SUMIF(Data!$L$86:$L$95,M1,Data!$K$86:$K$95)/SUM(Data!$K$86:$K$95)</f>
        <v/>
      </c>
      <c r="N4">
        <f>SUMIF(Data!$L$86:$L$95,N1,Data!$K$86:$K$95)/SUM(Data!$K$86:$K$95)</f>
        <v/>
      </c>
      <c r="O4">
        <f>SUMIF(Data!$L$86:$L$95,O1,Data!$K$86:$K$95)/SUM(Data!$K$86:$K$95)</f>
        <v/>
      </c>
      <c r="P4">
        <f>SUMIF(Data!$L$86:$L$95,P1,Data!$K$86:$K$95)/SUM(Data!$K$86:$K$95)</f>
        <v/>
      </c>
      <c r="Q4">
        <f>SUMIF(Data!$L$86:$L$95,Q1,Data!$K$86:$K$95)/SUM(Data!$K$86:$K$95)</f>
        <v/>
      </c>
      <c r="R4">
        <f>SUMIF(Data!$L$86:$L$95,R1,Data!$K$86:$K$95)/SUM(Data!$K$86:$K$95)</f>
        <v/>
      </c>
      <c r="S4">
        <f>SUMIF(Data!$L$86:$L$95,S1,Data!$K$86:$K$95)/SUM(Data!$K$86:$K$95)</f>
        <v/>
      </c>
      <c r="T4">
        <f>SUMIF(Data!$L$86:$L$95,T1,Data!$K$86:$K$95)/SUM(Data!$K$86:$K$95)</f>
        <v/>
      </c>
      <c r="U4">
        <f>SUMIF(Data!$L$86:$L$95,U1,Data!$K$86:$K$95)/SUM(Data!$K$86:$K$95)</f>
        <v/>
      </c>
      <c r="V4">
        <f>SUMIF(Data!$L$86:$L$95,V1,Data!$K$86:$K$95)/SUM(Data!$K$86:$K$95)</f>
        <v/>
      </c>
      <c r="W4">
        <f>SUMIF(Data!$L$86:$L$95,W1,Data!$K$86:$K$95)/SUM(Data!$K$86:$K$95)</f>
        <v/>
      </c>
      <c r="X4">
        <f>SUMIF(Data!$L$86:$L$95,X1,Data!$K$86:$K$95)/SUM(Data!$K$86:$K$95)</f>
        <v/>
      </c>
      <c r="Y4">
        <f>SUMIF(Data!$L$86:$L$95,Y1,Data!$K$86:$K$95)/SUM(Data!$K$86:$K$95)</f>
        <v/>
      </c>
      <c r="Z4">
        <f>SUMIF(Data!$L$86:$L$95,Z1,Data!$K$86:$K$95)/SUM(Data!$K$86:$K$95)</f>
        <v/>
      </c>
      <c r="AA4">
        <f>SUMIF(Data!$L$86:$L$95,AA1,Data!$K$86:$K$95)/SUM(Data!$K$86:$K$95)</f>
        <v/>
      </c>
      <c r="AB4">
        <f>SUMIF(Data!$L$86:$L$95,AB1,Data!$K$86:$K$95)/SUM(Data!$K$86:$K$95)</f>
        <v/>
      </c>
      <c r="AC4">
        <f>SUMIF(Data!$L$86:$L$95,AC1,Data!$K$86:$K$95)/SUM(Data!$K$86:$K$95)</f>
        <v/>
      </c>
      <c r="AD4">
        <f>SUMIF(Data!$L$86:$L$95,AD1,Data!$K$86:$K$95)/SUM(Data!$K$86:$K$95)</f>
        <v/>
      </c>
      <c r="AE4">
        <f>SUMIF(Data!$L$86:$L$95,AE1,Data!$K$86:$K$95)/SUM(Data!$K$86:$K$95)</f>
        <v/>
      </c>
      <c r="AF4">
        <f>SUMIF(Data!$L$86:$L$95,AF1,Data!$K$86:$K$95)/SUM(Data!$K$86:$K$95)</f>
        <v/>
      </c>
      <c r="AG4">
        <f>SUMIF(Data!$L$86:$L$95,AG1,Data!$K$86:$K$95)/SUM(Data!$K$86:$K$95)</f>
        <v/>
      </c>
      <c r="AH4">
        <f>SUMIF(Data!$L$86:$L$95,AH1,Data!$K$86:$K$95)/SUM(Data!$K$86:$K$95)</f>
        <v/>
      </c>
      <c r="AI4">
        <f>SUMIF(Data!$L$86:$L$95,AI1,Data!$K$86:$K$95)/SUM(Data!$K$86:$K$95)</f>
        <v/>
      </c>
      <c r="AJ4">
        <f>SUMIF(Data!$L$86:$L$95,AJ1,Data!$K$86:$K$95)/SUM(Data!$K$86:$K$95)</f>
        <v/>
      </c>
      <c r="AK4">
        <f>SUMIF(Data!$L$86:$L$95,AK1,Data!$K$86:$K$95)/SUM(Data!$K$86:$K$95)</f>
        <v/>
      </c>
      <c r="AL4">
        <f>SUMIF(Data!$L$86:$L$95,AL1,Data!$K$86:$K$95)/SUM(Data!$K$86:$K$95)</f>
        <v/>
      </c>
      <c r="AM4">
        <f>SUMIF(Data!$L$86:$L$95,AM1,Data!$K$86:$K$95)/SUM(Data!$K$86:$K$95)</f>
        <v/>
      </c>
      <c r="AN4">
        <f>SUMIF(Data!$L$86:$L$95,AN1,Data!$K$86:$K$95)/SUM(Data!$K$86:$K$95)</f>
        <v/>
      </c>
      <c r="AO4">
        <f>SUMIF(Data!$L$86:$L$95,AO1,Data!$K$86:$K$95)/SUM(Data!$K$86:$K$95)</f>
        <v/>
      </c>
      <c r="AP4">
        <f>SUMIF(Data!$L$86:$L$95,AP1,Data!$K$86:$K$95)/SUM(Data!$K$86:$K$95)</f>
        <v/>
      </c>
      <c r="AQ4">
        <f>SUMIF(Data!$L$86:$L$95,AQ1,Data!$K$86:$K$95)/SUM(Data!$K$86:$K$95)</f>
        <v/>
      </c>
    </row>
    <row r="5">
      <c r="A5" t="inlineStr">
        <is>
          <t>biomass gasification</t>
        </is>
      </c>
      <c r="B5">
        <f>B4</f>
        <v/>
      </c>
      <c r="C5">
        <f>C4</f>
        <v/>
      </c>
      <c r="D5">
        <f>D4</f>
        <v/>
      </c>
      <c r="E5">
        <f>E4</f>
        <v/>
      </c>
      <c r="F5">
        <f>F4</f>
        <v/>
      </c>
      <c r="G5">
        <f>G4</f>
        <v/>
      </c>
      <c r="H5">
        <f>H4</f>
        <v/>
      </c>
      <c r="I5">
        <f>I4</f>
        <v/>
      </c>
      <c r="J5">
        <f>J4</f>
        <v/>
      </c>
      <c r="K5">
        <f>K4</f>
        <v/>
      </c>
      <c r="L5">
        <f>L4</f>
        <v/>
      </c>
      <c r="M5">
        <f>M4</f>
        <v/>
      </c>
      <c r="N5">
        <f>N4</f>
        <v/>
      </c>
      <c r="O5">
        <f>O4</f>
        <v/>
      </c>
      <c r="P5">
        <f>P4</f>
        <v/>
      </c>
      <c r="Q5">
        <f>Q4</f>
        <v/>
      </c>
      <c r="R5">
        <f>R4</f>
        <v/>
      </c>
      <c r="S5">
        <f>S4</f>
        <v/>
      </c>
      <c r="T5">
        <f>T4</f>
        <v/>
      </c>
      <c r="U5">
        <f>U4</f>
        <v/>
      </c>
      <c r="V5">
        <f>V4</f>
        <v/>
      </c>
      <c r="W5">
        <f>W4</f>
        <v/>
      </c>
      <c r="X5">
        <f>X4</f>
        <v/>
      </c>
      <c r="Y5">
        <f>Y4</f>
        <v/>
      </c>
      <c r="Z5">
        <f>Z4</f>
        <v/>
      </c>
      <c r="AA5">
        <f>AA4</f>
        <v/>
      </c>
      <c r="AB5">
        <f>AB4</f>
        <v/>
      </c>
      <c r="AC5">
        <f>AC4</f>
        <v/>
      </c>
      <c r="AD5">
        <f>AD4</f>
        <v/>
      </c>
      <c r="AE5">
        <f>AE4</f>
        <v/>
      </c>
      <c r="AF5">
        <f>AF4</f>
        <v/>
      </c>
      <c r="AG5">
        <f>AG4</f>
        <v/>
      </c>
      <c r="AH5">
        <f>AH4</f>
        <v/>
      </c>
      <c r="AI5">
        <f>AI4</f>
        <v/>
      </c>
      <c r="AJ5">
        <f>AJ4</f>
        <v/>
      </c>
      <c r="AK5">
        <f>AK4</f>
        <v/>
      </c>
      <c r="AL5">
        <f>AL4</f>
        <v/>
      </c>
      <c r="AM5">
        <f>AM4</f>
        <v/>
      </c>
      <c r="AN5">
        <f>AN4</f>
        <v/>
      </c>
      <c r="AO5">
        <f>AO4</f>
        <v/>
      </c>
      <c r="AP5">
        <f>AP4</f>
        <v/>
      </c>
      <c r="AQ5">
        <f>AQ4</f>
        <v/>
      </c>
    </row>
    <row r="6">
      <c r="A6" t="inlineStr">
        <is>
          <t>hydrocarbon partial oxidation</t>
        </is>
      </c>
      <c r="B6">
        <f>B3</f>
        <v/>
      </c>
      <c r="C6">
        <f>C3</f>
        <v/>
      </c>
      <c r="D6">
        <f>D3</f>
        <v/>
      </c>
      <c r="E6">
        <f>E3</f>
        <v/>
      </c>
      <c r="F6">
        <f>F3</f>
        <v/>
      </c>
      <c r="G6">
        <f>G3</f>
        <v/>
      </c>
      <c r="H6">
        <f>H3</f>
        <v/>
      </c>
      <c r="I6">
        <f>I3</f>
        <v/>
      </c>
      <c r="J6">
        <f>J3</f>
        <v/>
      </c>
      <c r="K6">
        <f>K3</f>
        <v/>
      </c>
      <c r="L6">
        <f>L3</f>
        <v/>
      </c>
      <c r="M6">
        <f>M3</f>
        <v/>
      </c>
      <c r="N6">
        <f>N3</f>
        <v/>
      </c>
      <c r="O6">
        <f>O3</f>
        <v/>
      </c>
      <c r="P6">
        <f>P3</f>
        <v/>
      </c>
      <c r="Q6">
        <f>Q3</f>
        <v/>
      </c>
      <c r="R6">
        <f>R3</f>
        <v/>
      </c>
      <c r="S6">
        <f>S3</f>
        <v/>
      </c>
      <c r="T6">
        <f>T3</f>
        <v/>
      </c>
      <c r="U6">
        <f>U3</f>
        <v/>
      </c>
      <c r="V6">
        <f>V3</f>
        <v/>
      </c>
      <c r="W6">
        <f>W3</f>
        <v/>
      </c>
      <c r="X6">
        <f>X3</f>
        <v/>
      </c>
      <c r="Y6">
        <f>Y3</f>
        <v/>
      </c>
      <c r="Z6">
        <f>Z3</f>
        <v/>
      </c>
      <c r="AA6">
        <f>AA3</f>
        <v/>
      </c>
      <c r="AB6">
        <f>AB3</f>
        <v/>
      </c>
      <c r="AC6">
        <f>AC3</f>
        <v/>
      </c>
      <c r="AD6">
        <f>AD3</f>
        <v/>
      </c>
      <c r="AE6">
        <f>AE3</f>
        <v/>
      </c>
      <c r="AF6">
        <f>AF3</f>
        <v/>
      </c>
      <c r="AG6">
        <f>AG3</f>
        <v/>
      </c>
      <c r="AH6">
        <f>AH3</f>
        <v/>
      </c>
      <c r="AI6">
        <f>AI3</f>
        <v/>
      </c>
      <c r="AJ6">
        <f>AJ3</f>
        <v/>
      </c>
      <c r="AK6">
        <f>AK3</f>
        <v/>
      </c>
      <c r="AL6">
        <f>AL3</f>
        <v/>
      </c>
      <c r="AM6">
        <f>AM3</f>
        <v/>
      </c>
      <c r="AN6">
        <f>AN3</f>
        <v/>
      </c>
      <c r="AO6">
        <f>AO3</f>
        <v/>
      </c>
      <c r="AP6">
        <f>AP3</f>
        <v/>
      </c>
      <c r="AQ6">
        <f>AQ3</f>
        <v/>
      </c>
    </row>
    <row r="7">
      <c r="A7" t="inlineStr">
        <is>
          <t>electrolysis with guaranteed clean electricity</t>
        </is>
      </c>
      <c r="B7">
        <f>B2</f>
        <v/>
      </c>
      <c r="C7">
        <f>C2</f>
        <v/>
      </c>
      <c r="D7">
        <f>D2</f>
        <v/>
      </c>
      <c r="E7">
        <f>E2</f>
        <v/>
      </c>
      <c r="F7">
        <f>F2</f>
        <v/>
      </c>
      <c r="G7">
        <f>G2</f>
        <v/>
      </c>
      <c r="H7">
        <f>H2</f>
        <v/>
      </c>
      <c r="I7">
        <f>I2</f>
        <v/>
      </c>
      <c r="J7">
        <f>J2</f>
        <v/>
      </c>
      <c r="K7">
        <f>K2</f>
        <v/>
      </c>
      <c r="L7">
        <f>L2</f>
        <v/>
      </c>
      <c r="M7">
        <f>M2</f>
        <v/>
      </c>
      <c r="N7">
        <f>N2</f>
        <v/>
      </c>
      <c r="O7">
        <f>O2</f>
        <v/>
      </c>
      <c r="P7">
        <f>P2</f>
        <v/>
      </c>
      <c r="Q7">
        <f>Q2</f>
        <v/>
      </c>
      <c r="R7">
        <f>R2</f>
        <v/>
      </c>
      <c r="S7">
        <f>S2</f>
        <v/>
      </c>
      <c r="T7">
        <f>T2</f>
        <v/>
      </c>
      <c r="U7">
        <f>U2</f>
        <v/>
      </c>
      <c r="V7">
        <f>V2</f>
        <v/>
      </c>
      <c r="W7">
        <f>W2</f>
        <v/>
      </c>
      <c r="X7">
        <f>X2</f>
        <v/>
      </c>
      <c r="Y7">
        <f>Y2</f>
        <v/>
      </c>
      <c r="Z7">
        <f>Z2</f>
        <v/>
      </c>
      <c r="AA7">
        <f>AA2</f>
        <v/>
      </c>
      <c r="AB7">
        <f>AB2</f>
        <v/>
      </c>
      <c r="AC7">
        <f>AC2</f>
        <v/>
      </c>
      <c r="AD7">
        <f>AD2</f>
        <v/>
      </c>
      <c r="AE7">
        <f>AE2</f>
        <v/>
      </c>
      <c r="AF7">
        <f>AF2</f>
        <v/>
      </c>
      <c r="AG7">
        <f>AG2</f>
        <v/>
      </c>
      <c r="AH7">
        <f>AH2</f>
        <v/>
      </c>
      <c r="AI7">
        <f>AI2</f>
        <v/>
      </c>
      <c r="AJ7">
        <f>AJ2</f>
        <v/>
      </c>
      <c r="AK7">
        <f>AK2</f>
        <v/>
      </c>
      <c r="AL7">
        <f>AL2</f>
        <v/>
      </c>
      <c r="AM7">
        <f>AM2</f>
        <v/>
      </c>
      <c r="AN7">
        <f>AN2</f>
        <v/>
      </c>
      <c r="AO7">
        <f>AO2</f>
        <v/>
      </c>
      <c r="AP7">
        <f>AP2</f>
        <v/>
      </c>
      <c r="AQ7">
        <f>AQ2</f>
        <v/>
      </c>
    </row>
    <row r="8">
      <c r="A8" t="inlineStr">
        <is>
          <t>natural gas reforming with CCS</t>
        </is>
      </c>
      <c r="B8">
        <f>B3</f>
        <v/>
      </c>
      <c r="C8">
        <f>C3</f>
        <v/>
      </c>
      <c r="D8">
        <f>D3</f>
        <v/>
      </c>
      <c r="E8">
        <f>E3</f>
        <v/>
      </c>
      <c r="F8">
        <f>F3</f>
        <v/>
      </c>
      <c r="G8">
        <f>G3</f>
        <v/>
      </c>
      <c r="H8">
        <f>H3</f>
        <v/>
      </c>
      <c r="I8">
        <f>I3</f>
        <v/>
      </c>
      <c r="J8">
        <f>J3</f>
        <v/>
      </c>
      <c r="K8">
        <f>K3</f>
        <v/>
      </c>
      <c r="L8">
        <f>L3</f>
        <v/>
      </c>
      <c r="M8">
        <f>M3</f>
        <v/>
      </c>
      <c r="N8">
        <f>N3</f>
        <v/>
      </c>
      <c r="O8">
        <f>O3</f>
        <v/>
      </c>
      <c r="P8">
        <f>P3</f>
        <v/>
      </c>
      <c r="Q8">
        <f>Q3</f>
        <v/>
      </c>
      <c r="R8">
        <f>R3</f>
        <v/>
      </c>
      <c r="S8">
        <f>S3</f>
        <v/>
      </c>
      <c r="T8">
        <f>T3</f>
        <v/>
      </c>
      <c r="U8">
        <f>U3</f>
        <v/>
      </c>
      <c r="V8">
        <f>V3</f>
        <v/>
      </c>
      <c r="W8">
        <f>W3</f>
        <v/>
      </c>
      <c r="X8">
        <f>X3</f>
        <v/>
      </c>
      <c r="Y8">
        <f>Y3</f>
        <v/>
      </c>
      <c r="Z8">
        <f>Z3</f>
        <v/>
      </c>
      <c r="AA8">
        <f>AA3</f>
        <v/>
      </c>
      <c r="AB8">
        <f>AB3</f>
        <v/>
      </c>
      <c r="AC8">
        <f>AC3</f>
        <v/>
      </c>
      <c r="AD8">
        <f>AD3</f>
        <v/>
      </c>
      <c r="AE8">
        <f>AE3</f>
        <v/>
      </c>
      <c r="AF8">
        <f>AF3</f>
        <v/>
      </c>
      <c r="AG8">
        <f>AG3</f>
        <v/>
      </c>
      <c r="AH8">
        <f>AH3</f>
        <v/>
      </c>
      <c r="AI8">
        <f>AI3</f>
        <v/>
      </c>
      <c r="AJ8">
        <f>AJ3</f>
        <v/>
      </c>
      <c r="AK8">
        <f>AK3</f>
        <v/>
      </c>
      <c r="AL8">
        <f>AL3</f>
        <v/>
      </c>
      <c r="AM8">
        <f>AM3</f>
        <v/>
      </c>
      <c r="AN8">
        <f>AN3</f>
        <v/>
      </c>
      <c r="AO8">
        <f>AO3</f>
        <v/>
      </c>
      <c r="AP8">
        <f>AP3</f>
        <v/>
      </c>
      <c r="AQ8">
        <f>AQ3</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Robbie Orvis</dc:creator>
  <dcterms:created xmlns:dcterms="http://purl.org/dc/terms/" xmlns:xsi="http://www.w3.org/2001/XMLSchema-instance" xsi:type="dcterms:W3CDTF">2020-09-30T16:01:44Z</dcterms:created>
  <dcterms:modified xmlns:dcterms="http://purl.org/dc/terms/" xmlns:xsi="http://www.w3.org/2001/XMLSchema-instance" xsi:type="dcterms:W3CDTF">2026-07-21T20:48:10Z</dcterms:modified>
  <cp:lastModifiedBy>Dan O'Brien</cp:lastModifiedBy>
</cp:coreProperties>
</file>