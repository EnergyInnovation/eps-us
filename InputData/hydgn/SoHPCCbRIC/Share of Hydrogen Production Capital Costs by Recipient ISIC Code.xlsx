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RobbieOrvis\Models\EPS Structure Research\isic52-staging\hydgn\SoHPCCbRIC\"/>
    </mc:Choice>
  </mc:AlternateContent>
  <xr:revisionPtr revIDLastSave="0" documentId="11_AFB0688726FC1A2D275BB0C5F065610CE19C34C5" xr6:coauthVersionLast="47" xr6:coauthVersionMax="47" xr10:uidLastSave="{00000000-0000-0000-0000-000000000000}"/>
  <bookViews>
    <workbookView xWindow="0" yWindow="1830" windowWidth="43200" windowHeight="17025" xr2:uid="{00000000-000D-0000-FFFF-FFFF00000000}"/>
  </bookViews>
  <sheets>
    <sheet name="About" sheetId="1" r:id="rId1"/>
    <sheet name="Factors applied" sheetId="2" r:id="rId2"/>
    <sheet name="Data" sheetId="3" r:id="rId3"/>
    <sheet name="Checks" sheetId="4" r:id="rId4"/>
    <sheet name="SoHPCCbRIC" sheetId="5" r:id="rId5"/>
  </sheets>
  <definedNames>
    <definedName name="CEPCIinflator">Data!$C$11</definedName>
    <definedName name="CPIinflator">Data!$C$12</definedName>
    <definedName name="CurrentYear">Data!$C$10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A8" i="5" l="1"/>
  <c r="AZ8" i="5"/>
  <c r="AY8" i="5"/>
  <c r="AX8" i="5"/>
  <c r="AW8" i="5"/>
  <c r="AV8" i="5"/>
  <c r="AU8" i="5"/>
  <c r="AT8" i="5"/>
  <c r="AS8" i="5"/>
  <c r="AR8" i="5"/>
  <c r="AQ8" i="5"/>
  <c r="AP8" i="5"/>
  <c r="AO8" i="5"/>
  <c r="AN8" i="5"/>
  <c r="AM8" i="5"/>
  <c r="AL8" i="5"/>
  <c r="AK8" i="5"/>
  <c r="AJ8" i="5"/>
  <c r="AI8" i="5"/>
  <c r="AH8" i="5"/>
  <c r="AG8" i="5"/>
  <c r="AF8" i="5"/>
  <c r="AE8" i="5"/>
  <c r="AD8" i="5"/>
  <c r="AC8" i="5"/>
  <c r="AB8" i="5"/>
  <c r="AA8" i="5"/>
  <c r="Z8" i="5"/>
  <c r="Y8" i="5"/>
  <c r="X8" i="5"/>
  <c r="W8" i="5"/>
  <c r="V8" i="5"/>
  <c r="U8" i="5"/>
  <c r="T8" i="5"/>
  <c r="S8" i="5"/>
  <c r="R8" i="5"/>
  <c r="Q8" i="5"/>
  <c r="P8" i="5"/>
  <c r="O8" i="5"/>
  <c r="N8" i="5"/>
  <c r="M8" i="5"/>
  <c r="L8" i="5"/>
  <c r="K8" i="5"/>
  <c r="J8" i="5"/>
  <c r="I8" i="5"/>
  <c r="H8" i="5"/>
  <c r="G8" i="5"/>
  <c r="F8" i="5"/>
  <c r="E8" i="5"/>
  <c r="D8" i="5"/>
  <c r="C8" i="5"/>
  <c r="B8" i="5"/>
  <c r="BA7" i="5"/>
  <c r="AZ7" i="5"/>
  <c r="AY7" i="5"/>
  <c r="AX7" i="5"/>
  <c r="AW7" i="5"/>
  <c r="AV7" i="5"/>
  <c r="AU7" i="5"/>
  <c r="AT7" i="5"/>
  <c r="AS7" i="5"/>
  <c r="AR7" i="5"/>
  <c r="AQ7" i="5"/>
  <c r="AP7" i="5"/>
  <c r="AO7" i="5"/>
  <c r="AN7" i="5"/>
  <c r="AM7" i="5"/>
  <c r="AL7" i="5"/>
  <c r="AK7" i="5"/>
  <c r="AJ7" i="5"/>
  <c r="AI7" i="5"/>
  <c r="AH7" i="5"/>
  <c r="AF7" i="5"/>
  <c r="AE7" i="5"/>
  <c r="AD7" i="5"/>
  <c r="AC7" i="5"/>
  <c r="AB7" i="5"/>
  <c r="AA7" i="5"/>
  <c r="Z7" i="5"/>
  <c r="W7" i="5"/>
  <c r="V7" i="5"/>
  <c r="U7" i="5"/>
  <c r="T7" i="5"/>
  <c r="S7" i="5"/>
  <c r="R7" i="5"/>
  <c r="Q7" i="5"/>
  <c r="P7" i="5"/>
  <c r="O7" i="5"/>
  <c r="N7" i="5"/>
  <c r="M7" i="5"/>
  <c r="L7" i="5"/>
  <c r="K7" i="5"/>
  <c r="J7" i="5"/>
  <c r="I7" i="5"/>
  <c r="H7" i="5"/>
  <c r="G7" i="5"/>
  <c r="F7" i="5"/>
  <c r="E7" i="5"/>
  <c r="D7" i="5"/>
  <c r="C7" i="5"/>
  <c r="B7" i="5"/>
  <c r="BA6" i="5"/>
  <c r="AZ6" i="5"/>
  <c r="AY6" i="5"/>
  <c r="AX6" i="5"/>
  <c r="AW6" i="5"/>
  <c r="AV6" i="5"/>
  <c r="AU6" i="5"/>
  <c r="AT6" i="5"/>
  <c r="AS6" i="5"/>
  <c r="AR6" i="5"/>
  <c r="AQ6" i="5"/>
  <c r="AP6" i="5"/>
  <c r="AO6" i="5"/>
  <c r="AN6" i="5"/>
  <c r="AM6" i="5"/>
  <c r="AL6" i="5"/>
  <c r="AK6" i="5"/>
  <c r="AJ6" i="5"/>
  <c r="AI6" i="5"/>
  <c r="AH6" i="5"/>
  <c r="AG6" i="5"/>
  <c r="AF6" i="5"/>
  <c r="AE6" i="5"/>
  <c r="AD6" i="5"/>
  <c r="AC6" i="5"/>
  <c r="AB6" i="5"/>
  <c r="AA6" i="5"/>
  <c r="Z6" i="5"/>
  <c r="Y6" i="5"/>
  <c r="X6" i="5"/>
  <c r="W6" i="5"/>
  <c r="V6" i="5"/>
  <c r="U6" i="5"/>
  <c r="T6" i="5"/>
  <c r="S6" i="5"/>
  <c r="R6" i="5"/>
  <c r="Q6" i="5"/>
  <c r="P6" i="5"/>
  <c r="O6" i="5"/>
  <c r="N6" i="5"/>
  <c r="M6" i="5"/>
  <c r="L6" i="5"/>
  <c r="K6" i="5"/>
  <c r="J6" i="5"/>
  <c r="I6" i="5"/>
  <c r="H6" i="5"/>
  <c r="G6" i="5"/>
  <c r="F6" i="5"/>
  <c r="E6" i="5"/>
  <c r="D6" i="5"/>
  <c r="C6" i="5"/>
  <c r="B6" i="5"/>
  <c r="BA5" i="5"/>
  <c r="AZ5" i="5"/>
  <c r="AY5" i="5"/>
  <c r="AX5" i="5"/>
  <c r="AW5" i="5"/>
  <c r="AV5" i="5"/>
  <c r="AU5" i="5"/>
  <c r="AT5" i="5"/>
  <c r="AS5" i="5"/>
  <c r="AR5" i="5"/>
  <c r="AQ5" i="5"/>
  <c r="AP5" i="5"/>
  <c r="AO5" i="5"/>
  <c r="AN5" i="5"/>
  <c r="AM5" i="5"/>
  <c r="AL5" i="5"/>
  <c r="AK5" i="5"/>
  <c r="AJ5" i="5"/>
  <c r="AI5" i="5"/>
  <c r="AH5" i="5"/>
  <c r="AG5" i="5"/>
  <c r="AF5" i="5"/>
  <c r="AE5" i="5"/>
  <c r="AD5" i="5"/>
  <c r="AC5" i="5"/>
  <c r="AB5" i="5"/>
  <c r="AA5" i="5"/>
  <c r="Z5" i="5"/>
  <c r="Y5" i="5"/>
  <c r="X5" i="5"/>
  <c r="W5" i="5"/>
  <c r="V5" i="5"/>
  <c r="U5" i="5"/>
  <c r="T5" i="5"/>
  <c r="S5" i="5"/>
  <c r="R5" i="5"/>
  <c r="Q5" i="5"/>
  <c r="P5" i="5"/>
  <c r="O5" i="5"/>
  <c r="N5" i="5"/>
  <c r="M5" i="5"/>
  <c r="L5" i="5"/>
  <c r="K5" i="5"/>
  <c r="J5" i="5"/>
  <c r="I5" i="5"/>
  <c r="H5" i="5"/>
  <c r="G5" i="5"/>
  <c r="F5" i="5"/>
  <c r="E5" i="5"/>
  <c r="D5" i="5"/>
  <c r="C5" i="5"/>
  <c r="B5" i="5"/>
  <c r="BA4" i="5"/>
  <c r="AZ4" i="5"/>
  <c r="AY4" i="5"/>
  <c r="AX4" i="5"/>
  <c r="AW4" i="5"/>
  <c r="AV4" i="5"/>
  <c r="AU4" i="5"/>
  <c r="AT4" i="5"/>
  <c r="AS4" i="5"/>
  <c r="AR4" i="5"/>
  <c r="AQ4" i="5"/>
  <c r="AP4" i="5"/>
  <c r="AO4" i="5"/>
  <c r="AN4" i="5"/>
  <c r="AM4" i="5"/>
  <c r="AL4" i="5"/>
  <c r="AK4" i="5"/>
  <c r="AJ4" i="5"/>
  <c r="AI4" i="5"/>
  <c r="AH4" i="5"/>
  <c r="AG4" i="5"/>
  <c r="AF4" i="5"/>
  <c r="AE4" i="5"/>
  <c r="AD4" i="5"/>
  <c r="AC4" i="5"/>
  <c r="AB4" i="5"/>
  <c r="AA4" i="5"/>
  <c r="Z4" i="5"/>
  <c r="Y4" i="5"/>
  <c r="X4" i="5"/>
  <c r="W4" i="5"/>
  <c r="V4" i="5"/>
  <c r="U4" i="5"/>
  <c r="T4" i="5"/>
  <c r="S4" i="5"/>
  <c r="R4" i="5"/>
  <c r="Q4" i="5"/>
  <c r="P4" i="5"/>
  <c r="O4" i="5"/>
  <c r="N4" i="5"/>
  <c r="M4" i="5"/>
  <c r="L4" i="5"/>
  <c r="K4" i="5"/>
  <c r="J4" i="5"/>
  <c r="I4" i="5"/>
  <c r="H4" i="5"/>
  <c r="G4" i="5"/>
  <c r="F4" i="5"/>
  <c r="E4" i="5"/>
  <c r="D4" i="5"/>
  <c r="C4" i="5"/>
  <c r="B4" i="5"/>
  <c r="BA3" i="5"/>
  <c r="AZ3" i="5"/>
  <c r="AY3" i="5"/>
  <c r="AX3" i="5"/>
  <c r="AW3" i="5"/>
  <c r="AV3" i="5"/>
  <c r="AU3" i="5"/>
  <c r="AT3" i="5"/>
  <c r="AS3" i="5"/>
  <c r="AR3" i="5"/>
  <c r="AQ3" i="5"/>
  <c r="AP3" i="5"/>
  <c r="AO3" i="5"/>
  <c r="AN3" i="5"/>
  <c r="AM3" i="5"/>
  <c r="AL3" i="5"/>
  <c r="AK3" i="5"/>
  <c r="AJ3" i="5"/>
  <c r="AI3" i="5"/>
  <c r="AH3" i="5"/>
  <c r="AG3" i="5"/>
  <c r="AF3" i="5"/>
  <c r="AE3" i="5"/>
  <c r="AD3" i="5"/>
  <c r="AC3" i="5"/>
  <c r="AB3" i="5"/>
  <c r="AA3" i="5"/>
  <c r="Z3" i="5"/>
  <c r="Y3" i="5"/>
  <c r="X3" i="5"/>
  <c r="W3" i="5"/>
  <c r="V3" i="5"/>
  <c r="U3" i="5"/>
  <c r="T3" i="5"/>
  <c r="S3" i="5"/>
  <c r="R3" i="5"/>
  <c r="Q3" i="5"/>
  <c r="P3" i="5"/>
  <c r="O3" i="5"/>
  <c r="N3" i="5"/>
  <c r="M3" i="5"/>
  <c r="L3" i="5"/>
  <c r="K3" i="5"/>
  <c r="J3" i="5"/>
  <c r="I3" i="5"/>
  <c r="H3" i="5"/>
  <c r="G3" i="5"/>
  <c r="F3" i="5"/>
  <c r="E3" i="5"/>
  <c r="D3" i="5"/>
  <c r="C3" i="5"/>
  <c r="B3" i="5"/>
  <c r="BA2" i="5"/>
  <c r="AZ2" i="5"/>
  <c r="AY2" i="5"/>
  <c r="AX2" i="5"/>
  <c r="AW2" i="5"/>
  <c r="AV2" i="5"/>
  <c r="AU2" i="5"/>
  <c r="AT2" i="5"/>
  <c r="AS2" i="5"/>
  <c r="AR2" i="5"/>
  <c r="AQ2" i="5"/>
  <c r="AP2" i="5"/>
  <c r="AO2" i="5"/>
  <c r="AN2" i="5"/>
  <c r="AM2" i="5"/>
  <c r="AL2" i="5"/>
  <c r="AK2" i="5"/>
  <c r="AJ2" i="5"/>
  <c r="AI2" i="5"/>
  <c r="AH2" i="5"/>
  <c r="AF2" i="5"/>
  <c r="AE2" i="5"/>
  <c r="AD2" i="5"/>
  <c r="AC2" i="5"/>
  <c r="AB2" i="5"/>
  <c r="AA2" i="5"/>
  <c r="Z2" i="5"/>
  <c r="W2" i="5"/>
  <c r="V2" i="5"/>
  <c r="U2" i="5"/>
  <c r="T2" i="5"/>
  <c r="S2" i="5"/>
  <c r="R2" i="5"/>
  <c r="Q2" i="5"/>
  <c r="P2" i="5"/>
  <c r="O2" i="5"/>
  <c r="N2" i="5"/>
  <c r="M2" i="5"/>
  <c r="L2" i="5"/>
  <c r="K2" i="5"/>
  <c r="J2" i="5"/>
  <c r="I2" i="5"/>
  <c r="H2" i="5"/>
  <c r="G2" i="5"/>
  <c r="F2" i="5"/>
  <c r="E2" i="5"/>
  <c r="D2" i="5"/>
  <c r="C2" i="5"/>
  <c r="B2" i="5"/>
  <c r="B45" i="4"/>
  <c r="C45" i="4" s="1"/>
  <c r="C44" i="4"/>
  <c r="B44" i="4"/>
  <c r="B43" i="4"/>
  <c r="C43" i="4" s="1"/>
  <c r="B42" i="4"/>
  <c r="C42" i="4" s="1"/>
  <c r="B41" i="4"/>
  <c r="C41" i="4" s="1"/>
  <c r="B40" i="4"/>
  <c r="C40" i="4" s="1"/>
  <c r="B39" i="4"/>
  <c r="C39" i="4" s="1"/>
  <c r="C38" i="4"/>
  <c r="B38" i="4"/>
  <c r="B37" i="4"/>
  <c r="C37" i="4" s="1"/>
  <c r="C36" i="4"/>
  <c r="B36" i="4"/>
  <c r="B35" i="4"/>
  <c r="C35" i="4" s="1"/>
  <c r="B34" i="4"/>
  <c r="C34" i="4" s="1"/>
  <c r="C33" i="4"/>
  <c r="B33" i="4"/>
  <c r="B32" i="4"/>
  <c r="C32" i="4" s="1"/>
  <c r="B31" i="4"/>
  <c r="C31" i="4" s="1"/>
  <c r="B30" i="4"/>
  <c r="C30" i="4" s="1"/>
  <c r="B29" i="4"/>
  <c r="C29" i="4" s="1"/>
  <c r="B28" i="4"/>
  <c r="C28" i="4" s="1"/>
  <c r="C27" i="4"/>
  <c r="B27" i="4"/>
  <c r="B26" i="4"/>
  <c r="C26" i="4" s="1"/>
  <c r="C25" i="4"/>
  <c r="B25" i="4"/>
  <c r="B24" i="4"/>
  <c r="C24" i="4" s="1"/>
  <c r="B23" i="4"/>
  <c r="C23" i="4" s="1"/>
  <c r="C22" i="4"/>
  <c r="B22" i="4"/>
  <c r="B21" i="4"/>
  <c r="C21" i="4" s="1"/>
  <c r="B20" i="4"/>
  <c r="C20" i="4" s="1"/>
  <c r="B19" i="4"/>
  <c r="C19" i="4" s="1"/>
  <c r="B18" i="4"/>
  <c r="C18" i="4" s="1"/>
  <c r="B17" i="4"/>
  <c r="C17" i="4" s="1"/>
  <c r="C16" i="4"/>
  <c r="B16" i="4"/>
  <c r="B15" i="4"/>
  <c r="C15" i="4" s="1"/>
  <c r="C14" i="4"/>
  <c r="B14" i="4"/>
  <c r="B13" i="4"/>
  <c r="C13" i="4" s="1"/>
  <c r="B12" i="4"/>
  <c r="C12" i="4" s="1"/>
  <c r="C11" i="4"/>
  <c r="B11" i="4"/>
  <c r="B10" i="4"/>
  <c r="C10" i="4" s="1"/>
  <c r="B9" i="4"/>
  <c r="C9" i="4" s="1"/>
  <c r="B8" i="4"/>
  <c r="C8" i="4" s="1"/>
  <c r="B7" i="4"/>
  <c r="C7" i="4" s="1"/>
  <c r="B6" i="4"/>
  <c r="C6" i="4" s="1"/>
  <c r="C5" i="4"/>
  <c r="B5" i="4"/>
  <c r="B4" i="4"/>
  <c r="C4" i="4" s="1"/>
  <c r="K98" i="3"/>
  <c r="J58" i="3"/>
  <c r="J57" i="3"/>
  <c r="AG2" i="5" s="1"/>
  <c r="J56" i="3"/>
  <c r="J55" i="3"/>
  <c r="J54" i="3"/>
  <c r="J53" i="3"/>
  <c r="X2" i="5" s="1"/>
  <c r="J52" i="3"/>
  <c r="J51" i="3"/>
  <c r="J50" i="3"/>
  <c r="J49" i="3"/>
  <c r="J47" i="3"/>
  <c r="Y7" i="5" s="1"/>
  <c r="X7" i="5" l="1"/>
  <c r="Y2" i="5"/>
  <c r="AG7" i="5"/>
</calcChain>
</file>

<file path=xl/sharedStrings.xml><?xml version="1.0" encoding="utf-8"?>
<sst xmlns="http://schemas.openxmlformats.org/spreadsheetml/2006/main" count="851" uniqueCount="225">
  <si>
    <t>ISIC 28</t>
  </si>
  <si>
    <t>ISIC 41T43</t>
  </si>
  <si>
    <t>ISIC 64T66</t>
  </si>
  <si>
    <t>Capital Costs</t>
  </si>
  <si>
    <t>Color Key</t>
  </si>
  <si>
    <t>Design Plant Hydrogen Production (kg/day)</t>
  </si>
  <si>
    <t>Capital costs for the design plant (baseline) are entered on this sheet. Use the Plant Scaling sheet to set scaling parameters for scaling up or down in size from the baseline plant. Enter the output kg/day for the plant you wish to analyze on the Input Sheet</t>
  </si>
  <si>
    <t>Comments</t>
  </si>
  <si>
    <t>Basis year for capital costs</t>
  </si>
  <si>
    <t>Enter current year for capital costs</t>
  </si>
  <si>
    <t>CEPCI Inflator (2012 to )</t>
  </si>
  <si>
    <t>The Chemical Engineering Plant Cost Index (CEPCI) is used to adjust the capital cost of the H2 Production facility from the basis year to the current year.</t>
  </si>
  <si>
    <t>ISIC 01T03</t>
  </si>
  <si>
    <t>Agriculture, forestry and fishing</t>
  </si>
  <si>
    <t>Consumer Price Inflator ( to 2016)</t>
  </si>
  <si>
    <t>The Consumer Price Inflator (CPI) is used to deflate all dollars from the current year to the Reference Year.</t>
  </si>
  <si>
    <t>ISIC 05</t>
  </si>
  <si>
    <t>Coal mining</t>
  </si>
  <si>
    <t>ISIC 06</t>
  </si>
  <si>
    <t>Oil and gas extraction</t>
  </si>
  <si>
    <t>CAPITAL INVESTMENT (Inputs REQUIRED in Basis Year, (2012) $)</t>
  </si>
  <si>
    <t>ISIC 07T08</t>
  </si>
  <si>
    <t>Mining and quarrying of non-energy producing products</t>
  </si>
  <si>
    <t>Major pieces/systems of equipment</t>
  </si>
  <si>
    <t>Baseline Uninstalled Costs $2012 Dollars</t>
  </si>
  <si>
    <t>Baseline Uninstalled Costs $2016 Dollars</t>
  </si>
  <si>
    <t>Installation Cost Factor</t>
  </si>
  <si>
    <t>Baseline Installed Costs</t>
  </si>
  <si>
    <t>Data Source</t>
  </si>
  <si>
    <t>ISIC 09</t>
  </si>
  <si>
    <t>Mining support service activities</t>
  </si>
  <si>
    <t>Stacks</t>
  </si>
  <si>
    <t>ISIC 10T12</t>
  </si>
  <si>
    <t>Food products, beverages and tobacco</t>
  </si>
  <si>
    <t>BoP Breakdown</t>
  </si>
  <si>
    <t>ISIC 13T15</t>
  </si>
  <si>
    <t>Textiles, wearing apparel, leather and related products</t>
  </si>
  <si>
    <t>Hydrogen Gas Management System-Cathode system side</t>
  </si>
  <si>
    <t>ISIC 16</t>
  </si>
  <si>
    <t>Wood and of products of wood and cork (except furniture)</t>
  </si>
  <si>
    <t>Oxygen Gas Management System-Anode system side</t>
  </si>
  <si>
    <t>ISIC 17T18</t>
  </si>
  <si>
    <t>Paper products and printing</t>
  </si>
  <si>
    <t>Water Reacant Delivery Management System</t>
  </si>
  <si>
    <t>ISIC 19</t>
  </si>
  <si>
    <t>Coke and refined petroleum products</t>
  </si>
  <si>
    <t>Thermal Management System</t>
  </si>
  <si>
    <t>ISIC 20</t>
  </si>
  <si>
    <t>Chemicals</t>
  </si>
  <si>
    <t>Power Electronics</t>
  </si>
  <si>
    <t>ISIC 27</t>
  </si>
  <si>
    <t>ISIC 21</t>
  </si>
  <si>
    <t>Pharmaceuticals</t>
  </si>
  <si>
    <t>Controls &amp; Sensors</t>
  </si>
  <si>
    <t>ISIC 22</t>
  </si>
  <si>
    <t>Rubber and plastics products</t>
  </si>
  <si>
    <t>Mechanical Balance of Plant-ss plumbing/copper cabling/Dryer valves...</t>
  </si>
  <si>
    <t>ISIC 231</t>
  </si>
  <si>
    <t>Glass</t>
  </si>
  <si>
    <t>Item Breakdown- Other</t>
  </si>
  <si>
    <t>ISIC 239</t>
  </si>
  <si>
    <t>Cement and other nonmetallic minerals</t>
  </si>
  <si>
    <t>Item Breakdown-Assembly Labor</t>
  </si>
  <si>
    <t>ISIC 241</t>
  </si>
  <si>
    <t>Iron and steel</t>
  </si>
  <si>
    <t>ISIC 242</t>
  </si>
  <si>
    <t>Other metals</t>
  </si>
  <si>
    <t>ISIC 25</t>
  </si>
  <si>
    <t>Fabricated metal products, except machinery and equipment</t>
  </si>
  <si>
    <t>ISIC 26</t>
  </si>
  <si>
    <t>Computer, electronic and optical products</t>
  </si>
  <si>
    <t>Uninstalled Cost - ($/kW)  (with suggested subsystem breakdown, further breakdown desirable if available )</t>
  </si>
  <si>
    <t>Electrical equipment</t>
  </si>
  <si>
    <t>Electricity Usage (kWh/kg)</t>
  </si>
  <si>
    <t>Machinery and equipment n.e.c.</t>
  </si>
  <si>
    <t>System Power (kW)</t>
  </si>
  <si>
    <t>ISIC 29</t>
  </si>
  <si>
    <t>Motor vehicles, trailers and semi-trailers</t>
  </si>
  <si>
    <t>ISIC 30</t>
  </si>
  <si>
    <t>Other transport equipment</t>
  </si>
  <si>
    <t>BoP Total</t>
  </si>
  <si>
    <t>ISIC 31T33</t>
  </si>
  <si>
    <t>Other manufacturing; repair and installation of machinery and equipment</t>
  </si>
  <si>
    <t>ISIC 351</t>
  </si>
  <si>
    <t>Electricity generation and distribution</t>
  </si>
  <si>
    <t>ISIC 352T353</t>
  </si>
  <si>
    <t>Energy pipelines and gas processing</t>
  </si>
  <si>
    <t>ISIC 36T39</t>
  </si>
  <si>
    <t>Water and waste</t>
  </si>
  <si>
    <t>Construction</t>
  </si>
  <si>
    <t>ISIC 45T47</t>
  </si>
  <si>
    <t>Wholesale and retail trade; repair of motor vehicles</t>
  </si>
  <si>
    <t>ISIC 49T53</t>
  </si>
  <si>
    <t>Transportation and storage</t>
  </si>
  <si>
    <t>ISIC 55T56</t>
  </si>
  <si>
    <t>Accomodation and food services</t>
  </si>
  <si>
    <t>ISIC 58T60</t>
  </si>
  <si>
    <t>Publishing, audiovisual and broadcasting activities</t>
  </si>
  <si>
    <t>ISIC 61</t>
  </si>
  <si>
    <t>Telecommunications</t>
  </si>
  <si>
    <t>ISIC 62T63</t>
  </si>
  <si>
    <t>IT and other information services</t>
  </si>
  <si>
    <t>Financial and insurance activities</t>
  </si>
  <si>
    <t>ISIC 68</t>
  </si>
  <si>
    <t>Real estate activities</t>
  </si>
  <si>
    <t>ISIC 69T82</t>
  </si>
  <si>
    <t>Other business sector services</t>
  </si>
  <si>
    <t>ISIC 84</t>
  </si>
  <si>
    <t>Public administration and defence; compulsory social security</t>
  </si>
  <si>
    <t>ISIC 85</t>
  </si>
  <si>
    <t>Education</t>
  </si>
  <si>
    <t>ISIC 86T88</t>
  </si>
  <si>
    <t>Human health and social work</t>
  </si>
  <si>
    <t>ISIC 90T96</t>
  </si>
  <si>
    <t>Arts, entertainment, recreation and other service activities</t>
  </si>
  <si>
    <t>ISIC 97T98</t>
  </si>
  <si>
    <t>Private households with employed persons</t>
  </si>
  <si>
    <t>SoHPCCbRIC Share of Hydrogen Production Capital Costs by Recipient ISIC Code</t>
  </si>
  <si>
    <t>Sources:</t>
  </si>
  <si>
    <t>Electrolysis</t>
  </si>
  <si>
    <t>NREL</t>
  </si>
  <si>
    <t>Current Central Hydrogen Production from Grid PEM Electrolysis</t>
  </si>
  <si>
    <t>https://www.nrel.gov/hydrogen/assets/docs/current-central-pem-electrolysis-v3-2018.xlsm</t>
  </si>
  <si>
    <t>"Capital Costs" tab</t>
  </si>
  <si>
    <t>Natural Gas Reforming</t>
  </si>
  <si>
    <t>IEA</t>
  </si>
  <si>
    <t>Techno-Economic Evaluation of SMR Based Standalone (Merchant) Hydrogen Plant with CCS</t>
  </si>
  <si>
    <t>https://ieaghg.org/exco_docs/2017-02.pdf</t>
  </si>
  <si>
    <t>Techno-Economic Evaluation of Standalone (Merchant) H2 Plant (p.222)</t>
  </si>
  <si>
    <t xml:space="preserve">Coal/Biomass Gasification </t>
  </si>
  <si>
    <t>CO2 CAPTURE AT COAL BASED POWER AND HYDROGEN PLANTS</t>
  </si>
  <si>
    <t>https://ieaghg.org/docs/General_Docs/Reports/2014-03.pdf</t>
  </si>
  <si>
    <t>Chapter F, Table 12, CO2 CAPTURE AT BASED POWER AND HYDROGEN PLANTS CASE 5.3 - IGCC (GE Energy) HYDROGEN PRODUCTION - BOILER</t>
  </si>
  <si>
    <t>Notes</t>
  </si>
  <si>
    <t>We do not have data on thermochemical water splitting.  This hydrogen production pathway</t>
  </si>
  <si>
    <t>is not used in the U.S. EPS as of 3.0.0, so it doesn't matter what data are included here for</t>
  </si>
  <si>
    <t>that pathway.  We use the data for coal gasification as a stand-in, so that if</t>
  </si>
  <si>
    <t>someone enables this pathway in the future, the revenues from equipment</t>
  </si>
  <si>
    <t>purchases will not simply vanish, but will be allocated to ISIC codes, and</t>
  </si>
  <si>
    <t>expenses and revenues will still balance.  (They should update the allocations in</t>
  </si>
  <si>
    <t>this variable when they enable the thermochemical water splitting pathway.)</t>
  </si>
  <si>
    <t>52-code expansion (2026-07-17):</t>
  </si>
  <si>
    <t>The output tabs produce the 52-code ISIC list. The derivation above is unchanged and live; output-tab formulas reference the derivation tabs</t>
  </si>
  <si>
    <t>directly, with the original header-label criteria written as literals (the derivation tabs still use the pre-split 42-code labels).</t>
  </si>
  <si>
    <t>Children of split parents multiply the parent's allocation by the factors on the 'Factors applied' tab (editable; defaults = BEA 2024 gross-</t>
  </si>
  <si>
    <t>output shares from io-model/BObIC; semantic overrides documented per row with rationale).</t>
  </si>
  <si>
    <t>Child factors applied inline in the output-tab formulas (editable). Defaults = BEA 2024 output shares; semantic overrides and fuel reroutes noted per row.</t>
  </si>
  <si>
    <t>File</t>
  </si>
  <si>
    <t>Row context</t>
  </si>
  <si>
    <t>Child</t>
  </si>
  <si>
    <t>Parent</t>
  </si>
  <si>
    <t>Factor</t>
  </si>
  <si>
    <t>Rationale</t>
  </si>
  <si>
    <t>BEA 2024 output share</t>
  </si>
  <si>
    <t>SoHPCCbRIC.csv</t>
  </si>
  <si>
    <t>biomass gasification</t>
  </si>
  <si>
    <t>ISIC 01</t>
  </si>
  <si>
    <t>BEA 2024 output share (default)</t>
  </si>
  <si>
    <t>ISIC 02</t>
  </si>
  <si>
    <t>ISIC 03</t>
  </si>
  <si>
    <t>ISIC 07</t>
  </si>
  <si>
    <t>ISIC 08</t>
  </si>
  <si>
    <t>ISIC 301</t>
  </si>
  <si>
    <t>ISIC 302T309</t>
  </si>
  <si>
    <t>ISIC 49</t>
  </si>
  <si>
    <t>ISIC 50</t>
  </si>
  <si>
    <t>ISIC 51</t>
  </si>
  <si>
    <t>ISIC 52</t>
  </si>
  <si>
    <t>ISIC 53</t>
  </si>
  <si>
    <t>ISIC 69T75</t>
  </si>
  <si>
    <t>semantic override</t>
  </si>
  <si>
    <t>ISIC 77T82</t>
  </si>
  <si>
    <t>ISIC 90T93</t>
  </si>
  <si>
    <t>ISIC 94T96</t>
  </si>
  <si>
    <t>coal gasification</t>
  </si>
  <si>
    <t>electrolysis</t>
  </si>
  <si>
    <t>electrolysis with guaranteed clean electricity</t>
  </si>
  <si>
    <t>hydrocarbon partial oxidation</t>
  </si>
  <si>
    <t>natural gas reforming</t>
  </si>
  <si>
    <t>natural gas reforming with CCS</t>
  </si>
  <si>
    <t>Validation checks</t>
  </si>
  <si>
    <t>Child-factor groups sum to 1 (per file/context/parent; rate-file reroutes excluded)</t>
  </si>
  <si>
    <t>SoHPCCbRIC.csv | biomass gasification | ISIC 01T03</t>
  </si>
  <si>
    <t>SoHPCCbRIC.csv | biomass gasification | ISIC 07T08</t>
  </si>
  <si>
    <t>SoHPCCbRIC.csv | biomass gasification | ISIC 30</t>
  </si>
  <si>
    <t>SoHPCCbRIC.csv | biomass gasification | ISIC 49T53</t>
  </si>
  <si>
    <t>SoHPCCbRIC.csv | biomass gasification | ISIC 69T82</t>
  </si>
  <si>
    <t>SoHPCCbRIC.csv | biomass gasification | ISIC 90T96</t>
  </si>
  <si>
    <t>SoHPCCbRIC.csv | coal gasification | ISIC 01T03</t>
  </si>
  <si>
    <t>SoHPCCbRIC.csv | coal gasification | ISIC 07T08</t>
  </si>
  <si>
    <t>SoHPCCbRIC.csv | coal gasification | ISIC 30</t>
  </si>
  <si>
    <t>SoHPCCbRIC.csv | coal gasification | ISIC 49T53</t>
  </si>
  <si>
    <t>SoHPCCbRIC.csv | coal gasification | ISIC 69T82</t>
  </si>
  <si>
    <t>SoHPCCbRIC.csv | coal gasification | ISIC 90T96</t>
  </si>
  <si>
    <t>SoHPCCbRIC.csv | electrolysis | ISIC 01T03</t>
  </si>
  <si>
    <t>SoHPCCbRIC.csv | electrolysis | ISIC 07T08</t>
  </si>
  <si>
    <t>SoHPCCbRIC.csv | electrolysis | ISIC 30</t>
  </si>
  <si>
    <t>SoHPCCbRIC.csv | electrolysis | ISIC 49T53</t>
  </si>
  <si>
    <t>SoHPCCbRIC.csv | electrolysis | ISIC 69T82</t>
  </si>
  <si>
    <t>SoHPCCbRIC.csv | electrolysis | ISIC 90T96</t>
  </si>
  <si>
    <t>SoHPCCbRIC.csv | electrolysis with guaranteed c | ISIC 01T03</t>
  </si>
  <si>
    <t>SoHPCCbRIC.csv | electrolysis with guaranteed c | ISIC 07T08</t>
  </si>
  <si>
    <t>SoHPCCbRIC.csv | electrolysis with guaranteed c | ISIC 30</t>
  </si>
  <si>
    <t>SoHPCCbRIC.csv | electrolysis with guaranteed c | ISIC 49T53</t>
  </si>
  <si>
    <t>SoHPCCbRIC.csv | electrolysis with guaranteed c | ISIC 69T82</t>
  </si>
  <si>
    <t>SoHPCCbRIC.csv | electrolysis with guaranteed c | ISIC 90T96</t>
  </si>
  <si>
    <t>SoHPCCbRIC.csv | hydrocarbon partial oxidation | ISIC 01T03</t>
  </si>
  <si>
    <t>SoHPCCbRIC.csv | hydrocarbon partial oxidation | ISIC 07T08</t>
  </si>
  <si>
    <t>SoHPCCbRIC.csv | hydrocarbon partial oxidation | ISIC 30</t>
  </si>
  <si>
    <t>SoHPCCbRIC.csv | hydrocarbon partial oxidation | ISIC 49T53</t>
  </si>
  <si>
    <t>SoHPCCbRIC.csv | hydrocarbon partial oxidation | ISIC 69T82</t>
  </si>
  <si>
    <t>SoHPCCbRIC.csv | hydrocarbon partial oxidation | ISIC 90T96</t>
  </si>
  <si>
    <t>SoHPCCbRIC.csv | natural gas reforming | ISIC 01T03</t>
  </si>
  <si>
    <t>SoHPCCbRIC.csv | natural gas reforming | ISIC 07T08</t>
  </si>
  <si>
    <t>SoHPCCbRIC.csv | natural gas reforming | ISIC 30</t>
  </si>
  <si>
    <t>SoHPCCbRIC.csv | natural gas reforming | ISIC 49T53</t>
  </si>
  <si>
    <t>SoHPCCbRIC.csv | natural gas reforming | ISIC 69T82</t>
  </si>
  <si>
    <t>SoHPCCbRIC.csv | natural gas reforming | ISIC 90T96</t>
  </si>
  <si>
    <t>SoHPCCbRIC.csv | natural gas reforming with CCS | ISIC 01T03</t>
  </si>
  <si>
    <t>SoHPCCbRIC.csv | natural gas reforming with CCS | ISIC 07T08</t>
  </si>
  <si>
    <t>SoHPCCbRIC.csv | natural gas reforming with CCS | ISIC 30</t>
  </si>
  <si>
    <t>SoHPCCbRIC.csv | natural gas reforming with CCS | ISIC 49T53</t>
  </si>
  <si>
    <t>SoHPCCbRIC.csv | natural gas reforming with CCS | ISIC 69T82</t>
  </si>
  <si>
    <t>SoHPCCbRIC.csv | natural gas reforming with CCS | ISIC 90T96</t>
  </si>
  <si>
    <t>Unit: dimensionless (share of costs)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</si>
</sst>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2" formatCode="_(&quot;$&quot;* #,##0_);_(&quot;$&quot;* \(#,##0\);_(&quot;$&quot;* &quot;-&quot;_);_(@_)"/>
    <numFmt numFmtId="44" formatCode="_(&quot;$&quot;* #,##0.00_);_(&quot;$&quot;* \(#,##0.00\);_(&quot;$&quot;* &quot;-&quot;??_);_(@_)"/>
    <numFmt numFmtId="43" formatCode="_(* #,##0.00_);_(* \(#,##0.00\);_(* &quot;-&quot;??_);_(@_)"/>
    <numFmt numFmtId="164" formatCode="_(* #,##0_);_(* \(#,##0\);_(* &quot;-&quot;??_);_(@_)"/>
    <numFmt numFmtId="165" formatCode="0.000"/>
    <numFmt numFmtId="166" formatCode="0.0%"/>
    <numFmt numFmtId="167" formatCode="&quot;$&quot;#,##0"/>
    <numFmt numFmtId="168" formatCode="_(&quot;$&quot;* #,##0_);_(&quot;$&quot;* \(#,##0\);_(&quot;$&quot;* &quot;-&quot;??_);_(@_)"/>
  </numFmts>
  <fonts count="13">
    <font>
      <sz val="11"/>
      <color theme="1"/>
      <name val="Calibri"/>
      <family val="2"/>
      <scheme val="minor"/>
    </font>
    <font>
      <sz val="11"/>
      <color theme="1"/>
      <name val="Calibri"/>
      <family val="2"/>
      <scheme val="minor"/>
    </font>
    <font>
      <b/>
      <sz val="11"/>
      <color theme="1"/>
      <name val="Calibri"/>
      <family val="2"/>
      <scheme val="minor"/>
    </font>
    <font>
      <sz val="14"/>
      <color indexed="12"/>
      <name val="Arial Black"/>
      <family val="2"/>
    </font>
    <font>
      <b/>
      <sz val="12"/>
      <color indexed="12"/>
      <name val="Arial"/>
      <family val="2"/>
    </font>
    <font>
      <b/>
      <sz val="10"/>
      <name val="Arial"/>
      <family val="2"/>
    </font>
    <font>
      <sz val="10"/>
      <name val="Arial"/>
      <family val="2"/>
    </font>
    <font>
      <b/>
      <sz val="10"/>
      <color indexed="23"/>
      <name val="Arial"/>
      <family val="2"/>
    </font>
    <font>
      <b/>
      <sz val="12"/>
      <color indexed="23"/>
      <name val="Arial"/>
      <family val="2"/>
    </font>
    <font>
      <i/>
      <sz val="10"/>
      <name val="Arial"/>
      <family val="2"/>
    </font>
    <font>
      <u/>
      <sz val="11"/>
      <color theme="10"/>
      <name val="Calibri"/>
      <family val="2"/>
      <scheme val="minor"/>
    </font>
    <font>
      <b/>
      <sz val="11"/>
      <name val="Calibri"/>
    </font>
    <font>
      <sz val="11"/>
      <name val="Calibri"/>
    </font>
  </fonts>
  <fills count="8">
    <fill>
      <patternFill patternType="none"/>
    </fill>
    <fill>
      <patternFill patternType="gray125"/>
    </fill>
    <fill>
      <patternFill patternType="solid">
        <fgColor indexed="47"/>
        <bgColor indexed="64"/>
      </patternFill>
    </fill>
    <fill>
      <patternFill patternType="solid">
        <fgColor indexed="42"/>
        <bgColor indexed="64"/>
      </patternFill>
    </fill>
    <fill>
      <patternFill patternType="solid">
        <fgColor indexed="9"/>
        <bgColor indexed="64"/>
      </patternFill>
    </fill>
    <fill>
      <patternFill patternType="solid">
        <fgColor indexed="44"/>
        <bgColor indexed="64"/>
      </patternFill>
    </fill>
    <fill>
      <patternFill patternType="solid">
        <fgColor theme="0" tint="-4.9989318521683403E-2"/>
        <bgColor indexed="64"/>
      </patternFill>
    </fill>
    <fill>
      <patternFill patternType="solid">
        <fgColor theme="0" tint="-0.249977111117893"/>
        <bgColor indexed="64"/>
      </patternFill>
    </fill>
  </fills>
  <borders count="38">
    <border>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style="thin">
        <color indexed="64"/>
      </right>
      <top style="thin">
        <color indexed="64"/>
      </top>
      <bottom style="medium">
        <color indexed="64"/>
      </bottom>
      <diagonal/>
    </border>
    <border>
      <left/>
      <right style="medium">
        <color indexed="64"/>
      </right>
      <top/>
      <bottom style="medium">
        <color indexed="64"/>
      </bottom>
      <diagonal/>
    </border>
    <border>
      <left style="thick">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n">
        <color indexed="64"/>
      </right>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bottom style="thick">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s>
  <cellStyleXfs count="5">
    <xf numFmtId="0" fontId="0" fillId="0" borderId="0"/>
    <xf numFmtId="43" fontId="1" fillId="0" borderId="0"/>
    <xf numFmtId="44" fontId="1" fillId="0" borderId="0"/>
    <xf numFmtId="9" fontId="1" fillId="0" borderId="0"/>
    <xf numFmtId="0" fontId="10" fillId="0" borderId="0"/>
  </cellStyleXfs>
  <cellXfs count="66">
    <xf numFmtId="0" fontId="0" fillId="0" borderId="0" xfId="0"/>
    <xf numFmtId="0" fontId="2" fillId="0" borderId="0" xfId="0" applyFont="1"/>
    <xf numFmtId="0" fontId="3" fillId="0" borderId="0" xfId="0" applyFont="1"/>
    <xf numFmtId="0" fontId="4" fillId="0" borderId="0" xfId="0" applyFont="1" applyAlignment="1">
      <alignment horizontal="right"/>
    </xf>
    <xf numFmtId="0" fontId="5" fillId="0" borderId="0" xfId="0" applyFont="1" applyAlignment="1">
      <alignment wrapText="1"/>
    </xf>
    <xf numFmtId="164" fontId="6" fillId="2" borderId="1" xfId="1" applyNumberFormat="1" applyFont="1" applyFill="1" applyBorder="1" applyAlignment="1" applyProtection="1">
      <alignment wrapText="1"/>
      <protection locked="0"/>
    </xf>
    <xf numFmtId="0" fontId="5" fillId="0" borderId="0" xfId="0" applyFont="1"/>
    <xf numFmtId="0" fontId="6" fillId="5" borderId="4" xfId="0" applyFont="1" applyFill="1" applyBorder="1" applyAlignment="1" applyProtection="1">
      <alignment wrapText="1"/>
      <protection locked="0"/>
    </xf>
    <xf numFmtId="0" fontId="6" fillId="2" borderId="7" xfId="0" applyFont="1" applyFill="1" applyBorder="1" applyAlignment="1" applyProtection="1">
      <alignment wrapText="1"/>
      <protection locked="0"/>
    </xf>
    <xf numFmtId="165" fontId="6" fillId="5" borderId="4" xfId="0" applyNumberFormat="1" applyFont="1" applyFill="1" applyBorder="1" applyAlignment="1" applyProtection="1">
      <alignment wrapText="1"/>
      <protection locked="0"/>
    </xf>
    <xf numFmtId="165" fontId="6" fillId="5" borderId="9" xfId="0" applyNumberFormat="1" applyFont="1" applyFill="1" applyBorder="1" applyAlignment="1" applyProtection="1">
      <alignment wrapText="1"/>
      <protection locked="0"/>
    </xf>
    <xf numFmtId="0" fontId="8" fillId="4" borderId="11" xfId="0" applyFont="1" applyFill="1" applyBorder="1" applyProtection="1">
      <protection locked="0"/>
    </xf>
    <xf numFmtId="0" fontId="8" fillId="4" borderId="12" xfId="0" applyFont="1" applyFill="1" applyBorder="1" applyProtection="1">
      <protection locked="0"/>
    </xf>
    <xf numFmtId="0" fontId="8" fillId="4" borderId="13" xfId="0" applyFont="1" applyFill="1" applyBorder="1" applyProtection="1">
      <protection locked="0"/>
    </xf>
    <xf numFmtId="0" fontId="8" fillId="4" borderId="14" xfId="0" applyFont="1" applyFill="1" applyBorder="1" applyAlignment="1" applyProtection="1">
      <alignment horizontal="right" wrapText="1"/>
      <protection locked="0"/>
    </xf>
    <xf numFmtId="0" fontId="7" fillId="4" borderId="15" xfId="0" applyFont="1" applyFill="1" applyBorder="1" applyAlignment="1" applyProtection="1">
      <alignment horizontal="center" wrapText="1"/>
      <protection locked="0"/>
    </xf>
    <xf numFmtId="0" fontId="7" fillId="4" borderId="16" xfId="0" applyFont="1" applyFill="1" applyBorder="1" applyAlignment="1" applyProtection="1">
      <alignment horizontal="center" wrapText="1"/>
      <protection locked="0"/>
    </xf>
    <xf numFmtId="0" fontId="7" fillId="4" borderId="17" xfId="0" applyFont="1" applyFill="1" applyBorder="1" applyAlignment="1" applyProtection="1">
      <alignment horizontal="center" wrapText="1"/>
      <protection locked="0"/>
    </xf>
    <xf numFmtId="0" fontId="6" fillId="2" borderId="18" xfId="0" applyFont="1" applyFill="1" applyBorder="1" applyAlignment="1" applyProtection="1">
      <alignment horizontal="left" wrapText="1"/>
      <protection locked="0"/>
    </xf>
    <xf numFmtId="3" fontId="6" fillId="2" borderId="19" xfId="0" applyNumberFormat="1" applyFont="1" applyFill="1" applyBorder="1" applyAlignment="1" applyProtection="1">
      <alignment wrapText="1"/>
      <protection locked="0"/>
    </xf>
    <xf numFmtId="42" fontId="6" fillId="5" borderId="20" xfId="0" applyNumberFormat="1" applyFont="1" applyFill="1" applyBorder="1" applyAlignment="1" applyProtection="1">
      <alignment wrapText="1"/>
      <protection locked="0"/>
    </xf>
    <xf numFmtId="2" fontId="6" fillId="2" borderId="21" xfId="0" applyNumberFormat="1" applyFont="1" applyFill="1" applyBorder="1" applyAlignment="1" applyProtection="1">
      <alignment wrapText="1"/>
      <protection locked="0"/>
    </xf>
    <xf numFmtId="0" fontId="6" fillId="3" borderId="22" xfId="0" applyFont="1" applyFill="1" applyBorder="1" applyAlignment="1" applyProtection="1">
      <alignment wrapText="1"/>
      <protection locked="0"/>
    </xf>
    <xf numFmtId="0" fontId="6" fillId="3" borderId="23" xfId="0" applyFont="1" applyFill="1" applyBorder="1" applyAlignment="1" applyProtection="1">
      <alignment wrapText="1"/>
      <protection locked="0"/>
    </xf>
    <xf numFmtId="0" fontId="5" fillId="2" borderId="4" xfId="0" applyFont="1" applyFill="1" applyBorder="1" applyAlignment="1" applyProtection="1">
      <alignment horizontal="left" wrapText="1"/>
      <protection locked="0"/>
    </xf>
    <xf numFmtId="164" fontId="6" fillId="2" borderId="24" xfId="0" applyNumberFormat="1" applyFont="1" applyFill="1" applyBorder="1" applyAlignment="1" applyProtection="1">
      <alignment wrapText="1"/>
      <protection locked="0"/>
    </xf>
    <xf numFmtId="2" fontId="6" fillId="2" borderId="25" xfId="0" applyNumberFormat="1" applyFont="1" applyFill="1" applyBorder="1" applyAlignment="1" applyProtection="1">
      <alignment wrapText="1"/>
      <protection locked="0"/>
    </xf>
    <xf numFmtId="0" fontId="6" fillId="3" borderId="26" xfId="0" applyFont="1" applyFill="1" applyBorder="1" applyAlignment="1" applyProtection="1">
      <alignment wrapText="1"/>
      <protection locked="0"/>
    </xf>
    <xf numFmtId="0" fontId="6" fillId="3" borderId="27" xfId="0" applyFont="1" applyFill="1" applyBorder="1" applyAlignment="1" applyProtection="1">
      <alignment wrapText="1"/>
      <protection locked="0"/>
    </xf>
    <xf numFmtId="0" fontId="6" fillId="2" borderId="4" xfId="0" applyFont="1" applyFill="1" applyBorder="1" applyAlignment="1" applyProtection="1">
      <alignment horizontal="left" wrapText="1" indent="1"/>
      <protection locked="0"/>
    </xf>
    <xf numFmtId="0" fontId="6" fillId="4" borderId="28" xfId="0" applyFont="1" applyFill="1" applyBorder="1" applyAlignment="1" applyProtection="1">
      <alignment horizontal="left" wrapText="1"/>
      <protection locked="0"/>
    </xf>
    <xf numFmtId="164" fontId="6" fillId="5" borderId="29" xfId="0" applyNumberFormat="1" applyFont="1" applyFill="1" applyBorder="1" applyAlignment="1" applyProtection="1">
      <alignment wrapText="1"/>
      <protection locked="0"/>
    </xf>
    <xf numFmtId="42" fontId="6" fillId="5" borderId="30" xfId="0" applyNumberFormat="1" applyFont="1" applyFill="1" applyBorder="1" applyAlignment="1" applyProtection="1">
      <alignment wrapText="1"/>
      <protection locked="0"/>
    </xf>
    <xf numFmtId="2" fontId="6" fillId="4" borderId="29" xfId="0" applyNumberFormat="1" applyFont="1" applyFill="1" applyBorder="1" applyAlignment="1" applyProtection="1">
      <alignment wrapText="1"/>
      <protection locked="0"/>
    </xf>
    <xf numFmtId="0" fontId="6" fillId="4" borderId="29" xfId="0" applyFont="1" applyFill="1" applyBorder="1" applyAlignment="1" applyProtection="1">
      <alignment wrapText="1"/>
      <protection locked="0"/>
    </xf>
    <xf numFmtId="0" fontId="6" fillId="4" borderId="31" xfId="0" applyFont="1" applyFill="1" applyBorder="1" applyAlignment="1" applyProtection="1">
      <alignment wrapText="1"/>
      <protection locked="0"/>
    </xf>
    <xf numFmtId="164" fontId="0" fillId="0" borderId="0" xfId="0" applyNumberFormat="1"/>
    <xf numFmtId="0" fontId="0" fillId="6" borderId="32" xfId="0" applyFill="1" applyBorder="1"/>
    <xf numFmtId="0" fontId="6" fillId="6" borderId="32" xfId="0" applyFont="1" applyFill="1" applyBorder="1"/>
    <xf numFmtId="164" fontId="0" fillId="6" borderId="32" xfId="1" applyNumberFormat="1" applyFont="1" applyFill="1" applyBorder="1"/>
    <xf numFmtId="9" fontId="0" fillId="6" borderId="32" xfId="0" applyNumberFormat="1" applyFill="1" applyBorder="1"/>
    <xf numFmtId="0" fontId="9" fillId="6" borderId="32" xfId="0" applyFont="1" applyFill="1" applyBorder="1"/>
    <xf numFmtId="0" fontId="10" fillId="0" borderId="0" xfId="4"/>
    <xf numFmtId="0" fontId="0" fillId="0" borderId="0" xfId="0" applyAlignment="1">
      <alignment horizontal="left"/>
    </xf>
    <xf numFmtId="0" fontId="2" fillId="7" borderId="0" xfId="0" applyFont="1" applyFill="1"/>
    <xf numFmtId="0" fontId="0" fillId="0" borderId="0" xfId="0" applyAlignment="1">
      <alignment wrapText="1"/>
    </xf>
    <xf numFmtId="166" fontId="0" fillId="0" borderId="0" xfId="3" applyNumberFormat="1" applyFont="1"/>
    <xf numFmtId="167" fontId="0" fillId="0" borderId="0" xfId="0" applyNumberFormat="1"/>
    <xf numFmtId="168" fontId="0" fillId="0" borderId="0" xfId="2" applyNumberFormat="1" applyFont="1"/>
    <xf numFmtId="0" fontId="11" fillId="0" borderId="0" xfId="0" applyFont="1"/>
    <xf numFmtId="0" fontId="12" fillId="0" borderId="0" xfId="0" applyFont="1"/>
    <xf numFmtId="0" fontId="0" fillId="0" borderId="0" xfId="0" applyAlignment="1">
      <alignment horizontal="left" wrapText="1"/>
    </xf>
    <xf numFmtId="0" fontId="0" fillId="0" borderId="0" xfId="0"/>
    <xf numFmtId="0" fontId="7" fillId="4" borderId="3" xfId="0" applyFont="1" applyFill="1" applyBorder="1" applyAlignment="1" applyProtection="1">
      <alignment horizontal="center" wrapText="1"/>
      <protection locked="0"/>
    </xf>
    <xf numFmtId="0" fontId="0" fillId="0" borderId="3" xfId="0" applyBorder="1" applyProtection="1">
      <protection locked="0"/>
    </xf>
    <xf numFmtId="0" fontId="6" fillId="3" borderId="33" xfId="0" applyFont="1" applyFill="1" applyBorder="1" applyAlignment="1" applyProtection="1">
      <alignment wrapText="1"/>
      <protection locked="0"/>
    </xf>
    <xf numFmtId="0" fontId="0" fillId="0" borderId="10" xfId="0" applyBorder="1" applyProtection="1">
      <protection locked="0"/>
    </xf>
    <xf numFmtId="0" fontId="6" fillId="3" borderId="37" xfId="0" applyFont="1" applyFill="1" applyBorder="1" applyAlignment="1" applyProtection="1">
      <alignment wrapText="1"/>
      <protection locked="0"/>
    </xf>
    <xf numFmtId="0" fontId="0" fillId="0" borderId="0" xfId="0" applyProtection="1">
      <protection locked="0"/>
    </xf>
    <xf numFmtId="0" fontId="0" fillId="0" borderId="8" xfId="0" applyBorder="1" applyProtection="1">
      <protection locked="0"/>
    </xf>
    <xf numFmtId="0" fontId="6" fillId="3" borderId="2" xfId="0" applyFont="1" applyFill="1" applyBorder="1" applyAlignment="1" applyProtection="1">
      <alignment wrapText="1"/>
      <protection locked="0"/>
    </xf>
    <xf numFmtId="0" fontId="0" fillId="0" borderId="34" xfId="0" applyBorder="1" applyProtection="1">
      <protection locked="0"/>
    </xf>
    <xf numFmtId="0" fontId="0" fillId="0" borderId="35" xfId="0" applyBorder="1" applyProtection="1">
      <protection locked="0"/>
    </xf>
    <xf numFmtId="0" fontId="6" fillId="3" borderId="36" xfId="0" applyFont="1" applyFill="1" applyBorder="1" applyAlignment="1" applyProtection="1">
      <alignment wrapText="1"/>
      <protection locked="0"/>
    </xf>
    <xf numFmtId="0" fontId="0" fillId="0" borderId="5" xfId="0" applyBorder="1" applyProtection="1">
      <protection locked="0"/>
    </xf>
    <xf numFmtId="0" fontId="0" fillId="0" borderId="6" xfId="0" applyBorder="1" applyProtection="1">
      <protection locked="0"/>
    </xf>
  </cellXfs>
  <cellStyles count="5">
    <cellStyle name="Comma" xfId="1" builtinId="3"/>
    <cellStyle name="Currency" xfId="2" builtinId="4"/>
    <cellStyle name="Hyperlink" xfId="4" builtinId="8"/>
    <cellStyle name="Normal" xfId="0" builtinId="0"/>
    <cellStyle name="Percent" xfId="3"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3</xdr:col>
      <xdr:colOff>678180</xdr:colOff>
      <xdr:row>31</xdr:row>
      <xdr:rowOff>76200</xdr:rowOff>
    </xdr:from>
    <xdr:to>
      <xdr:col>4</xdr:col>
      <xdr:colOff>769620</xdr:colOff>
      <xdr:row>33</xdr:row>
      <xdr:rowOff>38100</xdr:rowOff>
    </xdr:to>
    <xdr:sp macro="" textlink="">
      <xdr:nvSpPr>
        <xdr:cNvPr id="3" name="Rounded Rectangle 2">
          <a:extLst>
            <a:ext uri="{FF2B5EF4-FFF2-40B4-BE49-F238E27FC236}">
              <a16:creationId xmlns:a16="http://schemas.microsoft.com/office/drawing/2014/main" id="{00000000-0008-0000-0100-000003000000}"/>
            </a:ext>
          </a:extLst>
        </xdr:cNvPr>
        <xdr:cNvSpPr/>
      </xdr:nvSpPr>
      <xdr:spPr>
        <a:xfrm>
          <a:off x="4935855" y="76200"/>
          <a:ext cx="1339215" cy="409575"/>
        </a:xfrm>
        <a:prstGeom prst="roundRect">
          <a:avLst/>
        </a:prstGeom>
        <a:solidFill>
          <a:srgbClr val="8080E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0" cap="none" spc="0">
              <a:ln w="0"/>
              <a:solidFill>
                <a:schemeClr val="bg1"/>
              </a:solidFill>
              <a:effectLst>
                <a:outerShdw blurRad="38100" dist="25400" dir="5400000" algn="ctr" rotWithShape="0">
                  <a:srgbClr val="6E747A">
                    <a:alpha val="43000"/>
                  </a:srgbClr>
                </a:outerShdw>
              </a:effectLst>
              <a:latin typeface="Arial" panose="020B0604020202020204" pitchFamily="34" charset="0"/>
              <a:ea typeface="+mn-ea"/>
              <a:cs typeface="Arial" panose="020B0604020202020204" pitchFamily="34" charset="0"/>
            </a:rPr>
            <a:t>Input Sheet</a:t>
          </a:r>
        </a:p>
      </xdr:txBody>
    </xdr:sp>
    <xdr:clientData/>
  </xdr:twoCellAnchor>
  <xdr:twoCellAnchor>
    <xdr:from>
      <xdr:col>3</xdr:col>
      <xdr:colOff>678180</xdr:colOff>
      <xdr:row>33</xdr:row>
      <xdr:rowOff>106680</xdr:rowOff>
    </xdr:from>
    <xdr:to>
      <xdr:col>4</xdr:col>
      <xdr:colOff>769620</xdr:colOff>
      <xdr:row>35</xdr:row>
      <xdr:rowOff>152400</xdr:rowOff>
    </xdr:to>
    <xdr:sp macro="" textlink="">
      <xdr:nvSpPr>
        <xdr:cNvPr id="4" name="Rounded Rectangle 3">
          <a:extLst>
            <a:ext uri="{FF2B5EF4-FFF2-40B4-BE49-F238E27FC236}">
              <a16:creationId xmlns:a16="http://schemas.microsoft.com/office/drawing/2014/main" id="{00000000-0008-0000-0100-000004000000}"/>
            </a:ext>
          </a:extLst>
        </xdr:cNvPr>
        <xdr:cNvSpPr/>
      </xdr:nvSpPr>
      <xdr:spPr>
        <a:xfrm>
          <a:off x="4935855" y="554355"/>
          <a:ext cx="1339215" cy="407670"/>
        </a:xfrm>
        <a:prstGeom prst="roundRect">
          <a:avLst/>
        </a:prstGeom>
        <a:solidFill>
          <a:srgbClr val="8080E1"/>
        </a:solidFill>
        <a:ln>
          <a:noFill/>
        </a:ln>
        <a:scene3d>
          <a:camera prst="orthographicFront"/>
          <a:lightRig rig="threePt" dir="t"/>
        </a:scene3d>
        <a:sp3d>
          <a:bevelT/>
        </a:sp3d>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1200" b="0" i="1" cap="none" spc="0">
              <a:ln w="0"/>
              <a:solidFill>
                <a:schemeClr val="bg1"/>
              </a:solidFill>
              <a:effectLst>
                <a:outerShdw blurRad="38100" dist="25400" dir="5400000" algn="ctr" rotWithShape="0">
                  <a:srgbClr val="6E747A">
                    <a:alpha val="43000"/>
                  </a:srgbClr>
                </a:outerShdw>
              </a:effectLst>
              <a:latin typeface="Arial" panose="020B0604020202020204" pitchFamily="34" charset="0"/>
              <a:ea typeface="+mn-ea"/>
              <a:cs typeface="Arial" panose="020B0604020202020204" pitchFamily="34" charset="0"/>
            </a:rPr>
            <a:t>Key</a:t>
          </a:r>
        </a:p>
      </xdr:txBody>
    </xdr:sp>
    <xdr:clientData/>
  </xdr:twoCellAnchor>
  <xdr:twoCellAnchor editAs="oneCell">
    <xdr:from>
      <xdr:col>0</xdr:col>
      <xdr:colOff>0</xdr:colOff>
      <xdr:row>0</xdr:row>
      <xdr:rowOff>0</xdr:rowOff>
    </xdr:from>
    <xdr:to>
      <xdr:col>10</xdr:col>
      <xdr:colOff>722200</xdr:colOff>
      <xdr:row>23</xdr:row>
      <xdr:rowOff>94690</xdr:rowOff>
    </xdr:to>
    <xdr:pic>
      <xdr:nvPicPr>
        <xdr:cNvPr id="6" name="Pictur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1"/>
        <a:stretch>
          <a:fillRect/>
        </a:stretch>
      </xdr:blipFill>
      <xdr:spPr>
        <a:xfrm>
          <a:off x="0" y="0"/>
          <a:ext cx="13600000" cy="4476190"/>
        </a:xfrm>
        <a:prstGeom prst="rect">
          <a:avLst/>
        </a:prstGeom>
      </xdr:spPr>
    </xdr:pic>
    <xdr:clientData/>
  </xdr:twoCellAnchor>
  <xdr:twoCellAnchor editAs="oneCell">
    <xdr:from>
      <xdr:col>1</xdr:col>
      <xdr:colOff>0</xdr:colOff>
      <xdr:row>78</xdr:row>
      <xdr:rowOff>0</xdr:rowOff>
    </xdr:from>
    <xdr:to>
      <xdr:col>9</xdr:col>
      <xdr:colOff>198543</xdr:colOff>
      <xdr:row>98</xdr:row>
      <xdr:rowOff>85238</xdr:rowOff>
    </xdr:to>
    <xdr:pic>
      <xdr:nvPicPr>
        <xdr:cNvPr id="7" name="Picture 6">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2"/>
        <a:stretch>
          <a:fillRect/>
        </a:stretch>
      </xdr:blipFill>
      <xdr:spPr>
        <a:xfrm>
          <a:off x="609600" y="15563850"/>
          <a:ext cx="11857143" cy="3895238"/>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ieaghg.org/docs/General_Docs/Reports/2014-03.pdf" TargetMode="External"/><Relationship Id="rId2" Type="http://schemas.openxmlformats.org/officeDocument/2006/relationships/hyperlink" Target="https://ieaghg.org/exco_docs/2017-02.pdf" TargetMode="External"/><Relationship Id="rId1" Type="http://schemas.openxmlformats.org/officeDocument/2006/relationships/hyperlink" Target="https://www.nrel.gov/hydrogen/assets/docs/current-central-pem-electrolysis-v3-2018.xlsm"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8"/>
  <sheetViews>
    <sheetView tabSelected="1" workbookViewId="0">
      <selection activeCell="B11" sqref="B11"/>
    </sheetView>
  </sheetViews>
  <sheetFormatPr defaultRowHeight="15"/>
  <cols>
    <col min="2" max="2" width="65.140625" customWidth="1"/>
  </cols>
  <sheetData>
    <row r="1" spans="1:2">
      <c r="A1" s="1" t="s">
        <v>117</v>
      </c>
    </row>
    <row r="3" spans="1:2">
      <c r="A3" s="1" t="s">
        <v>118</v>
      </c>
      <c r="B3" s="44" t="s">
        <v>119</v>
      </c>
    </row>
    <row r="4" spans="1:2">
      <c r="B4" t="s">
        <v>120</v>
      </c>
    </row>
    <row r="5" spans="1:2">
      <c r="B5" s="43">
        <v>2018</v>
      </c>
    </row>
    <row r="6" spans="1:2">
      <c r="B6" t="s">
        <v>121</v>
      </c>
    </row>
    <row r="7" spans="1:2">
      <c r="B7" s="42" t="s">
        <v>122</v>
      </c>
    </row>
    <row r="8" spans="1:2">
      <c r="B8" t="s">
        <v>123</v>
      </c>
    </row>
    <row r="10" spans="1:2">
      <c r="B10" s="44" t="s">
        <v>124</v>
      </c>
    </row>
    <row r="11" spans="1:2">
      <c r="B11" t="s">
        <v>125</v>
      </c>
    </row>
    <row r="12" spans="1:2">
      <c r="B12" s="43">
        <v>2017</v>
      </c>
    </row>
    <row r="13" spans="1:2">
      <c r="B13" t="s">
        <v>126</v>
      </c>
    </row>
    <row r="14" spans="1:2">
      <c r="B14" s="42" t="s">
        <v>127</v>
      </c>
    </row>
    <row r="15" spans="1:2">
      <c r="B15" t="s">
        <v>128</v>
      </c>
    </row>
    <row r="17" spans="1:2">
      <c r="B17" s="44" t="s">
        <v>129</v>
      </c>
    </row>
    <row r="18" spans="1:2">
      <c r="B18" t="s">
        <v>125</v>
      </c>
    </row>
    <row r="19" spans="1:2">
      <c r="B19" s="43">
        <v>2014</v>
      </c>
    </row>
    <row r="20" spans="1:2">
      <c r="B20" t="s">
        <v>130</v>
      </c>
    </row>
    <row r="21" spans="1:2">
      <c r="B21" s="42" t="s">
        <v>131</v>
      </c>
    </row>
    <row r="22" spans="1:2" ht="29.1" customHeight="1">
      <c r="B22" s="45" t="s">
        <v>132</v>
      </c>
    </row>
    <row r="24" spans="1:2">
      <c r="A24" s="1" t="s">
        <v>133</v>
      </c>
    </row>
    <row r="25" spans="1:2">
      <c r="A25" t="s">
        <v>134</v>
      </c>
    </row>
    <row r="26" spans="1:2">
      <c r="A26" t="s">
        <v>135</v>
      </c>
    </row>
    <row r="27" spans="1:2">
      <c r="A27" t="s">
        <v>136</v>
      </c>
    </row>
    <row r="28" spans="1:2">
      <c r="A28" t="s">
        <v>137</v>
      </c>
    </row>
    <row r="29" spans="1:2">
      <c r="A29" t="s">
        <v>138</v>
      </c>
    </row>
    <row r="30" spans="1:2">
      <c r="A30" t="s">
        <v>139</v>
      </c>
    </row>
    <row r="31" spans="1:2">
      <c r="A31" t="s">
        <v>140</v>
      </c>
    </row>
    <row r="33" spans="1:1">
      <c r="A33" s="49" t="s">
        <v>141</v>
      </c>
    </row>
    <row r="34" spans="1:1">
      <c r="A34" t="s">
        <v>142</v>
      </c>
    </row>
    <row r="35" spans="1:1">
      <c r="A35" t="s">
        <v>143</v>
      </c>
    </row>
    <row r="37" spans="1:1">
      <c r="A37" t="s">
        <v>144</v>
      </c>
    </row>
    <row r="38" spans="1:1">
      <c r="A38" t="s">
        <v>145</v>
      </c>
    </row>
  </sheetData>
  <hyperlinks>
    <hyperlink ref="B7" r:id="rId1" xr:uid="{00000000-0004-0000-0000-000000000000}"/>
    <hyperlink ref="B14" r:id="rId2" xr:uid="{00000000-0004-0000-0000-000001000000}"/>
    <hyperlink ref="B21"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14"/>
  <sheetViews>
    <sheetView workbookViewId="0"/>
  </sheetViews>
  <sheetFormatPr defaultRowHeight="15"/>
  <cols>
    <col min="1" max="1" width="28" customWidth="1"/>
    <col min="2" max="2" width="30" customWidth="1"/>
    <col min="6" max="6" width="44" customWidth="1"/>
  </cols>
  <sheetData>
    <row r="1" spans="1:7">
      <c r="A1" s="49" t="s">
        <v>146</v>
      </c>
    </row>
    <row r="2" spans="1:7">
      <c r="A2" s="49" t="s">
        <v>147</v>
      </c>
      <c r="B2" s="49" t="s">
        <v>148</v>
      </c>
      <c r="C2" s="49" t="s">
        <v>149</v>
      </c>
      <c r="D2" s="49" t="s">
        <v>150</v>
      </c>
      <c r="E2" s="49" t="s">
        <v>151</v>
      </c>
      <c r="F2" s="49" t="s">
        <v>152</v>
      </c>
      <c r="G2" s="49" t="s">
        <v>153</v>
      </c>
    </row>
    <row r="3" spans="1:7">
      <c r="A3" t="s">
        <v>154</v>
      </c>
      <c r="B3" t="s">
        <v>155</v>
      </c>
      <c r="C3" t="s">
        <v>156</v>
      </c>
      <c r="D3" t="s">
        <v>12</v>
      </c>
      <c r="E3">
        <v>0.94299868264323294</v>
      </c>
      <c r="F3" t="s">
        <v>157</v>
      </c>
      <c r="G3">
        <v>0.94299868264323294</v>
      </c>
    </row>
    <row r="4" spans="1:7">
      <c r="A4" t="s">
        <v>154</v>
      </c>
      <c r="B4" t="s">
        <v>155</v>
      </c>
      <c r="C4" t="s">
        <v>158</v>
      </c>
      <c r="D4" t="s">
        <v>12</v>
      </c>
      <c r="E4">
        <v>4.1765731369656618E-2</v>
      </c>
      <c r="F4" t="s">
        <v>157</v>
      </c>
      <c r="G4">
        <v>4.1765731369656618E-2</v>
      </c>
    </row>
    <row r="5" spans="1:7">
      <c r="A5" t="s">
        <v>154</v>
      </c>
      <c r="B5" t="s">
        <v>155</v>
      </c>
      <c r="C5" t="s">
        <v>159</v>
      </c>
      <c r="D5" t="s">
        <v>12</v>
      </c>
      <c r="E5">
        <v>1.523558598711041E-2</v>
      </c>
      <c r="F5" t="s">
        <v>157</v>
      </c>
      <c r="G5">
        <v>1.523558598711041E-2</v>
      </c>
    </row>
    <row r="6" spans="1:7">
      <c r="A6" t="s">
        <v>154</v>
      </c>
      <c r="B6" t="s">
        <v>155</v>
      </c>
      <c r="C6" t="s">
        <v>160</v>
      </c>
      <c r="D6" t="s">
        <v>21</v>
      </c>
      <c r="E6">
        <v>0.43273688361237522</v>
      </c>
      <c r="F6" t="s">
        <v>157</v>
      </c>
      <c r="G6">
        <v>0.43273688361237522</v>
      </c>
    </row>
    <row r="7" spans="1:7">
      <c r="A7" t="s">
        <v>154</v>
      </c>
      <c r="B7" t="s">
        <v>155</v>
      </c>
      <c r="C7" t="s">
        <v>161</v>
      </c>
      <c r="D7" t="s">
        <v>21</v>
      </c>
      <c r="E7">
        <v>0.56726311638762483</v>
      </c>
      <c r="F7" t="s">
        <v>157</v>
      </c>
      <c r="G7">
        <v>0.56726311638762483</v>
      </c>
    </row>
    <row r="8" spans="1:7">
      <c r="A8" t="s">
        <v>154</v>
      </c>
      <c r="B8" t="s">
        <v>155</v>
      </c>
      <c r="C8" t="s">
        <v>162</v>
      </c>
      <c r="D8" t="s">
        <v>78</v>
      </c>
      <c r="E8">
        <v>0.1171368722490322</v>
      </c>
      <c r="F8" t="s">
        <v>157</v>
      </c>
      <c r="G8">
        <v>0.1171368722490322</v>
      </c>
    </row>
    <row r="9" spans="1:7">
      <c r="A9" t="s">
        <v>154</v>
      </c>
      <c r="B9" t="s">
        <v>155</v>
      </c>
      <c r="C9" t="s">
        <v>163</v>
      </c>
      <c r="D9" t="s">
        <v>78</v>
      </c>
      <c r="E9">
        <v>0.88286312775096776</v>
      </c>
      <c r="F9" t="s">
        <v>157</v>
      </c>
      <c r="G9">
        <v>0.88286312775096776</v>
      </c>
    </row>
    <row r="10" spans="1:7">
      <c r="A10" t="s">
        <v>154</v>
      </c>
      <c r="B10" t="s">
        <v>155</v>
      </c>
      <c r="C10" t="s">
        <v>164</v>
      </c>
      <c r="D10" t="s">
        <v>92</v>
      </c>
      <c r="E10">
        <v>0.47816430118296149</v>
      </c>
      <c r="F10" t="s">
        <v>157</v>
      </c>
      <c r="G10">
        <v>0.47816430118296149</v>
      </c>
    </row>
    <row r="11" spans="1:7">
      <c r="A11" t="s">
        <v>154</v>
      </c>
      <c r="B11" t="s">
        <v>155</v>
      </c>
      <c r="C11" t="s">
        <v>165</v>
      </c>
      <c r="D11" t="s">
        <v>92</v>
      </c>
      <c r="E11">
        <v>4.2586393966149647E-2</v>
      </c>
      <c r="F11" t="s">
        <v>157</v>
      </c>
      <c r="G11">
        <v>4.2586393966149647E-2</v>
      </c>
    </row>
    <row r="12" spans="1:7">
      <c r="A12" t="s">
        <v>154</v>
      </c>
      <c r="B12" t="s">
        <v>155</v>
      </c>
      <c r="C12" t="s">
        <v>166</v>
      </c>
      <c r="D12" t="s">
        <v>92</v>
      </c>
      <c r="E12">
        <v>0.1808024634415262</v>
      </c>
      <c r="F12" t="s">
        <v>157</v>
      </c>
      <c r="G12">
        <v>0.1808024634415262</v>
      </c>
    </row>
    <row r="13" spans="1:7">
      <c r="A13" t="s">
        <v>154</v>
      </c>
      <c r="B13" t="s">
        <v>155</v>
      </c>
      <c r="C13" t="s">
        <v>167</v>
      </c>
      <c r="D13" t="s">
        <v>92</v>
      </c>
      <c r="E13">
        <v>0.2139060571318126</v>
      </c>
      <c r="F13" t="s">
        <v>157</v>
      </c>
      <c r="G13">
        <v>0.2139060571318126</v>
      </c>
    </row>
    <row r="14" spans="1:7">
      <c r="A14" t="s">
        <v>154</v>
      </c>
      <c r="B14" t="s">
        <v>155</v>
      </c>
      <c r="C14" t="s">
        <v>168</v>
      </c>
      <c r="D14" t="s">
        <v>92</v>
      </c>
      <c r="E14">
        <v>8.4540784277550088E-2</v>
      </c>
      <c r="F14" t="s">
        <v>157</v>
      </c>
      <c r="G14">
        <v>8.4540784277550088E-2</v>
      </c>
    </row>
    <row r="15" spans="1:7">
      <c r="A15" t="s">
        <v>154</v>
      </c>
      <c r="B15" t="s">
        <v>155</v>
      </c>
      <c r="C15" t="s">
        <v>169</v>
      </c>
      <c r="D15" t="s">
        <v>105</v>
      </c>
      <c r="E15">
        <v>1</v>
      </c>
      <c r="F15" t="s">
        <v>170</v>
      </c>
      <c r="G15">
        <v>0.72982194479141249</v>
      </c>
    </row>
    <row r="16" spans="1:7">
      <c r="A16" t="s">
        <v>154</v>
      </c>
      <c r="B16" t="s">
        <v>155</v>
      </c>
      <c r="C16" t="s">
        <v>171</v>
      </c>
      <c r="D16" t="s">
        <v>105</v>
      </c>
      <c r="E16">
        <v>0</v>
      </c>
      <c r="F16" t="s">
        <v>170</v>
      </c>
      <c r="G16">
        <v>0.27017805520858751</v>
      </c>
    </row>
    <row r="17" spans="1:7">
      <c r="A17" t="s">
        <v>154</v>
      </c>
      <c r="B17" t="s">
        <v>155</v>
      </c>
      <c r="C17" t="s">
        <v>172</v>
      </c>
      <c r="D17" t="s">
        <v>113</v>
      </c>
      <c r="E17">
        <v>0.42162495143522749</v>
      </c>
      <c r="F17" t="s">
        <v>157</v>
      </c>
      <c r="G17">
        <v>0.42162495143522749</v>
      </c>
    </row>
    <row r="18" spans="1:7">
      <c r="A18" t="s">
        <v>154</v>
      </c>
      <c r="B18" t="s">
        <v>155</v>
      </c>
      <c r="C18" t="s">
        <v>173</v>
      </c>
      <c r="D18" t="s">
        <v>113</v>
      </c>
      <c r="E18">
        <v>0.57837504856477251</v>
      </c>
      <c r="F18" t="s">
        <v>157</v>
      </c>
      <c r="G18">
        <v>0.57837504856477251</v>
      </c>
    </row>
    <row r="19" spans="1:7">
      <c r="A19" t="s">
        <v>154</v>
      </c>
      <c r="B19" t="s">
        <v>174</v>
      </c>
      <c r="C19" t="s">
        <v>156</v>
      </c>
      <c r="D19" t="s">
        <v>12</v>
      </c>
      <c r="E19">
        <v>0.94299868264323294</v>
      </c>
      <c r="F19" t="s">
        <v>157</v>
      </c>
      <c r="G19">
        <v>0.94299868264323294</v>
      </c>
    </row>
    <row r="20" spans="1:7">
      <c r="A20" t="s">
        <v>154</v>
      </c>
      <c r="B20" t="s">
        <v>174</v>
      </c>
      <c r="C20" t="s">
        <v>158</v>
      </c>
      <c r="D20" t="s">
        <v>12</v>
      </c>
      <c r="E20">
        <v>4.1765731369656618E-2</v>
      </c>
      <c r="F20" t="s">
        <v>157</v>
      </c>
      <c r="G20">
        <v>4.1765731369656618E-2</v>
      </c>
    </row>
    <row r="21" spans="1:7">
      <c r="A21" t="s">
        <v>154</v>
      </c>
      <c r="B21" t="s">
        <v>174</v>
      </c>
      <c r="C21" t="s">
        <v>159</v>
      </c>
      <c r="D21" t="s">
        <v>12</v>
      </c>
      <c r="E21">
        <v>1.523558598711041E-2</v>
      </c>
      <c r="F21" t="s">
        <v>157</v>
      </c>
      <c r="G21">
        <v>1.523558598711041E-2</v>
      </c>
    </row>
    <row r="22" spans="1:7">
      <c r="A22" t="s">
        <v>154</v>
      </c>
      <c r="B22" t="s">
        <v>174</v>
      </c>
      <c r="C22" t="s">
        <v>160</v>
      </c>
      <c r="D22" t="s">
        <v>21</v>
      </c>
      <c r="E22">
        <v>0.43273688361237522</v>
      </c>
      <c r="F22" t="s">
        <v>157</v>
      </c>
      <c r="G22">
        <v>0.43273688361237522</v>
      </c>
    </row>
    <row r="23" spans="1:7">
      <c r="A23" t="s">
        <v>154</v>
      </c>
      <c r="B23" t="s">
        <v>174</v>
      </c>
      <c r="C23" t="s">
        <v>161</v>
      </c>
      <c r="D23" t="s">
        <v>21</v>
      </c>
      <c r="E23">
        <v>0.56726311638762483</v>
      </c>
      <c r="F23" t="s">
        <v>157</v>
      </c>
      <c r="G23">
        <v>0.56726311638762483</v>
      </c>
    </row>
    <row r="24" spans="1:7">
      <c r="A24" t="s">
        <v>154</v>
      </c>
      <c r="B24" t="s">
        <v>174</v>
      </c>
      <c r="C24" t="s">
        <v>162</v>
      </c>
      <c r="D24" t="s">
        <v>78</v>
      </c>
      <c r="E24">
        <v>0.1171368722490322</v>
      </c>
      <c r="F24" t="s">
        <v>157</v>
      </c>
      <c r="G24">
        <v>0.1171368722490322</v>
      </c>
    </row>
    <row r="25" spans="1:7">
      <c r="A25" t="s">
        <v>154</v>
      </c>
      <c r="B25" t="s">
        <v>174</v>
      </c>
      <c r="C25" t="s">
        <v>163</v>
      </c>
      <c r="D25" t="s">
        <v>78</v>
      </c>
      <c r="E25">
        <v>0.88286312775096776</v>
      </c>
      <c r="F25" t="s">
        <v>157</v>
      </c>
      <c r="G25">
        <v>0.88286312775096776</v>
      </c>
    </row>
    <row r="26" spans="1:7">
      <c r="A26" t="s">
        <v>154</v>
      </c>
      <c r="B26" t="s">
        <v>174</v>
      </c>
      <c r="C26" t="s">
        <v>164</v>
      </c>
      <c r="D26" t="s">
        <v>92</v>
      </c>
      <c r="E26">
        <v>0.47816430118296149</v>
      </c>
      <c r="F26" t="s">
        <v>157</v>
      </c>
      <c r="G26">
        <v>0.47816430118296149</v>
      </c>
    </row>
    <row r="27" spans="1:7">
      <c r="A27" t="s">
        <v>154</v>
      </c>
      <c r="B27" t="s">
        <v>174</v>
      </c>
      <c r="C27" t="s">
        <v>165</v>
      </c>
      <c r="D27" t="s">
        <v>92</v>
      </c>
      <c r="E27">
        <v>4.2586393966149647E-2</v>
      </c>
      <c r="F27" t="s">
        <v>157</v>
      </c>
      <c r="G27">
        <v>4.2586393966149647E-2</v>
      </c>
    </row>
    <row r="28" spans="1:7">
      <c r="A28" t="s">
        <v>154</v>
      </c>
      <c r="B28" t="s">
        <v>174</v>
      </c>
      <c r="C28" t="s">
        <v>166</v>
      </c>
      <c r="D28" t="s">
        <v>92</v>
      </c>
      <c r="E28">
        <v>0.1808024634415262</v>
      </c>
      <c r="F28" t="s">
        <v>157</v>
      </c>
      <c r="G28">
        <v>0.1808024634415262</v>
      </c>
    </row>
    <row r="29" spans="1:7">
      <c r="A29" t="s">
        <v>154</v>
      </c>
      <c r="B29" t="s">
        <v>174</v>
      </c>
      <c r="C29" t="s">
        <v>167</v>
      </c>
      <c r="D29" t="s">
        <v>92</v>
      </c>
      <c r="E29">
        <v>0.2139060571318126</v>
      </c>
      <c r="F29" t="s">
        <v>157</v>
      </c>
      <c r="G29">
        <v>0.2139060571318126</v>
      </c>
    </row>
    <row r="30" spans="1:7">
      <c r="A30" t="s">
        <v>154</v>
      </c>
      <c r="B30" t="s">
        <v>174</v>
      </c>
      <c r="C30" t="s">
        <v>168</v>
      </c>
      <c r="D30" t="s">
        <v>92</v>
      </c>
      <c r="E30">
        <v>8.4540784277550088E-2</v>
      </c>
      <c r="F30" t="s">
        <v>157</v>
      </c>
      <c r="G30">
        <v>8.4540784277550088E-2</v>
      </c>
    </row>
    <row r="31" spans="1:7">
      <c r="A31" t="s">
        <v>154</v>
      </c>
      <c r="B31" t="s">
        <v>174</v>
      </c>
      <c r="C31" t="s">
        <v>169</v>
      </c>
      <c r="D31" t="s">
        <v>105</v>
      </c>
      <c r="E31">
        <v>1</v>
      </c>
      <c r="F31" t="s">
        <v>170</v>
      </c>
      <c r="G31">
        <v>0.72982194479141249</v>
      </c>
    </row>
    <row r="32" spans="1:7">
      <c r="A32" t="s">
        <v>154</v>
      </c>
      <c r="B32" t="s">
        <v>174</v>
      </c>
      <c r="C32" t="s">
        <v>171</v>
      </c>
      <c r="D32" t="s">
        <v>105</v>
      </c>
      <c r="E32">
        <v>0</v>
      </c>
      <c r="F32" t="s">
        <v>170</v>
      </c>
      <c r="G32">
        <v>0.27017805520858751</v>
      </c>
    </row>
    <row r="33" spans="1:7">
      <c r="A33" t="s">
        <v>154</v>
      </c>
      <c r="B33" t="s">
        <v>174</v>
      </c>
      <c r="C33" t="s">
        <v>172</v>
      </c>
      <c r="D33" t="s">
        <v>113</v>
      </c>
      <c r="E33">
        <v>0.42162495143522749</v>
      </c>
      <c r="F33" t="s">
        <v>157</v>
      </c>
      <c r="G33">
        <v>0.42162495143522749</v>
      </c>
    </row>
    <row r="34" spans="1:7">
      <c r="A34" t="s">
        <v>154</v>
      </c>
      <c r="B34" t="s">
        <v>174</v>
      </c>
      <c r="C34" t="s">
        <v>173</v>
      </c>
      <c r="D34" t="s">
        <v>113</v>
      </c>
      <c r="E34">
        <v>0.57837504856477251</v>
      </c>
      <c r="F34" t="s">
        <v>157</v>
      </c>
      <c r="G34">
        <v>0.57837504856477251</v>
      </c>
    </row>
    <row r="35" spans="1:7">
      <c r="A35" t="s">
        <v>154</v>
      </c>
      <c r="B35" t="s">
        <v>175</v>
      </c>
      <c r="C35" t="s">
        <v>156</v>
      </c>
      <c r="D35" t="s">
        <v>12</v>
      </c>
      <c r="E35">
        <v>0.94299868264323294</v>
      </c>
      <c r="F35" t="s">
        <v>157</v>
      </c>
      <c r="G35">
        <v>0.94299868264323294</v>
      </c>
    </row>
    <row r="36" spans="1:7">
      <c r="A36" t="s">
        <v>154</v>
      </c>
      <c r="B36" t="s">
        <v>175</v>
      </c>
      <c r="C36" t="s">
        <v>158</v>
      </c>
      <c r="D36" t="s">
        <v>12</v>
      </c>
      <c r="E36">
        <v>4.1765731369656618E-2</v>
      </c>
      <c r="F36" t="s">
        <v>157</v>
      </c>
      <c r="G36">
        <v>4.1765731369656618E-2</v>
      </c>
    </row>
    <row r="37" spans="1:7">
      <c r="A37" t="s">
        <v>154</v>
      </c>
      <c r="B37" t="s">
        <v>175</v>
      </c>
      <c r="C37" t="s">
        <v>159</v>
      </c>
      <c r="D37" t="s">
        <v>12</v>
      </c>
      <c r="E37">
        <v>1.523558598711041E-2</v>
      </c>
      <c r="F37" t="s">
        <v>157</v>
      </c>
      <c r="G37">
        <v>1.523558598711041E-2</v>
      </c>
    </row>
    <row r="38" spans="1:7">
      <c r="A38" t="s">
        <v>154</v>
      </c>
      <c r="B38" t="s">
        <v>175</v>
      </c>
      <c r="C38" t="s">
        <v>160</v>
      </c>
      <c r="D38" t="s">
        <v>21</v>
      </c>
      <c r="E38">
        <v>0.43273688361237522</v>
      </c>
      <c r="F38" t="s">
        <v>157</v>
      </c>
      <c r="G38">
        <v>0.43273688361237522</v>
      </c>
    </row>
    <row r="39" spans="1:7">
      <c r="A39" t="s">
        <v>154</v>
      </c>
      <c r="B39" t="s">
        <v>175</v>
      </c>
      <c r="C39" t="s">
        <v>161</v>
      </c>
      <c r="D39" t="s">
        <v>21</v>
      </c>
      <c r="E39">
        <v>0.56726311638762483</v>
      </c>
      <c r="F39" t="s">
        <v>157</v>
      </c>
      <c r="G39">
        <v>0.56726311638762483</v>
      </c>
    </row>
    <row r="40" spans="1:7">
      <c r="A40" t="s">
        <v>154</v>
      </c>
      <c r="B40" t="s">
        <v>175</v>
      </c>
      <c r="C40" t="s">
        <v>162</v>
      </c>
      <c r="D40" t="s">
        <v>78</v>
      </c>
      <c r="E40">
        <v>0.1171368722490322</v>
      </c>
      <c r="F40" t="s">
        <v>157</v>
      </c>
      <c r="G40">
        <v>0.1171368722490322</v>
      </c>
    </row>
    <row r="41" spans="1:7">
      <c r="A41" t="s">
        <v>154</v>
      </c>
      <c r="B41" t="s">
        <v>175</v>
      </c>
      <c r="C41" t="s">
        <v>163</v>
      </c>
      <c r="D41" t="s">
        <v>78</v>
      </c>
      <c r="E41">
        <v>0.88286312775096776</v>
      </c>
      <c r="F41" t="s">
        <v>157</v>
      </c>
      <c r="G41">
        <v>0.88286312775096776</v>
      </c>
    </row>
    <row r="42" spans="1:7">
      <c r="A42" t="s">
        <v>154</v>
      </c>
      <c r="B42" t="s">
        <v>175</v>
      </c>
      <c r="C42" t="s">
        <v>164</v>
      </c>
      <c r="D42" t="s">
        <v>92</v>
      </c>
      <c r="E42">
        <v>0.47816430118296149</v>
      </c>
      <c r="F42" t="s">
        <v>157</v>
      </c>
      <c r="G42">
        <v>0.47816430118296149</v>
      </c>
    </row>
    <row r="43" spans="1:7">
      <c r="A43" t="s">
        <v>154</v>
      </c>
      <c r="B43" t="s">
        <v>175</v>
      </c>
      <c r="C43" t="s">
        <v>165</v>
      </c>
      <c r="D43" t="s">
        <v>92</v>
      </c>
      <c r="E43">
        <v>4.2586393966149647E-2</v>
      </c>
      <c r="F43" t="s">
        <v>157</v>
      </c>
      <c r="G43">
        <v>4.2586393966149647E-2</v>
      </c>
    </row>
    <row r="44" spans="1:7">
      <c r="A44" t="s">
        <v>154</v>
      </c>
      <c r="B44" t="s">
        <v>175</v>
      </c>
      <c r="C44" t="s">
        <v>166</v>
      </c>
      <c r="D44" t="s">
        <v>92</v>
      </c>
      <c r="E44">
        <v>0.1808024634415262</v>
      </c>
      <c r="F44" t="s">
        <v>157</v>
      </c>
      <c r="G44">
        <v>0.1808024634415262</v>
      </c>
    </row>
    <row r="45" spans="1:7">
      <c r="A45" t="s">
        <v>154</v>
      </c>
      <c r="B45" t="s">
        <v>175</v>
      </c>
      <c r="C45" t="s">
        <v>167</v>
      </c>
      <c r="D45" t="s">
        <v>92</v>
      </c>
      <c r="E45">
        <v>0.2139060571318126</v>
      </c>
      <c r="F45" t="s">
        <v>157</v>
      </c>
      <c r="G45">
        <v>0.2139060571318126</v>
      </c>
    </row>
    <row r="46" spans="1:7">
      <c r="A46" t="s">
        <v>154</v>
      </c>
      <c r="B46" t="s">
        <v>175</v>
      </c>
      <c r="C46" t="s">
        <v>168</v>
      </c>
      <c r="D46" t="s">
        <v>92</v>
      </c>
      <c r="E46">
        <v>8.4540784277550088E-2</v>
      </c>
      <c r="F46" t="s">
        <v>157</v>
      </c>
      <c r="G46">
        <v>8.4540784277550088E-2</v>
      </c>
    </row>
    <row r="47" spans="1:7">
      <c r="A47" t="s">
        <v>154</v>
      </c>
      <c r="B47" t="s">
        <v>175</v>
      </c>
      <c r="C47" t="s">
        <v>169</v>
      </c>
      <c r="D47" t="s">
        <v>105</v>
      </c>
      <c r="E47">
        <v>1</v>
      </c>
      <c r="F47" t="s">
        <v>170</v>
      </c>
      <c r="G47">
        <v>0.72982194479141249</v>
      </c>
    </row>
    <row r="48" spans="1:7">
      <c r="A48" t="s">
        <v>154</v>
      </c>
      <c r="B48" t="s">
        <v>175</v>
      </c>
      <c r="C48" t="s">
        <v>171</v>
      </c>
      <c r="D48" t="s">
        <v>105</v>
      </c>
      <c r="E48">
        <v>0</v>
      </c>
      <c r="F48" t="s">
        <v>170</v>
      </c>
      <c r="G48">
        <v>0.27017805520858751</v>
      </c>
    </row>
    <row r="49" spans="1:7">
      <c r="A49" t="s">
        <v>154</v>
      </c>
      <c r="B49" t="s">
        <v>175</v>
      </c>
      <c r="C49" t="s">
        <v>172</v>
      </c>
      <c r="D49" t="s">
        <v>113</v>
      </c>
      <c r="E49">
        <v>0.42162495143522749</v>
      </c>
      <c r="F49" t="s">
        <v>157</v>
      </c>
      <c r="G49">
        <v>0.42162495143522749</v>
      </c>
    </row>
    <row r="50" spans="1:7">
      <c r="A50" t="s">
        <v>154</v>
      </c>
      <c r="B50" t="s">
        <v>175</v>
      </c>
      <c r="C50" t="s">
        <v>173</v>
      </c>
      <c r="D50" t="s">
        <v>113</v>
      </c>
      <c r="E50">
        <v>0.57837504856477251</v>
      </c>
      <c r="F50" t="s">
        <v>157</v>
      </c>
      <c r="G50">
        <v>0.57837504856477251</v>
      </c>
    </row>
    <row r="51" spans="1:7">
      <c r="A51" t="s">
        <v>154</v>
      </c>
      <c r="B51" t="s">
        <v>176</v>
      </c>
      <c r="C51" t="s">
        <v>156</v>
      </c>
      <c r="D51" t="s">
        <v>12</v>
      </c>
      <c r="E51">
        <v>0.94299868264323294</v>
      </c>
      <c r="F51" t="s">
        <v>157</v>
      </c>
      <c r="G51">
        <v>0.94299868264323294</v>
      </c>
    </row>
    <row r="52" spans="1:7">
      <c r="A52" t="s">
        <v>154</v>
      </c>
      <c r="B52" t="s">
        <v>176</v>
      </c>
      <c r="C52" t="s">
        <v>158</v>
      </c>
      <c r="D52" t="s">
        <v>12</v>
      </c>
      <c r="E52">
        <v>4.1765731369656618E-2</v>
      </c>
      <c r="F52" t="s">
        <v>157</v>
      </c>
      <c r="G52">
        <v>4.1765731369656618E-2</v>
      </c>
    </row>
    <row r="53" spans="1:7">
      <c r="A53" t="s">
        <v>154</v>
      </c>
      <c r="B53" t="s">
        <v>176</v>
      </c>
      <c r="C53" t="s">
        <v>159</v>
      </c>
      <c r="D53" t="s">
        <v>12</v>
      </c>
      <c r="E53">
        <v>1.523558598711041E-2</v>
      </c>
      <c r="F53" t="s">
        <v>157</v>
      </c>
      <c r="G53">
        <v>1.523558598711041E-2</v>
      </c>
    </row>
    <row r="54" spans="1:7">
      <c r="A54" t="s">
        <v>154</v>
      </c>
      <c r="B54" t="s">
        <v>176</v>
      </c>
      <c r="C54" t="s">
        <v>160</v>
      </c>
      <c r="D54" t="s">
        <v>21</v>
      </c>
      <c r="E54">
        <v>0.43273688361237522</v>
      </c>
      <c r="F54" t="s">
        <v>157</v>
      </c>
      <c r="G54">
        <v>0.43273688361237522</v>
      </c>
    </row>
    <row r="55" spans="1:7">
      <c r="A55" t="s">
        <v>154</v>
      </c>
      <c r="B55" t="s">
        <v>176</v>
      </c>
      <c r="C55" t="s">
        <v>161</v>
      </c>
      <c r="D55" t="s">
        <v>21</v>
      </c>
      <c r="E55">
        <v>0.56726311638762483</v>
      </c>
      <c r="F55" t="s">
        <v>157</v>
      </c>
      <c r="G55">
        <v>0.56726311638762483</v>
      </c>
    </row>
    <row r="56" spans="1:7">
      <c r="A56" t="s">
        <v>154</v>
      </c>
      <c r="B56" t="s">
        <v>176</v>
      </c>
      <c r="C56" t="s">
        <v>162</v>
      </c>
      <c r="D56" t="s">
        <v>78</v>
      </c>
      <c r="E56">
        <v>0.1171368722490322</v>
      </c>
      <c r="F56" t="s">
        <v>157</v>
      </c>
      <c r="G56">
        <v>0.1171368722490322</v>
      </c>
    </row>
    <row r="57" spans="1:7">
      <c r="A57" t="s">
        <v>154</v>
      </c>
      <c r="B57" t="s">
        <v>176</v>
      </c>
      <c r="C57" t="s">
        <v>163</v>
      </c>
      <c r="D57" t="s">
        <v>78</v>
      </c>
      <c r="E57">
        <v>0.88286312775096776</v>
      </c>
      <c r="F57" t="s">
        <v>157</v>
      </c>
      <c r="G57">
        <v>0.88286312775096776</v>
      </c>
    </row>
    <row r="58" spans="1:7">
      <c r="A58" t="s">
        <v>154</v>
      </c>
      <c r="B58" t="s">
        <v>176</v>
      </c>
      <c r="C58" t="s">
        <v>164</v>
      </c>
      <c r="D58" t="s">
        <v>92</v>
      </c>
      <c r="E58">
        <v>0.47816430118296149</v>
      </c>
      <c r="F58" t="s">
        <v>157</v>
      </c>
      <c r="G58">
        <v>0.47816430118296149</v>
      </c>
    </row>
    <row r="59" spans="1:7">
      <c r="A59" t="s">
        <v>154</v>
      </c>
      <c r="B59" t="s">
        <v>176</v>
      </c>
      <c r="C59" t="s">
        <v>165</v>
      </c>
      <c r="D59" t="s">
        <v>92</v>
      </c>
      <c r="E59">
        <v>4.2586393966149647E-2</v>
      </c>
      <c r="F59" t="s">
        <v>157</v>
      </c>
      <c r="G59">
        <v>4.2586393966149647E-2</v>
      </c>
    </row>
    <row r="60" spans="1:7">
      <c r="A60" t="s">
        <v>154</v>
      </c>
      <c r="B60" t="s">
        <v>176</v>
      </c>
      <c r="C60" t="s">
        <v>166</v>
      </c>
      <c r="D60" t="s">
        <v>92</v>
      </c>
      <c r="E60">
        <v>0.1808024634415262</v>
      </c>
      <c r="F60" t="s">
        <v>157</v>
      </c>
      <c r="G60">
        <v>0.1808024634415262</v>
      </c>
    </row>
    <row r="61" spans="1:7">
      <c r="A61" t="s">
        <v>154</v>
      </c>
      <c r="B61" t="s">
        <v>176</v>
      </c>
      <c r="C61" t="s">
        <v>167</v>
      </c>
      <c r="D61" t="s">
        <v>92</v>
      </c>
      <c r="E61">
        <v>0.2139060571318126</v>
      </c>
      <c r="F61" t="s">
        <v>157</v>
      </c>
      <c r="G61">
        <v>0.2139060571318126</v>
      </c>
    </row>
    <row r="62" spans="1:7">
      <c r="A62" t="s">
        <v>154</v>
      </c>
      <c r="B62" t="s">
        <v>176</v>
      </c>
      <c r="C62" t="s">
        <v>168</v>
      </c>
      <c r="D62" t="s">
        <v>92</v>
      </c>
      <c r="E62">
        <v>8.4540784277550088E-2</v>
      </c>
      <c r="F62" t="s">
        <v>157</v>
      </c>
      <c r="G62">
        <v>8.4540784277550088E-2</v>
      </c>
    </row>
    <row r="63" spans="1:7">
      <c r="A63" t="s">
        <v>154</v>
      </c>
      <c r="B63" t="s">
        <v>176</v>
      </c>
      <c r="C63" t="s">
        <v>169</v>
      </c>
      <c r="D63" t="s">
        <v>105</v>
      </c>
      <c r="E63">
        <v>1</v>
      </c>
      <c r="F63" t="s">
        <v>170</v>
      </c>
      <c r="G63">
        <v>0.72982194479141249</v>
      </c>
    </row>
    <row r="64" spans="1:7">
      <c r="A64" t="s">
        <v>154</v>
      </c>
      <c r="B64" t="s">
        <v>176</v>
      </c>
      <c r="C64" t="s">
        <v>171</v>
      </c>
      <c r="D64" t="s">
        <v>105</v>
      </c>
      <c r="E64">
        <v>0</v>
      </c>
      <c r="F64" t="s">
        <v>170</v>
      </c>
      <c r="G64">
        <v>0.27017805520858751</v>
      </c>
    </row>
    <row r="65" spans="1:7">
      <c r="A65" t="s">
        <v>154</v>
      </c>
      <c r="B65" t="s">
        <v>176</v>
      </c>
      <c r="C65" t="s">
        <v>172</v>
      </c>
      <c r="D65" t="s">
        <v>113</v>
      </c>
      <c r="E65">
        <v>0.42162495143522749</v>
      </c>
      <c r="F65" t="s">
        <v>157</v>
      </c>
      <c r="G65">
        <v>0.42162495143522749</v>
      </c>
    </row>
    <row r="66" spans="1:7">
      <c r="A66" t="s">
        <v>154</v>
      </c>
      <c r="B66" t="s">
        <v>176</v>
      </c>
      <c r="C66" t="s">
        <v>173</v>
      </c>
      <c r="D66" t="s">
        <v>113</v>
      </c>
      <c r="E66">
        <v>0.57837504856477251</v>
      </c>
      <c r="F66" t="s">
        <v>157</v>
      </c>
      <c r="G66">
        <v>0.57837504856477251</v>
      </c>
    </row>
    <row r="67" spans="1:7">
      <c r="A67" t="s">
        <v>154</v>
      </c>
      <c r="B67" t="s">
        <v>177</v>
      </c>
      <c r="C67" t="s">
        <v>156</v>
      </c>
      <c r="D67" t="s">
        <v>12</v>
      </c>
      <c r="E67">
        <v>0.94299868264323294</v>
      </c>
      <c r="F67" t="s">
        <v>157</v>
      </c>
      <c r="G67">
        <v>0.94299868264323294</v>
      </c>
    </row>
    <row r="68" spans="1:7">
      <c r="A68" t="s">
        <v>154</v>
      </c>
      <c r="B68" t="s">
        <v>177</v>
      </c>
      <c r="C68" t="s">
        <v>158</v>
      </c>
      <c r="D68" t="s">
        <v>12</v>
      </c>
      <c r="E68">
        <v>4.1765731369656618E-2</v>
      </c>
      <c r="F68" t="s">
        <v>157</v>
      </c>
      <c r="G68">
        <v>4.1765731369656618E-2</v>
      </c>
    </row>
    <row r="69" spans="1:7">
      <c r="A69" t="s">
        <v>154</v>
      </c>
      <c r="B69" t="s">
        <v>177</v>
      </c>
      <c r="C69" t="s">
        <v>159</v>
      </c>
      <c r="D69" t="s">
        <v>12</v>
      </c>
      <c r="E69">
        <v>1.523558598711041E-2</v>
      </c>
      <c r="F69" t="s">
        <v>157</v>
      </c>
      <c r="G69">
        <v>1.523558598711041E-2</v>
      </c>
    </row>
    <row r="70" spans="1:7">
      <c r="A70" t="s">
        <v>154</v>
      </c>
      <c r="B70" t="s">
        <v>177</v>
      </c>
      <c r="C70" t="s">
        <v>160</v>
      </c>
      <c r="D70" t="s">
        <v>21</v>
      </c>
      <c r="E70">
        <v>0.43273688361237522</v>
      </c>
      <c r="F70" t="s">
        <v>157</v>
      </c>
      <c r="G70">
        <v>0.43273688361237522</v>
      </c>
    </row>
    <row r="71" spans="1:7">
      <c r="A71" t="s">
        <v>154</v>
      </c>
      <c r="B71" t="s">
        <v>177</v>
      </c>
      <c r="C71" t="s">
        <v>161</v>
      </c>
      <c r="D71" t="s">
        <v>21</v>
      </c>
      <c r="E71">
        <v>0.56726311638762483</v>
      </c>
      <c r="F71" t="s">
        <v>157</v>
      </c>
      <c r="G71">
        <v>0.56726311638762483</v>
      </c>
    </row>
    <row r="72" spans="1:7">
      <c r="A72" t="s">
        <v>154</v>
      </c>
      <c r="B72" t="s">
        <v>177</v>
      </c>
      <c r="C72" t="s">
        <v>162</v>
      </c>
      <c r="D72" t="s">
        <v>78</v>
      </c>
      <c r="E72">
        <v>0.1171368722490322</v>
      </c>
      <c r="F72" t="s">
        <v>157</v>
      </c>
      <c r="G72">
        <v>0.1171368722490322</v>
      </c>
    </row>
    <row r="73" spans="1:7">
      <c r="A73" t="s">
        <v>154</v>
      </c>
      <c r="B73" t="s">
        <v>177</v>
      </c>
      <c r="C73" t="s">
        <v>163</v>
      </c>
      <c r="D73" t="s">
        <v>78</v>
      </c>
      <c r="E73">
        <v>0.88286312775096776</v>
      </c>
      <c r="F73" t="s">
        <v>157</v>
      </c>
      <c r="G73">
        <v>0.88286312775096776</v>
      </c>
    </row>
    <row r="74" spans="1:7">
      <c r="A74" t="s">
        <v>154</v>
      </c>
      <c r="B74" t="s">
        <v>177</v>
      </c>
      <c r="C74" t="s">
        <v>164</v>
      </c>
      <c r="D74" t="s">
        <v>92</v>
      </c>
      <c r="E74">
        <v>0.47816430118296149</v>
      </c>
      <c r="F74" t="s">
        <v>157</v>
      </c>
      <c r="G74">
        <v>0.47816430118296149</v>
      </c>
    </row>
    <row r="75" spans="1:7">
      <c r="A75" t="s">
        <v>154</v>
      </c>
      <c r="B75" t="s">
        <v>177</v>
      </c>
      <c r="C75" t="s">
        <v>165</v>
      </c>
      <c r="D75" t="s">
        <v>92</v>
      </c>
      <c r="E75">
        <v>4.2586393966149647E-2</v>
      </c>
      <c r="F75" t="s">
        <v>157</v>
      </c>
      <c r="G75">
        <v>4.2586393966149647E-2</v>
      </c>
    </row>
    <row r="76" spans="1:7">
      <c r="A76" t="s">
        <v>154</v>
      </c>
      <c r="B76" t="s">
        <v>177</v>
      </c>
      <c r="C76" t="s">
        <v>166</v>
      </c>
      <c r="D76" t="s">
        <v>92</v>
      </c>
      <c r="E76">
        <v>0.1808024634415262</v>
      </c>
      <c r="F76" t="s">
        <v>157</v>
      </c>
      <c r="G76">
        <v>0.1808024634415262</v>
      </c>
    </row>
    <row r="77" spans="1:7">
      <c r="A77" t="s">
        <v>154</v>
      </c>
      <c r="B77" t="s">
        <v>177</v>
      </c>
      <c r="C77" t="s">
        <v>167</v>
      </c>
      <c r="D77" t="s">
        <v>92</v>
      </c>
      <c r="E77">
        <v>0.2139060571318126</v>
      </c>
      <c r="F77" t="s">
        <v>157</v>
      </c>
      <c r="G77">
        <v>0.2139060571318126</v>
      </c>
    </row>
    <row r="78" spans="1:7">
      <c r="A78" t="s">
        <v>154</v>
      </c>
      <c r="B78" t="s">
        <v>177</v>
      </c>
      <c r="C78" t="s">
        <v>168</v>
      </c>
      <c r="D78" t="s">
        <v>92</v>
      </c>
      <c r="E78">
        <v>8.4540784277550088E-2</v>
      </c>
      <c r="F78" t="s">
        <v>157</v>
      </c>
      <c r="G78">
        <v>8.4540784277550088E-2</v>
      </c>
    </row>
    <row r="79" spans="1:7">
      <c r="A79" t="s">
        <v>154</v>
      </c>
      <c r="B79" t="s">
        <v>177</v>
      </c>
      <c r="C79" t="s">
        <v>169</v>
      </c>
      <c r="D79" t="s">
        <v>105</v>
      </c>
      <c r="E79">
        <v>1</v>
      </c>
      <c r="F79" t="s">
        <v>170</v>
      </c>
      <c r="G79">
        <v>0.72982194479141249</v>
      </c>
    </row>
    <row r="80" spans="1:7">
      <c r="A80" t="s">
        <v>154</v>
      </c>
      <c r="B80" t="s">
        <v>177</v>
      </c>
      <c r="C80" t="s">
        <v>171</v>
      </c>
      <c r="D80" t="s">
        <v>105</v>
      </c>
      <c r="E80">
        <v>0</v>
      </c>
      <c r="F80" t="s">
        <v>170</v>
      </c>
      <c r="G80">
        <v>0.27017805520858751</v>
      </c>
    </row>
    <row r="81" spans="1:7">
      <c r="A81" t="s">
        <v>154</v>
      </c>
      <c r="B81" t="s">
        <v>177</v>
      </c>
      <c r="C81" t="s">
        <v>172</v>
      </c>
      <c r="D81" t="s">
        <v>113</v>
      </c>
      <c r="E81">
        <v>0.42162495143522749</v>
      </c>
      <c r="F81" t="s">
        <v>157</v>
      </c>
      <c r="G81">
        <v>0.42162495143522749</v>
      </c>
    </row>
    <row r="82" spans="1:7">
      <c r="A82" t="s">
        <v>154</v>
      </c>
      <c r="B82" t="s">
        <v>177</v>
      </c>
      <c r="C82" t="s">
        <v>173</v>
      </c>
      <c r="D82" t="s">
        <v>113</v>
      </c>
      <c r="E82">
        <v>0.57837504856477251</v>
      </c>
      <c r="F82" t="s">
        <v>157</v>
      </c>
      <c r="G82">
        <v>0.57837504856477251</v>
      </c>
    </row>
    <row r="83" spans="1:7">
      <c r="A83" t="s">
        <v>154</v>
      </c>
      <c r="B83" t="s">
        <v>178</v>
      </c>
      <c r="C83" t="s">
        <v>156</v>
      </c>
      <c r="D83" t="s">
        <v>12</v>
      </c>
      <c r="E83">
        <v>0.94299868264323294</v>
      </c>
      <c r="F83" t="s">
        <v>157</v>
      </c>
      <c r="G83">
        <v>0.94299868264323294</v>
      </c>
    </row>
    <row r="84" spans="1:7">
      <c r="A84" t="s">
        <v>154</v>
      </c>
      <c r="B84" t="s">
        <v>178</v>
      </c>
      <c r="C84" t="s">
        <v>158</v>
      </c>
      <c r="D84" t="s">
        <v>12</v>
      </c>
      <c r="E84">
        <v>4.1765731369656618E-2</v>
      </c>
      <c r="F84" t="s">
        <v>157</v>
      </c>
      <c r="G84">
        <v>4.1765731369656618E-2</v>
      </c>
    </row>
    <row r="85" spans="1:7">
      <c r="A85" t="s">
        <v>154</v>
      </c>
      <c r="B85" t="s">
        <v>178</v>
      </c>
      <c r="C85" t="s">
        <v>159</v>
      </c>
      <c r="D85" t="s">
        <v>12</v>
      </c>
      <c r="E85">
        <v>1.523558598711041E-2</v>
      </c>
      <c r="F85" t="s">
        <v>157</v>
      </c>
      <c r="G85">
        <v>1.523558598711041E-2</v>
      </c>
    </row>
    <row r="86" spans="1:7">
      <c r="A86" t="s">
        <v>154</v>
      </c>
      <c r="B86" t="s">
        <v>178</v>
      </c>
      <c r="C86" t="s">
        <v>160</v>
      </c>
      <c r="D86" t="s">
        <v>21</v>
      </c>
      <c r="E86">
        <v>0.43273688361237522</v>
      </c>
      <c r="F86" t="s">
        <v>157</v>
      </c>
      <c r="G86">
        <v>0.43273688361237522</v>
      </c>
    </row>
    <row r="87" spans="1:7">
      <c r="A87" t="s">
        <v>154</v>
      </c>
      <c r="B87" t="s">
        <v>178</v>
      </c>
      <c r="C87" t="s">
        <v>161</v>
      </c>
      <c r="D87" t="s">
        <v>21</v>
      </c>
      <c r="E87">
        <v>0.56726311638762483</v>
      </c>
      <c r="F87" t="s">
        <v>157</v>
      </c>
      <c r="G87">
        <v>0.56726311638762483</v>
      </c>
    </row>
    <row r="88" spans="1:7">
      <c r="A88" t="s">
        <v>154</v>
      </c>
      <c r="B88" t="s">
        <v>178</v>
      </c>
      <c r="C88" t="s">
        <v>162</v>
      </c>
      <c r="D88" t="s">
        <v>78</v>
      </c>
      <c r="E88">
        <v>0.1171368722490322</v>
      </c>
      <c r="F88" t="s">
        <v>157</v>
      </c>
      <c r="G88">
        <v>0.1171368722490322</v>
      </c>
    </row>
    <row r="89" spans="1:7">
      <c r="A89" t="s">
        <v>154</v>
      </c>
      <c r="B89" t="s">
        <v>178</v>
      </c>
      <c r="C89" t="s">
        <v>163</v>
      </c>
      <c r="D89" t="s">
        <v>78</v>
      </c>
      <c r="E89">
        <v>0.88286312775096776</v>
      </c>
      <c r="F89" t="s">
        <v>157</v>
      </c>
      <c r="G89">
        <v>0.88286312775096776</v>
      </c>
    </row>
    <row r="90" spans="1:7">
      <c r="A90" t="s">
        <v>154</v>
      </c>
      <c r="B90" t="s">
        <v>178</v>
      </c>
      <c r="C90" t="s">
        <v>164</v>
      </c>
      <c r="D90" t="s">
        <v>92</v>
      </c>
      <c r="E90">
        <v>0.47816430118296149</v>
      </c>
      <c r="F90" t="s">
        <v>157</v>
      </c>
      <c r="G90">
        <v>0.47816430118296149</v>
      </c>
    </row>
    <row r="91" spans="1:7">
      <c r="A91" t="s">
        <v>154</v>
      </c>
      <c r="B91" t="s">
        <v>178</v>
      </c>
      <c r="C91" t="s">
        <v>165</v>
      </c>
      <c r="D91" t="s">
        <v>92</v>
      </c>
      <c r="E91">
        <v>4.2586393966149647E-2</v>
      </c>
      <c r="F91" t="s">
        <v>157</v>
      </c>
      <c r="G91">
        <v>4.2586393966149647E-2</v>
      </c>
    </row>
    <row r="92" spans="1:7">
      <c r="A92" t="s">
        <v>154</v>
      </c>
      <c r="B92" t="s">
        <v>178</v>
      </c>
      <c r="C92" t="s">
        <v>166</v>
      </c>
      <c r="D92" t="s">
        <v>92</v>
      </c>
      <c r="E92">
        <v>0.1808024634415262</v>
      </c>
      <c r="F92" t="s">
        <v>157</v>
      </c>
      <c r="G92">
        <v>0.1808024634415262</v>
      </c>
    </row>
    <row r="93" spans="1:7">
      <c r="A93" t="s">
        <v>154</v>
      </c>
      <c r="B93" t="s">
        <v>178</v>
      </c>
      <c r="C93" t="s">
        <v>167</v>
      </c>
      <c r="D93" t="s">
        <v>92</v>
      </c>
      <c r="E93">
        <v>0.2139060571318126</v>
      </c>
      <c r="F93" t="s">
        <v>157</v>
      </c>
      <c r="G93">
        <v>0.2139060571318126</v>
      </c>
    </row>
    <row r="94" spans="1:7">
      <c r="A94" t="s">
        <v>154</v>
      </c>
      <c r="B94" t="s">
        <v>178</v>
      </c>
      <c r="C94" t="s">
        <v>168</v>
      </c>
      <c r="D94" t="s">
        <v>92</v>
      </c>
      <c r="E94">
        <v>8.4540784277550088E-2</v>
      </c>
      <c r="F94" t="s">
        <v>157</v>
      </c>
      <c r="G94">
        <v>8.4540784277550088E-2</v>
      </c>
    </row>
    <row r="95" spans="1:7">
      <c r="A95" t="s">
        <v>154</v>
      </c>
      <c r="B95" t="s">
        <v>178</v>
      </c>
      <c r="C95" t="s">
        <v>169</v>
      </c>
      <c r="D95" t="s">
        <v>105</v>
      </c>
      <c r="E95">
        <v>1</v>
      </c>
      <c r="F95" t="s">
        <v>170</v>
      </c>
      <c r="G95">
        <v>0.72982194479141249</v>
      </c>
    </row>
    <row r="96" spans="1:7">
      <c r="A96" t="s">
        <v>154</v>
      </c>
      <c r="B96" t="s">
        <v>178</v>
      </c>
      <c r="C96" t="s">
        <v>171</v>
      </c>
      <c r="D96" t="s">
        <v>105</v>
      </c>
      <c r="E96">
        <v>0</v>
      </c>
      <c r="F96" t="s">
        <v>170</v>
      </c>
      <c r="G96">
        <v>0.27017805520858751</v>
      </c>
    </row>
    <row r="97" spans="1:7">
      <c r="A97" t="s">
        <v>154</v>
      </c>
      <c r="B97" t="s">
        <v>178</v>
      </c>
      <c r="C97" t="s">
        <v>172</v>
      </c>
      <c r="D97" t="s">
        <v>113</v>
      </c>
      <c r="E97">
        <v>0.42162495143522749</v>
      </c>
      <c r="F97" t="s">
        <v>157</v>
      </c>
      <c r="G97">
        <v>0.42162495143522749</v>
      </c>
    </row>
    <row r="98" spans="1:7">
      <c r="A98" t="s">
        <v>154</v>
      </c>
      <c r="B98" t="s">
        <v>178</v>
      </c>
      <c r="C98" t="s">
        <v>173</v>
      </c>
      <c r="D98" t="s">
        <v>113</v>
      </c>
      <c r="E98">
        <v>0.57837504856477251</v>
      </c>
      <c r="F98" t="s">
        <v>157</v>
      </c>
      <c r="G98">
        <v>0.57837504856477251</v>
      </c>
    </row>
    <row r="99" spans="1:7">
      <c r="A99" t="s">
        <v>154</v>
      </c>
      <c r="B99" t="s">
        <v>179</v>
      </c>
      <c r="C99" t="s">
        <v>156</v>
      </c>
      <c r="D99" t="s">
        <v>12</v>
      </c>
      <c r="E99">
        <v>0.94299868264323294</v>
      </c>
      <c r="F99" t="s">
        <v>157</v>
      </c>
      <c r="G99">
        <v>0.94299868264323294</v>
      </c>
    </row>
    <row r="100" spans="1:7">
      <c r="A100" t="s">
        <v>154</v>
      </c>
      <c r="B100" t="s">
        <v>179</v>
      </c>
      <c r="C100" t="s">
        <v>158</v>
      </c>
      <c r="D100" t="s">
        <v>12</v>
      </c>
      <c r="E100">
        <v>4.1765731369656618E-2</v>
      </c>
      <c r="F100" t="s">
        <v>157</v>
      </c>
      <c r="G100">
        <v>4.1765731369656618E-2</v>
      </c>
    </row>
    <row r="101" spans="1:7">
      <c r="A101" t="s">
        <v>154</v>
      </c>
      <c r="B101" t="s">
        <v>179</v>
      </c>
      <c r="C101" t="s">
        <v>159</v>
      </c>
      <c r="D101" t="s">
        <v>12</v>
      </c>
      <c r="E101">
        <v>1.523558598711041E-2</v>
      </c>
      <c r="F101" t="s">
        <v>157</v>
      </c>
      <c r="G101">
        <v>1.523558598711041E-2</v>
      </c>
    </row>
    <row r="102" spans="1:7">
      <c r="A102" t="s">
        <v>154</v>
      </c>
      <c r="B102" t="s">
        <v>179</v>
      </c>
      <c r="C102" t="s">
        <v>160</v>
      </c>
      <c r="D102" t="s">
        <v>21</v>
      </c>
      <c r="E102">
        <v>0.43273688361237522</v>
      </c>
      <c r="F102" t="s">
        <v>157</v>
      </c>
      <c r="G102">
        <v>0.43273688361237522</v>
      </c>
    </row>
    <row r="103" spans="1:7">
      <c r="A103" t="s">
        <v>154</v>
      </c>
      <c r="B103" t="s">
        <v>179</v>
      </c>
      <c r="C103" t="s">
        <v>161</v>
      </c>
      <c r="D103" t="s">
        <v>21</v>
      </c>
      <c r="E103">
        <v>0.56726311638762483</v>
      </c>
      <c r="F103" t="s">
        <v>157</v>
      </c>
      <c r="G103">
        <v>0.56726311638762483</v>
      </c>
    </row>
    <row r="104" spans="1:7">
      <c r="A104" t="s">
        <v>154</v>
      </c>
      <c r="B104" t="s">
        <v>179</v>
      </c>
      <c r="C104" t="s">
        <v>162</v>
      </c>
      <c r="D104" t="s">
        <v>78</v>
      </c>
      <c r="E104">
        <v>0.1171368722490322</v>
      </c>
      <c r="F104" t="s">
        <v>157</v>
      </c>
      <c r="G104">
        <v>0.1171368722490322</v>
      </c>
    </row>
    <row r="105" spans="1:7">
      <c r="A105" t="s">
        <v>154</v>
      </c>
      <c r="B105" t="s">
        <v>179</v>
      </c>
      <c r="C105" t="s">
        <v>163</v>
      </c>
      <c r="D105" t="s">
        <v>78</v>
      </c>
      <c r="E105">
        <v>0.88286312775096776</v>
      </c>
      <c r="F105" t="s">
        <v>157</v>
      </c>
      <c r="G105">
        <v>0.88286312775096776</v>
      </c>
    </row>
    <row r="106" spans="1:7">
      <c r="A106" t="s">
        <v>154</v>
      </c>
      <c r="B106" t="s">
        <v>179</v>
      </c>
      <c r="C106" t="s">
        <v>164</v>
      </c>
      <c r="D106" t="s">
        <v>92</v>
      </c>
      <c r="E106">
        <v>0.47816430118296149</v>
      </c>
      <c r="F106" t="s">
        <v>157</v>
      </c>
      <c r="G106">
        <v>0.47816430118296149</v>
      </c>
    </row>
    <row r="107" spans="1:7">
      <c r="A107" t="s">
        <v>154</v>
      </c>
      <c r="B107" t="s">
        <v>179</v>
      </c>
      <c r="C107" t="s">
        <v>165</v>
      </c>
      <c r="D107" t="s">
        <v>92</v>
      </c>
      <c r="E107">
        <v>4.2586393966149647E-2</v>
      </c>
      <c r="F107" t="s">
        <v>157</v>
      </c>
      <c r="G107">
        <v>4.2586393966149647E-2</v>
      </c>
    </row>
    <row r="108" spans="1:7">
      <c r="A108" t="s">
        <v>154</v>
      </c>
      <c r="B108" t="s">
        <v>179</v>
      </c>
      <c r="C108" t="s">
        <v>166</v>
      </c>
      <c r="D108" t="s">
        <v>92</v>
      </c>
      <c r="E108">
        <v>0.1808024634415262</v>
      </c>
      <c r="F108" t="s">
        <v>157</v>
      </c>
      <c r="G108">
        <v>0.1808024634415262</v>
      </c>
    </row>
    <row r="109" spans="1:7">
      <c r="A109" t="s">
        <v>154</v>
      </c>
      <c r="B109" t="s">
        <v>179</v>
      </c>
      <c r="C109" t="s">
        <v>167</v>
      </c>
      <c r="D109" t="s">
        <v>92</v>
      </c>
      <c r="E109">
        <v>0.2139060571318126</v>
      </c>
      <c r="F109" t="s">
        <v>157</v>
      </c>
      <c r="G109">
        <v>0.2139060571318126</v>
      </c>
    </row>
    <row r="110" spans="1:7">
      <c r="A110" t="s">
        <v>154</v>
      </c>
      <c r="B110" t="s">
        <v>179</v>
      </c>
      <c r="C110" t="s">
        <v>168</v>
      </c>
      <c r="D110" t="s">
        <v>92</v>
      </c>
      <c r="E110">
        <v>8.4540784277550088E-2</v>
      </c>
      <c r="F110" t="s">
        <v>157</v>
      </c>
      <c r="G110">
        <v>8.4540784277550088E-2</v>
      </c>
    </row>
    <row r="111" spans="1:7">
      <c r="A111" t="s">
        <v>154</v>
      </c>
      <c r="B111" t="s">
        <v>179</v>
      </c>
      <c r="C111" t="s">
        <v>169</v>
      </c>
      <c r="D111" t="s">
        <v>105</v>
      </c>
      <c r="E111">
        <v>1</v>
      </c>
      <c r="F111" t="s">
        <v>170</v>
      </c>
      <c r="G111">
        <v>0.72982194479141249</v>
      </c>
    </row>
    <row r="112" spans="1:7">
      <c r="A112" t="s">
        <v>154</v>
      </c>
      <c r="B112" t="s">
        <v>179</v>
      </c>
      <c r="C112" t="s">
        <v>171</v>
      </c>
      <c r="D112" t="s">
        <v>105</v>
      </c>
      <c r="E112">
        <v>0</v>
      </c>
      <c r="F112" t="s">
        <v>170</v>
      </c>
      <c r="G112">
        <v>0.27017805520858751</v>
      </c>
    </row>
    <row r="113" spans="1:7">
      <c r="A113" t="s">
        <v>154</v>
      </c>
      <c r="B113" t="s">
        <v>179</v>
      </c>
      <c r="C113" t="s">
        <v>172</v>
      </c>
      <c r="D113" t="s">
        <v>113</v>
      </c>
      <c r="E113">
        <v>0.42162495143522749</v>
      </c>
      <c r="F113" t="s">
        <v>157</v>
      </c>
      <c r="G113">
        <v>0.42162495143522749</v>
      </c>
    </row>
    <row r="114" spans="1:7">
      <c r="A114" t="s">
        <v>154</v>
      </c>
      <c r="B114" t="s">
        <v>179</v>
      </c>
      <c r="C114" t="s">
        <v>173</v>
      </c>
      <c r="D114" t="s">
        <v>113</v>
      </c>
      <c r="E114">
        <v>0.57837504856477251</v>
      </c>
      <c r="F114" t="s">
        <v>157</v>
      </c>
      <c r="G114">
        <v>0.57837504856477251</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0:N98"/>
  <sheetViews>
    <sheetView zoomScale="70" zoomScaleNormal="70" workbookViewId="0"/>
  </sheetViews>
  <sheetFormatPr defaultRowHeight="15"/>
  <cols>
    <col min="2" max="2" width="99.140625" bestFit="1" customWidth="1"/>
    <col min="3" max="3" width="12.28515625" bestFit="1" customWidth="1"/>
    <col min="4" max="4" width="13.42578125" bestFit="1" customWidth="1"/>
    <col min="6" max="6" width="13.42578125" bestFit="1" customWidth="1"/>
    <col min="11" max="11" width="18" bestFit="1" customWidth="1"/>
    <col min="12" max="12" width="15.28515625" bestFit="1" customWidth="1"/>
  </cols>
  <sheetData>
    <row r="10" spans="12:13">
      <c r="L10" s="48">
        <v>68084000</v>
      </c>
      <c r="M10" t="s">
        <v>0</v>
      </c>
    </row>
    <row r="11" spans="12:13">
      <c r="L11" s="48"/>
    </row>
    <row r="12" spans="12:13">
      <c r="L12" s="48">
        <v>49148000</v>
      </c>
      <c r="M12" t="s">
        <v>1</v>
      </c>
    </row>
    <row r="13" spans="12:13">
      <c r="L13" s="48"/>
    </row>
    <row r="14" spans="12:13">
      <c r="L14" s="48"/>
    </row>
    <row r="15" spans="12:13">
      <c r="L15" s="48"/>
    </row>
    <row r="16" spans="12:13">
      <c r="L16" s="48">
        <v>3658000</v>
      </c>
      <c r="M16" t="s">
        <v>0</v>
      </c>
    </row>
    <row r="17" spans="12:13">
      <c r="L17" s="48"/>
    </row>
    <row r="18" spans="12:13">
      <c r="L18" s="48">
        <v>21570000</v>
      </c>
      <c r="M18" t="s">
        <v>1</v>
      </c>
    </row>
    <row r="19" spans="12:13">
      <c r="L19" s="48"/>
    </row>
    <row r="20" spans="12:13">
      <c r="L20" s="48"/>
    </row>
    <row r="21" spans="12:13">
      <c r="L21" s="48">
        <v>28492000</v>
      </c>
      <c r="M21" t="s">
        <v>2</v>
      </c>
    </row>
    <row r="33" spans="2:14" ht="21.95" customHeight="1">
      <c r="B33" s="2" t="s">
        <v>3</v>
      </c>
      <c r="F33" s="51"/>
      <c r="G33" s="52"/>
      <c r="H33" s="52"/>
    </row>
    <row r="34" spans="2:14">
      <c r="F34" s="52"/>
      <c r="G34" s="52"/>
      <c r="H34" s="52"/>
    </row>
    <row r="35" spans="2:14" ht="15.6" customHeight="1">
      <c r="C35" s="3" t="s">
        <v>4</v>
      </c>
      <c r="F35" s="52"/>
      <c r="G35" s="52"/>
      <c r="H35" s="52"/>
    </row>
    <row r="36" spans="2:14" ht="15.6" customHeight="1">
      <c r="C36" s="3"/>
    </row>
    <row r="37" spans="2:14" ht="15.95" customHeight="1" thickBot="1">
      <c r="C37" s="3"/>
    </row>
    <row r="38" spans="2:14" ht="15" customHeight="1" thickBot="1">
      <c r="B38" s="4" t="s">
        <v>5</v>
      </c>
      <c r="C38" s="5">
        <v>50000</v>
      </c>
      <c r="D38" s="60" t="s">
        <v>6</v>
      </c>
      <c r="E38" s="61"/>
      <c r="F38" s="61"/>
      <c r="G38" s="61"/>
      <c r="H38" s="62"/>
    </row>
    <row r="39" spans="2:14" ht="15" customHeight="1" thickBot="1">
      <c r="D39" s="53" t="s">
        <v>7</v>
      </c>
      <c r="E39" s="54"/>
      <c r="F39" s="54"/>
      <c r="G39" s="54"/>
      <c r="H39" s="54"/>
    </row>
    <row r="40" spans="2:14">
      <c r="B40" s="6" t="s">
        <v>8</v>
      </c>
      <c r="C40" s="7">
        <v>2012</v>
      </c>
      <c r="D40" s="63"/>
      <c r="E40" s="64"/>
      <c r="F40" s="64"/>
      <c r="G40" s="64"/>
      <c r="H40" s="65"/>
    </row>
    <row r="41" spans="2:14">
      <c r="B41" s="6" t="s">
        <v>9</v>
      </c>
      <c r="C41" s="8">
        <v>2010</v>
      </c>
      <c r="D41" s="57"/>
      <c r="E41" s="58"/>
      <c r="F41" s="58"/>
      <c r="G41" s="58"/>
      <c r="H41" s="59"/>
    </row>
    <row r="42" spans="2:14" ht="41.25" customHeight="1">
      <c r="B42" s="6" t="s">
        <v>10</v>
      </c>
      <c r="C42" s="9">
        <v>0.94218268901813196</v>
      </c>
      <c r="D42" s="57" t="s">
        <v>11</v>
      </c>
      <c r="E42" s="58"/>
      <c r="F42" s="58"/>
      <c r="G42" s="58"/>
      <c r="H42" s="59"/>
      <c r="M42" t="s">
        <v>12</v>
      </c>
      <c r="N42" t="s">
        <v>13</v>
      </c>
    </row>
    <row r="43" spans="2:14" ht="30" customHeight="1" thickBot="1">
      <c r="B43" s="6" t="s">
        <v>14</v>
      </c>
      <c r="C43" s="10">
        <v>1.100724186648488</v>
      </c>
      <c r="D43" s="55" t="s">
        <v>15</v>
      </c>
      <c r="E43" s="54"/>
      <c r="F43" s="54"/>
      <c r="G43" s="54"/>
      <c r="H43" s="56"/>
      <c r="M43" t="s">
        <v>16</v>
      </c>
      <c r="N43" t="s">
        <v>17</v>
      </c>
    </row>
    <row r="44" spans="2:14" ht="15" customHeight="1" thickBot="1">
      <c r="M44" t="s">
        <v>18</v>
      </c>
      <c r="N44" t="s">
        <v>19</v>
      </c>
    </row>
    <row r="45" spans="2:14" ht="16.5" customHeight="1" thickTop="1" thickBot="1">
      <c r="B45" s="11" t="s">
        <v>20</v>
      </c>
      <c r="C45" s="12"/>
      <c r="D45" s="12"/>
      <c r="E45" s="12"/>
      <c r="F45" s="12"/>
      <c r="G45" s="12"/>
      <c r="H45" s="13"/>
      <c r="M45" t="s">
        <v>21</v>
      </c>
      <c r="N45" t="s">
        <v>22</v>
      </c>
    </row>
    <row r="46" spans="2:14" ht="53.45" customHeight="1" thickTop="1" thickBot="1">
      <c r="B46" s="14" t="s">
        <v>23</v>
      </c>
      <c r="C46" s="15" t="s">
        <v>24</v>
      </c>
      <c r="D46" s="15" t="s">
        <v>25</v>
      </c>
      <c r="E46" s="15" t="s">
        <v>26</v>
      </c>
      <c r="F46" s="16" t="s">
        <v>27</v>
      </c>
      <c r="G46" s="15" t="s">
        <v>7</v>
      </c>
      <c r="H46" s="17" t="s">
        <v>28</v>
      </c>
      <c r="M46" t="s">
        <v>29</v>
      </c>
      <c r="N46" t="s">
        <v>30</v>
      </c>
    </row>
    <row r="47" spans="2:14">
      <c r="B47" s="18" t="s">
        <v>31</v>
      </c>
      <c r="C47" s="19">
        <v>47851875</v>
      </c>
      <c r="D47" s="20">
        <v>49626379.194133162</v>
      </c>
      <c r="E47" s="21">
        <v>1.1200000000000001</v>
      </c>
      <c r="F47" s="20">
        <v>55581544.69742915</v>
      </c>
      <c r="G47" s="22"/>
      <c r="H47" s="23"/>
      <c r="I47" t="s">
        <v>0</v>
      </c>
      <c r="J47" s="46">
        <f>D47/$F$58</f>
        <v>0.41964285714285726</v>
      </c>
      <c r="M47" t="s">
        <v>32</v>
      </c>
      <c r="N47" t="s">
        <v>33</v>
      </c>
    </row>
    <row r="48" spans="2:14">
      <c r="B48" s="24" t="s">
        <v>34</v>
      </c>
      <c r="C48" s="25"/>
      <c r="D48" s="20">
        <v>0</v>
      </c>
      <c r="E48" s="26">
        <v>1.1200000000000001</v>
      </c>
      <c r="F48" s="20">
        <v>0</v>
      </c>
      <c r="G48" s="27"/>
      <c r="H48" s="28"/>
      <c r="J48" s="46"/>
      <c r="M48" t="s">
        <v>35</v>
      </c>
      <c r="N48" t="s">
        <v>36</v>
      </c>
    </row>
    <row r="49" spans="2:14">
      <c r="B49" s="29" t="s">
        <v>37</v>
      </c>
      <c r="C49" s="25">
        <v>9163125</v>
      </c>
      <c r="D49" s="20">
        <v>9502923.675472308</v>
      </c>
      <c r="E49" s="26">
        <v>1.1200000000000001</v>
      </c>
      <c r="F49" s="20">
        <v>10643274.51652899</v>
      </c>
      <c r="G49" s="27"/>
      <c r="H49" s="28"/>
      <c r="I49" t="s">
        <v>0</v>
      </c>
      <c r="J49" s="46">
        <f t="shared" ref="J49:J57" si="0">D49/$F$58</f>
        <v>8.0357142857142891E-2</v>
      </c>
      <c r="M49" t="s">
        <v>38</v>
      </c>
      <c r="N49" t="s">
        <v>39</v>
      </c>
    </row>
    <row r="50" spans="2:14">
      <c r="B50" s="29" t="s">
        <v>40</v>
      </c>
      <c r="C50" s="25">
        <v>3054375</v>
      </c>
      <c r="D50" s="20">
        <v>3167641.225157436</v>
      </c>
      <c r="E50" s="26">
        <v>1.1200000000000001</v>
      </c>
      <c r="F50" s="20">
        <v>3547758.172176328</v>
      </c>
      <c r="G50" s="27"/>
      <c r="H50" s="28"/>
      <c r="I50" t="s">
        <v>0</v>
      </c>
      <c r="J50" s="46">
        <f t="shared" si="0"/>
        <v>2.6785714285714295E-2</v>
      </c>
      <c r="M50" t="s">
        <v>41</v>
      </c>
      <c r="N50" t="s">
        <v>42</v>
      </c>
    </row>
    <row r="51" spans="2:14">
      <c r="B51" s="29" t="s">
        <v>43</v>
      </c>
      <c r="C51" s="25">
        <v>5090625</v>
      </c>
      <c r="D51" s="20">
        <v>5279402.0419290597</v>
      </c>
      <c r="E51" s="26">
        <v>1.1200000000000001</v>
      </c>
      <c r="F51" s="20">
        <v>5912930.2869605478</v>
      </c>
      <c r="G51" s="27"/>
      <c r="H51" s="28"/>
      <c r="I51" t="s">
        <v>0</v>
      </c>
      <c r="J51" s="46">
        <f t="shared" si="0"/>
        <v>4.4642857142857158E-2</v>
      </c>
      <c r="M51" t="s">
        <v>44</v>
      </c>
      <c r="N51" t="s">
        <v>45</v>
      </c>
    </row>
    <row r="52" spans="2:14">
      <c r="B52" s="29" t="s">
        <v>46</v>
      </c>
      <c r="C52" s="25">
        <v>5090625</v>
      </c>
      <c r="D52" s="20">
        <v>5279402.0419290597</v>
      </c>
      <c r="E52" s="26">
        <v>1.1200000000000001</v>
      </c>
      <c r="F52" s="20">
        <v>5912930.2869605478</v>
      </c>
      <c r="G52" s="27"/>
      <c r="H52" s="28"/>
      <c r="I52" t="s">
        <v>0</v>
      </c>
      <c r="J52" s="46">
        <f t="shared" si="0"/>
        <v>4.4642857142857158E-2</v>
      </c>
      <c r="M52" t="s">
        <v>47</v>
      </c>
      <c r="N52" t="s">
        <v>48</v>
      </c>
    </row>
    <row r="53" spans="2:14">
      <c r="B53" s="29" t="s">
        <v>49</v>
      </c>
      <c r="C53" s="25">
        <v>21380625</v>
      </c>
      <c r="D53" s="20">
        <v>22173488.576102048</v>
      </c>
      <c r="E53" s="26">
        <v>1.1200000000000001</v>
      </c>
      <c r="F53" s="20">
        <v>24834307.2052343</v>
      </c>
      <c r="G53" s="27"/>
      <c r="H53" s="28"/>
      <c r="I53" t="s">
        <v>50</v>
      </c>
      <c r="J53" s="46">
        <f t="shared" si="0"/>
        <v>0.18750000000000003</v>
      </c>
      <c r="M53" t="s">
        <v>51</v>
      </c>
      <c r="N53" t="s">
        <v>52</v>
      </c>
    </row>
    <row r="54" spans="2:14">
      <c r="B54" s="29" t="s">
        <v>53</v>
      </c>
      <c r="C54" s="25">
        <v>2036250</v>
      </c>
      <c r="D54" s="20">
        <v>2111760.8167716241</v>
      </c>
      <c r="E54" s="26">
        <v>1.1200000000000001</v>
      </c>
      <c r="F54" s="20">
        <v>2365172.1147842188</v>
      </c>
      <c r="G54" s="27"/>
      <c r="H54" s="28"/>
      <c r="I54" t="s">
        <v>50</v>
      </c>
      <c r="J54" s="46">
        <f t="shared" si="0"/>
        <v>1.7857142857142863E-2</v>
      </c>
      <c r="M54" t="s">
        <v>54</v>
      </c>
      <c r="N54" t="s">
        <v>55</v>
      </c>
    </row>
    <row r="55" spans="2:14">
      <c r="B55" s="29" t="s">
        <v>56</v>
      </c>
      <c r="C55" s="25">
        <v>5090625</v>
      </c>
      <c r="D55" s="20">
        <v>5279402.0419290597</v>
      </c>
      <c r="E55" s="26">
        <v>1.1200000000000001</v>
      </c>
      <c r="F55" s="20">
        <v>5912930.2869605478</v>
      </c>
      <c r="G55" s="27"/>
      <c r="H55" s="28"/>
      <c r="I55" t="s">
        <v>0</v>
      </c>
      <c r="J55" s="46">
        <f t="shared" si="0"/>
        <v>4.4642857142857158E-2</v>
      </c>
      <c r="M55" t="s">
        <v>57</v>
      </c>
      <c r="N55" t="s">
        <v>58</v>
      </c>
    </row>
    <row r="56" spans="2:14">
      <c r="B56" s="29" t="s">
        <v>59</v>
      </c>
      <c r="C56" s="25">
        <v>1018125</v>
      </c>
      <c r="D56" s="20">
        <v>1055880.4083858121</v>
      </c>
      <c r="E56" s="26">
        <v>1.1200000000000001</v>
      </c>
      <c r="F56" s="20">
        <v>1182586.0573921099</v>
      </c>
      <c r="G56" s="27"/>
      <c r="H56" s="28"/>
      <c r="I56" t="s">
        <v>0</v>
      </c>
      <c r="J56" s="46">
        <f t="shared" si="0"/>
        <v>8.9285714285714315E-3</v>
      </c>
      <c r="M56" t="s">
        <v>60</v>
      </c>
      <c r="N56" t="s">
        <v>61</v>
      </c>
    </row>
    <row r="57" spans="2:14">
      <c r="B57" s="29" t="s">
        <v>62</v>
      </c>
      <c r="C57" s="25">
        <v>2036250</v>
      </c>
      <c r="D57" s="20">
        <v>2111760.8167716241</v>
      </c>
      <c r="E57" s="26">
        <v>1.1200000000000001</v>
      </c>
      <c r="F57" s="20">
        <v>2365172.1147842188</v>
      </c>
      <c r="G57" s="27"/>
      <c r="H57" s="28"/>
      <c r="I57" t="s">
        <v>1</v>
      </c>
      <c r="J57" s="46">
        <f t="shared" si="0"/>
        <v>1.7857142857142863E-2</v>
      </c>
      <c r="M57" t="s">
        <v>63</v>
      </c>
      <c r="N57" t="s">
        <v>64</v>
      </c>
    </row>
    <row r="58" spans="2:14" ht="15" customHeight="1" thickBot="1">
      <c r="B58" s="30"/>
      <c r="C58" s="31">
        <v>101812500</v>
      </c>
      <c r="D58" s="32">
        <v>105588040.8385812</v>
      </c>
      <c r="E58" s="33"/>
      <c r="F58" s="32">
        <v>118258605.7392109</v>
      </c>
      <c r="G58" s="34"/>
      <c r="H58" s="35"/>
      <c r="I58" t="s">
        <v>1</v>
      </c>
      <c r="J58" s="46">
        <f>(F58-D58)/F58</f>
        <v>0.1071428571428568</v>
      </c>
      <c r="M58" t="s">
        <v>65</v>
      </c>
      <c r="N58" t="s">
        <v>66</v>
      </c>
    </row>
    <row r="59" spans="2:14" ht="15" customHeight="1" thickTop="1">
      <c r="C59" s="36"/>
      <c r="M59" t="s">
        <v>67</v>
      </c>
      <c r="N59" t="s">
        <v>68</v>
      </c>
    </row>
    <row r="60" spans="2:14">
      <c r="M60" t="s">
        <v>69</v>
      </c>
      <c r="N60" t="s">
        <v>70</v>
      </c>
    </row>
    <row r="61" spans="2:14">
      <c r="B61" s="37" t="s">
        <v>71</v>
      </c>
      <c r="C61" s="37">
        <v>900</v>
      </c>
      <c r="M61" t="s">
        <v>50</v>
      </c>
      <c r="N61" t="s">
        <v>72</v>
      </c>
    </row>
    <row r="62" spans="2:14">
      <c r="B62" s="38" t="s">
        <v>73</v>
      </c>
      <c r="C62" s="37">
        <v>54.3</v>
      </c>
      <c r="M62" t="s">
        <v>0</v>
      </c>
      <c r="N62" t="s">
        <v>74</v>
      </c>
    </row>
    <row r="63" spans="2:14">
      <c r="B63" s="38" t="s">
        <v>75</v>
      </c>
      <c r="C63" s="39">
        <v>113125</v>
      </c>
      <c r="M63" t="s">
        <v>76</v>
      </c>
      <c r="N63" t="s">
        <v>77</v>
      </c>
    </row>
    <row r="64" spans="2:14">
      <c r="B64" s="37" t="s">
        <v>31</v>
      </c>
      <c r="C64" s="40">
        <v>0.47</v>
      </c>
      <c r="M64" t="s">
        <v>78</v>
      </c>
      <c r="N64" t="s">
        <v>79</v>
      </c>
    </row>
    <row r="65" spans="2:14">
      <c r="B65" s="37" t="s">
        <v>80</v>
      </c>
      <c r="C65" s="40">
        <v>0.53</v>
      </c>
      <c r="M65" t="s">
        <v>81</v>
      </c>
      <c r="N65" t="s">
        <v>82</v>
      </c>
    </row>
    <row r="66" spans="2:14">
      <c r="B66" s="41" t="s">
        <v>37</v>
      </c>
      <c r="C66" s="40">
        <v>0.09</v>
      </c>
      <c r="M66" t="s">
        <v>83</v>
      </c>
      <c r="N66" t="s">
        <v>84</v>
      </c>
    </row>
    <row r="67" spans="2:14">
      <c r="B67" s="41" t="s">
        <v>40</v>
      </c>
      <c r="C67" s="40">
        <v>0.03</v>
      </c>
      <c r="M67" t="s">
        <v>85</v>
      </c>
      <c r="N67" t="s">
        <v>86</v>
      </c>
    </row>
    <row r="68" spans="2:14">
      <c r="B68" s="41" t="s">
        <v>43</v>
      </c>
      <c r="C68" s="40">
        <v>0.05</v>
      </c>
      <c r="M68" t="s">
        <v>87</v>
      </c>
      <c r="N68" t="s">
        <v>88</v>
      </c>
    </row>
    <row r="69" spans="2:14">
      <c r="B69" s="41" t="s">
        <v>46</v>
      </c>
      <c r="C69" s="40">
        <v>0.05</v>
      </c>
      <c r="M69" t="s">
        <v>1</v>
      </c>
      <c r="N69" t="s">
        <v>89</v>
      </c>
    </row>
    <row r="70" spans="2:14">
      <c r="B70" s="41" t="s">
        <v>49</v>
      </c>
      <c r="C70" s="40">
        <v>0.21</v>
      </c>
      <c r="M70" t="s">
        <v>90</v>
      </c>
      <c r="N70" t="s">
        <v>91</v>
      </c>
    </row>
    <row r="71" spans="2:14">
      <c r="B71" s="41" t="s">
        <v>53</v>
      </c>
      <c r="C71" s="40">
        <v>0.02</v>
      </c>
      <c r="M71" t="s">
        <v>92</v>
      </c>
      <c r="N71" t="s">
        <v>93</v>
      </c>
    </row>
    <row r="72" spans="2:14">
      <c r="B72" s="41" t="s">
        <v>56</v>
      </c>
      <c r="C72" s="40">
        <v>0.05</v>
      </c>
      <c r="M72" t="s">
        <v>94</v>
      </c>
      <c r="N72" t="s">
        <v>95</v>
      </c>
    </row>
    <row r="73" spans="2:14">
      <c r="B73" s="41" t="s">
        <v>59</v>
      </c>
      <c r="C73" s="40">
        <v>0.01</v>
      </c>
      <c r="M73" t="s">
        <v>96</v>
      </c>
      <c r="N73" t="s">
        <v>97</v>
      </c>
    </row>
    <row r="74" spans="2:14">
      <c r="B74" s="41" t="s">
        <v>62</v>
      </c>
      <c r="C74" s="40">
        <v>0.02</v>
      </c>
      <c r="M74" t="s">
        <v>98</v>
      </c>
      <c r="N74" t="s">
        <v>99</v>
      </c>
    </row>
    <row r="75" spans="2:14">
      <c r="M75" t="s">
        <v>100</v>
      </c>
      <c r="N75" t="s">
        <v>101</v>
      </c>
    </row>
    <row r="76" spans="2:14">
      <c r="M76" t="s">
        <v>2</v>
      </c>
      <c r="N76" t="s">
        <v>102</v>
      </c>
    </row>
    <row r="77" spans="2:14">
      <c r="M77" t="s">
        <v>103</v>
      </c>
      <c r="N77" t="s">
        <v>104</v>
      </c>
    </row>
    <row r="78" spans="2:14">
      <c r="M78" t="s">
        <v>105</v>
      </c>
      <c r="N78" t="s">
        <v>106</v>
      </c>
    </row>
    <row r="79" spans="2:14">
      <c r="M79" t="s">
        <v>107</v>
      </c>
      <c r="N79" t="s">
        <v>108</v>
      </c>
    </row>
    <row r="80" spans="2:14">
      <c r="M80" t="s">
        <v>109</v>
      </c>
      <c r="N80" t="s">
        <v>110</v>
      </c>
    </row>
    <row r="81" spans="11:14">
      <c r="M81" t="s">
        <v>111</v>
      </c>
      <c r="N81" t="s">
        <v>112</v>
      </c>
    </row>
    <row r="82" spans="11:14">
      <c r="M82" t="s">
        <v>113</v>
      </c>
      <c r="N82" t="s">
        <v>114</v>
      </c>
    </row>
    <row r="83" spans="11:14">
      <c r="M83" t="s">
        <v>115</v>
      </c>
      <c r="N83" t="s">
        <v>116</v>
      </c>
    </row>
    <row r="86" spans="11:14">
      <c r="K86" s="48">
        <v>1088450000</v>
      </c>
      <c r="L86" t="s">
        <v>0</v>
      </c>
    </row>
    <row r="87" spans="11:14">
      <c r="K87" s="48">
        <v>483000000</v>
      </c>
      <c r="L87" t="s">
        <v>1</v>
      </c>
    </row>
    <row r="88" spans="11:14">
      <c r="K88" s="48"/>
    </row>
    <row r="89" spans="11:14">
      <c r="K89" s="48"/>
    </row>
    <row r="90" spans="11:14">
      <c r="K90" s="48">
        <v>87900000</v>
      </c>
      <c r="L90" t="s">
        <v>0</v>
      </c>
    </row>
    <row r="91" spans="11:14">
      <c r="K91" s="48"/>
    </row>
    <row r="92" spans="11:14">
      <c r="K92" s="48">
        <v>250600000</v>
      </c>
      <c r="L92" t="s">
        <v>1</v>
      </c>
    </row>
    <row r="93" spans="11:14">
      <c r="K93" s="48"/>
    </row>
    <row r="94" spans="11:14">
      <c r="K94" s="48"/>
    </row>
    <row r="95" spans="11:14">
      <c r="K95" s="48">
        <v>191000000</v>
      </c>
      <c r="L95" t="s">
        <v>2</v>
      </c>
    </row>
    <row r="98" spans="11:11">
      <c r="K98" s="47">
        <f>SUM(K86:K95)</f>
        <v>2100950000</v>
      </c>
    </row>
  </sheetData>
  <mergeCells count="7">
    <mergeCell ref="F33:H35"/>
    <mergeCell ref="D39:H39"/>
    <mergeCell ref="D43:H43"/>
    <mergeCell ref="D42:H42"/>
    <mergeCell ref="D38:H38"/>
    <mergeCell ref="D41:H41"/>
    <mergeCell ref="D40:H40"/>
  </mergeCells>
  <dataValidations count="1">
    <dataValidation type="whole" allowBlank="1" showInputMessage="1" showErrorMessage="1" sqref="C41" xr:uid="{00000000-0002-0000-0200-000000000000}">
      <formula1>1992</formula1>
      <formula2>2016</formula2>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5"/>
  <sheetViews>
    <sheetView topLeftCell="A22" workbookViewId="0"/>
  </sheetViews>
  <sheetFormatPr defaultRowHeight="15"/>
  <cols>
    <col min="1" max="1" width="60" customWidth="1"/>
  </cols>
  <sheetData>
    <row r="1" spans="1:3">
      <c r="A1" s="49" t="s">
        <v>180</v>
      </c>
    </row>
    <row r="3" spans="1:3">
      <c r="A3" s="49" t="s">
        <v>181</v>
      </c>
    </row>
    <row r="4" spans="1:3">
      <c r="A4" t="s">
        <v>182</v>
      </c>
      <c r="B4">
        <f>('Factors applied'!$E$3+'Factors applied'!$E$4+'Factors applied'!$E$5)</f>
        <v>1</v>
      </c>
      <c r="C4" s="49" t="str">
        <f t="shared" ref="C4:C45" si="0">IF(ABS(B4-1)&lt;0.000000001,"PASS","FAIL")</f>
        <v>PASS</v>
      </c>
    </row>
    <row r="5" spans="1:3">
      <c r="A5" t="s">
        <v>183</v>
      </c>
      <c r="B5">
        <f>('Factors applied'!$E$6+'Factors applied'!$E$7)</f>
        <v>1</v>
      </c>
      <c r="C5" s="49" t="str">
        <f t="shared" si="0"/>
        <v>PASS</v>
      </c>
    </row>
    <row r="6" spans="1:3">
      <c r="A6" t="s">
        <v>184</v>
      </c>
      <c r="B6">
        <f>('Factors applied'!$E$8+'Factors applied'!$E$9)</f>
        <v>1</v>
      </c>
      <c r="C6" s="49" t="str">
        <f t="shared" si="0"/>
        <v>PASS</v>
      </c>
    </row>
    <row r="7" spans="1:3">
      <c r="A7" t="s">
        <v>185</v>
      </c>
      <c r="B7">
        <f>('Factors applied'!$E$10+'Factors applied'!$E$11+'Factors applied'!$E$12+'Factors applied'!$E$13+'Factors applied'!$E$14)</f>
        <v>1</v>
      </c>
      <c r="C7" s="49" t="str">
        <f t="shared" si="0"/>
        <v>PASS</v>
      </c>
    </row>
    <row r="8" spans="1:3">
      <c r="A8" t="s">
        <v>186</v>
      </c>
      <c r="B8">
        <f>('Factors applied'!$E$15+'Factors applied'!$E$16)</f>
        <v>1</v>
      </c>
      <c r="C8" s="49" t="str">
        <f t="shared" si="0"/>
        <v>PASS</v>
      </c>
    </row>
    <row r="9" spans="1:3">
      <c r="A9" t="s">
        <v>187</v>
      </c>
      <c r="B9">
        <f>('Factors applied'!$E$17+'Factors applied'!$E$18)</f>
        <v>1</v>
      </c>
      <c r="C9" s="49" t="str">
        <f t="shared" si="0"/>
        <v>PASS</v>
      </c>
    </row>
    <row r="10" spans="1:3">
      <c r="A10" t="s">
        <v>188</v>
      </c>
      <c r="B10">
        <f>('Factors applied'!$E$19+'Factors applied'!$E$20+'Factors applied'!$E$21)</f>
        <v>1</v>
      </c>
      <c r="C10" s="49" t="str">
        <f t="shared" si="0"/>
        <v>PASS</v>
      </c>
    </row>
    <row r="11" spans="1:3">
      <c r="A11" t="s">
        <v>189</v>
      </c>
      <c r="B11">
        <f>('Factors applied'!$E$22+'Factors applied'!$E$23)</f>
        <v>1</v>
      </c>
      <c r="C11" s="49" t="str">
        <f t="shared" si="0"/>
        <v>PASS</v>
      </c>
    </row>
    <row r="12" spans="1:3">
      <c r="A12" t="s">
        <v>190</v>
      </c>
      <c r="B12">
        <f>('Factors applied'!$E$24+'Factors applied'!$E$25)</f>
        <v>1</v>
      </c>
      <c r="C12" s="49" t="str">
        <f t="shared" si="0"/>
        <v>PASS</v>
      </c>
    </row>
    <row r="13" spans="1:3">
      <c r="A13" t="s">
        <v>191</v>
      </c>
      <c r="B13">
        <f>('Factors applied'!$E$26+'Factors applied'!$E$27+'Factors applied'!$E$28+'Factors applied'!$E$29+'Factors applied'!$E$30)</f>
        <v>1</v>
      </c>
      <c r="C13" s="49" t="str">
        <f t="shared" si="0"/>
        <v>PASS</v>
      </c>
    </row>
    <row r="14" spans="1:3">
      <c r="A14" t="s">
        <v>192</v>
      </c>
      <c r="B14">
        <f>('Factors applied'!$E$31+'Factors applied'!$E$32)</f>
        <v>1</v>
      </c>
      <c r="C14" s="49" t="str">
        <f t="shared" si="0"/>
        <v>PASS</v>
      </c>
    </row>
    <row r="15" spans="1:3">
      <c r="A15" t="s">
        <v>193</v>
      </c>
      <c r="B15">
        <f>('Factors applied'!$E$33+'Factors applied'!$E$34)</f>
        <v>1</v>
      </c>
      <c r="C15" s="49" t="str">
        <f t="shared" si="0"/>
        <v>PASS</v>
      </c>
    </row>
    <row r="16" spans="1:3">
      <c r="A16" t="s">
        <v>194</v>
      </c>
      <c r="B16">
        <f>('Factors applied'!$E$35+'Factors applied'!$E$36+'Factors applied'!$E$37)</f>
        <v>1</v>
      </c>
      <c r="C16" s="49" t="str">
        <f t="shared" si="0"/>
        <v>PASS</v>
      </c>
    </row>
    <row r="17" spans="1:3">
      <c r="A17" t="s">
        <v>195</v>
      </c>
      <c r="B17">
        <f>('Factors applied'!$E$38+'Factors applied'!$E$39)</f>
        <v>1</v>
      </c>
      <c r="C17" s="49" t="str">
        <f t="shared" si="0"/>
        <v>PASS</v>
      </c>
    </row>
    <row r="18" spans="1:3">
      <c r="A18" t="s">
        <v>196</v>
      </c>
      <c r="B18">
        <f>('Factors applied'!$E$40+'Factors applied'!$E$41)</f>
        <v>1</v>
      </c>
      <c r="C18" s="49" t="str">
        <f t="shared" si="0"/>
        <v>PASS</v>
      </c>
    </row>
    <row r="19" spans="1:3">
      <c r="A19" t="s">
        <v>197</v>
      </c>
      <c r="B19">
        <f>('Factors applied'!$E$42+'Factors applied'!$E$43+'Factors applied'!$E$44+'Factors applied'!$E$45+'Factors applied'!$E$46)</f>
        <v>1</v>
      </c>
      <c r="C19" s="49" t="str">
        <f t="shared" si="0"/>
        <v>PASS</v>
      </c>
    </row>
    <row r="20" spans="1:3">
      <c r="A20" t="s">
        <v>198</v>
      </c>
      <c r="B20">
        <f>('Factors applied'!$E$47+'Factors applied'!$E$48)</f>
        <v>1</v>
      </c>
      <c r="C20" s="49" t="str">
        <f t="shared" si="0"/>
        <v>PASS</v>
      </c>
    </row>
    <row r="21" spans="1:3">
      <c r="A21" t="s">
        <v>199</v>
      </c>
      <c r="B21">
        <f>('Factors applied'!$E$49+'Factors applied'!$E$50)</f>
        <v>1</v>
      </c>
      <c r="C21" s="49" t="str">
        <f t="shared" si="0"/>
        <v>PASS</v>
      </c>
    </row>
    <row r="22" spans="1:3">
      <c r="A22" t="s">
        <v>200</v>
      </c>
      <c r="B22">
        <f>('Factors applied'!$E$51+'Factors applied'!$E$52+'Factors applied'!$E$53)</f>
        <v>1</v>
      </c>
      <c r="C22" s="49" t="str">
        <f t="shared" si="0"/>
        <v>PASS</v>
      </c>
    </row>
    <row r="23" spans="1:3">
      <c r="A23" t="s">
        <v>201</v>
      </c>
      <c r="B23">
        <f>('Factors applied'!$E$54+'Factors applied'!$E$55)</f>
        <v>1</v>
      </c>
      <c r="C23" s="49" t="str">
        <f t="shared" si="0"/>
        <v>PASS</v>
      </c>
    </row>
    <row r="24" spans="1:3">
      <c r="A24" t="s">
        <v>202</v>
      </c>
      <c r="B24">
        <f>('Factors applied'!$E$56+'Factors applied'!$E$57)</f>
        <v>1</v>
      </c>
      <c r="C24" s="49" t="str">
        <f t="shared" si="0"/>
        <v>PASS</v>
      </c>
    </row>
    <row r="25" spans="1:3">
      <c r="A25" t="s">
        <v>203</v>
      </c>
      <c r="B25">
        <f>('Factors applied'!$E$58+'Factors applied'!$E$59+'Factors applied'!$E$60+'Factors applied'!$E$61+'Factors applied'!$E$62)</f>
        <v>1</v>
      </c>
      <c r="C25" s="49" t="str">
        <f t="shared" si="0"/>
        <v>PASS</v>
      </c>
    </row>
    <row r="26" spans="1:3">
      <c r="A26" t="s">
        <v>204</v>
      </c>
      <c r="B26">
        <f>('Factors applied'!$E$63+'Factors applied'!$E$64)</f>
        <v>1</v>
      </c>
      <c r="C26" s="49" t="str">
        <f t="shared" si="0"/>
        <v>PASS</v>
      </c>
    </row>
    <row r="27" spans="1:3">
      <c r="A27" t="s">
        <v>205</v>
      </c>
      <c r="B27">
        <f>('Factors applied'!$E$65+'Factors applied'!$E$66)</f>
        <v>1</v>
      </c>
      <c r="C27" s="49" t="str">
        <f t="shared" si="0"/>
        <v>PASS</v>
      </c>
    </row>
    <row r="28" spans="1:3">
      <c r="A28" t="s">
        <v>206</v>
      </c>
      <c r="B28">
        <f>('Factors applied'!$E$67+'Factors applied'!$E$68+'Factors applied'!$E$69)</f>
        <v>1</v>
      </c>
      <c r="C28" s="49" t="str">
        <f t="shared" si="0"/>
        <v>PASS</v>
      </c>
    </row>
    <row r="29" spans="1:3">
      <c r="A29" t="s">
        <v>207</v>
      </c>
      <c r="B29">
        <f>('Factors applied'!$E$70+'Factors applied'!$E$71)</f>
        <v>1</v>
      </c>
      <c r="C29" s="49" t="str">
        <f t="shared" si="0"/>
        <v>PASS</v>
      </c>
    </row>
    <row r="30" spans="1:3">
      <c r="A30" t="s">
        <v>208</v>
      </c>
      <c r="B30">
        <f>('Factors applied'!$E$72+'Factors applied'!$E$73)</f>
        <v>1</v>
      </c>
      <c r="C30" s="49" t="str">
        <f t="shared" si="0"/>
        <v>PASS</v>
      </c>
    </row>
    <row r="31" spans="1:3">
      <c r="A31" t="s">
        <v>209</v>
      </c>
      <c r="B31">
        <f>('Factors applied'!$E$74+'Factors applied'!$E$75+'Factors applied'!$E$76+'Factors applied'!$E$77+'Factors applied'!$E$78)</f>
        <v>1</v>
      </c>
      <c r="C31" s="49" t="str">
        <f t="shared" si="0"/>
        <v>PASS</v>
      </c>
    </row>
    <row r="32" spans="1:3">
      <c r="A32" t="s">
        <v>210</v>
      </c>
      <c r="B32">
        <f>('Factors applied'!$E$79+'Factors applied'!$E$80)</f>
        <v>1</v>
      </c>
      <c r="C32" s="49" t="str">
        <f t="shared" si="0"/>
        <v>PASS</v>
      </c>
    </row>
    <row r="33" spans="1:3">
      <c r="A33" t="s">
        <v>211</v>
      </c>
      <c r="B33">
        <f>('Factors applied'!$E$81+'Factors applied'!$E$82)</f>
        <v>1</v>
      </c>
      <c r="C33" s="49" t="str">
        <f t="shared" si="0"/>
        <v>PASS</v>
      </c>
    </row>
    <row r="34" spans="1:3">
      <c r="A34" t="s">
        <v>212</v>
      </c>
      <c r="B34">
        <f>('Factors applied'!$E$83+'Factors applied'!$E$84+'Factors applied'!$E$85)</f>
        <v>1</v>
      </c>
      <c r="C34" s="49" t="str">
        <f t="shared" si="0"/>
        <v>PASS</v>
      </c>
    </row>
    <row r="35" spans="1:3">
      <c r="A35" t="s">
        <v>213</v>
      </c>
      <c r="B35">
        <f>('Factors applied'!$E$86+'Factors applied'!$E$87)</f>
        <v>1</v>
      </c>
      <c r="C35" s="49" t="str">
        <f t="shared" si="0"/>
        <v>PASS</v>
      </c>
    </row>
    <row r="36" spans="1:3">
      <c r="A36" t="s">
        <v>214</v>
      </c>
      <c r="B36">
        <f>('Factors applied'!$E$88+'Factors applied'!$E$89)</f>
        <v>1</v>
      </c>
      <c r="C36" s="49" t="str">
        <f t="shared" si="0"/>
        <v>PASS</v>
      </c>
    </row>
    <row r="37" spans="1:3">
      <c r="A37" t="s">
        <v>215</v>
      </c>
      <c r="B37">
        <f>('Factors applied'!$E$90+'Factors applied'!$E$91+'Factors applied'!$E$92+'Factors applied'!$E$93+'Factors applied'!$E$94)</f>
        <v>1</v>
      </c>
      <c r="C37" s="49" t="str">
        <f t="shared" si="0"/>
        <v>PASS</v>
      </c>
    </row>
    <row r="38" spans="1:3">
      <c r="A38" t="s">
        <v>216</v>
      </c>
      <c r="B38">
        <f>('Factors applied'!$E$95+'Factors applied'!$E$96)</f>
        <v>1</v>
      </c>
      <c r="C38" s="49" t="str">
        <f t="shared" si="0"/>
        <v>PASS</v>
      </c>
    </row>
    <row r="39" spans="1:3">
      <c r="A39" t="s">
        <v>217</v>
      </c>
      <c r="B39">
        <f>('Factors applied'!$E$97+'Factors applied'!$E$98)</f>
        <v>1</v>
      </c>
      <c r="C39" s="49" t="str">
        <f t="shared" si="0"/>
        <v>PASS</v>
      </c>
    </row>
    <row r="40" spans="1:3">
      <c r="A40" t="s">
        <v>218</v>
      </c>
      <c r="B40">
        <f>('Factors applied'!$E$99+'Factors applied'!$E$100+'Factors applied'!$E$101)</f>
        <v>1</v>
      </c>
      <c r="C40" s="49" t="str">
        <f t="shared" si="0"/>
        <v>PASS</v>
      </c>
    </row>
    <row r="41" spans="1:3">
      <c r="A41" t="s">
        <v>219</v>
      </c>
      <c r="B41">
        <f>('Factors applied'!$E$102+'Factors applied'!$E$103)</f>
        <v>1</v>
      </c>
      <c r="C41" s="49" t="str">
        <f t="shared" si="0"/>
        <v>PASS</v>
      </c>
    </row>
    <row r="42" spans="1:3">
      <c r="A42" t="s">
        <v>220</v>
      </c>
      <c r="B42">
        <f>('Factors applied'!$E$104+'Factors applied'!$E$105)</f>
        <v>1</v>
      </c>
      <c r="C42" s="49" t="str">
        <f t="shared" si="0"/>
        <v>PASS</v>
      </c>
    </row>
    <row r="43" spans="1:3">
      <c r="A43" t="s">
        <v>221</v>
      </c>
      <c r="B43">
        <f>('Factors applied'!$E$106+'Factors applied'!$E$107+'Factors applied'!$E$108+'Factors applied'!$E$109+'Factors applied'!$E$110)</f>
        <v>1</v>
      </c>
      <c r="C43" s="49" t="str">
        <f t="shared" si="0"/>
        <v>PASS</v>
      </c>
    </row>
    <row r="44" spans="1:3">
      <c r="A44" t="s">
        <v>222</v>
      </c>
      <c r="B44">
        <f>('Factors applied'!$E$111+'Factors applied'!$E$112)</f>
        <v>1</v>
      </c>
      <c r="C44" s="49" t="str">
        <f t="shared" si="0"/>
        <v>PASS</v>
      </c>
    </row>
    <row r="45" spans="1:3">
      <c r="A45" t="s">
        <v>223</v>
      </c>
      <c r="B45">
        <f>('Factors applied'!$E$113+'Factors applied'!$E$114)</f>
        <v>1</v>
      </c>
      <c r="C45" s="49" t="str">
        <f t="shared" si="0"/>
        <v>PASS</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sheetPr>
  <dimension ref="A1:BA8"/>
  <sheetViews>
    <sheetView topLeftCell="P1" workbookViewId="0">
      <selection activeCell="B7" sqref="B7:BA7"/>
    </sheetView>
  </sheetViews>
  <sheetFormatPr defaultRowHeight="15"/>
  <cols>
    <col min="1" max="1" width="29.28515625" bestFit="1" customWidth="1"/>
    <col min="2" max="26" width="10.7109375" customWidth="1"/>
    <col min="27" max="27" width="13.140625" customWidth="1"/>
    <col min="28" max="43" width="10.7109375" customWidth="1"/>
  </cols>
  <sheetData>
    <row r="1" spans="1:53">
      <c r="A1" s="50" t="s">
        <v>224</v>
      </c>
      <c r="B1" s="49" t="s">
        <v>156</v>
      </c>
      <c r="C1" s="49" t="s">
        <v>158</v>
      </c>
      <c r="D1" s="49" t="s">
        <v>159</v>
      </c>
      <c r="E1" s="49" t="s">
        <v>16</v>
      </c>
      <c r="F1" s="49" t="s">
        <v>18</v>
      </c>
      <c r="G1" s="49" t="s">
        <v>160</v>
      </c>
      <c r="H1" s="49" t="s">
        <v>161</v>
      </c>
      <c r="I1" s="49" t="s">
        <v>29</v>
      </c>
      <c r="J1" s="49" t="s">
        <v>32</v>
      </c>
      <c r="K1" s="49" t="s">
        <v>35</v>
      </c>
      <c r="L1" s="49" t="s">
        <v>38</v>
      </c>
      <c r="M1" s="49" t="s">
        <v>41</v>
      </c>
      <c r="N1" s="49" t="s">
        <v>44</v>
      </c>
      <c r="O1" s="49" t="s">
        <v>47</v>
      </c>
      <c r="P1" s="49" t="s">
        <v>51</v>
      </c>
      <c r="Q1" s="49" t="s">
        <v>54</v>
      </c>
      <c r="R1" s="49" t="s">
        <v>57</v>
      </c>
      <c r="S1" s="49" t="s">
        <v>60</v>
      </c>
      <c r="T1" s="49" t="s">
        <v>63</v>
      </c>
      <c r="U1" s="49" t="s">
        <v>65</v>
      </c>
      <c r="V1" s="49" t="s">
        <v>67</v>
      </c>
      <c r="W1" s="49" t="s">
        <v>69</v>
      </c>
      <c r="X1" s="49" t="s">
        <v>50</v>
      </c>
      <c r="Y1" s="49" t="s">
        <v>0</v>
      </c>
      <c r="Z1" s="49" t="s">
        <v>76</v>
      </c>
      <c r="AA1" s="49" t="s">
        <v>162</v>
      </c>
      <c r="AB1" s="49" t="s">
        <v>163</v>
      </c>
      <c r="AC1" s="49" t="s">
        <v>81</v>
      </c>
      <c r="AD1" s="49" t="s">
        <v>83</v>
      </c>
      <c r="AE1" s="49" t="s">
        <v>85</v>
      </c>
      <c r="AF1" s="49" t="s">
        <v>87</v>
      </c>
      <c r="AG1" s="49" t="s">
        <v>1</v>
      </c>
      <c r="AH1" s="49" t="s">
        <v>90</v>
      </c>
      <c r="AI1" s="49" t="s">
        <v>164</v>
      </c>
      <c r="AJ1" s="49" t="s">
        <v>165</v>
      </c>
      <c r="AK1" s="49" t="s">
        <v>166</v>
      </c>
      <c r="AL1" s="49" t="s">
        <v>167</v>
      </c>
      <c r="AM1" s="49" t="s">
        <v>168</v>
      </c>
      <c r="AN1" s="49" t="s">
        <v>94</v>
      </c>
      <c r="AO1" s="49" t="s">
        <v>96</v>
      </c>
      <c r="AP1" s="49" t="s">
        <v>98</v>
      </c>
      <c r="AQ1" s="49" t="s">
        <v>100</v>
      </c>
      <c r="AR1" s="49" t="s">
        <v>2</v>
      </c>
      <c r="AS1" s="49" t="s">
        <v>103</v>
      </c>
      <c r="AT1" s="49" t="s">
        <v>169</v>
      </c>
      <c r="AU1" s="49" t="s">
        <v>171</v>
      </c>
      <c r="AV1" s="49" t="s">
        <v>107</v>
      </c>
      <c r="AW1" s="49" t="s">
        <v>109</v>
      </c>
      <c r="AX1" s="49" t="s">
        <v>111</v>
      </c>
      <c r="AY1" s="49" t="s">
        <v>172</v>
      </c>
      <c r="AZ1" s="49" t="s">
        <v>173</v>
      </c>
      <c r="BA1" s="49" t="s">
        <v>115</v>
      </c>
    </row>
    <row r="2" spans="1:53">
      <c r="A2" t="s">
        <v>175</v>
      </c>
      <c r="B2">
        <f>(SUMIF(Data!$I$47:$I$58,"ISIC 01T03",Data!$J$47:$J$58))*'Factors applied'!$E$35</f>
        <v>0</v>
      </c>
      <c r="C2">
        <f>(SUMIF(Data!$I$47:$I$58,"ISIC 01T03",Data!$J$47:$J$58))*'Factors applied'!$E$36</f>
        <v>0</v>
      </c>
      <c r="D2">
        <f>(SUMIF(Data!$I$47:$I$58,"ISIC 01T03",Data!$J$47:$J$58))*'Factors applied'!$E$37</f>
        <v>0</v>
      </c>
      <c r="E2">
        <f>(SUMIF(Data!$I$47:$I$58,"ISIC 05",Data!$J$47:$J$58))</f>
        <v>0</v>
      </c>
      <c r="F2">
        <f>(SUMIF(Data!$I$47:$I$58,"ISIC 06",Data!$J$47:$J$58))</f>
        <v>0</v>
      </c>
      <c r="G2">
        <f>(SUMIF(Data!$I$47:$I$58,"ISIC 07T08",Data!$J$47:$J$58))*'Factors applied'!$E$38</f>
        <v>0</v>
      </c>
      <c r="H2">
        <f>(SUMIF(Data!$I$47:$I$58,"ISIC 07T08",Data!$J$47:$J$58))*'Factors applied'!$E$39</f>
        <v>0</v>
      </c>
      <c r="I2">
        <f>(SUMIF(Data!$I$47:$I$58,"ISIC 09",Data!$J$47:$J$58))</f>
        <v>0</v>
      </c>
      <c r="J2">
        <f>(SUMIF(Data!$I$47:$I$58,"ISIC 10T12",Data!$J$47:$J$58))</f>
        <v>0</v>
      </c>
      <c r="K2">
        <f>(SUMIF(Data!$I$47:$I$58,"ISIC 13T15",Data!$J$47:$J$58))</f>
        <v>0</v>
      </c>
      <c r="L2">
        <f>(SUMIF(Data!$I$47:$I$58,"ISIC 16",Data!$J$47:$J$58))</f>
        <v>0</v>
      </c>
      <c r="M2">
        <f>(SUMIF(Data!$I$47:$I$58,"ISIC 17T18",Data!$J$47:$J$58))</f>
        <v>0</v>
      </c>
      <c r="N2">
        <f>(SUMIF(Data!$I$47:$I$58,"ISIC 19",Data!$J$47:$J$58))</f>
        <v>0</v>
      </c>
      <c r="O2">
        <f>(SUMIF(Data!$I$47:$I$58,"ISIC 20",Data!$J$47:$J$58))</f>
        <v>0</v>
      </c>
      <c r="P2">
        <f>(SUMIF(Data!$I$47:$I$58,"ISIC 21",Data!$J$47:$J$58))</f>
        <v>0</v>
      </c>
      <c r="Q2">
        <f>(SUMIF(Data!$I$47:$I$58,"ISIC 22",Data!$J$47:$J$58))</f>
        <v>0</v>
      </c>
      <c r="R2">
        <f>(SUMIF(Data!$I$47:$I$58,"ISIC 231",Data!$J$47:$J$58))</f>
        <v>0</v>
      </c>
      <c r="S2">
        <f>(SUMIF(Data!$I$47:$I$58,"ISIC 239",Data!$J$47:$J$58))</f>
        <v>0</v>
      </c>
      <c r="T2">
        <f>(SUMIF(Data!$I$47:$I$58,"ISIC 241",Data!$J$47:$J$58))</f>
        <v>0</v>
      </c>
      <c r="U2">
        <f>(SUMIF(Data!$I$47:$I$58,"ISIC 242",Data!$J$47:$J$58))</f>
        <v>0</v>
      </c>
      <c r="V2">
        <f>(SUMIF(Data!$I$47:$I$58,"ISIC 25",Data!$J$47:$J$58))</f>
        <v>0</v>
      </c>
      <c r="W2">
        <f>(SUMIF(Data!$I$47:$I$58,"ISIC 26",Data!$J$47:$J$58))</f>
        <v>0</v>
      </c>
      <c r="X2">
        <f>(SUMIF(Data!$I$47:$I$58,"ISIC 27",Data!$J$47:$J$58))</f>
        <v>0.2053571428571429</v>
      </c>
      <c r="Y2">
        <f>(SUMIF(Data!$I$47:$I$58,"ISIC 28",Data!$J$47:$J$58))</f>
        <v>0.66964285714285743</v>
      </c>
      <c r="Z2">
        <f>(SUMIF(Data!$I$47:$I$58,"ISIC 29",Data!$J$47:$J$58))</f>
        <v>0</v>
      </c>
      <c r="AA2">
        <f>(SUMIF(Data!$I$47:$I$58,"ISIC 30",Data!$J$47:$J$58))*'Factors applied'!$E$40</f>
        <v>0</v>
      </c>
      <c r="AB2">
        <f>(SUMIF(Data!$I$47:$I$58,"ISIC 30",Data!$J$47:$J$58))*'Factors applied'!$E$41</f>
        <v>0</v>
      </c>
      <c r="AC2">
        <f>(SUMIF(Data!$I$47:$I$58,"ISIC 31T33",Data!$J$47:$J$58))</f>
        <v>0</v>
      </c>
      <c r="AD2">
        <f>(SUMIF(Data!$I$47:$I$58,"ISIC 351",Data!$J$47:$J$58))</f>
        <v>0</v>
      </c>
      <c r="AE2">
        <f>(SUMIF(Data!$I$47:$I$58,"ISIC 352T353",Data!$J$47:$J$58))</f>
        <v>0</v>
      </c>
      <c r="AF2">
        <f>(SUMIF(Data!$I$47:$I$58,"ISIC 36T39",Data!$J$47:$J$58))</f>
        <v>0</v>
      </c>
      <c r="AG2">
        <f>(SUMIF(Data!$I$47:$I$58,"ISIC 41T43",Data!$J$47:$J$58))</f>
        <v>0.12499999999999967</v>
      </c>
      <c r="AH2">
        <f>(SUMIF(Data!$I$47:$I$58,"ISIC 45T47",Data!$J$47:$J$58))</f>
        <v>0</v>
      </c>
      <c r="AI2">
        <f>(SUMIF(Data!$I$47:$I$58,"ISIC 49T53",Data!$J$47:$J$58))*'Factors applied'!$E$42</f>
        <v>0</v>
      </c>
      <c r="AJ2">
        <f>(SUMIF(Data!$I$47:$I$58,"ISIC 49T53",Data!$J$47:$J$58))*'Factors applied'!$E$43</f>
        <v>0</v>
      </c>
      <c r="AK2">
        <f>(SUMIF(Data!$I$47:$I$58,"ISIC 49T53",Data!$J$47:$J$58))*'Factors applied'!$E$44</f>
        <v>0</v>
      </c>
      <c r="AL2">
        <f>(SUMIF(Data!$I$47:$I$58,"ISIC 49T53",Data!$J$47:$J$58))*'Factors applied'!$E$45</f>
        <v>0</v>
      </c>
      <c r="AM2">
        <f>(SUMIF(Data!$I$47:$I$58,"ISIC 49T53",Data!$J$47:$J$58))*'Factors applied'!$E$46</f>
        <v>0</v>
      </c>
      <c r="AN2">
        <f>(SUMIF(Data!$I$47:$I$58,"ISIC 55T56",Data!$J$47:$J$58))</f>
        <v>0</v>
      </c>
      <c r="AO2">
        <f>(SUMIF(Data!$I$47:$I$58,"ISIC 58T60",Data!$J$47:$J$58))</f>
        <v>0</v>
      </c>
      <c r="AP2">
        <f>(SUMIF(Data!$I$47:$I$58,"ISIC 61",Data!$J$47:$J$58))</f>
        <v>0</v>
      </c>
      <c r="AQ2">
        <f>(SUMIF(Data!$I$47:$I$58,"ISIC 62T63",Data!$J$47:$J$58))</f>
        <v>0</v>
      </c>
      <c r="AR2">
        <f>(SUMIF(Data!$I$47:$I$58,"ISIC 64T66",Data!$J$47:$J$58))</f>
        <v>0</v>
      </c>
      <c r="AS2">
        <f>(SUMIF(Data!$I$47:$I$58,"ISIC 68",Data!$J$47:$J$58))</f>
        <v>0</v>
      </c>
      <c r="AT2">
        <f>(SUMIF(Data!$I$47:$I$58,"ISIC 69T82",Data!$J$47:$J$58))*'Factors applied'!$E$47</f>
        <v>0</v>
      </c>
      <c r="AU2">
        <f>(SUMIF(Data!$I$47:$I$58,"ISIC 69T82",Data!$J$47:$J$58))*'Factors applied'!$E$48</f>
        <v>0</v>
      </c>
      <c r="AV2">
        <f>(SUMIF(Data!$I$47:$I$58,"ISIC 84",Data!$J$47:$J$58))</f>
        <v>0</v>
      </c>
      <c r="AW2">
        <f>(SUMIF(Data!$I$47:$I$58,"ISIC 85",Data!$J$47:$J$58))</f>
        <v>0</v>
      </c>
      <c r="AX2">
        <f>(SUMIF(Data!$I$47:$I$58,"ISIC 86T88",Data!$J$47:$J$58))</f>
        <v>0</v>
      </c>
      <c r="AY2">
        <f>(SUMIF(Data!$I$47:$I$58,"ISIC 90T96",Data!$J$47:$J$58))*'Factors applied'!$E$49</f>
        <v>0</v>
      </c>
      <c r="AZ2">
        <f>(SUMIF(Data!$I$47:$I$58,"ISIC 90T96",Data!$J$47:$J$58))*'Factors applied'!$E$50</f>
        <v>0</v>
      </c>
      <c r="BA2">
        <f>(SUMIF(Data!$I$47:$I$58,"ISIC 97T98",Data!$J$47:$J$58))</f>
        <v>0</v>
      </c>
    </row>
    <row r="3" spans="1:53">
      <c r="A3" t="s">
        <v>178</v>
      </c>
      <c r="B3">
        <f>(SUMIF(Data!$M$10:$M$21,"ISIC 01T03",Data!$L$10:$L$21)/SUM(Data!$L$10:$L$21))*'Factors applied'!$E$83</f>
        <v>0</v>
      </c>
      <c r="C3">
        <f>(SUMIF(Data!$M$10:$M$21,"ISIC 01T03",Data!$L$10:$L$21)/SUM(Data!$L$10:$L$21))*'Factors applied'!$E$84</f>
        <v>0</v>
      </c>
      <c r="D3">
        <f>(SUMIF(Data!$M$10:$M$21,"ISIC 01T03",Data!$L$10:$L$21)/SUM(Data!$L$10:$L$21))*'Factors applied'!$E$85</f>
        <v>0</v>
      </c>
      <c r="E3">
        <f>(SUMIF(Data!$M$10:$M$21,"ISIC 05",Data!$L$10:$L$21)/SUM(Data!$L$10:$L$21))</f>
        <v>0</v>
      </c>
      <c r="F3">
        <f>(SUMIF(Data!$M$10:$M$21,"ISIC 06",Data!$L$10:$L$21)/SUM(Data!$L$10:$L$21))</f>
        <v>0</v>
      </c>
      <c r="G3">
        <f>(SUMIF(Data!$M$10:$M$21,"ISIC 07T08",Data!$L$10:$L$21)/SUM(Data!$L$10:$L$21))*'Factors applied'!$E$86</f>
        <v>0</v>
      </c>
      <c r="H3">
        <f>(SUMIF(Data!$M$10:$M$21,"ISIC 07T08",Data!$L$10:$L$21)/SUM(Data!$L$10:$L$21))*'Factors applied'!$E$87</f>
        <v>0</v>
      </c>
      <c r="I3">
        <f>(SUMIF(Data!$M$10:$M$21,"ISIC 09",Data!$L$10:$L$21)/SUM(Data!$L$10:$L$21))</f>
        <v>0</v>
      </c>
      <c r="J3">
        <f>(SUMIF(Data!$M$10:$M$21,"ISIC 10T12",Data!$L$10:$L$21)/SUM(Data!$L$10:$L$21))</f>
        <v>0</v>
      </c>
      <c r="K3">
        <f>(SUMIF(Data!$M$10:$M$21,"ISIC 13T15",Data!$L$10:$L$21)/SUM(Data!$L$10:$L$21))</f>
        <v>0</v>
      </c>
      <c r="L3">
        <f>(SUMIF(Data!$M$10:$M$21,"ISIC 16",Data!$L$10:$L$21)/SUM(Data!$L$10:$L$21))</f>
        <v>0</v>
      </c>
      <c r="M3">
        <f>(SUMIF(Data!$M$10:$M$21,"ISIC 17T18",Data!$L$10:$L$21)/SUM(Data!$L$10:$L$21))</f>
        <v>0</v>
      </c>
      <c r="N3">
        <f>(SUMIF(Data!$M$10:$M$21,"ISIC 19",Data!$L$10:$L$21)/SUM(Data!$L$10:$L$21))</f>
        <v>0</v>
      </c>
      <c r="O3">
        <f>(SUMIF(Data!$M$10:$M$21,"ISIC 20",Data!$L$10:$L$21)/SUM(Data!$L$10:$L$21))</f>
        <v>0</v>
      </c>
      <c r="P3">
        <f>(SUMIF(Data!$M$10:$M$21,"ISIC 21",Data!$L$10:$L$21)/SUM(Data!$L$10:$L$21))</f>
        <v>0</v>
      </c>
      <c r="Q3">
        <f>(SUMIF(Data!$M$10:$M$21,"ISIC 22",Data!$L$10:$L$21)/SUM(Data!$L$10:$L$21))</f>
        <v>0</v>
      </c>
      <c r="R3">
        <f>(SUMIF(Data!$M$10:$M$21,"ISIC 231",Data!$L$10:$L$21)/SUM(Data!$L$10:$L$21))</f>
        <v>0</v>
      </c>
      <c r="S3">
        <f>(SUMIF(Data!$M$10:$M$21,"ISIC 239",Data!$L$10:$L$21)/SUM(Data!$L$10:$L$21))</f>
        <v>0</v>
      </c>
      <c r="T3">
        <f>(SUMIF(Data!$M$10:$M$21,"ISIC 241",Data!$L$10:$L$21)/SUM(Data!$L$10:$L$21))</f>
        <v>0</v>
      </c>
      <c r="U3">
        <f>(SUMIF(Data!$M$10:$M$21,"ISIC 242",Data!$L$10:$L$21)/SUM(Data!$L$10:$L$21))</f>
        <v>0</v>
      </c>
      <c r="V3">
        <f>(SUMIF(Data!$M$10:$M$21,"ISIC 25",Data!$L$10:$L$21)/SUM(Data!$L$10:$L$21))</f>
        <v>0</v>
      </c>
      <c r="W3">
        <f>(SUMIF(Data!$M$10:$M$21,"ISIC 26",Data!$L$10:$L$21)/SUM(Data!$L$10:$L$21))</f>
        <v>0</v>
      </c>
      <c r="X3">
        <f>(SUMIF(Data!$M$10:$M$21,"ISIC 27",Data!$L$10:$L$21)/SUM(Data!$L$10:$L$21))</f>
        <v>0</v>
      </c>
      <c r="Y3">
        <f>(SUMIF(Data!$M$10:$M$21,"ISIC 28",Data!$L$10:$L$21)/SUM(Data!$L$10:$L$21))</f>
        <v>0.41966165941316863</v>
      </c>
      <c r="Z3">
        <f>(SUMIF(Data!$M$10:$M$21,"ISIC 29",Data!$L$10:$L$21)/SUM(Data!$L$10:$L$21))</f>
        <v>0</v>
      </c>
      <c r="AA3">
        <f>(SUMIF(Data!$M$10:$M$21,"ISIC 30",Data!$L$10:$L$21)/SUM(Data!$L$10:$L$21))*'Factors applied'!$E$88</f>
        <v>0</v>
      </c>
      <c r="AB3">
        <f>(SUMIF(Data!$M$10:$M$21,"ISIC 30",Data!$L$10:$L$21)/SUM(Data!$L$10:$L$21))*'Factors applied'!$E$89</f>
        <v>0</v>
      </c>
      <c r="AC3">
        <f>(SUMIF(Data!$M$10:$M$21,"ISIC 31T33",Data!$L$10:$L$21)/SUM(Data!$L$10:$L$21))</f>
        <v>0</v>
      </c>
      <c r="AD3">
        <f>(SUMIF(Data!$M$10:$M$21,"ISIC 351",Data!$L$10:$L$21)/SUM(Data!$L$10:$L$21))</f>
        <v>0</v>
      </c>
      <c r="AE3">
        <f>(SUMIF(Data!$M$10:$M$21,"ISIC 352T353",Data!$L$10:$L$21)/SUM(Data!$L$10:$L$21))</f>
        <v>0</v>
      </c>
      <c r="AF3">
        <f>(SUMIF(Data!$M$10:$M$21,"ISIC 36T39",Data!$L$10:$L$21)/SUM(Data!$L$10:$L$21))</f>
        <v>0</v>
      </c>
      <c r="AG3">
        <f>(SUMIF(Data!$M$10:$M$21,"ISIC 41T43",Data!$L$10:$L$21)/SUM(Data!$L$10:$L$21))</f>
        <v>0.41367167392016474</v>
      </c>
      <c r="AH3">
        <f>(SUMIF(Data!$M$10:$M$21,"ISIC 45T47",Data!$L$10:$L$21)/SUM(Data!$L$10:$L$21))</f>
        <v>0</v>
      </c>
      <c r="AI3">
        <f>(SUMIF(Data!$M$10:$M$21,"ISIC 49T53",Data!$L$10:$L$21)/SUM(Data!$L$10:$L$21))*'Factors applied'!$E$90</f>
        <v>0</v>
      </c>
      <c r="AJ3">
        <f>(SUMIF(Data!$M$10:$M$21,"ISIC 49T53",Data!$L$10:$L$21)/SUM(Data!$L$10:$L$21))*'Factors applied'!$E$91</f>
        <v>0</v>
      </c>
      <c r="AK3">
        <f>(SUMIF(Data!$M$10:$M$21,"ISIC 49T53",Data!$L$10:$L$21)/SUM(Data!$L$10:$L$21))*'Factors applied'!$E$92</f>
        <v>0</v>
      </c>
      <c r="AL3">
        <f>(SUMIF(Data!$M$10:$M$21,"ISIC 49T53",Data!$L$10:$L$21)/SUM(Data!$L$10:$L$21))*'Factors applied'!$E$93</f>
        <v>0</v>
      </c>
      <c r="AM3">
        <f>(SUMIF(Data!$M$10:$M$21,"ISIC 49T53",Data!$L$10:$L$21)/SUM(Data!$L$10:$L$21))*'Factors applied'!$E$94</f>
        <v>0</v>
      </c>
      <c r="AN3">
        <f>(SUMIF(Data!$M$10:$M$21,"ISIC 55T56",Data!$L$10:$L$21)/SUM(Data!$L$10:$L$21))</f>
        <v>0</v>
      </c>
      <c r="AO3">
        <f>(SUMIF(Data!$M$10:$M$21,"ISIC 58T60",Data!$L$10:$L$21)/SUM(Data!$L$10:$L$21))</f>
        <v>0</v>
      </c>
      <c r="AP3">
        <f>(SUMIF(Data!$M$10:$M$21,"ISIC 61",Data!$L$10:$L$21)/SUM(Data!$L$10:$L$21))</f>
        <v>0</v>
      </c>
      <c r="AQ3">
        <f>(SUMIF(Data!$M$10:$M$21,"ISIC 62T63",Data!$L$10:$L$21)/SUM(Data!$L$10:$L$21))</f>
        <v>0</v>
      </c>
      <c r="AR3">
        <f>(SUMIF(Data!$M$10:$M$21,"ISIC 64T66",Data!$L$10:$L$21)/SUM(Data!$L$10:$L$21))</f>
        <v>0.16666666666666666</v>
      </c>
      <c r="AS3">
        <f>(SUMIF(Data!$M$10:$M$21,"ISIC 68",Data!$L$10:$L$21)/SUM(Data!$L$10:$L$21))</f>
        <v>0</v>
      </c>
      <c r="AT3">
        <f>(SUMIF(Data!$M$10:$M$21,"ISIC 69T82",Data!$L$10:$L$21)/SUM(Data!$L$10:$L$21))*'Factors applied'!$E$95</f>
        <v>0</v>
      </c>
      <c r="AU3">
        <f>(SUMIF(Data!$M$10:$M$21,"ISIC 69T82",Data!$L$10:$L$21)/SUM(Data!$L$10:$L$21))*'Factors applied'!$E$96</f>
        <v>0</v>
      </c>
      <c r="AV3">
        <f>(SUMIF(Data!$M$10:$M$21,"ISIC 84",Data!$L$10:$L$21)/SUM(Data!$L$10:$L$21))</f>
        <v>0</v>
      </c>
      <c r="AW3">
        <f>(SUMIF(Data!$M$10:$M$21,"ISIC 85",Data!$L$10:$L$21)/SUM(Data!$L$10:$L$21))</f>
        <v>0</v>
      </c>
      <c r="AX3">
        <f>(SUMIF(Data!$M$10:$M$21,"ISIC 86T88",Data!$L$10:$L$21)/SUM(Data!$L$10:$L$21))</f>
        <v>0</v>
      </c>
      <c r="AY3">
        <f>(SUMIF(Data!$M$10:$M$21,"ISIC 90T96",Data!$L$10:$L$21)/SUM(Data!$L$10:$L$21))*'Factors applied'!$E$97</f>
        <v>0</v>
      </c>
      <c r="AZ3">
        <f>(SUMIF(Data!$M$10:$M$21,"ISIC 90T96",Data!$L$10:$L$21)/SUM(Data!$L$10:$L$21))*'Factors applied'!$E$98</f>
        <v>0</v>
      </c>
      <c r="BA3">
        <f>(SUMIF(Data!$M$10:$M$21,"ISIC 97T98",Data!$L$10:$L$21)/SUM(Data!$L$10:$L$21))</f>
        <v>0</v>
      </c>
    </row>
    <row r="4" spans="1:53">
      <c r="A4" t="s">
        <v>174</v>
      </c>
      <c r="B4">
        <f>(SUMIF(Data!$L$86:$L$95,"ISIC 01T03",Data!$K$86:$K$95)/SUM(Data!$K$86:$K$95))*'Factors applied'!$E$19</f>
        <v>0</v>
      </c>
      <c r="C4">
        <f>(SUMIF(Data!$L$86:$L$95,"ISIC 01T03",Data!$K$86:$K$95)/SUM(Data!$K$86:$K$95))*'Factors applied'!$E$20</f>
        <v>0</v>
      </c>
      <c r="D4">
        <f>(SUMIF(Data!$L$86:$L$95,"ISIC 01T03",Data!$K$86:$K$95)/SUM(Data!$K$86:$K$95))*'Factors applied'!$E$21</f>
        <v>0</v>
      </c>
      <c r="E4">
        <f>(SUMIF(Data!$L$86:$L$95,"ISIC 05",Data!$K$86:$K$95)/SUM(Data!$K$86:$K$95))</f>
        <v>0</v>
      </c>
      <c r="F4">
        <f>(SUMIF(Data!$L$86:$L$95,"ISIC 06",Data!$K$86:$K$95)/SUM(Data!$K$86:$K$95))</f>
        <v>0</v>
      </c>
      <c r="G4">
        <f>(SUMIF(Data!$L$86:$L$95,"ISIC 07T08",Data!$K$86:$K$95)/SUM(Data!$K$86:$K$95))*'Factors applied'!$E$22</f>
        <v>0</v>
      </c>
      <c r="H4">
        <f>(SUMIF(Data!$L$86:$L$95,"ISIC 07T08",Data!$K$86:$K$95)/SUM(Data!$K$86:$K$95))*'Factors applied'!$E$23</f>
        <v>0</v>
      </c>
      <c r="I4">
        <f>(SUMIF(Data!$L$86:$L$95,"ISIC 09",Data!$K$86:$K$95)/SUM(Data!$K$86:$K$95))</f>
        <v>0</v>
      </c>
      <c r="J4">
        <f>(SUMIF(Data!$L$86:$L$95,"ISIC 10T12",Data!$K$86:$K$95)/SUM(Data!$K$86:$K$95))</f>
        <v>0</v>
      </c>
      <c r="K4">
        <f>(SUMIF(Data!$L$86:$L$95,"ISIC 13T15",Data!$K$86:$K$95)/SUM(Data!$K$86:$K$95))</f>
        <v>0</v>
      </c>
      <c r="L4">
        <f>(SUMIF(Data!$L$86:$L$95,"ISIC 16",Data!$K$86:$K$95)/SUM(Data!$K$86:$K$95))</f>
        <v>0</v>
      </c>
      <c r="M4">
        <f>(SUMIF(Data!$L$86:$L$95,"ISIC 17T18",Data!$K$86:$K$95)/SUM(Data!$K$86:$K$95))</f>
        <v>0</v>
      </c>
      <c r="N4">
        <f>(SUMIF(Data!$L$86:$L$95,"ISIC 19",Data!$K$86:$K$95)/SUM(Data!$K$86:$K$95))</f>
        <v>0</v>
      </c>
      <c r="O4">
        <f>(SUMIF(Data!$L$86:$L$95,"ISIC 20",Data!$K$86:$K$95)/SUM(Data!$K$86:$K$95))</f>
        <v>0</v>
      </c>
      <c r="P4">
        <f>(SUMIF(Data!$L$86:$L$95,"ISIC 21",Data!$K$86:$K$95)/SUM(Data!$K$86:$K$95))</f>
        <v>0</v>
      </c>
      <c r="Q4">
        <f>(SUMIF(Data!$L$86:$L$95,"ISIC 22",Data!$K$86:$K$95)/SUM(Data!$K$86:$K$95))</f>
        <v>0</v>
      </c>
      <c r="R4">
        <f>(SUMIF(Data!$L$86:$L$95,"ISIC 231",Data!$K$86:$K$95)/SUM(Data!$K$86:$K$95))</f>
        <v>0</v>
      </c>
      <c r="S4">
        <f>(SUMIF(Data!$L$86:$L$95,"ISIC 239",Data!$K$86:$K$95)/SUM(Data!$K$86:$K$95))</f>
        <v>0</v>
      </c>
      <c r="T4">
        <f>(SUMIF(Data!$L$86:$L$95,"ISIC 241",Data!$K$86:$K$95)/SUM(Data!$K$86:$K$95))</f>
        <v>0</v>
      </c>
      <c r="U4">
        <f>(SUMIF(Data!$L$86:$L$95,"ISIC 242",Data!$K$86:$K$95)/SUM(Data!$K$86:$K$95))</f>
        <v>0</v>
      </c>
      <c r="V4">
        <f>(SUMIF(Data!$L$86:$L$95,"ISIC 25",Data!$K$86:$K$95)/SUM(Data!$K$86:$K$95))</f>
        <v>0</v>
      </c>
      <c r="W4">
        <f>(SUMIF(Data!$L$86:$L$95,"ISIC 26",Data!$K$86:$K$95)/SUM(Data!$K$86:$K$95))</f>
        <v>0</v>
      </c>
      <c r="X4">
        <f>(SUMIF(Data!$L$86:$L$95,"ISIC 27",Data!$K$86:$K$95)/SUM(Data!$K$86:$K$95))</f>
        <v>0</v>
      </c>
      <c r="Y4">
        <f>(SUMIF(Data!$L$86:$L$95,"ISIC 28",Data!$K$86:$K$95)/SUM(Data!$K$86:$K$95))</f>
        <v>0.55991337252195439</v>
      </c>
      <c r="Z4">
        <f>(SUMIF(Data!$L$86:$L$95,"ISIC 29",Data!$K$86:$K$95)/SUM(Data!$K$86:$K$95))</f>
        <v>0</v>
      </c>
      <c r="AA4">
        <f>(SUMIF(Data!$L$86:$L$95,"ISIC 30",Data!$K$86:$K$95)/SUM(Data!$K$86:$K$95))*'Factors applied'!$E$24</f>
        <v>0</v>
      </c>
      <c r="AB4">
        <f>(SUMIF(Data!$L$86:$L$95,"ISIC 30",Data!$K$86:$K$95)/SUM(Data!$K$86:$K$95))*'Factors applied'!$E$25</f>
        <v>0</v>
      </c>
      <c r="AC4">
        <f>(SUMIF(Data!$L$86:$L$95,"ISIC 31T33",Data!$K$86:$K$95)/SUM(Data!$K$86:$K$95))</f>
        <v>0</v>
      </c>
      <c r="AD4">
        <f>(SUMIF(Data!$L$86:$L$95,"ISIC 351",Data!$K$86:$K$95)/SUM(Data!$K$86:$K$95))</f>
        <v>0</v>
      </c>
      <c r="AE4">
        <f>(SUMIF(Data!$L$86:$L$95,"ISIC 352T353",Data!$K$86:$K$95)/SUM(Data!$K$86:$K$95))</f>
        <v>0</v>
      </c>
      <c r="AF4">
        <f>(SUMIF(Data!$L$86:$L$95,"ISIC 36T39",Data!$K$86:$K$95)/SUM(Data!$K$86:$K$95))</f>
        <v>0</v>
      </c>
      <c r="AG4">
        <f>(SUMIF(Data!$L$86:$L$95,"ISIC 41T43",Data!$K$86:$K$95)/SUM(Data!$K$86:$K$95))</f>
        <v>0.34917537304552704</v>
      </c>
      <c r="AH4">
        <f>(SUMIF(Data!$L$86:$L$95,"ISIC 45T47",Data!$K$86:$K$95)/SUM(Data!$K$86:$K$95))</f>
        <v>0</v>
      </c>
      <c r="AI4">
        <f>(SUMIF(Data!$L$86:$L$95,"ISIC 49T53",Data!$K$86:$K$95)/SUM(Data!$K$86:$K$95))*'Factors applied'!$E$26</f>
        <v>0</v>
      </c>
      <c r="AJ4">
        <f>(SUMIF(Data!$L$86:$L$95,"ISIC 49T53",Data!$K$86:$K$95)/SUM(Data!$K$86:$K$95))*'Factors applied'!$E$27</f>
        <v>0</v>
      </c>
      <c r="AK4">
        <f>(SUMIF(Data!$L$86:$L$95,"ISIC 49T53",Data!$K$86:$K$95)/SUM(Data!$K$86:$K$95))*'Factors applied'!$E$28</f>
        <v>0</v>
      </c>
      <c r="AL4">
        <f>(SUMIF(Data!$L$86:$L$95,"ISIC 49T53",Data!$K$86:$K$95)/SUM(Data!$K$86:$K$95))*'Factors applied'!$E$29</f>
        <v>0</v>
      </c>
      <c r="AM4">
        <f>(SUMIF(Data!$L$86:$L$95,"ISIC 49T53",Data!$K$86:$K$95)/SUM(Data!$K$86:$K$95))*'Factors applied'!$E$30</f>
        <v>0</v>
      </c>
      <c r="AN4">
        <f>(SUMIF(Data!$L$86:$L$95,"ISIC 55T56",Data!$K$86:$K$95)/SUM(Data!$K$86:$K$95))</f>
        <v>0</v>
      </c>
      <c r="AO4">
        <f>(SUMIF(Data!$L$86:$L$95,"ISIC 58T60",Data!$K$86:$K$95)/SUM(Data!$K$86:$K$95))</f>
        <v>0</v>
      </c>
      <c r="AP4">
        <f>(SUMIF(Data!$L$86:$L$95,"ISIC 61",Data!$K$86:$K$95)/SUM(Data!$K$86:$K$95))</f>
        <v>0</v>
      </c>
      <c r="AQ4">
        <f>(SUMIF(Data!$L$86:$L$95,"ISIC 62T63",Data!$K$86:$K$95)/SUM(Data!$K$86:$K$95))</f>
        <v>0</v>
      </c>
      <c r="AR4">
        <f>(SUMIF(Data!$L$86:$L$95,"ISIC 64T66",Data!$K$86:$K$95)/SUM(Data!$K$86:$K$95))</f>
        <v>9.0911254432518629E-2</v>
      </c>
      <c r="AS4">
        <f>(SUMIF(Data!$L$86:$L$95,"ISIC 68",Data!$K$86:$K$95)/SUM(Data!$K$86:$K$95))</f>
        <v>0</v>
      </c>
      <c r="AT4">
        <f>(SUMIF(Data!$L$86:$L$95,"ISIC 69T82",Data!$K$86:$K$95)/SUM(Data!$K$86:$K$95))*'Factors applied'!$E$31</f>
        <v>0</v>
      </c>
      <c r="AU4">
        <f>(SUMIF(Data!$L$86:$L$95,"ISIC 69T82",Data!$K$86:$K$95)/SUM(Data!$K$86:$K$95))*'Factors applied'!$E$32</f>
        <v>0</v>
      </c>
      <c r="AV4">
        <f>(SUMIF(Data!$L$86:$L$95,"ISIC 84",Data!$K$86:$K$95)/SUM(Data!$K$86:$K$95))</f>
        <v>0</v>
      </c>
      <c r="AW4">
        <f>(SUMIF(Data!$L$86:$L$95,"ISIC 85",Data!$K$86:$K$95)/SUM(Data!$K$86:$K$95))</f>
        <v>0</v>
      </c>
      <c r="AX4">
        <f>(SUMIF(Data!$L$86:$L$95,"ISIC 86T88",Data!$K$86:$K$95)/SUM(Data!$K$86:$K$95))</f>
        <v>0</v>
      </c>
      <c r="AY4">
        <f>(SUMIF(Data!$L$86:$L$95,"ISIC 90T96",Data!$K$86:$K$95)/SUM(Data!$K$86:$K$95))*'Factors applied'!$E$33</f>
        <v>0</v>
      </c>
      <c r="AZ4">
        <f>(SUMIF(Data!$L$86:$L$95,"ISIC 90T96",Data!$K$86:$K$95)/SUM(Data!$K$86:$K$95))*'Factors applied'!$E$34</f>
        <v>0</v>
      </c>
      <c r="BA4">
        <f>(SUMIF(Data!$L$86:$L$95,"ISIC 97T98",Data!$K$86:$K$95)/SUM(Data!$K$86:$K$95))</f>
        <v>0</v>
      </c>
    </row>
    <row r="5" spans="1:53">
      <c r="A5" t="s">
        <v>155</v>
      </c>
      <c r="B5">
        <f>((SUMIF(Data!$L$86:$L$95,"ISIC 01T03",Data!$K$86:$K$95)/SUM(Data!$K$86:$K$95)))*'Factors applied'!$E$3</f>
        <v>0</v>
      </c>
      <c r="C5">
        <f>((SUMIF(Data!$L$86:$L$95,"ISIC 01T03",Data!$K$86:$K$95)/SUM(Data!$K$86:$K$95)))*'Factors applied'!$E$4</f>
        <v>0</v>
      </c>
      <c r="D5">
        <f>((SUMIF(Data!$L$86:$L$95,"ISIC 01T03",Data!$K$86:$K$95)/SUM(Data!$K$86:$K$95)))*'Factors applied'!$E$5</f>
        <v>0</v>
      </c>
      <c r="E5">
        <f>((SUMIF(Data!$L$86:$L$95,"ISIC 05",Data!$K$86:$K$95)/SUM(Data!$K$86:$K$95)))</f>
        <v>0</v>
      </c>
      <c r="F5">
        <f>((SUMIF(Data!$L$86:$L$95,"ISIC 06",Data!$K$86:$K$95)/SUM(Data!$K$86:$K$95)))</f>
        <v>0</v>
      </c>
      <c r="G5">
        <f>((SUMIF(Data!$L$86:$L$95,"ISIC 07T08",Data!$K$86:$K$95)/SUM(Data!$K$86:$K$95)))*'Factors applied'!$E$6</f>
        <v>0</v>
      </c>
      <c r="H5">
        <f>((SUMIF(Data!$L$86:$L$95,"ISIC 07T08",Data!$K$86:$K$95)/SUM(Data!$K$86:$K$95)))*'Factors applied'!$E$7</f>
        <v>0</v>
      </c>
      <c r="I5">
        <f>((SUMIF(Data!$L$86:$L$95,"ISIC 09",Data!$K$86:$K$95)/SUM(Data!$K$86:$K$95)))</f>
        <v>0</v>
      </c>
      <c r="J5">
        <f>((SUMIF(Data!$L$86:$L$95,"ISIC 10T12",Data!$K$86:$K$95)/SUM(Data!$K$86:$K$95)))</f>
        <v>0</v>
      </c>
      <c r="K5">
        <f>((SUMIF(Data!$L$86:$L$95,"ISIC 13T15",Data!$K$86:$K$95)/SUM(Data!$K$86:$K$95)))</f>
        <v>0</v>
      </c>
      <c r="L5">
        <f>((SUMIF(Data!$L$86:$L$95,"ISIC 16",Data!$K$86:$K$95)/SUM(Data!$K$86:$K$95)))</f>
        <v>0</v>
      </c>
      <c r="M5">
        <f>((SUMIF(Data!$L$86:$L$95,"ISIC 17T18",Data!$K$86:$K$95)/SUM(Data!$K$86:$K$95)))</f>
        <v>0</v>
      </c>
      <c r="N5">
        <f>((SUMIF(Data!$L$86:$L$95,"ISIC 19",Data!$K$86:$K$95)/SUM(Data!$K$86:$K$95)))</f>
        <v>0</v>
      </c>
      <c r="O5">
        <f>((SUMIF(Data!$L$86:$L$95,"ISIC 20",Data!$K$86:$K$95)/SUM(Data!$K$86:$K$95)))</f>
        <v>0</v>
      </c>
      <c r="P5">
        <f>((SUMIF(Data!$L$86:$L$95,"ISIC 21",Data!$K$86:$K$95)/SUM(Data!$K$86:$K$95)))</f>
        <v>0</v>
      </c>
      <c r="Q5">
        <f>((SUMIF(Data!$L$86:$L$95,"ISIC 22",Data!$K$86:$K$95)/SUM(Data!$K$86:$K$95)))</f>
        <v>0</v>
      </c>
      <c r="R5">
        <f>((SUMIF(Data!$L$86:$L$95,"ISIC 231",Data!$K$86:$K$95)/SUM(Data!$K$86:$K$95)))</f>
        <v>0</v>
      </c>
      <c r="S5">
        <f>((SUMIF(Data!$L$86:$L$95,"ISIC 239",Data!$K$86:$K$95)/SUM(Data!$K$86:$K$95)))</f>
        <v>0</v>
      </c>
      <c r="T5">
        <f>((SUMIF(Data!$L$86:$L$95,"ISIC 241",Data!$K$86:$K$95)/SUM(Data!$K$86:$K$95)))</f>
        <v>0</v>
      </c>
      <c r="U5">
        <f>((SUMIF(Data!$L$86:$L$95,"ISIC 242",Data!$K$86:$K$95)/SUM(Data!$K$86:$K$95)))</f>
        <v>0</v>
      </c>
      <c r="V5">
        <f>((SUMIF(Data!$L$86:$L$95,"ISIC 25",Data!$K$86:$K$95)/SUM(Data!$K$86:$K$95)))</f>
        <v>0</v>
      </c>
      <c r="W5">
        <f>((SUMIF(Data!$L$86:$L$95,"ISIC 26",Data!$K$86:$K$95)/SUM(Data!$K$86:$K$95)))</f>
        <v>0</v>
      </c>
      <c r="X5">
        <f>((SUMIF(Data!$L$86:$L$95,"ISIC 27",Data!$K$86:$K$95)/SUM(Data!$K$86:$K$95)))</f>
        <v>0</v>
      </c>
      <c r="Y5">
        <f>((SUMIF(Data!$L$86:$L$95,"ISIC 28",Data!$K$86:$K$95)/SUM(Data!$K$86:$K$95)))</f>
        <v>0.55991337252195439</v>
      </c>
      <c r="Z5">
        <f>((SUMIF(Data!$L$86:$L$95,"ISIC 29",Data!$K$86:$K$95)/SUM(Data!$K$86:$K$95)))</f>
        <v>0</v>
      </c>
      <c r="AA5">
        <f>((SUMIF(Data!$L$86:$L$95,"ISIC 30",Data!$K$86:$K$95)/SUM(Data!$K$86:$K$95)))*'Factors applied'!$E$8</f>
        <v>0</v>
      </c>
      <c r="AB5">
        <f>((SUMIF(Data!$L$86:$L$95,"ISIC 30",Data!$K$86:$K$95)/SUM(Data!$K$86:$K$95)))*'Factors applied'!$E$9</f>
        <v>0</v>
      </c>
      <c r="AC5">
        <f>((SUMIF(Data!$L$86:$L$95,"ISIC 31T33",Data!$K$86:$K$95)/SUM(Data!$K$86:$K$95)))</f>
        <v>0</v>
      </c>
      <c r="AD5">
        <f>((SUMIF(Data!$L$86:$L$95,"ISIC 351",Data!$K$86:$K$95)/SUM(Data!$K$86:$K$95)))</f>
        <v>0</v>
      </c>
      <c r="AE5">
        <f>((SUMIF(Data!$L$86:$L$95,"ISIC 352T353",Data!$K$86:$K$95)/SUM(Data!$K$86:$K$95)))</f>
        <v>0</v>
      </c>
      <c r="AF5">
        <f>((SUMIF(Data!$L$86:$L$95,"ISIC 36T39",Data!$K$86:$K$95)/SUM(Data!$K$86:$K$95)))</f>
        <v>0</v>
      </c>
      <c r="AG5">
        <f>((SUMIF(Data!$L$86:$L$95,"ISIC 41T43",Data!$K$86:$K$95)/SUM(Data!$K$86:$K$95)))</f>
        <v>0.34917537304552704</v>
      </c>
      <c r="AH5">
        <f>((SUMIF(Data!$L$86:$L$95,"ISIC 45T47",Data!$K$86:$K$95)/SUM(Data!$K$86:$K$95)))</f>
        <v>0</v>
      </c>
      <c r="AI5">
        <f>((SUMIF(Data!$L$86:$L$95,"ISIC 49T53",Data!$K$86:$K$95)/SUM(Data!$K$86:$K$95)))*'Factors applied'!$E$10</f>
        <v>0</v>
      </c>
      <c r="AJ5">
        <f>((SUMIF(Data!$L$86:$L$95,"ISIC 49T53",Data!$K$86:$K$95)/SUM(Data!$K$86:$K$95)))*'Factors applied'!$E$11</f>
        <v>0</v>
      </c>
      <c r="AK5">
        <f>((SUMIF(Data!$L$86:$L$95,"ISIC 49T53",Data!$K$86:$K$95)/SUM(Data!$K$86:$K$95)))*'Factors applied'!$E$12</f>
        <v>0</v>
      </c>
      <c r="AL5">
        <f>((SUMIF(Data!$L$86:$L$95,"ISIC 49T53",Data!$K$86:$K$95)/SUM(Data!$K$86:$K$95)))*'Factors applied'!$E$13</f>
        <v>0</v>
      </c>
      <c r="AM5">
        <f>((SUMIF(Data!$L$86:$L$95,"ISIC 49T53",Data!$K$86:$K$95)/SUM(Data!$K$86:$K$95)))*'Factors applied'!$E$14</f>
        <v>0</v>
      </c>
      <c r="AN5">
        <f>((SUMIF(Data!$L$86:$L$95,"ISIC 55T56",Data!$K$86:$K$95)/SUM(Data!$K$86:$K$95)))</f>
        <v>0</v>
      </c>
      <c r="AO5">
        <f>((SUMIF(Data!$L$86:$L$95,"ISIC 58T60",Data!$K$86:$K$95)/SUM(Data!$K$86:$K$95)))</f>
        <v>0</v>
      </c>
      <c r="AP5">
        <f>((SUMIF(Data!$L$86:$L$95,"ISIC 61",Data!$K$86:$K$95)/SUM(Data!$K$86:$K$95)))</f>
        <v>0</v>
      </c>
      <c r="AQ5">
        <f>((SUMIF(Data!$L$86:$L$95,"ISIC 62T63",Data!$K$86:$K$95)/SUM(Data!$K$86:$K$95)))</f>
        <v>0</v>
      </c>
      <c r="AR5">
        <f>((SUMIF(Data!$L$86:$L$95,"ISIC 64T66",Data!$K$86:$K$95)/SUM(Data!$K$86:$K$95)))</f>
        <v>9.0911254432518629E-2</v>
      </c>
      <c r="AS5">
        <f>((SUMIF(Data!$L$86:$L$95,"ISIC 68",Data!$K$86:$K$95)/SUM(Data!$K$86:$K$95)))</f>
        <v>0</v>
      </c>
      <c r="AT5">
        <f>((SUMIF(Data!$L$86:$L$95,"ISIC 69T82",Data!$K$86:$K$95)/SUM(Data!$K$86:$K$95)))*'Factors applied'!$E$15</f>
        <v>0</v>
      </c>
      <c r="AU5">
        <f>((SUMIF(Data!$L$86:$L$95,"ISIC 69T82",Data!$K$86:$K$95)/SUM(Data!$K$86:$K$95)))*'Factors applied'!$E$16</f>
        <v>0</v>
      </c>
      <c r="AV5">
        <f>((SUMIF(Data!$L$86:$L$95,"ISIC 84",Data!$K$86:$K$95)/SUM(Data!$K$86:$K$95)))</f>
        <v>0</v>
      </c>
      <c r="AW5">
        <f>((SUMIF(Data!$L$86:$L$95,"ISIC 85",Data!$K$86:$K$95)/SUM(Data!$K$86:$K$95)))</f>
        <v>0</v>
      </c>
      <c r="AX5">
        <f>((SUMIF(Data!$L$86:$L$95,"ISIC 86T88",Data!$K$86:$K$95)/SUM(Data!$K$86:$K$95)))</f>
        <v>0</v>
      </c>
      <c r="AY5">
        <f>((SUMIF(Data!$L$86:$L$95,"ISIC 90T96",Data!$K$86:$K$95)/SUM(Data!$K$86:$K$95)))*'Factors applied'!$E$17</f>
        <v>0</v>
      </c>
      <c r="AZ5">
        <f>((SUMIF(Data!$L$86:$L$95,"ISIC 90T96",Data!$K$86:$K$95)/SUM(Data!$K$86:$K$95)))*'Factors applied'!$E$18</f>
        <v>0</v>
      </c>
      <c r="BA5">
        <f>((SUMIF(Data!$L$86:$L$95,"ISIC 97T98",Data!$K$86:$K$95)/SUM(Data!$K$86:$K$95)))</f>
        <v>0</v>
      </c>
    </row>
    <row r="6" spans="1:53">
      <c r="A6" t="s">
        <v>177</v>
      </c>
      <c r="B6">
        <f>((SUMIF(Data!$M$10:$M$21,"ISIC 01T03",Data!$L$10:$L$21)/SUM(Data!$L$10:$L$21)))*'Factors applied'!$E$67</f>
        <v>0</v>
      </c>
      <c r="C6">
        <f>((SUMIF(Data!$M$10:$M$21,"ISIC 01T03",Data!$L$10:$L$21)/SUM(Data!$L$10:$L$21)))*'Factors applied'!$E$68</f>
        <v>0</v>
      </c>
      <c r="D6">
        <f>((SUMIF(Data!$M$10:$M$21,"ISIC 01T03",Data!$L$10:$L$21)/SUM(Data!$L$10:$L$21)))*'Factors applied'!$E$69</f>
        <v>0</v>
      </c>
      <c r="E6">
        <f>((SUMIF(Data!$M$10:$M$21,"ISIC 05",Data!$L$10:$L$21)/SUM(Data!$L$10:$L$21)))</f>
        <v>0</v>
      </c>
      <c r="F6">
        <f>((SUMIF(Data!$M$10:$M$21,"ISIC 06",Data!$L$10:$L$21)/SUM(Data!$L$10:$L$21)))</f>
        <v>0</v>
      </c>
      <c r="G6">
        <f>((SUMIF(Data!$M$10:$M$21,"ISIC 07T08",Data!$L$10:$L$21)/SUM(Data!$L$10:$L$21)))*'Factors applied'!$E$70</f>
        <v>0</v>
      </c>
      <c r="H6">
        <f>((SUMIF(Data!$M$10:$M$21,"ISIC 07T08",Data!$L$10:$L$21)/SUM(Data!$L$10:$L$21)))*'Factors applied'!$E$71</f>
        <v>0</v>
      </c>
      <c r="I6">
        <f>((SUMIF(Data!$M$10:$M$21,"ISIC 09",Data!$L$10:$L$21)/SUM(Data!$L$10:$L$21)))</f>
        <v>0</v>
      </c>
      <c r="J6">
        <f>((SUMIF(Data!$M$10:$M$21,"ISIC 10T12",Data!$L$10:$L$21)/SUM(Data!$L$10:$L$21)))</f>
        <v>0</v>
      </c>
      <c r="K6">
        <f>((SUMIF(Data!$M$10:$M$21,"ISIC 13T15",Data!$L$10:$L$21)/SUM(Data!$L$10:$L$21)))</f>
        <v>0</v>
      </c>
      <c r="L6">
        <f>((SUMIF(Data!$M$10:$M$21,"ISIC 16",Data!$L$10:$L$21)/SUM(Data!$L$10:$L$21)))</f>
        <v>0</v>
      </c>
      <c r="M6">
        <f>((SUMIF(Data!$M$10:$M$21,"ISIC 17T18",Data!$L$10:$L$21)/SUM(Data!$L$10:$L$21)))</f>
        <v>0</v>
      </c>
      <c r="N6">
        <f>((SUMIF(Data!$M$10:$M$21,"ISIC 19",Data!$L$10:$L$21)/SUM(Data!$L$10:$L$21)))</f>
        <v>0</v>
      </c>
      <c r="O6">
        <f>((SUMIF(Data!$M$10:$M$21,"ISIC 20",Data!$L$10:$L$21)/SUM(Data!$L$10:$L$21)))</f>
        <v>0</v>
      </c>
      <c r="P6">
        <f>((SUMIF(Data!$M$10:$M$21,"ISIC 21",Data!$L$10:$L$21)/SUM(Data!$L$10:$L$21)))</f>
        <v>0</v>
      </c>
      <c r="Q6">
        <f>((SUMIF(Data!$M$10:$M$21,"ISIC 22",Data!$L$10:$L$21)/SUM(Data!$L$10:$L$21)))</f>
        <v>0</v>
      </c>
      <c r="R6">
        <f>((SUMIF(Data!$M$10:$M$21,"ISIC 231",Data!$L$10:$L$21)/SUM(Data!$L$10:$L$21)))</f>
        <v>0</v>
      </c>
      <c r="S6">
        <f>((SUMIF(Data!$M$10:$M$21,"ISIC 239",Data!$L$10:$L$21)/SUM(Data!$L$10:$L$21)))</f>
        <v>0</v>
      </c>
      <c r="T6">
        <f>((SUMIF(Data!$M$10:$M$21,"ISIC 241",Data!$L$10:$L$21)/SUM(Data!$L$10:$L$21)))</f>
        <v>0</v>
      </c>
      <c r="U6">
        <f>((SUMIF(Data!$M$10:$M$21,"ISIC 242",Data!$L$10:$L$21)/SUM(Data!$L$10:$L$21)))</f>
        <v>0</v>
      </c>
      <c r="V6">
        <f>((SUMIF(Data!$M$10:$M$21,"ISIC 25",Data!$L$10:$L$21)/SUM(Data!$L$10:$L$21)))</f>
        <v>0</v>
      </c>
      <c r="W6">
        <f>((SUMIF(Data!$M$10:$M$21,"ISIC 26",Data!$L$10:$L$21)/SUM(Data!$L$10:$L$21)))</f>
        <v>0</v>
      </c>
      <c r="X6">
        <f>((SUMIF(Data!$M$10:$M$21,"ISIC 27",Data!$L$10:$L$21)/SUM(Data!$L$10:$L$21)))</f>
        <v>0</v>
      </c>
      <c r="Y6">
        <f>((SUMIF(Data!$M$10:$M$21,"ISIC 28",Data!$L$10:$L$21)/SUM(Data!$L$10:$L$21)))</f>
        <v>0.41966165941316863</v>
      </c>
      <c r="Z6">
        <f>((SUMIF(Data!$M$10:$M$21,"ISIC 29",Data!$L$10:$L$21)/SUM(Data!$L$10:$L$21)))</f>
        <v>0</v>
      </c>
      <c r="AA6">
        <f>((SUMIF(Data!$M$10:$M$21,"ISIC 30",Data!$L$10:$L$21)/SUM(Data!$L$10:$L$21)))*'Factors applied'!$E$72</f>
        <v>0</v>
      </c>
      <c r="AB6">
        <f>((SUMIF(Data!$M$10:$M$21,"ISIC 30",Data!$L$10:$L$21)/SUM(Data!$L$10:$L$21)))*'Factors applied'!$E$73</f>
        <v>0</v>
      </c>
      <c r="AC6">
        <f>((SUMIF(Data!$M$10:$M$21,"ISIC 31T33",Data!$L$10:$L$21)/SUM(Data!$L$10:$L$21)))</f>
        <v>0</v>
      </c>
      <c r="AD6">
        <f>((SUMIF(Data!$M$10:$M$21,"ISIC 351",Data!$L$10:$L$21)/SUM(Data!$L$10:$L$21)))</f>
        <v>0</v>
      </c>
      <c r="AE6">
        <f>((SUMIF(Data!$M$10:$M$21,"ISIC 352T353",Data!$L$10:$L$21)/SUM(Data!$L$10:$L$21)))</f>
        <v>0</v>
      </c>
      <c r="AF6">
        <f>((SUMIF(Data!$M$10:$M$21,"ISIC 36T39",Data!$L$10:$L$21)/SUM(Data!$L$10:$L$21)))</f>
        <v>0</v>
      </c>
      <c r="AG6">
        <f>((SUMIF(Data!$M$10:$M$21,"ISIC 41T43",Data!$L$10:$L$21)/SUM(Data!$L$10:$L$21)))</f>
        <v>0.41367167392016474</v>
      </c>
      <c r="AH6">
        <f>((SUMIF(Data!$M$10:$M$21,"ISIC 45T47",Data!$L$10:$L$21)/SUM(Data!$L$10:$L$21)))</f>
        <v>0</v>
      </c>
      <c r="AI6">
        <f>((SUMIF(Data!$M$10:$M$21,"ISIC 49T53",Data!$L$10:$L$21)/SUM(Data!$L$10:$L$21)))*'Factors applied'!$E$74</f>
        <v>0</v>
      </c>
      <c r="AJ6">
        <f>((SUMIF(Data!$M$10:$M$21,"ISIC 49T53",Data!$L$10:$L$21)/SUM(Data!$L$10:$L$21)))*'Factors applied'!$E$75</f>
        <v>0</v>
      </c>
      <c r="AK6">
        <f>((SUMIF(Data!$M$10:$M$21,"ISIC 49T53",Data!$L$10:$L$21)/SUM(Data!$L$10:$L$21)))*'Factors applied'!$E$76</f>
        <v>0</v>
      </c>
      <c r="AL6">
        <f>((SUMIF(Data!$M$10:$M$21,"ISIC 49T53",Data!$L$10:$L$21)/SUM(Data!$L$10:$L$21)))*'Factors applied'!$E$77</f>
        <v>0</v>
      </c>
      <c r="AM6">
        <f>((SUMIF(Data!$M$10:$M$21,"ISIC 49T53",Data!$L$10:$L$21)/SUM(Data!$L$10:$L$21)))*'Factors applied'!$E$78</f>
        <v>0</v>
      </c>
      <c r="AN6">
        <f>((SUMIF(Data!$M$10:$M$21,"ISIC 55T56",Data!$L$10:$L$21)/SUM(Data!$L$10:$L$21)))</f>
        <v>0</v>
      </c>
      <c r="AO6">
        <f>((SUMIF(Data!$M$10:$M$21,"ISIC 58T60",Data!$L$10:$L$21)/SUM(Data!$L$10:$L$21)))</f>
        <v>0</v>
      </c>
      <c r="AP6">
        <f>((SUMIF(Data!$M$10:$M$21,"ISIC 61",Data!$L$10:$L$21)/SUM(Data!$L$10:$L$21)))</f>
        <v>0</v>
      </c>
      <c r="AQ6">
        <f>((SUMIF(Data!$M$10:$M$21,"ISIC 62T63",Data!$L$10:$L$21)/SUM(Data!$L$10:$L$21)))</f>
        <v>0</v>
      </c>
      <c r="AR6">
        <f>((SUMIF(Data!$M$10:$M$21,"ISIC 64T66",Data!$L$10:$L$21)/SUM(Data!$L$10:$L$21)))</f>
        <v>0.16666666666666666</v>
      </c>
      <c r="AS6">
        <f>((SUMIF(Data!$M$10:$M$21,"ISIC 68",Data!$L$10:$L$21)/SUM(Data!$L$10:$L$21)))</f>
        <v>0</v>
      </c>
      <c r="AT6">
        <f>((SUMIF(Data!$M$10:$M$21,"ISIC 69T82",Data!$L$10:$L$21)/SUM(Data!$L$10:$L$21)))*'Factors applied'!$E$79</f>
        <v>0</v>
      </c>
      <c r="AU6">
        <f>((SUMIF(Data!$M$10:$M$21,"ISIC 69T82",Data!$L$10:$L$21)/SUM(Data!$L$10:$L$21)))*'Factors applied'!$E$80</f>
        <v>0</v>
      </c>
      <c r="AV6">
        <f>((SUMIF(Data!$M$10:$M$21,"ISIC 84",Data!$L$10:$L$21)/SUM(Data!$L$10:$L$21)))</f>
        <v>0</v>
      </c>
      <c r="AW6">
        <f>((SUMIF(Data!$M$10:$M$21,"ISIC 85",Data!$L$10:$L$21)/SUM(Data!$L$10:$L$21)))</f>
        <v>0</v>
      </c>
      <c r="AX6">
        <f>((SUMIF(Data!$M$10:$M$21,"ISIC 86T88",Data!$L$10:$L$21)/SUM(Data!$L$10:$L$21)))</f>
        <v>0</v>
      </c>
      <c r="AY6">
        <f>((SUMIF(Data!$M$10:$M$21,"ISIC 90T96",Data!$L$10:$L$21)/SUM(Data!$L$10:$L$21)))*'Factors applied'!$E$81</f>
        <v>0</v>
      </c>
      <c r="AZ6">
        <f>((SUMIF(Data!$M$10:$M$21,"ISIC 90T96",Data!$L$10:$L$21)/SUM(Data!$L$10:$L$21)))*'Factors applied'!$E$82</f>
        <v>0</v>
      </c>
      <c r="BA6">
        <f>((SUMIF(Data!$M$10:$M$21,"ISIC 97T98",Data!$L$10:$L$21)/SUM(Data!$L$10:$L$21)))</f>
        <v>0</v>
      </c>
    </row>
    <row r="7" spans="1:53">
      <c r="A7" t="s">
        <v>176</v>
      </c>
      <c r="B7">
        <f>((SUMIF(Data!$I$47:$I$58,"ISIC 01T03",Data!$J$47:$J$58)))*'Factors applied'!$E$51</f>
        <v>0</v>
      </c>
      <c r="C7">
        <f>((SUMIF(Data!$I$47:$I$58,"ISIC 01T03",Data!$J$47:$J$58)))*'Factors applied'!$E$52</f>
        <v>0</v>
      </c>
      <c r="D7">
        <f>((SUMIF(Data!$I$47:$I$58,"ISIC 01T03",Data!$J$47:$J$58)))*'Factors applied'!$E$53</f>
        <v>0</v>
      </c>
      <c r="E7">
        <f>((SUMIF(Data!$I$47:$I$58,"ISIC 05",Data!$J$47:$J$58)))</f>
        <v>0</v>
      </c>
      <c r="F7">
        <f>((SUMIF(Data!$I$47:$I$58,"ISIC 06",Data!$J$47:$J$58)))</f>
        <v>0</v>
      </c>
      <c r="G7">
        <f>((SUMIF(Data!$I$47:$I$58,"ISIC 07T08",Data!$J$47:$J$58)))*'Factors applied'!$E$54</f>
        <v>0</v>
      </c>
      <c r="H7">
        <f>((SUMIF(Data!$I$47:$I$58,"ISIC 07T08",Data!$J$47:$J$58)))*'Factors applied'!$E$55</f>
        <v>0</v>
      </c>
      <c r="I7">
        <f>((SUMIF(Data!$I$47:$I$58,"ISIC 09",Data!$J$47:$J$58)))</f>
        <v>0</v>
      </c>
      <c r="J7">
        <f>((SUMIF(Data!$I$47:$I$58,"ISIC 10T12",Data!$J$47:$J$58)))</f>
        <v>0</v>
      </c>
      <c r="K7">
        <f>((SUMIF(Data!$I$47:$I$58,"ISIC 13T15",Data!$J$47:$J$58)))</f>
        <v>0</v>
      </c>
      <c r="L7">
        <f>((SUMIF(Data!$I$47:$I$58,"ISIC 16",Data!$J$47:$J$58)))</f>
        <v>0</v>
      </c>
      <c r="M7">
        <f>((SUMIF(Data!$I$47:$I$58,"ISIC 17T18",Data!$J$47:$J$58)))</f>
        <v>0</v>
      </c>
      <c r="N7">
        <f>((SUMIF(Data!$I$47:$I$58,"ISIC 19",Data!$J$47:$J$58)))</f>
        <v>0</v>
      </c>
      <c r="O7">
        <f>((SUMIF(Data!$I$47:$I$58,"ISIC 20",Data!$J$47:$J$58)))</f>
        <v>0</v>
      </c>
      <c r="P7">
        <f>((SUMIF(Data!$I$47:$I$58,"ISIC 21",Data!$J$47:$J$58)))</f>
        <v>0</v>
      </c>
      <c r="Q7">
        <f>((SUMIF(Data!$I$47:$I$58,"ISIC 22",Data!$J$47:$J$58)))</f>
        <v>0</v>
      </c>
      <c r="R7">
        <f>((SUMIF(Data!$I$47:$I$58,"ISIC 231",Data!$J$47:$J$58)))</f>
        <v>0</v>
      </c>
      <c r="S7">
        <f>((SUMIF(Data!$I$47:$I$58,"ISIC 239",Data!$J$47:$J$58)))</f>
        <v>0</v>
      </c>
      <c r="T7">
        <f>((SUMIF(Data!$I$47:$I$58,"ISIC 241",Data!$J$47:$J$58)))</f>
        <v>0</v>
      </c>
      <c r="U7">
        <f>((SUMIF(Data!$I$47:$I$58,"ISIC 242",Data!$J$47:$J$58)))</f>
        <v>0</v>
      </c>
      <c r="V7">
        <f>((SUMIF(Data!$I$47:$I$58,"ISIC 25",Data!$J$47:$J$58)))</f>
        <v>0</v>
      </c>
      <c r="W7">
        <f>((SUMIF(Data!$I$47:$I$58,"ISIC 26",Data!$J$47:$J$58)))</f>
        <v>0</v>
      </c>
      <c r="X7">
        <f>((SUMIF(Data!$I$47:$I$58,"ISIC 27",Data!$J$47:$J$58)))</f>
        <v>0.2053571428571429</v>
      </c>
      <c r="Y7">
        <f>((SUMIF(Data!$I$47:$I$58,"ISIC 28",Data!$J$47:$J$58)))</f>
        <v>0.66964285714285743</v>
      </c>
      <c r="Z7">
        <f>((SUMIF(Data!$I$47:$I$58,"ISIC 29",Data!$J$47:$J$58)))</f>
        <v>0</v>
      </c>
      <c r="AA7">
        <f>((SUMIF(Data!$I$47:$I$58,"ISIC 30",Data!$J$47:$J$58)))*'Factors applied'!$E$56</f>
        <v>0</v>
      </c>
      <c r="AB7">
        <f>((SUMIF(Data!$I$47:$I$58,"ISIC 30",Data!$J$47:$J$58)))*'Factors applied'!$E$57</f>
        <v>0</v>
      </c>
      <c r="AC7">
        <f>((SUMIF(Data!$I$47:$I$58,"ISIC 31T33",Data!$J$47:$J$58)))</f>
        <v>0</v>
      </c>
      <c r="AD7">
        <f>((SUMIF(Data!$I$47:$I$58,"ISIC 351",Data!$J$47:$J$58)))</f>
        <v>0</v>
      </c>
      <c r="AE7">
        <f>((SUMIF(Data!$I$47:$I$58,"ISIC 352T353",Data!$J$47:$J$58)))</f>
        <v>0</v>
      </c>
      <c r="AF7">
        <f>((SUMIF(Data!$I$47:$I$58,"ISIC 36T39",Data!$J$47:$J$58)))</f>
        <v>0</v>
      </c>
      <c r="AG7">
        <f>((SUMIF(Data!$I$47:$I$58,"ISIC 41T43",Data!$J$47:$J$58)))</f>
        <v>0.12499999999999967</v>
      </c>
      <c r="AH7">
        <f>((SUMIF(Data!$I$47:$I$58,"ISIC 45T47",Data!$J$47:$J$58)))</f>
        <v>0</v>
      </c>
      <c r="AI7">
        <f>((SUMIF(Data!$I$47:$I$58,"ISIC 49T53",Data!$J$47:$J$58)))*'Factors applied'!$E$58</f>
        <v>0</v>
      </c>
      <c r="AJ7">
        <f>((SUMIF(Data!$I$47:$I$58,"ISIC 49T53",Data!$J$47:$J$58)))*'Factors applied'!$E$59</f>
        <v>0</v>
      </c>
      <c r="AK7">
        <f>((SUMIF(Data!$I$47:$I$58,"ISIC 49T53",Data!$J$47:$J$58)))*'Factors applied'!$E$60</f>
        <v>0</v>
      </c>
      <c r="AL7">
        <f>((SUMIF(Data!$I$47:$I$58,"ISIC 49T53",Data!$J$47:$J$58)))*'Factors applied'!$E$61</f>
        <v>0</v>
      </c>
      <c r="AM7">
        <f>((SUMIF(Data!$I$47:$I$58,"ISIC 49T53",Data!$J$47:$J$58)))*'Factors applied'!$E$62</f>
        <v>0</v>
      </c>
      <c r="AN7">
        <f>((SUMIF(Data!$I$47:$I$58,"ISIC 55T56",Data!$J$47:$J$58)))</f>
        <v>0</v>
      </c>
      <c r="AO7">
        <f>((SUMIF(Data!$I$47:$I$58,"ISIC 58T60",Data!$J$47:$J$58)))</f>
        <v>0</v>
      </c>
      <c r="AP7">
        <f>((SUMIF(Data!$I$47:$I$58,"ISIC 61",Data!$J$47:$J$58)))</f>
        <v>0</v>
      </c>
      <c r="AQ7">
        <f>((SUMIF(Data!$I$47:$I$58,"ISIC 62T63",Data!$J$47:$J$58)))</f>
        <v>0</v>
      </c>
      <c r="AR7">
        <f>((SUMIF(Data!$I$47:$I$58,"ISIC 64T66",Data!$J$47:$J$58)))</f>
        <v>0</v>
      </c>
      <c r="AS7">
        <f>((SUMIF(Data!$I$47:$I$58,"ISIC 68",Data!$J$47:$J$58)))</f>
        <v>0</v>
      </c>
      <c r="AT7">
        <f>((SUMIF(Data!$I$47:$I$58,"ISIC 69T82",Data!$J$47:$J$58)))*'Factors applied'!$E$63</f>
        <v>0</v>
      </c>
      <c r="AU7">
        <f>((SUMIF(Data!$I$47:$I$58,"ISIC 69T82",Data!$J$47:$J$58)))*'Factors applied'!$E$64</f>
        <v>0</v>
      </c>
      <c r="AV7">
        <f>((SUMIF(Data!$I$47:$I$58,"ISIC 84",Data!$J$47:$J$58)))</f>
        <v>0</v>
      </c>
      <c r="AW7">
        <f>((SUMIF(Data!$I$47:$I$58,"ISIC 85",Data!$J$47:$J$58)))</f>
        <v>0</v>
      </c>
      <c r="AX7">
        <f>((SUMIF(Data!$I$47:$I$58,"ISIC 86T88",Data!$J$47:$J$58)))</f>
        <v>0</v>
      </c>
      <c r="AY7">
        <f>((SUMIF(Data!$I$47:$I$58,"ISIC 90T96",Data!$J$47:$J$58)))*'Factors applied'!$E$65</f>
        <v>0</v>
      </c>
      <c r="AZ7">
        <f>((SUMIF(Data!$I$47:$I$58,"ISIC 90T96",Data!$J$47:$J$58)))*'Factors applied'!$E$66</f>
        <v>0</v>
      </c>
      <c r="BA7">
        <f>((SUMIF(Data!$I$47:$I$58,"ISIC 97T98",Data!$J$47:$J$58)))</f>
        <v>0</v>
      </c>
    </row>
    <row r="8" spans="1:53">
      <c r="A8" t="s">
        <v>179</v>
      </c>
      <c r="B8">
        <f>((SUMIF(Data!$M$10:$M$21,"ISIC 01T03",Data!$L$10:$L$21)/SUM(Data!$L$10:$L$21)))*'Factors applied'!$E$99</f>
        <v>0</v>
      </c>
      <c r="C8">
        <f>((SUMIF(Data!$M$10:$M$21,"ISIC 01T03",Data!$L$10:$L$21)/SUM(Data!$L$10:$L$21)))*'Factors applied'!$E$100</f>
        <v>0</v>
      </c>
      <c r="D8">
        <f>((SUMIF(Data!$M$10:$M$21,"ISIC 01T03",Data!$L$10:$L$21)/SUM(Data!$L$10:$L$21)))*'Factors applied'!$E$101</f>
        <v>0</v>
      </c>
      <c r="E8">
        <f>((SUMIF(Data!$M$10:$M$21,"ISIC 05",Data!$L$10:$L$21)/SUM(Data!$L$10:$L$21)))</f>
        <v>0</v>
      </c>
      <c r="F8">
        <f>((SUMIF(Data!$M$10:$M$21,"ISIC 06",Data!$L$10:$L$21)/SUM(Data!$L$10:$L$21)))</f>
        <v>0</v>
      </c>
      <c r="G8">
        <f>((SUMIF(Data!$M$10:$M$21,"ISIC 07T08",Data!$L$10:$L$21)/SUM(Data!$L$10:$L$21)))*'Factors applied'!$E$102</f>
        <v>0</v>
      </c>
      <c r="H8">
        <f>((SUMIF(Data!$M$10:$M$21,"ISIC 07T08",Data!$L$10:$L$21)/SUM(Data!$L$10:$L$21)))*'Factors applied'!$E$103</f>
        <v>0</v>
      </c>
      <c r="I8">
        <f>((SUMIF(Data!$M$10:$M$21,"ISIC 09",Data!$L$10:$L$21)/SUM(Data!$L$10:$L$21)))</f>
        <v>0</v>
      </c>
      <c r="J8">
        <f>((SUMIF(Data!$M$10:$M$21,"ISIC 10T12",Data!$L$10:$L$21)/SUM(Data!$L$10:$L$21)))</f>
        <v>0</v>
      </c>
      <c r="K8">
        <f>((SUMIF(Data!$M$10:$M$21,"ISIC 13T15",Data!$L$10:$L$21)/SUM(Data!$L$10:$L$21)))</f>
        <v>0</v>
      </c>
      <c r="L8">
        <f>((SUMIF(Data!$M$10:$M$21,"ISIC 16",Data!$L$10:$L$21)/SUM(Data!$L$10:$L$21)))</f>
        <v>0</v>
      </c>
      <c r="M8">
        <f>((SUMIF(Data!$M$10:$M$21,"ISIC 17T18",Data!$L$10:$L$21)/SUM(Data!$L$10:$L$21)))</f>
        <v>0</v>
      </c>
      <c r="N8">
        <f>((SUMIF(Data!$M$10:$M$21,"ISIC 19",Data!$L$10:$L$21)/SUM(Data!$L$10:$L$21)))</f>
        <v>0</v>
      </c>
      <c r="O8">
        <f>((SUMIF(Data!$M$10:$M$21,"ISIC 20",Data!$L$10:$L$21)/SUM(Data!$L$10:$L$21)))</f>
        <v>0</v>
      </c>
      <c r="P8">
        <f>((SUMIF(Data!$M$10:$M$21,"ISIC 21",Data!$L$10:$L$21)/SUM(Data!$L$10:$L$21)))</f>
        <v>0</v>
      </c>
      <c r="Q8">
        <f>((SUMIF(Data!$M$10:$M$21,"ISIC 22",Data!$L$10:$L$21)/SUM(Data!$L$10:$L$21)))</f>
        <v>0</v>
      </c>
      <c r="R8">
        <f>((SUMIF(Data!$M$10:$M$21,"ISIC 231",Data!$L$10:$L$21)/SUM(Data!$L$10:$L$21)))</f>
        <v>0</v>
      </c>
      <c r="S8">
        <f>((SUMIF(Data!$M$10:$M$21,"ISIC 239",Data!$L$10:$L$21)/SUM(Data!$L$10:$L$21)))</f>
        <v>0</v>
      </c>
      <c r="T8">
        <f>((SUMIF(Data!$M$10:$M$21,"ISIC 241",Data!$L$10:$L$21)/SUM(Data!$L$10:$L$21)))</f>
        <v>0</v>
      </c>
      <c r="U8">
        <f>((SUMIF(Data!$M$10:$M$21,"ISIC 242",Data!$L$10:$L$21)/SUM(Data!$L$10:$L$21)))</f>
        <v>0</v>
      </c>
      <c r="V8">
        <f>((SUMIF(Data!$M$10:$M$21,"ISIC 25",Data!$L$10:$L$21)/SUM(Data!$L$10:$L$21)))</f>
        <v>0</v>
      </c>
      <c r="W8">
        <f>((SUMIF(Data!$M$10:$M$21,"ISIC 26",Data!$L$10:$L$21)/SUM(Data!$L$10:$L$21)))</f>
        <v>0</v>
      </c>
      <c r="X8">
        <f>((SUMIF(Data!$M$10:$M$21,"ISIC 27",Data!$L$10:$L$21)/SUM(Data!$L$10:$L$21)))</f>
        <v>0</v>
      </c>
      <c r="Y8">
        <f>((SUMIF(Data!$M$10:$M$21,"ISIC 28",Data!$L$10:$L$21)/SUM(Data!$L$10:$L$21)))</f>
        <v>0.41966165941316863</v>
      </c>
      <c r="Z8">
        <f>((SUMIF(Data!$M$10:$M$21,"ISIC 29",Data!$L$10:$L$21)/SUM(Data!$L$10:$L$21)))</f>
        <v>0</v>
      </c>
      <c r="AA8">
        <f>((SUMIF(Data!$M$10:$M$21,"ISIC 30",Data!$L$10:$L$21)/SUM(Data!$L$10:$L$21)))*'Factors applied'!$E$104</f>
        <v>0</v>
      </c>
      <c r="AB8">
        <f>((SUMIF(Data!$M$10:$M$21,"ISIC 30",Data!$L$10:$L$21)/SUM(Data!$L$10:$L$21)))*'Factors applied'!$E$105</f>
        <v>0</v>
      </c>
      <c r="AC8">
        <f>((SUMIF(Data!$M$10:$M$21,"ISIC 31T33",Data!$L$10:$L$21)/SUM(Data!$L$10:$L$21)))</f>
        <v>0</v>
      </c>
      <c r="AD8">
        <f>((SUMIF(Data!$M$10:$M$21,"ISIC 351",Data!$L$10:$L$21)/SUM(Data!$L$10:$L$21)))</f>
        <v>0</v>
      </c>
      <c r="AE8">
        <f>((SUMIF(Data!$M$10:$M$21,"ISIC 352T353",Data!$L$10:$L$21)/SUM(Data!$L$10:$L$21)))</f>
        <v>0</v>
      </c>
      <c r="AF8">
        <f>((SUMIF(Data!$M$10:$M$21,"ISIC 36T39",Data!$L$10:$L$21)/SUM(Data!$L$10:$L$21)))</f>
        <v>0</v>
      </c>
      <c r="AG8">
        <f>((SUMIF(Data!$M$10:$M$21,"ISIC 41T43",Data!$L$10:$L$21)/SUM(Data!$L$10:$L$21)))</f>
        <v>0.41367167392016474</v>
      </c>
      <c r="AH8">
        <f>((SUMIF(Data!$M$10:$M$21,"ISIC 45T47",Data!$L$10:$L$21)/SUM(Data!$L$10:$L$21)))</f>
        <v>0</v>
      </c>
      <c r="AI8">
        <f>((SUMIF(Data!$M$10:$M$21,"ISIC 49T53",Data!$L$10:$L$21)/SUM(Data!$L$10:$L$21)))*'Factors applied'!$E$106</f>
        <v>0</v>
      </c>
      <c r="AJ8">
        <f>((SUMIF(Data!$M$10:$M$21,"ISIC 49T53",Data!$L$10:$L$21)/SUM(Data!$L$10:$L$21)))*'Factors applied'!$E$107</f>
        <v>0</v>
      </c>
      <c r="AK8">
        <f>((SUMIF(Data!$M$10:$M$21,"ISIC 49T53",Data!$L$10:$L$21)/SUM(Data!$L$10:$L$21)))*'Factors applied'!$E$108</f>
        <v>0</v>
      </c>
      <c r="AL8">
        <f>((SUMIF(Data!$M$10:$M$21,"ISIC 49T53",Data!$L$10:$L$21)/SUM(Data!$L$10:$L$21)))*'Factors applied'!$E$109</f>
        <v>0</v>
      </c>
      <c r="AM8">
        <f>((SUMIF(Data!$M$10:$M$21,"ISIC 49T53",Data!$L$10:$L$21)/SUM(Data!$L$10:$L$21)))*'Factors applied'!$E$110</f>
        <v>0</v>
      </c>
      <c r="AN8">
        <f>((SUMIF(Data!$M$10:$M$21,"ISIC 55T56",Data!$L$10:$L$21)/SUM(Data!$L$10:$L$21)))</f>
        <v>0</v>
      </c>
      <c r="AO8">
        <f>((SUMIF(Data!$M$10:$M$21,"ISIC 58T60",Data!$L$10:$L$21)/SUM(Data!$L$10:$L$21)))</f>
        <v>0</v>
      </c>
      <c r="AP8">
        <f>((SUMIF(Data!$M$10:$M$21,"ISIC 61",Data!$L$10:$L$21)/SUM(Data!$L$10:$L$21)))</f>
        <v>0</v>
      </c>
      <c r="AQ8">
        <f>((SUMIF(Data!$M$10:$M$21,"ISIC 62T63",Data!$L$10:$L$21)/SUM(Data!$L$10:$L$21)))</f>
        <v>0</v>
      </c>
      <c r="AR8">
        <f>((SUMIF(Data!$M$10:$M$21,"ISIC 64T66",Data!$L$10:$L$21)/SUM(Data!$L$10:$L$21)))</f>
        <v>0.16666666666666666</v>
      </c>
      <c r="AS8">
        <f>((SUMIF(Data!$M$10:$M$21,"ISIC 68",Data!$L$10:$L$21)/SUM(Data!$L$10:$L$21)))</f>
        <v>0</v>
      </c>
      <c r="AT8">
        <f>((SUMIF(Data!$M$10:$M$21,"ISIC 69T82",Data!$L$10:$L$21)/SUM(Data!$L$10:$L$21)))*'Factors applied'!$E$111</f>
        <v>0</v>
      </c>
      <c r="AU8">
        <f>((SUMIF(Data!$M$10:$M$21,"ISIC 69T82",Data!$L$10:$L$21)/SUM(Data!$L$10:$L$21)))*'Factors applied'!$E$112</f>
        <v>0</v>
      </c>
      <c r="AV8">
        <f>((SUMIF(Data!$M$10:$M$21,"ISIC 84",Data!$L$10:$L$21)/SUM(Data!$L$10:$L$21)))</f>
        <v>0</v>
      </c>
      <c r="AW8">
        <f>((SUMIF(Data!$M$10:$M$21,"ISIC 85",Data!$L$10:$L$21)/SUM(Data!$L$10:$L$21)))</f>
        <v>0</v>
      </c>
      <c r="AX8">
        <f>((SUMIF(Data!$M$10:$M$21,"ISIC 86T88",Data!$L$10:$L$21)/SUM(Data!$L$10:$L$21)))</f>
        <v>0</v>
      </c>
      <c r="AY8">
        <f>((SUMIF(Data!$M$10:$M$21,"ISIC 90T96",Data!$L$10:$L$21)/SUM(Data!$L$10:$L$21)))*'Factors applied'!$E$113</f>
        <v>0</v>
      </c>
      <c r="AZ8">
        <f>((SUMIF(Data!$M$10:$M$21,"ISIC 90T96",Data!$L$10:$L$21)/SUM(Data!$L$10:$L$21)))*'Factors applied'!$E$114</f>
        <v>0</v>
      </c>
      <c r="BA8">
        <f>((SUMIF(Data!$M$10:$M$21,"ISIC 97T98",Data!$L$10:$L$21)/SUM(Data!$L$10:$L$21)))</f>
        <v>0</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3</vt:i4>
      </vt:variant>
    </vt:vector>
  </HeadingPairs>
  <TitlesOfParts>
    <vt:vector size="8" baseType="lpstr">
      <vt:lpstr>About</vt:lpstr>
      <vt:lpstr>Factors applied</vt:lpstr>
      <vt:lpstr>Data</vt:lpstr>
      <vt:lpstr>Checks</vt:lpstr>
      <vt:lpstr>SoHPCCbRIC</vt:lpstr>
      <vt:lpstr>CEPCIinflator</vt:lpstr>
      <vt:lpstr>CPIinflator</vt:lpstr>
      <vt:lpstr>CurrentYear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Robbie Orvis</dc:creator>
  <cp:lastModifiedBy>Robbie Orvis</cp:lastModifiedBy>
  <dcterms:created xsi:type="dcterms:W3CDTF">2020-09-30T16:01:44Z</dcterms:created>
  <dcterms:modified xsi:type="dcterms:W3CDTF">2026-07-20T17:27:46Z</dcterms:modified>
</cp:coreProperties>
</file>