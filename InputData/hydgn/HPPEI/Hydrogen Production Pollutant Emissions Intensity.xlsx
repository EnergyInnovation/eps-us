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HPPEI\"/>
    </mc:Choice>
  </mc:AlternateContent>
  <xr:revisionPtr revIDLastSave="0" documentId="13_ncr:1_{5A467402-159A-46EE-9FD1-5676793E7DD6}" xr6:coauthVersionLast="47" xr6:coauthVersionMax="47" xr10:uidLastSave="{00000000-0000-0000-0000-000000000000}"/>
  <bookViews>
    <workbookView xWindow="29970" yWindow="1170" windowWidth="24150" windowHeight="12900" xr2:uid="{00000000-000D-0000-FFFF-FFFF00000000}"/>
  </bookViews>
  <sheets>
    <sheet name="About" sheetId="1" r:id="rId1"/>
    <sheet name="NETL Data" sheetId="2" r:id="rId2"/>
    <sheet name="Calcs" sheetId="3" r:id="rId3"/>
    <sheet name="HPPE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G4" i="3"/>
  <c r="D4" i="4" s="1"/>
  <c r="C4" i="3"/>
  <c r="B4" i="3"/>
  <c r="A4" i="3"/>
  <c r="I3" i="3"/>
  <c r="G3" i="3"/>
  <c r="D8" i="4" s="1"/>
  <c r="E3" i="3"/>
  <c r="E8" i="4" s="1"/>
  <c r="D3" i="3"/>
  <c r="H8" i="4" s="1"/>
  <c r="C3" i="3"/>
  <c r="B3" i="3"/>
  <c r="A3" i="3"/>
  <c r="I2" i="3"/>
  <c r="C2" i="3"/>
  <c r="B2" i="3"/>
  <c r="A2" i="3"/>
  <c r="H3" i="3" l="1"/>
  <c r="F3" i="3"/>
  <c r="H4" i="3"/>
  <c r="F4" i="3"/>
  <c r="D4" i="3"/>
  <c r="H4" i="4" s="1"/>
  <c r="E4" i="3"/>
  <c r="E4" i="4" s="1"/>
  <c r="D2" i="3"/>
  <c r="H3" i="4" s="1"/>
  <c r="E2" i="3"/>
  <c r="E3" i="4" s="1"/>
  <c r="H2" i="3"/>
  <c r="G2" i="3"/>
  <c r="D3" i="4" s="1"/>
  <c r="F2" i="3"/>
  <c r="G8" i="4" l="1"/>
  <c r="F8" i="4"/>
  <c r="G4" i="4"/>
  <c r="F4" i="4"/>
  <c r="G3" i="4"/>
  <c r="F3" i="4"/>
</calcChain>
</file>

<file path=xl/sharedStrings.xml><?xml version="1.0" encoding="utf-8"?>
<sst xmlns="http://schemas.openxmlformats.org/spreadsheetml/2006/main" count="73" uniqueCount="67">
  <si>
    <t>HPPEI Hydrogen Production Pollutant Emissions Intensity</t>
  </si>
  <si>
    <t>Unit: g pollutant per kg of hydrogen produced; -1 = no measured value (the model keeps combustion factors on that pathway's fuel use).</t>
  </si>
  <si>
    <t>Sources:</t>
  </si>
  <si>
    <t>National Energy Technology Laboratory (2022). Comparison of Commercial, State-of-the-Art, Fossil-Based Hydrogen Production Technologies.</t>
  </si>
  <si>
    <t xml:space="preserve">  DOE/NETL-2022/3241, April 12, 2022. https://www.netl.doe.gov/projects/files/ComparisonofCommercialStateofArtFossilBasedHydrogenProductionTechnologies_041222.pdf</t>
  </si>
  <si>
    <t xml:space="preserve">  Plant air emissions: Exhibit 3-7 (Case 1, SMR), Exhibit 3-25 (Case 2, SMR with CCS), Exhibit 4-21 (Case 4, Shell coal gasification without CCS).</t>
  </si>
  <si>
    <t xml:space="preserve">  Hydrogen production rates (lb/hr) and capacity factors (90% reforming, 80% gasification) from the same report (case summary table and exhibit footnotes).</t>
  </si>
  <si>
    <t>Sun, P., Young, B., Elgowainy, A., et al. (2019). Criteria Air Pollutants and Greenhouse Gas Emissions from Hydrogen Production in U.S. Steam Methane</t>
  </si>
  <si>
    <t xml:space="preserve">  Reforming Facilities. Environ. Sci. Technol. 53, 7103-7113. https://doi.org/10.1021/acs.est.8b06197 (manuscript: https://www.osti.gov/pages/servlets/purl/1546962).</t>
  </si>
  <si>
    <t xml:space="preserve">  Consulted (GitHub issue #337). Its CAP medians are in the Supporting Information, which could not be retrieved (publisher returned 403); the</t>
  </si>
  <si>
    <t xml:space="preserve">  manuscript text gives national median CH4 0.08 mg/MJ H2 and N2O 0.008 mg/MJ H2 and facility CO2 of about 75-78 g/MJ H2.</t>
  </si>
  <si>
    <t>Method:</t>
  </si>
  <si>
    <t xml:space="preserve">  g/kg H2 = plant emissions (tonne/yr) / hydrogen produced (tonne/yr) x 1000; hydrogen produced = rate (lb/hr) x 0.45359237 kg/lb x 8760 h x capacity factor / 1000.</t>
  </si>
  <si>
    <t xml:space="preserve">  The report's own normalized values (lb/lb H2 and the Section 5 text: coal gasification 2.4 lb SO2, 1.5 lb NOx, 0.6-0.7 lb PM per 1,000 lb H2) are reproduced (see Calcs check columns).</t>
  </si>
  <si>
    <t xml:space="preserve">  NETL "Particulate" is used for both PM10 and PM2.5 (no size split reported; gasification PM is filtered/scrubbed fine particulate). BC and OC keep combustion factors.</t>
  </si>
  <si>
    <t xml:space="preserve">  NETL reports 0 tonne/yr (rounded) for SO2, particulate and CO in the SMR-with-CCS case; used as 0.</t>
  </si>
  <si>
    <t xml:space="preserve">  VOC is not reported by NETL; CO is not reported for coal gasification: these keep combustion factors (-1).</t>
  </si>
  <si>
    <t xml:space="preserve">  CH4 and N2O keep combustion factors: NETL reports CO2e only, and Sun et al. note that few facilities report them and the data are scattered;</t>
  </si>
  <si>
    <t xml:space="preserve">  their medians are far below the default combustion factors facilities use for the same gas, so they were not adopted.</t>
  </si>
  <si>
    <t xml:space="preserve">  CO2 keeps the model's carbon balance (-1): NETL Case 1 stack CO2 is 9.3 lb/lb H2, close to the model's FIoHP-based combustion CO2, and the</t>
  </si>
  <si>
    <t xml:space="preserve">  CCS capture logic acts on that balance. Measured values for natural gas reforming with CCS are whole-plant totals, so the model also drops</t>
  </si>
  <si>
    <t xml:space="preserve">  combustion factors on its capture fuel for these pollutants.</t>
  </si>
  <si>
    <t xml:space="preserve">  Pathways without a source (both electrolysis pathways, biomass gasification, hydrocarbon partial oxidation) keep combustion factors (-1).</t>
  </si>
  <si>
    <t>Agent-compiled 2026-10-27 for staff review; verify all values against the primary sources before use.</t>
  </si>
  <si>
    <t>NETL case</t>
  </si>
  <si>
    <t>EPS pathway</t>
  </si>
  <si>
    <t>H2 production (lb/hr)</t>
  </si>
  <si>
    <t>Capacity factor</t>
  </si>
  <si>
    <t>SO2 (tonne/yr)</t>
  </si>
  <si>
    <t>NOx (tonne/yr)</t>
  </si>
  <si>
    <t>Particulate (tonne/yr)</t>
  </si>
  <si>
    <t>CO (tonne/yr)</t>
  </si>
  <si>
    <t>CO2 stack (tonne/yr)</t>
  </si>
  <si>
    <t>Reported CO2 (lb/lb H2)</t>
  </si>
  <si>
    <t>Exhibit</t>
  </si>
  <si>
    <t>Case 1: SMR without CCS</t>
  </si>
  <si>
    <t>natural gas reforming</t>
  </si>
  <si>
    <t>Exhibit 3-7</t>
  </si>
  <si>
    <t>Case 2: SMR with CCS</t>
  </si>
  <si>
    <t>natural gas reforming with CCS</t>
  </si>
  <si>
    <t>Exhibit 3-25</t>
  </si>
  <si>
    <t>Case 4: coal gasification without CCS</t>
  </si>
  <si>
    <t>coal gasification</t>
  </si>
  <si>
    <t>Exhibit 4-21 (CO not reported)</t>
  </si>
  <si>
    <t>H2 produced (tonne/yr)</t>
  </si>
  <si>
    <t>SO2 (g/kg H2)</t>
  </si>
  <si>
    <t>NOx (g/kg H2)</t>
  </si>
  <si>
    <t>PM (g/kg H2)</t>
  </si>
  <si>
    <t>CO (g/kg H2)</t>
  </si>
  <si>
    <t>CO2 check (lb/lb H2)</t>
  </si>
  <si>
    <t>g pollutant/kg H2 (-1 = no measured value)</t>
  </si>
  <si>
    <t>CO2</t>
  </si>
  <si>
    <t>VOC</t>
  </si>
  <si>
    <t>CO</t>
  </si>
  <si>
    <t>NOx</t>
  </si>
  <si>
    <t>PM10</t>
  </si>
  <si>
    <t>PM25</t>
  </si>
  <si>
    <t>SOx</t>
  </si>
  <si>
    <t>BC</t>
  </si>
  <si>
    <t>OC</t>
  </si>
  <si>
    <t>CH4</t>
  </si>
  <si>
    <t>N2O</t>
  </si>
  <si>
    <t>F gases</t>
  </si>
  <si>
    <t>electrolysis</t>
  </si>
  <si>
    <t>biomass gasification</t>
  </si>
  <si>
    <t>hydrocarbon partial oxidation</t>
  </si>
  <si>
    <t>electrolysis with guaranteed clean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</si>
</sst>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8" spans="1:1" x14ac:dyDescent="0.25">
      <c r="A2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5" x14ac:dyDescent="0.25"/>
  <sheetData>
    <row r="1" spans="1:1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25">
      <c r="A2" t="s">
        <v>35</v>
      </c>
      <c r="B2" t="s">
        <v>36</v>
      </c>
      <c r="C2">
        <v>44369</v>
      </c>
      <c r="D2">
        <v>0.9</v>
      </c>
      <c r="E2">
        <v>1.4</v>
      </c>
      <c r="F2">
        <v>35</v>
      </c>
      <c r="G2">
        <v>5</v>
      </c>
      <c r="H2">
        <v>5</v>
      </c>
      <c r="I2">
        <v>1482893</v>
      </c>
      <c r="J2">
        <v>9.3000000000000007</v>
      </c>
      <c r="K2" t="s">
        <v>37</v>
      </c>
    </row>
    <row r="3" spans="1:11" x14ac:dyDescent="0.25">
      <c r="A3" t="s">
        <v>38</v>
      </c>
      <c r="B3" t="s">
        <v>39</v>
      </c>
      <c r="C3">
        <v>44369</v>
      </c>
      <c r="D3">
        <v>0.9</v>
      </c>
      <c r="E3">
        <v>0</v>
      </c>
      <c r="F3">
        <v>31</v>
      </c>
      <c r="G3">
        <v>0</v>
      </c>
      <c r="H3">
        <v>0</v>
      </c>
      <c r="I3">
        <v>60298</v>
      </c>
      <c r="J3">
        <v>0.4</v>
      </c>
      <c r="K3" t="s">
        <v>40</v>
      </c>
    </row>
    <row r="4" spans="1:11" x14ac:dyDescent="0.25">
      <c r="A4" t="s">
        <v>41</v>
      </c>
      <c r="B4" t="s">
        <v>42</v>
      </c>
      <c r="C4">
        <v>60622</v>
      </c>
      <c r="D4">
        <v>0.8</v>
      </c>
      <c r="E4">
        <v>462</v>
      </c>
      <c r="F4">
        <v>291</v>
      </c>
      <c r="G4">
        <v>123</v>
      </c>
      <c r="I4">
        <v>3456164</v>
      </c>
      <c r="J4">
        <v>17.899999999999999</v>
      </c>
      <c r="K4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5" x14ac:dyDescent="0.25"/>
  <sheetData>
    <row r="1" spans="1:9" x14ac:dyDescent="0.25">
      <c r="A1" s="1" t="s">
        <v>24</v>
      </c>
      <c r="B1" s="1" t="s">
        <v>25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33</v>
      </c>
    </row>
    <row r="2" spans="1:9" x14ac:dyDescent="0.25">
      <c r="A2" t="str">
        <f>'NETL Data'!A2</f>
        <v>Case 1: SMR without CCS</v>
      </c>
      <c r="B2" t="str">
        <f>'NETL Data'!B2</f>
        <v>natural gas reforming</v>
      </c>
      <c r="C2">
        <f>'NETL Data'!C2*0.45359237*8760*'NETL Data'!D2/1000</f>
        <v>158668.96789195455</v>
      </c>
      <c r="D2">
        <f>IF(ISBLANK('NETL Data'!E2),-1,'NETL Data'!E2/C2*1000)</f>
        <v>8.8234014413790616E-3</v>
      </c>
      <c r="E2">
        <f>IF(ISBLANK('NETL Data'!F2),-1,'NETL Data'!F2/C2*1000)</f>
        <v>0.22058503603447657</v>
      </c>
      <c r="F2">
        <f>IF(ISBLANK('NETL Data'!G2),-1,'NETL Data'!G2/C2*1000)</f>
        <v>3.1512148004925224E-2</v>
      </c>
      <c r="G2">
        <f>IF(ISBLANK('NETL Data'!H2),-1,'NETL Data'!H2/C2*1000)</f>
        <v>3.1512148004925224E-2</v>
      </c>
      <c r="H2">
        <f>'NETL Data'!I2/C2</f>
        <v>9.3458287382935161</v>
      </c>
      <c r="I2">
        <f>'NETL Data'!J2</f>
        <v>9.3000000000000007</v>
      </c>
    </row>
    <row r="3" spans="1:9" x14ac:dyDescent="0.25">
      <c r="A3" t="str">
        <f>'NETL Data'!A3</f>
        <v>Case 2: SMR with CCS</v>
      </c>
      <c r="B3" t="str">
        <f>'NETL Data'!B3</f>
        <v>natural gas reforming with CCS</v>
      </c>
      <c r="C3">
        <f>'NETL Data'!C3*0.45359237*8760*'NETL Data'!D3/1000</f>
        <v>158668.96789195455</v>
      </c>
      <c r="D3">
        <f>IF(ISBLANK('NETL Data'!E3),-1,'NETL Data'!E3/C3*1000)</f>
        <v>0</v>
      </c>
      <c r="E3">
        <f>IF(ISBLANK('NETL Data'!F3),-1,'NETL Data'!F3/C3*1000)</f>
        <v>0.19537531763053639</v>
      </c>
      <c r="F3">
        <f>IF(ISBLANK('NETL Data'!G3),-1,'NETL Data'!G3/C3*1000)</f>
        <v>0</v>
      </c>
      <c r="G3">
        <f>IF(ISBLANK('NETL Data'!H3),-1,'NETL Data'!H3/C3*1000)</f>
        <v>0</v>
      </c>
      <c r="H3">
        <f>'NETL Data'!I3/C3</f>
        <v>0.38002390008019621</v>
      </c>
      <c r="I3">
        <f>'NETL Data'!J3</f>
        <v>0.4</v>
      </c>
    </row>
    <row r="4" spans="1:9" x14ac:dyDescent="0.25">
      <c r="A4" t="str">
        <f>'NETL Data'!A4</f>
        <v>Case 4: coal gasification without CCS</v>
      </c>
      <c r="B4" t="str">
        <f>'NETL Data'!B4</f>
        <v>coal gasification</v>
      </c>
      <c r="C4">
        <f>'NETL Data'!C4*0.45359237*8760*'NETL Data'!D4/1000</f>
        <v>192703.71799221312</v>
      </c>
      <c r="D4">
        <f>IF(ISBLANK('NETL Data'!E4),-1,'NETL Data'!E4/C4*1000)</f>
        <v>2.3974628243481466</v>
      </c>
      <c r="E4">
        <f>IF(ISBLANK('NETL Data'!F4),-1,'NETL Data'!F4/C4*1000)</f>
        <v>1.5100902205309754</v>
      </c>
      <c r="F4">
        <f>IF(ISBLANK('NETL Data'!G4),-1,'NETL Data'!G4/C4*1000)</f>
        <v>0.63828555713164936</v>
      </c>
      <c r="G4">
        <f>IF(ISBLANK('NETL Data'!H4),-1,'NETL Data'!H4/C4*1000)</f>
        <v>-1</v>
      </c>
      <c r="H4">
        <f>'NETL Data'!I4/C4</f>
        <v>17.935118408767071</v>
      </c>
      <c r="I4">
        <f>'NETL Data'!J4</f>
        <v>17.899999999999999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/>
  </sheetViews>
  <sheetFormatPr defaultRowHeight="15" x14ac:dyDescent="0.25"/>
  <sheetData>
    <row r="1" spans="1:13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</row>
    <row r="2" spans="1:13" x14ac:dyDescent="0.25">
      <c r="A2" t="s">
        <v>63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</row>
    <row r="3" spans="1:13" x14ac:dyDescent="0.25">
      <c r="A3" t="s">
        <v>36</v>
      </c>
      <c r="B3">
        <v>-1</v>
      </c>
      <c r="C3">
        <v>-1</v>
      </c>
      <c r="D3">
        <f>Calcs!G2</f>
        <v>3.1512148004925224E-2</v>
      </c>
      <c r="E3">
        <f>Calcs!E2</f>
        <v>0.22058503603447657</v>
      </c>
      <c r="F3">
        <f>Calcs!F2</f>
        <v>3.1512148004925224E-2</v>
      </c>
      <c r="G3">
        <f>Calcs!F2</f>
        <v>3.1512148004925224E-2</v>
      </c>
      <c r="H3">
        <f>Calcs!D2</f>
        <v>8.8234014413790616E-3</v>
      </c>
      <c r="I3">
        <v>-1</v>
      </c>
      <c r="J3">
        <v>-1</v>
      </c>
      <c r="K3">
        <v>-1</v>
      </c>
      <c r="L3">
        <v>-1</v>
      </c>
      <c r="M3">
        <v>-1</v>
      </c>
    </row>
    <row r="4" spans="1:13" x14ac:dyDescent="0.25">
      <c r="A4" t="s">
        <v>42</v>
      </c>
      <c r="B4">
        <v>-1</v>
      </c>
      <c r="C4">
        <v>-1</v>
      </c>
      <c r="D4">
        <f>Calcs!G4</f>
        <v>-1</v>
      </c>
      <c r="E4">
        <f>Calcs!E4</f>
        <v>1.5100902205309754</v>
      </c>
      <c r="F4">
        <f>Calcs!F4</f>
        <v>0.63828555713164936</v>
      </c>
      <c r="G4">
        <f>Calcs!F4</f>
        <v>0.63828555713164936</v>
      </c>
      <c r="H4">
        <f>Calcs!D4</f>
        <v>2.3974628243481466</v>
      </c>
      <c r="I4">
        <v>-1</v>
      </c>
      <c r="J4">
        <v>-1</v>
      </c>
      <c r="K4">
        <v>-1</v>
      </c>
      <c r="L4">
        <v>-1</v>
      </c>
      <c r="M4">
        <v>-1</v>
      </c>
    </row>
    <row r="5" spans="1:13" x14ac:dyDescent="0.25">
      <c r="A5" t="s">
        <v>64</v>
      </c>
      <c r="B5">
        <v>-1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</row>
    <row r="6" spans="1:13" x14ac:dyDescent="0.25">
      <c r="A6" t="s">
        <v>65</v>
      </c>
      <c r="B6">
        <v>-1</v>
      </c>
      <c r="C6">
        <v>-1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</row>
    <row r="7" spans="1:13" x14ac:dyDescent="0.25">
      <c r="A7" t="s">
        <v>66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</row>
    <row r="8" spans="1:13" x14ac:dyDescent="0.25">
      <c r="A8" t="s">
        <v>39</v>
      </c>
      <c r="B8">
        <v>-1</v>
      </c>
      <c r="C8">
        <v>-1</v>
      </c>
      <c r="D8">
        <f>Calcs!G3</f>
        <v>0</v>
      </c>
      <c r="E8">
        <f>Calcs!E3</f>
        <v>0.19537531763053639</v>
      </c>
      <c r="F8">
        <f>Calcs!F3</f>
        <v>0</v>
      </c>
      <c r="G8">
        <f>Calcs!F3</f>
        <v>0</v>
      </c>
      <c r="H8">
        <f>Calcs!D3</f>
        <v>0</v>
      </c>
      <c r="I8">
        <v>-1</v>
      </c>
      <c r="J8">
        <v>-1</v>
      </c>
      <c r="K8">
        <v>-1</v>
      </c>
      <c r="L8">
        <v>-1</v>
      </c>
      <c r="M8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NETL Data</vt:lpstr>
      <vt:lpstr>Calcs</vt:lpstr>
      <vt:lpstr>HPPEI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O'Brien</cp:lastModifiedBy>
  <dcterms:created xsi:type="dcterms:W3CDTF">2026-10-27T20:33:53Z</dcterms:created>
  <dcterms:modified xsi:type="dcterms:W3CDTF">2026-10-27T20:33:56Z</dcterms:modified>
</cp:coreProperties>
</file>