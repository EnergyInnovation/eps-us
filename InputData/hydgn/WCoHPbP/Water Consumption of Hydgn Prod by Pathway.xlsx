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nO'Brien\Models\EPS\US\eps-us\InputData\hydgn\WCoHPbP\"/>
    </mc:Choice>
  </mc:AlternateContent>
  <xr:revisionPtr revIDLastSave="0" documentId="13_ncr:1_{BA7464BC-4B49-4B7D-A5FC-D8927165CB3D}" xr6:coauthVersionLast="47" xr6:coauthVersionMax="47" xr10:uidLastSave="{00000000-0000-0000-0000-000000000000}"/>
  <bookViews>
    <workbookView xWindow="-22155" yWindow="1050" windowWidth="21450" windowHeight="14175" xr2:uid="{00000000-000D-0000-FFFF-FFFF00000000}"/>
  </bookViews>
  <sheets>
    <sheet name="About" sheetId="1" r:id="rId1"/>
    <sheet name="Data" sheetId="3" r:id="rId2"/>
    <sheet name="WCoHPbP" sheetId="2" r:id="rId3"/>
  </sheets>
  <definedNames>
    <definedName name="CEPCIinflator">#REF!</definedName>
    <definedName name="CPIinflator">#REF!</definedName>
    <definedName name="CurrentYe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8" i="2" l="1"/>
  <c r="B4" i="2"/>
  <c r="B5" i="2" s="1"/>
  <c r="B3" i="2"/>
  <c r="B6" i="2" s="1"/>
  <c r="B2" i="2"/>
  <c r="I9" i="3"/>
  <c r="I8" i="3"/>
  <c r="I7" i="3"/>
  <c r="I6" i="3"/>
  <c r="F17" i="3"/>
  <c r="B7" i="2"/>
</calcChain>
</file>

<file path=xl/sharedStrings.xml><?xml version="1.0" encoding="utf-8"?>
<sst xmlns="http://schemas.openxmlformats.org/spreadsheetml/2006/main" count="32" uniqueCount="30">
  <si>
    <t>Sources:</t>
  </si>
  <si>
    <t>Notes</t>
  </si>
  <si>
    <t>are paid to produce hydrogen under a subsidy scheme.</t>
  </si>
  <si>
    <t>This variable defines the number of years over which companies</t>
  </si>
  <si>
    <t xml:space="preserve">As a default, we use ten years to match the U.S. 45V scheme. </t>
  </si>
  <si>
    <t>WCoHPbP Water Consumption of Hydrogen Production by Pathway</t>
  </si>
  <si>
    <t>Water consumption intensity</t>
  </si>
  <si>
    <t>RMI</t>
  </si>
  <si>
    <t>Hydrogen Reality Check: Distilling Green Hydrogen’s Water Consumption</t>
  </si>
  <si>
    <t>Exhibit 1: Water Consumption of Various Hydrogen Production Pathways</t>
  </si>
  <si>
    <r>
      <t>Exhibit 1: Water consumption across various hydrogen production pathways. Green hydrogen’s estimated total water consumption, shown as a range between 20-30 kg/L, includes of requirements for purification to the levels required for electrolysis and process cooling. For relatively good water quality, consumption on the order of 20 L/kg is expected. As shown by the blue dotted segments, additional upstream water consumption can be seen for the fossil-based processes due to the </t>
    </r>
    <r>
      <rPr>
        <u/>
        <sz val="11"/>
        <color theme="1"/>
        <rFont val="Arial"/>
        <family val="2"/>
      </rPr>
      <t>significant upstream water consumption from natural gas drilling, extraction, and processing</t>
    </r>
    <r>
      <rPr>
        <sz val="11"/>
        <color theme="1"/>
        <rFont val="Calibri"/>
        <family val="2"/>
        <scheme val="minor"/>
      </rPr>
      <t>, the full picture of which could add over 5 L/kg H2, depending on how and where the gas is extracted. Upstream electricity sources also impact consumption to all pathways, depending on the electricity source. Sources: </t>
    </r>
    <r>
      <rPr>
        <u/>
        <sz val="11"/>
        <color theme="1"/>
        <rFont val="Arial"/>
        <family val="2"/>
      </rPr>
      <t>GREET Model</t>
    </r>
    <r>
      <rPr>
        <sz val="11"/>
        <color theme="1"/>
        <rFont val="Calibri"/>
        <family val="2"/>
        <scheme val="minor"/>
      </rPr>
      <t>; </t>
    </r>
    <r>
      <rPr>
        <u/>
        <sz val="11"/>
        <color theme="1"/>
        <rFont val="Arial"/>
        <family val="2"/>
      </rPr>
      <t>https://doi.org/10.2172/1224980</t>
    </r>
    <r>
      <rPr>
        <sz val="11"/>
        <color theme="1"/>
        <rFont val="Calibri"/>
        <family val="2"/>
        <scheme val="minor"/>
      </rPr>
      <t>; RMI analysis</t>
    </r>
  </si>
  <si>
    <t>coal gasification</t>
  </si>
  <si>
    <t>green</t>
  </si>
  <si>
    <t>grey</t>
  </si>
  <si>
    <t>blue</t>
  </si>
  <si>
    <t>electrolysis</t>
  </si>
  <si>
    <t>Unit: l/BTU</t>
  </si>
  <si>
    <t>natural gas reforming</t>
  </si>
  <si>
    <t>biomass gasification</t>
  </si>
  <si>
    <t>hydrocarbon partial oxidation</t>
  </si>
  <si>
    <t>electrolysis with guaranteed clean electricity</t>
  </si>
  <si>
    <t>natural gas reforming with CCS</t>
  </si>
  <si>
    <t>value</t>
  </si>
  <si>
    <t>high</t>
  </si>
  <si>
    <t>average</t>
  </si>
  <si>
    <t>btu/MMT H2</t>
  </si>
  <si>
    <t>see web-app/BCF-BpMMTH</t>
  </si>
  <si>
    <t>kg/MMT</t>
  </si>
  <si>
    <t>L/kg H2</t>
  </si>
  <si>
    <t>L/BTU 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</si>
</sst>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1" fillId="2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0</xdr:rowOff>
    </xdr:from>
    <xdr:to>
      <xdr:col>2</xdr:col>
      <xdr:colOff>209550</xdr:colOff>
      <xdr:row>17</xdr:row>
      <xdr:rowOff>95531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98AEB3-B6AF-F8BB-E201-EF7F3245C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1" y="190500"/>
          <a:ext cx="5400674" cy="31435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8" sqref="B8"/>
    </sheetView>
  </sheetViews>
  <sheetFormatPr defaultRowHeight="15" x14ac:dyDescent="0.25"/>
  <cols>
    <col min="2" max="2" width="65.140625" customWidth="1"/>
  </cols>
  <sheetData>
    <row r="1" spans="1:2" x14ac:dyDescent="0.25">
      <c r="A1" s="1" t="s">
        <v>5</v>
      </c>
    </row>
    <row r="3" spans="1:2" x14ac:dyDescent="0.25">
      <c r="A3" s="1" t="s">
        <v>0</v>
      </c>
      <c r="B3" s="4" t="s">
        <v>6</v>
      </c>
    </row>
    <row r="4" spans="1:2" x14ac:dyDescent="0.25">
      <c r="B4" t="s">
        <v>8</v>
      </c>
    </row>
    <row r="5" spans="1:2" x14ac:dyDescent="0.25">
      <c r="B5" s="5">
        <v>2023</v>
      </c>
    </row>
    <row r="6" spans="1:2" x14ac:dyDescent="0.25">
      <c r="B6" t="s">
        <v>7</v>
      </c>
    </row>
    <row r="7" spans="1:2" x14ac:dyDescent="0.25">
      <c r="B7" t="s">
        <v>9</v>
      </c>
    </row>
    <row r="10" spans="1:2" x14ac:dyDescent="0.25">
      <c r="A10" s="1" t="s">
        <v>1</v>
      </c>
    </row>
    <row r="11" spans="1:2" x14ac:dyDescent="0.25">
      <c r="A11" t="s">
        <v>3</v>
      </c>
    </row>
    <row r="12" spans="1:2" x14ac:dyDescent="0.25">
      <c r="A12" t="s">
        <v>2</v>
      </c>
    </row>
    <row r="14" spans="1:2" x14ac:dyDescent="0.25">
      <c r="A14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F358D-5163-4DF2-A0A9-226CB6D28ACC}">
  <dimension ref="B4:I19"/>
  <sheetViews>
    <sheetView workbookViewId="0">
      <selection activeCell="H17" sqref="H17"/>
    </sheetView>
  </sheetViews>
  <sheetFormatPr defaultRowHeight="15" x14ac:dyDescent="0.25"/>
  <cols>
    <col min="2" max="2" width="77.85546875" customWidth="1"/>
    <col min="6" max="6" width="11" bestFit="1" customWidth="1"/>
  </cols>
  <sheetData>
    <row r="4" spans="6:9" x14ac:dyDescent="0.25">
      <c r="G4" t="s">
        <v>28</v>
      </c>
      <c r="I4" t="s">
        <v>29</v>
      </c>
    </row>
    <row r="5" spans="6:9" x14ac:dyDescent="0.25">
      <c r="G5" t="s">
        <v>24</v>
      </c>
      <c r="H5" t="s">
        <v>23</v>
      </c>
      <c r="I5" t="s">
        <v>24</v>
      </c>
    </row>
    <row r="6" spans="6:9" x14ac:dyDescent="0.25">
      <c r="F6" t="s">
        <v>11</v>
      </c>
      <c r="G6">
        <v>25</v>
      </c>
      <c r="H6">
        <v>26</v>
      </c>
      <c r="I6">
        <f>G6*$F$17/$F$13</f>
        <v>1.8585890302066772E-4</v>
      </c>
    </row>
    <row r="7" spans="6:9" x14ac:dyDescent="0.25">
      <c r="F7" t="s">
        <v>13</v>
      </c>
      <c r="G7">
        <v>21</v>
      </c>
      <c r="H7">
        <v>27</v>
      </c>
      <c r="I7">
        <f t="shared" ref="I7:I9" si="0">G7*$F$17/$F$13</f>
        <v>1.5612147853736089E-4</v>
      </c>
    </row>
    <row r="8" spans="6:9" x14ac:dyDescent="0.25">
      <c r="F8" t="s">
        <v>12</v>
      </c>
      <c r="G8">
        <v>20</v>
      </c>
      <c r="H8">
        <v>30</v>
      </c>
      <c r="I8">
        <f t="shared" si="0"/>
        <v>1.4868712241653418E-4</v>
      </c>
    </row>
    <row r="9" spans="6:9" x14ac:dyDescent="0.25">
      <c r="F9" t="s">
        <v>14</v>
      </c>
      <c r="G9">
        <v>32</v>
      </c>
      <c r="H9">
        <v>39</v>
      </c>
      <c r="I9">
        <f t="shared" si="0"/>
        <v>2.3789939586645468E-4</v>
      </c>
    </row>
    <row r="12" spans="6:9" x14ac:dyDescent="0.25">
      <c r="F12" t="s">
        <v>25</v>
      </c>
    </row>
    <row r="13" spans="6:9" x14ac:dyDescent="0.25">
      <c r="F13">
        <v>134510640026859.36</v>
      </c>
    </row>
    <row r="14" spans="6:9" x14ac:dyDescent="0.25">
      <c r="F14" s="2" t="s">
        <v>26</v>
      </c>
    </row>
    <row r="16" spans="6:9" x14ac:dyDescent="0.25">
      <c r="F16" t="s">
        <v>27</v>
      </c>
    </row>
    <row r="17" spans="2:6" x14ac:dyDescent="0.25">
      <c r="F17">
        <f>10^9</f>
        <v>1000000000</v>
      </c>
    </row>
    <row r="19" spans="2:6" ht="164.25" x14ac:dyDescent="0.25">
      <c r="B19" s="6" t="s">
        <v>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B8"/>
  <sheetViews>
    <sheetView workbookViewId="0">
      <selection activeCell="B9" sqref="B9"/>
    </sheetView>
  </sheetViews>
  <sheetFormatPr defaultRowHeight="15" x14ac:dyDescent="0.25"/>
  <cols>
    <col min="1" max="1" width="41.5703125" bestFit="1" customWidth="1"/>
    <col min="2" max="2" width="10.7109375" customWidth="1"/>
  </cols>
  <sheetData>
    <row r="1" spans="1:2" x14ac:dyDescent="0.25">
      <c r="A1" s="2" t="s">
        <v>16</v>
      </c>
      <c r="B1" s="3" t="s">
        <v>22</v>
      </c>
    </row>
    <row r="2" spans="1:2" x14ac:dyDescent="0.25">
      <c r="A2" t="s">
        <v>15</v>
      </c>
      <c r="B2" s="7">
        <f>Data!I8</f>
        <v>1.4868712241653418E-4</v>
      </c>
    </row>
    <row r="3" spans="1:2" x14ac:dyDescent="0.25">
      <c r="A3" t="s">
        <v>17</v>
      </c>
      <c r="B3" s="7">
        <f>Data!I7</f>
        <v>1.5612147853736089E-4</v>
      </c>
    </row>
    <row r="4" spans="1:2" x14ac:dyDescent="0.25">
      <c r="A4" t="s">
        <v>11</v>
      </c>
      <c r="B4" s="7">
        <f>Data!I6</f>
        <v>1.8585890302066772E-4</v>
      </c>
    </row>
    <row r="5" spans="1:2" x14ac:dyDescent="0.25">
      <c r="A5" t="s">
        <v>18</v>
      </c>
      <c r="B5">
        <f>B4</f>
        <v>1.8585890302066772E-4</v>
      </c>
    </row>
    <row r="6" spans="1:2" x14ac:dyDescent="0.25">
      <c r="A6" t="s">
        <v>19</v>
      </c>
      <c r="B6">
        <f>B3</f>
        <v>1.5612147853736089E-4</v>
      </c>
    </row>
    <row r="7" spans="1:2" x14ac:dyDescent="0.25">
      <c r="A7" t="s">
        <v>20</v>
      </c>
      <c r="B7">
        <f>B2</f>
        <v>1.4868712241653418E-4</v>
      </c>
    </row>
    <row r="8" spans="1:2" x14ac:dyDescent="0.25">
      <c r="A8" t="s">
        <v>21</v>
      </c>
      <c r="B8" s="7">
        <f>Data!I9</f>
        <v>2.3789939586645468E-4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WCoHPbP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Dan O'Brien</cp:lastModifiedBy>
  <dcterms:created xsi:type="dcterms:W3CDTF">2020-09-30T16:01:44Z</dcterms:created>
  <dcterms:modified xsi:type="dcterms:W3CDTF">2026-01-09T18:44:40Z</dcterms:modified>
</cp:coreProperties>
</file>