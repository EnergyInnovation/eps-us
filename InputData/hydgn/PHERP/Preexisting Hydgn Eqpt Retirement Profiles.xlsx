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O'Brien\Models\EPS\US\eps-us\InputData\hydgn\HESD\"/>
    </mc:Choice>
  </mc:AlternateContent>
  <xr:revisionPtr revIDLastSave="0" documentId="13_ncr:1_{E327C016-3C17-4F3B-83E9-ADD028031A04}" xr6:coauthVersionLast="47" xr6:coauthVersionMax="47" xr10:uidLastSave="{00000000-0000-0000-0000-000000000000}"/>
  <bookViews>
    <workbookView xWindow="2730" yWindow="1170" windowWidth="21600" windowHeight="12795" activeTab="2" xr2:uid="{D7D4D39B-1881-45DC-8052-5A256985CC24}"/>
  </bookViews>
  <sheets>
    <sheet name="About" sheetId="3" r:id="rId1"/>
    <sheet name="Calcs" sheetId="1" r:id="rId2"/>
    <sheet name="PHERP" sheetId="7" r:id="rId3"/>
  </sheets>
  <definedNames>
    <definedName name="solver_adj" localSheetId="1" hidden="1">Calcs!#REF!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lhs1" localSheetId="1" hidden="1">Calcs!#REF!</definedName>
    <definedName name="solver_lhs2" localSheetId="1" hidden="1">Calcs!#REF!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2</definedName>
    <definedName name="solver_nwt" localSheetId="1" hidden="1">1</definedName>
    <definedName name="solver_opt" localSheetId="1" hidden="1">Calcs!#REF!</definedName>
    <definedName name="solver_pre" localSheetId="1" hidden="1">0.000001</definedName>
    <definedName name="solver_rbv" localSheetId="1" hidden="1">1</definedName>
    <definedName name="solver_rel1" localSheetId="1" hidden="1">1</definedName>
    <definedName name="solver_rel2" localSheetId="1" hidden="1">3</definedName>
    <definedName name="solver_rhs1" localSheetId="1" hidden="1">0.07</definedName>
    <definedName name="solver_rhs2" localSheetId="1" hidden="1">0.03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3</definedName>
    <definedName name="solver_val" localSheetId="1" hidden="1">0.5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7" l="1" a="1"/>
  <c r="B2" i="7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<sst xmlns="http://schemas.openxmlformats.org/spreadsheetml/2006/main" count="196" uniqueCount="181">
  <si>
    <t xml:space="preserve">Source: </t>
  </si>
  <si>
    <t>Notes</t>
  </si>
  <si>
    <t>years</t>
  </si>
  <si>
    <t>PHERP Preexisting Hydrogen Equipment Retirement Profile</t>
  </si>
  <si>
    <t>Equipment Lifetime Assumption</t>
  </si>
  <si>
    <t>Life Cycle Assessment of Hydrogen Production via Natural Gas Steam Reforming</t>
  </si>
  <si>
    <t>NREL</t>
  </si>
  <si>
    <t>https://docs.nrel.gov/docs/fy01osti/27637.pdf</t>
  </si>
  <si>
    <t>Pamela L. Spath; Margaret K. Mann</t>
  </si>
  <si>
    <t>step</t>
  </si>
  <si>
    <t>retired_share_of_prev_remaining</t>
  </si>
  <si>
    <t>retired_flow_level</t>
  </si>
  <si>
    <t>survivors</t>
  </si>
  <si>
    <t>Year</t>
  </si>
  <si>
    <t>Share Retired</t>
  </si>
  <si>
    <t>In the start year of the model, there is a certain amount of hydrogen production equipment</t>
  </si>
  <si>
    <t>online, including conventional steam reformers and electrolyzers.</t>
  </si>
  <si>
    <t xml:space="preserve">This file defines the share of preexisting equipment retired each year. </t>
  </si>
  <si>
    <t>We assume an average equipment lifetime of:</t>
  </si>
  <si>
    <t>Since much of the existing equipment in the start year will be more than a year old, most</t>
  </si>
  <si>
    <t>of the preexisting equipment is retired in less than the assumed equipment lifetime.</t>
  </si>
  <si>
    <t>Python code</t>
  </si>
  <si>
    <t># -*- coding: utf-8 -*-</t>
  </si>
  <si>
    <t>"_x000D_
Created on Fri Oct 10 09:03:48 2025_x000D_
_x000D_
@author: Dan O'Brien_x000D_
preexisting_retirement_profile.py_x000D_
_x000D_
Computes and plots the *preexisting* fleet retirement dynamics under a Weibull_x000D_
lifetime model, reporting the share of the prior timestep's remaining stock_x000D_
that retires each year (fleet-wide annual retirement rate)._x000D_
_x000D_
Weibull notes:_x000D_
    S(a)   = exp(-(a/λ)^k)     # survival to age 'a'_x000D_
    g[a]   = S[a] - S[a+1]     # discrete retire-at-age PMF_x000D_
    λ      = mean_life / Γ(1 + 1/k)_x000D_
_x000D_
Outputs:_x000D_
    step                                int   year index_x000D_
    retired_share_of_prev_remaining     float share of survivors at start of year that retire this year_x000D_
    retired_flow_level                  float absolute share of *initial* stock retired this year_x000D_
    survivors                           float share of *initial* stock alive after this year_x000D_
"</t>
  </si>
  <si>
    <t>import numpy as np</t>
  </si>
  <si>
    <t>import pandas as pd</t>
  </si>
  <si>
    <t>import matplotlib.pyplot as plt</t>
  </si>
  <si>
    <t>from scipy.special import gamma</t>
  </si>
  <si>
    <t># ---------- Core Weibull helpers ----------</t>
  </si>
  <si>
    <t>def weibull_scale(mean_life: float, shape: float) -&gt; float:</t>
  </si>
  <si>
    <t xml:space="preserve">    """λ = mean_life / Γ(1 + 1/k)."""</t>
  </si>
  <si>
    <t xml:space="preserve">    return mean_life / gamma(1.0 + 1.0 / shape)</t>
  </si>
  <si>
    <t>def survival_weibull(ages: np.ndarray, lam: float, shape: float) -&gt; np.ndarray:</t>
  </si>
  <si>
    <t xml:space="preserve">    """Weibull survival S(age)."""</t>
  </si>
  <si>
    <t xml:space="preserve">    ages = ages.astype(float)</t>
  </si>
  <si>
    <t xml:space="preserve">    return np.exp(-((ages / lam) ** shape))</t>
  </si>
  <si>
    <t>def discrete_retire_at_age(S: np.ndarray) -&gt; np.ndarray:</t>
  </si>
  <si>
    <t xml:space="preserve">    """Convert survival S[a] to discrete retire-at-age PMF g[a]. Length-preserving."""</t>
  </si>
  <si>
    <t xml:space="preserve">    g = np.empty_like(S)</t>
  </si>
  <si>
    <t xml:space="preserve">    g[:-1] = S[:-1] - S[1:]</t>
  </si>
  <si>
    <t xml:space="preserve">    g[-1] = S[-1]</t>
  </si>
  <si>
    <t xml:space="preserve">    g = np.clip(g, 0.0, None)</t>
  </si>
  <si>
    <t xml:space="preserve">    s = g.sum()</t>
  </si>
  <si>
    <t xml:space="preserve">    if s &gt; 0:</t>
  </si>
  <si>
    <t xml:space="preserve">        g /= s</t>
  </si>
  <si>
    <t xml:space="preserve">    return g</t>
  </si>
  <si>
    <t>def steady_state_existing(S: np.ndarray) -&gt; np.ndarray:</t>
  </si>
  <si>
    <t xml:space="preserve">    """</t>
  </si>
  <si>
    <t xml:space="preserve">    Steady-state existing stock (age distribution) ∝ survival.</t>
  </si>
  <si>
    <t xml:space="preserve">    Normalized to sum to 1 across ages.</t>
  </si>
  <si>
    <t xml:space="preserve">    w = np.clip(S, 0.0, None)</t>
  </si>
  <si>
    <t xml:space="preserve">    s = w.sum()</t>
  </si>
  <si>
    <t xml:space="preserve">        w /= s</t>
  </si>
  <si>
    <t xml:space="preserve">    return w</t>
  </si>
  <si>
    <t>def conditional_next(g: np.ndarray, S: np.ndarray) -&gt; np.ndarray:</t>
  </si>
  <si>
    <t xml:space="preserve">    Conditional probability of retiring *next* year given current age.</t>
  </si>
  <si>
    <t xml:space="preserve">    q[a] = P(retire at age a+1 | survive to age a)</t>
  </si>
  <si>
    <t xml:space="preserve">    A = len(S)</t>
  </si>
  <si>
    <t xml:space="preserve">    q = np.zeros(A)</t>
  </si>
  <si>
    <t xml:space="preserve">    eps = 1e-12</t>
  </si>
  <si>
    <t xml:space="preserve">    for a in range(A - 1):</t>
  </si>
  <si>
    <t xml:space="preserve">        q[a] = g[a + 1] / max(S[a], eps)</t>
  </si>
  <si>
    <t xml:space="preserve">        q[a] = min(max(q[a], 0.0), 1.0)</t>
  </si>
  <si>
    <t xml:space="preserve">    q[A - 1] = 1.0  # terminal bin</t>
  </si>
  <si>
    <t xml:space="preserve">    return q</t>
  </si>
  <si>
    <t># ---------- Simulation over preexisting fleet ----------</t>
  </si>
  <si>
    <t>def simulate_preexisting(existing_share: np.ndarray, q: np.ndarray, steps: int) -&gt; pd.DataFrame:</t>
  </si>
  <si>
    <t xml:space="preserve">    Age the preexisting fleet forward and report:</t>
  </si>
  <si>
    <t xml:space="preserve">      - retired_share_of_prev_remaining (fleet-wide annual retirement rate)</t>
  </si>
  <si>
    <t xml:space="preserve">      - retired_flow_level (absolute flow vs. initial stock)</t>
  </si>
  <si>
    <t xml:space="preserve">      - survivors (vs. initial stock)</t>
  </si>
  <si>
    <t xml:space="preserve">    Parameters</t>
  </si>
  <si>
    <t xml:space="preserve">    ----------</t>
  </si>
  <si>
    <t xml:space="preserve">    existing_share : np.ndarray</t>
  </si>
  <si>
    <t xml:space="preserve">        Age distribution of preexisting stock at t=0 (sums to 1).</t>
  </si>
  <si>
    <t xml:space="preserve">    q : np.ndarray</t>
  </si>
  <si>
    <t xml:space="preserve">        Conditional next-year retirement probabilities by current age.</t>
  </si>
  <si>
    <t xml:space="preserve">    steps : int</t>
  </si>
  <si>
    <t xml:space="preserve">        Number of years to simulate.</t>
  </si>
  <si>
    <t xml:space="preserve">    Returns</t>
  </si>
  <si>
    <t xml:space="preserve">    -------</t>
  </si>
  <si>
    <t xml:space="preserve">    DataFrame with columns [step, retired_share_of_prev_remaining, retired_flow_level, survivors].</t>
  </si>
  <si>
    <t xml:space="preserve">    v = existing_share.astype(float).copy()</t>
  </si>
  <si>
    <t xml:space="preserve">    rows = []</t>
  </si>
  <si>
    <t xml:space="preserve">    retired_cum = 0.0</t>
  </si>
  <si>
    <t xml:space="preserve">    survivors_prev = 1.0  # start with all initial stock remaining</t>
  </si>
  <si>
    <t xml:space="preserve">    for t in range(steps):</t>
  </si>
  <si>
    <t xml:space="preserve">        # Flow this year as a fraction of the *initial* stock:</t>
  </si>
  <si>
    <t xml:space="preserve">        retired_flow_level = float((v * q).sum())</t>
  </si>
  <si>
    <t xml:space="preserve">        # Convert to share of *prior* survivors (fleet-wide hazard this year):</t>
  </si>
  <si>
    <t xml:space="preserve">        retired_share_of_prev_remaining = retired_flow_level / max(survivors_prev, eps)</t>
  </si>
  <si>
    <t xml:space="preserve">        retired_share_of_prev_remaining = min(max(retired_share_of_prev_remaining, 0.0), 1.0)</t>
  </si>
  <si>
    <t xml:space="preserve">        # Bookkeeping vs. initial stock:</t>
  </si>
  <si>
    <t xml:space="preserve">        retired_cum += retired_flow_level</t>
  </si>
  <si>
    <t xml:space="preserve">        survivors = max(0.0, 1.0 - retired_cum)</t>
  </si>
  <si>
    <t xml:space="preserve">        rows.append({</t>
  </si>
  <si>
    <t xml:space="preserve">            "step": t,</t>
  </si>
  <si>
    <t xml:space="preserve">            "retired_share_of_prev_remaining": retired_share_of_prev_remaining,</t>
  </si>
  <si>
    <t xml:space="preserve">            "retired_flow_level": retired_flow_level,</t>
  </si>
  <si>
    <t xml:space="preserve">            "survivors": survivors</t>
  </si>
  <si>
    <t xml:space="preserve">        })</t>
  </si>
  <si>
    <t xml:space="preserve">        # Age the distribution forward (no new additions):</t>
  </si>
  <si>
    <t xml:space="preserve">        survivors_vec = v - v * q</t>
  </si>
  <si>
    <t xml:space="preserve">        survivors_vec = np.clip(survivors_vec, 0.0, None)</t>
  </si>
  <si>
    <t xml:space="preserve">        v_next = np.zeros_like(v)</t>
  </si>
  <si>
    <t xml:space="preserve">        v_next[1:] = survivors_vec[:-1]</t>
  </si>
  <si>
    <t xml:space="preserve">        v_next[-1] += survivors_vec[-1]  # terminal age bin</t>
  </si>
  <si>
    <t xml:space="preserve">        v = v_next</t>
  </si>
  <si>
    <t xml:space="preserve">        survivors_prev = survivors</t>
  </si>
  <si>
    <t xml:space="preserve">        if survivors &lt;= 1e-8:</t>
  </si>
  <si>
    <t xml:space="preserve">            break</t>
  </si>
  <si>
    <t xml:space="preserve">    return pd.DataFrame(rows)</t>
  </si>
  <si>
    <t># ---------- Profile generator ----------</t>
  </si>
  <si>
    <t>def generate_profile(mean_life: float,</t>
  </si>
  <si>
    <t xml:space="preserve">                     shape: float,</t>
  </si>
  <si>
    <t xml:space="preserve">                     max_age: int = 120,</t>
  </si>
  <si>
    <t xml:space="preserve">                     existing_csv: str | None = None) -&gt; pd.DataFrame:</t>
  </si>
  <si>
    <t xml:space="preserve">    Generate the preexisting retirement profile focused on the annual rate</t>
  </si>
  <si>
    <t xml:space="preserve">    (share of prior survivors retired each year).</t>
  </si>
  <si>
    <t xml:space="preserve">    mean_life : float</t>
  </si>
  <si>
    <t xml:space="preserve">        Average lifetime (years).</t>
  </si>
  <si>
    <t xml:space="preserve">    shape : float</t>
  </si>
  <si>
    <t xml:space="preserve">        Weibull shape parameter (k).</t>
  </si>
  <si>
    <t xml:space="preserve">    max_age : int</t>
  </si>
  <si>
    <t xml:space="preserve">        Maximum modeled age (inclusive).</t>
  </si>
  <si>
    <t xml:space="preserve">    existing_csv : str, optional</t>
  </si>
  <si>
    <t xml:space="preserve">        Path to CSV with columns [age, share] (must sum to ~1). If None, uses steady-state.</t>
  </si>
  <si>
    <t xml:space="preserve">    pandas.DataFrame with columns:</t>
  </si>
  <si>
    <t xml:space="preserve">      [step, retired_share_of_prev_remaining, retired_flow_level, survivors]</t>
  </si>
  <si>
    <t xml:space="preserve">    A = max_age + 1</t>
  </si>
  <si>
    <t xml:space="preserve">    ages = np.arange(A)</t>
  </si>
  <si>
    <t xml:space="preserve">    lam = weibull_scale(mean_life, shape)</t>
  </si>
  <si>
    <t xml:space="preserve">    S = survival_weibull(ages, lam, shape)</t>
  </si>
  <si>
    <t xml:space="preserve">    g = discrete_retire_at_age(S)</t>
  </si>
  <si>
    <t xml:space="preserve">    if existing_csv is None:</t>
  </si>
  <si>
    <t xml:space="preserve">        w = steady_state_existing(S)</t>
  </si>
  <si>
    <t xml:space="preserve">    else:</t>
  </si>
  <si>
    <t xml:space="preserve">        df_in = pd.read_csv(existing_csv)</t>
  </si>
  <si>
    <t xml:space="preserve">        w = df_in["share"].to_numpy(dtype=float)</t>
  </si>
  <si>
    <t xml:space="preserve">        if len(w) != A:</t>
  </si>
  <si>
    <t xml:space="preserve">            raise ValueError(f"existing_csv has {len(w)} ages but expected {A} (0..{max_age}).")</t>
  </si>
  <si>
    <t xml:space="preserve">        s = w.sum()</t>
  </si>
  <si>
    <t xml:space="preserve">        if s &lt;= 0:</t>
  </si>
  <si>
    <t xml:space="preserve">            raise ValueError("existing_csv 'share' must sum to &gt; 0.")</t>
  </si>
  <si>
    <t xml:space="preserve">        w = w / s</t>
  </si>
  <si>
    <t xml:space="preserve">    q = conditional_next(g, S)</t>
  </si>
  <si>
    <t xml:space="preserve">    steps = 2 * A  # long enough to see the tail retire</t>
  </si>
  <si>
    <t xml:space="preserve">    return simulate_preexisting(w, q, steps)</t>
  </si>
  <si>
    <t># ---------- Plotting ----------</t>
  </si>
  <si>
    <t>def plot_profile(df: pd.DataFrame,</t>
  </si>
  <si>
    <t xml:space="preserve">                 title: str = "Preexisting Retirement: Annual Rate &amp; Survivors",</t>
  </si>
  <si>
    <t xml:space="preserve">                 save_path: str | None = None) -&gt; None:</t>
  </si>
  <si>
    <t xml:space="preserve">    Plot the fleet-wide annual retirement rate (share of prior survivors) and survivors.</t>
  </si>
  <si>
    <t xml:space="preserve">    plt.figure()</t>
  </si>
  <si>
    <t xml:space="preserve">    plt.plot(df["step"], df["retired_share_of_prev_remaining"], label="Annual retire share of prior survivors")</t>
  </si>
  <si>
    <t xml:space="preserve">    plt.plot(df["step"], df["survivors"], linestyle="--", label="Survivors (vs. initial)")</t>
  </si>
  <si>
    <t xml:space="preserve">    plt.title(title)</t>
  </si>
  <si>
    <t xml:space="preserve">    plt.xlabel("Years from start")</t>
  </si>
  <si>
    <t xml:space="preserve">    plt.ylabel("Share")</t>
  </si>
  <si>
    <t xml:space="preserve">    plt.grid(True, alpha=0.3)</t>
  </si>
  <si>
    <t xml:space="preserve">    plt.legend()</t>
  </si>
  <si>
    <t xml:space="preserve">    plt.tight_layout()</t>
  </si>
  <si>
    <t xml:space="preserve">    if save_path:</t>
  </si>
  <si>
    <t xml:space="preserve">        plt.savefig(save_path, dpi=150)</t>
  </si>
  <si>
    <t xml:space="preserve">    plt.show()</t>
  </si>
  <si>
    <t># ---------- Script entry ----------</t>
  </si>
  <si>
    <t>if __name__ == "__main__":</t>
  </si>
  <si>
    <t xml:space="preserve">    # ENTER YOUR PARAMETERS HERE</t>
  </si>
  <si>
    <t xml:space="preserve">    mean_life = 20     # Average life (years)</t>
  </si>
  <si>
    <t xml:space="preserve">    shape = 3          # Weibull shape parameter (2–4 typical for equipment)</t>
  </si>
  <si>
    <t xml:space="preserve">    max_age = 40       # Maximum modeled age (inclusive)</t>
  </si>
  <si>
    <t xml:space="preserve">    # Optionally, set 'existing_csv' to a path with columns [age, share]</t>
  </si>
  <si>
    <t xml:space="preserve">    existing_csv = None</t>
  </si>
  <si>
    <t xml:space="preserve">    # Generate</t>
  </si>
  <si>
    <t xml:space="preserve">    df = generate_profile(mean_life=mean_life, shape=shape, max_age=max_age, existing_csv=existing_csv)</t>
  </si>
  <si>
    <t xml:space="preserve">    # Save CSV</t>
  </si>
  <si>
    <t xml:space="preserve">    output_path = "preexisting_retirement_profile.csv"</t>
  </si>
  <si>
    <t xml:space="preserve">    df.to_csv(output_path, index=False)</t>
  </si>
  <si>
    <t xml:space="preserve">    print(f"CSV saved to: {output_path}")</t>
  </si>
  <si>
    <t xml:space="preserve">    # Plot</t>
  </si>
  <si>
    <t xml:space="preserve">    plot_profile(df, title=f"Preexisting Retirement (mean={mean_life}, shape={shape})")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</si>
</sst>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11" fontId="0" fillId="0" borderId="0" xfId="0" applyNumberFormat="1"/>
    <xf numFmtId="0" fontId="0" fillId="3" borderId="0" xfId="0" applyFill="1"/>
    <xf numFmtId="0" fontId="1" fillId="3" borderId="0" xfId="0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4E951-0C61-4C70-BCC5-3459910506B3}">
  <dimension ref="A1:B233"/>
  <sheetViews>
    <sheetView zoomScaleNormal="100" workbookViewId="0">
      <selection activeCell="B25" sqref="B25"/>
    </sheetView>
  </sheetViews>
  <sheetFormatPr defaultRowHeight="15" x14ac:dyDescent="0.25"/>
  <cols>
    <col min="1" max="1" width="9.140625" customWidth="1"/>
    <col min="2" max="2" width="65.28515625" bestFit="1" customWidth="1"/>
  </cols>
  <sheetData>
    <row r="1" spans="1:2" x14ac:dyDescent="0.25">
      <c r="A1" s="1" t="s">
        <v>3</v>
      </c>
    </row>
    <row r="3" spans="1:2" x14ac:dyDescent="0.25">
      <c r="A3" s="1" t="s">
        <v>0</v>
      </c>
      <c r="B3" s="2" t="s">
        <v>4</v>
      </c>
    </row>
    <row r="4" spans="1:2" x14ac:dyDescent="0.25">
      <c r="B4" t="s">
        <v>5</v>
      </c>
    </row>
    <row r="5" spans="1:2" x14ac:dyDescent="0.25">
      <c r="B5" s="3">
        <v>2001</v>
      </c>
    </row>
    <row r="6" spans="1:2" x14ac:dyDescent="0.25">
      <c r="B6" t="s">
        <v>6</v>
      </c>
    </row>
    <row r="7" spans="1:2" x14ac:dyDescent="0.25">
      <c r="B7" t="s">
        <v>7</v>
      </c>
    </row>
    <row r="8" spans="1:2" x14ac:dyDescent="0.25">
      <c r="B8" t="s">
        <v>8</v>
      </c>
    </row>
    <row r="10" spans="1:2" x14ac:dyDescent="0.25">
      <c r="A10" s="1" t="s">
        <v>1</v>
      </c>
    </row>
    <row r="11" spans="1:2" x14ac:dyDescent="0.25">
      <c r="A11" t="s">
        <v>15</v>
      </c>
    </row>
    <row r="12" spans="1:2" x14ac:dyDescent="0.25">
      <c r="A12" t="s">
        <v>16</v>
      </c>
    </row>
    <row r="14" spans="1:2" x14ac:dyDescent="0.25">
      <c r="A14" t="s">
        <v>17</v>
      </c>
    </row>
    <row r="16" spans="1:2" x14ac:dyDescent="0.25">
      <c r="A16" t="s">
        <v>18</v>
      </c>
    </row>
    <row r="17" spans="1:2" x14ac:dyDescent="0.25">
      <c r="A17">
        <v>20</v>
      </c>
      <c r="B17" t="s">
        <v>2</v>
      </c>
    </row>
    <row r="19" spans="1:2" x14ac:dyDescent="0.25">
      <c r="A19" t="s">
        <v>19</v>
      </c>
    </row>
    <row r="20" spans="1:2" x14ac:dyDescent="0.25">
      <c r="A20" t="s">
        <v>20</v>
      </c>
    </row>
    <row r="22" spans="1:2" x14ac:dyDescent="0.25">
      <c r="A22" s="6" t="s">
        <v>21</v>
      </c>
      <c r="B22" s="5"/>
    </row>
    <row r="23" spans="1:2" x14ac:dyDescent="0.25">
      <c r="A23" t="s">
        <v>22</v>
      </c>
    </row>
    <row r="24" spans="1:2" x14ac:dyDescent="0.25">
      <c r="A24" s="7" t="s">
        <v>23</v>
      </c>
    </row>
    <row r="26" spans="1:2" x14ac:dyDescent="0.25">
      <c r="A26" t="s">
        <v>24</v>
      </c>
    </row>
    <row r="27" spans="1:2" x14ac:dyDescent="0.25">
      <c r="A27" t="s">
        <v>25</v>
      </c>
    </row>
    <row r="28" spans="1:2" x14ac:dyDescent="0.25">
      <c r="A28" t="s">
        <v>26</v>
      </c>
    </row>
    <row r="29" spans="1:2" x14ac:dyDescent="0.25">
      <c r="A29" t="s">
        <v>27</v>
      </c>
    </row>
    <row r="32" spans="1:2" x14ac:dyDescent="0.25">
      <c r="A32" t="s">
        <v>28</v>
      </c>
    </row>
    <row r="33" spans="1:1" x14ac:dyDescent="0.25">
      <c r="A33" t="s">
        <v>29</v>
      </c>
    </row>
    <row r="34" spans="1:1" x14ac:dyDescent="0.25">
      <c r="A34" t="s">
        <v>30</v>
      </c>
    </row>
    <row r="35" spans="1:1" x14ac:dyDescent="0.25">
      <c r="A35" t="s">
        <v>31</v>
      </c>
    </row>
    <row r="38" spans="1:1" x14ac:dyDescent="0.25">
      <c r="A38" t="s">
        <v>32</v>
      </c>
    </row>
    <row r="39" spans="1:1" x14ac:dyDescent="0.25">
      <c r="A39" t="s">
        <v>33</v>
      </c>
    </row>
    <row r="40" spans="1:1" x14ac:dyDescent="0.25">
      <c r="A40" t="s">
        <v>34</v>
      </c>
    </row>
    <row r="41" spans="1:1" x14ac:dyDescent="0.25">
      <c r="A41" t="s">
        <v>35</v>
      </c>
    </row>
    <row r="44" spans="1:1" x14ac:dyDescent="0.25">
      <c r="A44" t="s">
        <v>36</v>
      </c>
    </row>
    <row r="45" spans="1:1" x14ac:dyDescent="0.25">
      <c r="A45" t="s">
        <v>37</v>
      </c>
    </row>
    <row r="46" spans="1:1" x14ac:dyDescent="0.25">
      <c r="A46" t="s">
        <v>38</v>
      </c>
    </row>
    <row r="47" spans="1:1" x14ac:dyDescent="0.25">
      <c r="A47" t="s">
        <v>39</v>
      </c>
    </row>
    <row r="48" spans="1:1" x14ac:dyDescent="0.25">
      <c r="A48" t="s">
        <v>40</v>
      </c>
    </row>
    <row r="49" spans="1:1" x14ac:dyDescent="0.25">
      <c r="A49" t="s">
        <v>41</v>
      </c>
    </row>
    <row r="50" spans="1:1" x14ac:dyDescent="0.25">
      <c r="A50" t="s">
        <v>42</v>
      </c>
    </row>
    <row r="51" spans="1:1" x14ac:dyDescent="0.25">
      <c r="A51" t="s">
        <v>43</v>
      </c>
    </row>
    <row r="52" spans="1:1" x14ac:dyDescent="0.25">
      <c r="A52" t="s">
        <v>44</v>
      </c>
    </row>
    <row r="53" spans="1:1" x14ac:dyDescent="0.25">
      <c r="A53" t="s">
        <v>45</v>
      </c>
    </row>
    <row r="56" spans="1:1" x14ac:dyDescent="0.25">
      <c r="A56" t="s">
        <v>46</v>
      </c>
    </row>
    <row r="57" spans="1:1" x14ac:dyDescent="0.25">
      <c r="A57" t="s">
        <v>47</v>
      </c>
    </row>
    <row r="58" spans="1:1" x14ac:dyDescent="0.25">
      <c r="A58" t="s">
        <v>48</v>
      </c>
    </row>
    <row r="59" spans="1:1" x14ac:dyDescent="0.25">
      <c r="A59" t="s">
        <v>49</v>
      </c>
    </row>
    <row r="60" spans="1:1" x14ac:dyDescent="0.25">
      <c r="A60" t="s">
        <v>47</v>
      </c>
    </row>
    <row r="61" spans="1:1" x14ac:dyDescent="0.25">
      <c r="A61" t="s">
        <v>50</v>
      </c>
    </row>
    <row r="62" spans="1:1" x14ac:dyDescent="0.25">
      <c r="A62" t="s">
        <v>51</v>
      </c>
    </row>
    <row r="63" spans="1:1" x14ac:dyDescent="0.25">
      <c r="A63" t="s">
        <v>43</v>
      </c>
    </row>
    <row r="64" spans="1:1" x14ac:dyDescent="0.25">
      <c r="A64" t="s">
        <v>52</v>
      </c>
    </row>
    <row r="65" spans="1:1" x14ac:dyDescent="0.25">
      <c r="A65" t="s">
        <v>53</v>
      </c>
    </row>
    <row r="68" spans="1:1" x14ac:dyDescent="0.25">
      <c r="A68" t="s">
        <v>54</v>
      </c>
    </row>
    <row r="69" spans="1:1" x14ac:dyDescent="0.25">
      <c r="A69" t="s">
        <v>47</v>
      </c>
    </row>
    <row r="70" spans="1:1" x14ac:dyDescent="0.25">
      <c r="A70" t="s">
        <v>55</v>
      </c>
    </row>
    <row r="71" spans="1:1" x14ac:dyDescent="0.25">
      <c r="A71" t="s">
        <v>56</v>
      </c>
    </row>
    <row r="72" spans="1:1" x14ac:dyDescent="0.25">
      <c r="A72" t="s">
        <v>47</v>
      </c>
    </row>
    <row r="73" spans="1:1" x14ac:dyDescent="0.25">
      <c r="A73" t="s">
        <v>57</v>
      </c>
    </row>
    <row r="74" spans="1:1" x14ac:dyDescent="0.25">
      <c r="A74" t="s">
        <v>58</v>
      </c>
    </row>
    <row r="75" spans="1:1" x14ac:dyDescent="0.25">
      <c r="A75" t="s">
        <v>59</v>
      </c>
    </row>
    <row r="76" spans="1:1" x14ac:dyDescent="0.25">
      <c r="A76" t="s">
        <v>60</v>
      </c>
    </row>
    <row r="77" spans="1:1" x14ac:dyDescent="0.25">
      <c r="A77" t="s">
        <v>61</v>
      </c>
    </row>
    <row r="78" spans="1:1" x14ac:dyDescent="0.25">
      <c r="A78" t="s">
        <v>62</v>
      </c>
    </row>
    <row r="79" spans="1:1" x14ac:dyDescent="0.25">
      <c r="A79" t="s">
        <v>63</v>
      </c>
    </row>
    <row r="80" spans="1:1" x14ac:dyDescent="0.25">
      <c r="A80" t="s">
        <v>64</v>
      </c>
    </row>
    <row r="83" spans="1:1" x14ac:dyDescent="0.25">
      <c r="A83" t="s">
        <v>65</v>
      </c>
    </row>
    <row r="84" spans="1:1" x14ac:dyDescent="0.25">
      <c r="A84" t="s">
        <v>66</v>
      </c>
    </row>
    <row r="85" spans="1:1" x14ac:dyDescent="0.25">
      <c r="A85" t="s">
        <v>47</v>
      </c>
    </row>
    <row r="86" spans="1:1" x14ac:dyDescent="0.25">
      <c r="A86" t="s">
        <v>67</v>
      </c>
    </row>
    <row r="87" spans="1:1" x14ac:dyDescent="0.25">
      <c r="A87" t="s">
        <v>68</v>
      </c>
    </row>
    <row r="88" spans="1:1" x14ac:dyDescent="0.25">
      <c r="A88" t="s">
        <v>69</v>
      </c>
    </row>
    <row r="89" spans="1:1" x14ac:dyDescent="0.25">
      <c r="A89" t="s">
        <v>70</v>
      </c>
    </row>
    <row r="91" spans="1:1" x14ac:dyDescent="0.25">
      <c r="A91" t="s">
        <v>71</v>
      </c>
    </row>
    <row r="92" spans="1:1" x14ac:dyDescent="0.25">
      <c r="A92" t="s">
        <v>72</v>
      </c>
    </row>
    <row r="93" spans="1:1" x14ac:dyDescent="0.25">
      <c r="A93" t="s">
        <v>73</v>
      </c>
    </row>
    <row r="94" spans="1:1" x14ac:dyDescent="0.25">
      <c r="A94" t="s">
        <v>74</v>
      </c>
    </row>
    <row r="95" spans="1:1" x14ac:dyDescent="0.25">
      <c r="A95" t="s">
        <v>75</v>
      </c>
    </row>
    <row r="96" spans="1:1" x14ac:dyDescent="0.25">
      <c r="A96" t="s">
        <v>76</v>
      </c>
    </row>
    <row r="97" spans="1:1" x14ac:dyDescent="0.25">
      <c r="A97" t="s">
        <v>77</v>
      </c>
    </row>
    <row r="98" spans="1:1" x14ac:dyDescent="0.25">
      <c r="A98" t="s">
        <v>78</v>
      </c>
    </row>
    <row r="100" spans="1:1" x14ac:dyDescent="0.25">
      <c r="A100" t="s">
        <v>79</v>
      </c>
    </row>
    <row r="101" spans="1:1" x14ac:dyDescent="0.25">
      <c r="A101" t="s">
        <v>80</v>
      </c>
    </row>
    <row r="102" spans="1:1" x14ac:dyDescent="0.25">
      <c r="A102" t="s">
        <v>81</v>
      </c>
    </row>
    <row r="103" spans="1:1" x14ac:dyDescent="0.25">
      <c r="A103" t="s">
        <v>47</v>
      </c>
    </row>
    <row r="104" spans="1:1" x14ac:dyDescent="0.25">
      <c r="A104" t="s">
        <v>82</v>
      </c>
    </row>
    <row r="105" spans="1:1" x14ac:dyDescent="0.25">
      <c r="A105" t="s">
        <v>83</v>
      </c>
    </row>
    <row r="106" spans="1:1" x14ac:dyDescent="0.25">
      <c r="A106" t="s">
        <v>84</v>
      </c>
    </row>
    <row r="107" spans="1:1" x14ac:dyDescent="0.25">
      <c r="A107" t="s">
        <v>85</v>
      </c>
    </row>
    <row r="108" spans="1:1" x14ac:dyDescent="0.25">
      <c r="A108" t="s">
        <v>59</v>
      </c>
    </row>
    <row r="110" spans="1:1" x14ac:dyDescent="0.25">
      <c r="A110" t="s">
        <v>86</v>
      </c>
    </row>
    <row r="111" spans="1:1" x14ac:dyDescent="0.25">
      <c r="A111" t="s">
        <v>87</v>
      </c>
    </row>
    <row r="112" spans="1:1" x14ac:dyDescent="0.25">
      <c r="A112" t="s">
        <v>88</v>
      </c>
    </row>
    <row r="114" spans="1:1" x14ac:dyDescent="0.25">
      <c r="A114" t="s">
        <v>89</v>
      </c>
    </row>
    <row r="115" spans="1:1" x14ac:dyDescent="0.25">
      <c r="A115" t="s">
        <v>90</v>
      </c>
    </row>
    <row r="116" spans="1:1" x14ac:dyDescent="0.25">
      <c r="A116" t="s">
        <v>91</v>
      </c>
    </row>
    <row r="118" spans="1:1" x14ac:dyDescent="0.25">
      <c r="A118" t="s">
        <v>92</v>
      </c>
    </row>
    <row r="119" spans="1:1" x14ac:dyDescent="0.25">
      <c r="A119" t="s">
        <v>93</v>
      </c>
    </row>
    <row r="120" spans="1:1" x14ac:dyDescent="0.25">
      <c r="A120" t="s">
        <v>94</v>
      </c>
    </row>
    <row r="122" spans="1:1" x14ac:dyDescent="0.25">
      <c r="A122" t="s">
        <v>95</v>
      </c>
    </row>
    <row r="123" spans="1:1" x14ac:dyDescent="0.25">
      <c r="A123" t="s">
        <v>96</v>
      </c>
    </row>
    <row r="124" spans="1:1" x14ac:dyDescent="0.25">
      <c r="A124" t="s">
        <v>97</v>
      </c>
    </row>
    <row r="125" spans="1:1" x14ac:dyDescent="0.25">
      <c r="A125" t="s">
        <v>98</v>
      </c>
    </row>
    <row r="126" spans="1:1" x14ac:dyDescent="0.25">
      <c r="A126" t="s">
        <v>99</v>
      </c>
    </row>
    <row r="127" spans="1:1" x14ac:dyDescent="0.25">
      <c r="A127" t="s">
        <v>100</v>
      </c>
    </row>
    <row r="129" spans="1:1" x14ac:dyDescent="0.25">
      <c r="A129" t="s">
        <v>101</v>
      </c>
    </row>
    <row r="130" spans="1:1" x14ac:dyDescent="0.25">
      <c r="A130" t="s">
        <v>102</v>
      </c>
    </row>
    <row r="131" spans="1:1" x14ac:dyDescent="0.25">
      <c r="A131" t="s">
        <v>103</v>
      </c>
    </row>
    <row r="132" spans="1:1" x14ac:dyDescent="0.25">
      <c r="A132" t="s">
        <v>104</v>
      </c>
    </row>
    <row r="133" spans="1:1" x14ac:dyDescent="0.25">
      <c r="A133" t="s">
        <v>105</v>
      </c>
    </row>
    <row r="134" spans="1:1" x14ac:dyDescent="0.25">
      <c r="A134" t="s">
        <v>106</v>
      </c>
    </row>
    <row r="135" spans="1:1" x14ac:dyDescent="0.25">
      <c r="A135" t="s">
        <v>107</v>
      </c>
    </row>
    <row r="137" spans="1:1" x14ac:dyDescent="0.25">
      <c r="A137" t="s">
        <v>108</v>
      </c>
    </row>
    <row r="138" spans="1:1" x14ac:dyDescent="0.25">
      <c r="A138" t="s">
        <v>109</v>
      </c>
    </row>
    <row r="139" spans="1:1" x14ac:dyDescent="0.25">
      <c r="A139" t="s">
        <v>110</v>
      </c>
    </row>
    <row r="141" spans="1:1" x14ac:dyDescent="0.25">
      <c r="A141" t="s">
        <v>111</v>
      </c>
    </row>
    <row r="144" spans="1:1" x14ac:dyDescent="0.25">
      <c r="A144" t="s">
        <v>112</v>
      </c>
    </row>
    <row r="145" spans="1:1" x14ac:dyDescent="0.25">
      <c r="A145" t="s">
        <v>113</v>
      </c>
    </row>
    <row r="146" spans="1:1" x14ac:dyDescent="0.25">
      <c r="A146" t="s">
        <v>114</v>
      </c>
    </row>
    <row r="147" spans="1:1" x14ac:dyDescent="0.25">
      <c r="A147" t="s">
        <v>115</v>
      </c>
    </row>
    <row r="148" spans="1:1" x14ac:dyDescent="0.25">
      <c r="A148" t="s">
        <v>116</v>
      </c>
    </row>
    <row r="149" spans="1:1" x14ac:dyDescent="0.25">
      <c r="A149" t="s">
        <v>47</v>
      </c>
    </row>
    <row r="150" spans="1:1" x14ac:dyDescent="0.25">
      <c r="A150" t="s">
        <v>117</v>
      </c>
    </row>
    <row r="151" spans="1:1" x14ac:dyDescent="0.25">
      <c r="A151" t="s">
        <v>118</v>
      </c>
    </row>
    <row r="153" spans="1:1" x14ac:dyDescent="0.25">
      <c r="A153" t="s">
        <v>71</v>
      </c>
    </row>
    <row r="154" spans="1:1" x14ac:dyDescent="0.25">
      <c r="A154" t="s">
        <v>72</v>
      </c>
    </row>
    <row r="155" spans="1:1" x14ac:dyDescent="0.25">
      <c r="A155" t="s">
        <v>119</v>
      </c>
    </row>
    <row r="156" spans="1:1" x14ac:dyDescent="0.25">
      <c r="A156" t="s">
        <v>120</v>
      </c>
    </row>
    <row r="157" spans="1:1" x14ac:dyDescent="0.25">
      <c r="A157" t="s">
        <v>121</v>
      </c>
    </row>
    <row r="158" spans="1:1" x14ac:dyDescent="0.25">
      <c r="A158" t="s">
        <v>122</v>
      </c>
    </row>
    <row r="159" spans="1:1" x14ac:dyDescent="0.25">
      <c r="A159" t="s">
        <v>123</v>
      </c>
    </row>
    <row r="160" spans="1:1" x14ac:dyDescent="0.25">
      <c r="A160" t="s">
        <v>124</v>
      </c>
    </row>
    <row r="161" spans="1:1" x14ac:dyDescent="0.25">
      <c r="A161" t="s">
        <v>125</v>
      </c>
    </row>
    <row r="162" spans="1:1" x14ac:dyDescent="0.25">
      <c r="A162" t="s">
        <v>126</v>
      </c>
    </row>
    <row r="164" spans="1:1" x14ac:dyDescent="0.25">
      <c r="A164" t="s">
        <v>79</v>
      </c>
    </row>
    <row r="165" spans="1:1" x14ac:dyDescent="0.25">
      <c r="A165" t="s">
        <v>80</v>
      </c>
    </row>
    <row r="166" spans="1:1" x14ac:dyDescent="0.25">
      <c r="A166" t="s">
        <v>127</v>
      </c>
    </row>
    <row r="167" spans="1:1" x14ac:dyDescent="0.25">
      <c r="A167" t="s">
        <v>128</v>
      </c>
    </row>
    <row r="168" spans="1:1" x14ac:dyDescent="0.25">
      <c r="A168" t="s">
        <v>47</v>
      </c>
    </row>
    <row r="169" spans="1:1" x14ac:dyDescent="0.25">
      <c r="A169" t="s">
        <v>129</v>
      </c>
    </row>
    <row r="170" spans="1:1" x14ac:dyDescent="0.25">
      <c r="A170" t="s">
        <v>130</v>
      </c>
    </row>
    <row r="172" spans="1:1" x14ac:dyDescent="0.25">
      <c r="A172" t="s">
        <v>131</v>
      </c>
    </row>
    <row r="173" spans="1:1" x14ac:dyDescent="0.25">
      <c r="A173" t="s">
        <v>132</v>
      </c>
    </row>
    <row r="174" spans="1:1" x14ac:dyDescent="0.25">
      <c r="A174" t="s">
        <v>133</v>
      </c>
    </row>
    <row r="176" spans="1:1" x14ac:dyDescent="0.25">
      <c r="A176" t="s">
        <v>134</v>
      </c>
    </row>
    <row r="177" spans="1:1" x14ac:dyDescent="0.25">
      <c r="A177" t="s">
        <v>135</v>
      </c>
    </row>
    <row r="178" spans="1:1" x14ac:dyDescent="0.25">
      <c r="A178" t="s">
        <v>136</v>
      </c>
    </row>
    <row r="179" spans="1:1" x14ac:dyDescent="0.25">
      <c r="A179" t="s">
        <v>137</v>
      </c>
    </row>
    <row r="180" spans="1:1" x14ac:dyDescent="0.25">
      <c r="A180" t="s">
        <v>138</v>
      </c>
    </row>
    <row r="181" spans="1:1" x14ac:dyDescent="0.25">
      <c r="A181" t="s">
        <v>139</v>
      </c>
    </row>
    <row r="182" spans="1:1" x14ac:dyDescent="0.25">
      <c r="A182" t="s">
        <v>140</v>
      </c>
    </row>
    <row r="183" spans="1:1" x14ac:dyDescent="0.25">
      <c r="A183" t="s">
        <v>141</v>
      </c>
    </row>
    <row r="184" spans="1:1" x14ac:dyDescent="0.25">
      <c r="A184" t="s">
        <v>142</v>
      </c>
    </row>
    <row r="185" spans="1:1" x14ac:dyDescent="0.25">
      <c r="A185" t="s">
        <v>143</v>
      </c>
    </row>
    <row r="186" spans="1:1" x14ac:dyDescent="0.25">
      <c r="A186" t="s">
        <v>144</v>
      </c>
    </row>
    <row r="188" spans="1:1" x14ac:dyDescent="0.25">
      <c r="A188" t="s">
        <v>145</v>
      </c>
    </row>
    <row r="189" spans="1:1" x14ac:dyDescent="0.25">
      <c r="A189" t="s">
        <v>146</v>
      </c>
    </row>
    <row r="190" spans="1:1" x14ac:dyDescent="0.25">
      <c r="A190" t="s">
        <v>147</v>
      </c>
    </row>
    <row r="193" spans="1:1" x14ac:dyDescent="0.25">
      <c r="A193" t="s">
        <v>148</v>
      </c>
    </row>
    <row r="194" spans="1:1" x14ac:dyDescent="0.25">
      <c r="A194" t="s">
        <v>149</v>
      </c>
    </row>
    <row r="195" spans="1:1" x14ac:dyDescent="0.25">
      <c r="A195" t="s">
        <v>150</v>
      </c>
    </row>
    <row r="196" spans="1:1" x14ac:dyDescent="0.25">
      <c r="A196" t="s">
        <v>151</v>
      </c>
    </row>
    <row r="197" spans="1:1" x14ac:dyDescent="0.25">
      <c r="A197" t="s">
        <v>47</v>
      </c>
    </row>
    <row r="198" spans="1:1" x14ac:dyDescent="0.25">
      <c r="A198" t="s">
        <v>152</v>
      </c>
    </row>
    <row r="199" spans="1:1" x14ac:dyDescent="0.25">
      <c r="A199" t="s">
        <v>47</v>
      </c>
    </row>
    <row r="200" spans="1:1" x14ac:dyDescent="0.25">
      <c r="A200" t="s">
        <v>153</v>
      </c>
    </row>
    <row r="201" spans="1:1" x14ac:dyDescent="0.25">
      <c r="A201" t="s">
        <v>154</v>
      </c>
    </row>
    <row r="202" spans="1:1" x14ac:dyDescent="0.25">
      <c r="A202" t="s">
        <v>155</v>
      </c>
    </row>
    <row r="203" spans="1:1" x14ac:dyDescent="0.25">
      <c r="A203" t="s">
        <v>156</v>
      </c>
    </row>
    <row r="204" spans="1:1" x14ac:dyDescent="0.25">
      <c r="A204" t="s">
        <v>157</v>
      </c>
    </row>
    <row r="205" spans="1:1" x14ac:dyDescent="0.25">
      <c r="A205" t="s">
        <v>158</v>
      </c>
    </row>
    <row r="206" spans="1:1" x14ac:dyDescent="0.25">
      <c r="A206" t="s">
        <v>159</v>
      </c>
    </row>
    <row r="207" spans="1:1" x14ac:dyDescent="0.25">
      <c r="A207" t="s">
        <v>160</v>
      </c>
    </row>
    <row r="208" spans="1:1" x14ac:dyDescent="0.25">
      <c r="A208" t="s">
        <v>161</v>
      </c>
    </row>
    <row r="209" spans="1:1" x14ac:dyDescent="0.25">
      <c r="A209" t="s">
        <v>162</v>
      </c>
    </row>
    <row r="210" spans="1:1" x14ac:dyDescent="0.25">
      <c r="A210" t="s">
        <v>163</v>
      </c>
    </row>
    <row r="211" spans="1:1" x14ac:dyDescent="0.25">
      <c r="A211" t="s">
        <v>164</v>
      </c>
    </row>
    <row r="214" spans="1:1" x14ac:dyDescent="0.25">
      <c r="A214" t="s">
        <v>165</v>
      </c>
    </row>
    <row r="215" spans="1:1" x14ac:dyDescent="0.25">
      <c r="A215" t="s">
        <v>166</v>
      </c>
    </row>
    <row r="216" spans="1:1" x14ac:dyDescent="0.25">
      <c r="A216" t="s">
        <v>167</v>
      </c>
    </row>
    <row r="217" spans="1:1" x14ac:dyDescent="0.25">
      <c r="A217" t="s">
        <v>168</v>
      </c>
    </row>
    <row r="218" spans="1:1" x14ac:dyDescent="0.25">
      <c r="A218" t="s">
        <v>169</v>
      </c>
    </row>
    <row r="219" spans="1:1" x14ac:dyDescent="0.25">
      <c r="A219" t="s">
        <v>170</v>
      </c>
    </row>
    <row r="221" spans="1:1" x14ac:dyDescent="0.25">
      <c r="A221" t="s">
        <v>171</v>
      </c>
    </row>
    <row r="222" spans="1:1" x14ac:dyDescent="0.25">
      <c r="A222" t="s">
        <v>172</v>
      </c>
    </row>
    <row r="224" spans="1:1" x14ac:dyDescent="0.25">
      <c r="A224" t="s">
        <v>173</v>
      </c>
    </row>
    <row r="225" spans="1:1" x14ac:dyDescent="0.25">
      <c r="A225" t="s">
        <v>174</v>
      </c>
    </row>
    <row r="227" spans="1:1" x14ac:dyDescent="0.25">
      <c r="A227" t="s">
        <v>175</v>
      </c>
    </row>
    <row r="228" spans="1:1" x14ac:dyDescent="0.25">
      <c r="A228" t="s">
        <v>176</v>
      </c>
    </row>
    <row r="229" spans="1:1" x14ac:dyDescent="0.25">
      <c r="A229" t="s">
        <v>177</v>
      </c>
    </row>
    <row r="230" spans="1:1" x14ac:dyDescent="0.25">
      <c r="A230" t="s">
        <v>178</v>
      </c>
    </row>
    <row r="232" spans="1:1" x14ac:dyDescent="0.25">
      <c r="A232" t="s">
        <v>179</v>
      </c>
    </row>
    <row r="233" spans="1:1" x14ac:dyDescent="0.25">
      <c r="A233" t="s">
        <v>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F6A24-E425-4092-8D01-D6B9CD51ADEB}">
  <dimension ref="A1:D42"/>
  <sheetViews>
    <sheetView zoomScale="85" zoomScaleNormal="85" workbookViewId="0">
      <selection activeCell="C1" sqref="C1"/>
    </sheetView>
  </sheetViews>
  <sheetFormatPr defaultRowHeight="15" x14ac:dyDescent="0.25"/>
  <sheetData>
    <row r="1" spans="1:4" x14ac:dyDescent="0.25">
      <c r="A1" t="s">
        <v>9</v>
      </c>
      <c r="B1" t="s">
        <v>10</v>
      </c>
      <c r="C1" t="s">
        <v>11</v>
      </c>
      <c r="D1" t="s">
        <v>12</v>
      </c>
    </row>
    <row r="2" spans="1:4" x14ac:dyDescent="0.25">
      <c r="A2">
        <v>0</v>
      </c>
      <c r="B2">
        <v>4.8953222224291097E-2</v>
      </c>
      <c r="C2">
        <v>4.8953222224291097E-2</v>
      </c>
      <c r="D2">
        <v>0.95104677777570801</v>
      </c>
    </row>
    <row r="3" spans="1:4" x14ac:dyDescent="0.25">
      <c r="A3">
        <v>1</v>
      </c>
      <c r="B3">
        <v>5.1716706847682301E-2</v>
      </c>
      <c r="C3">
        <v>4.9185007404659198E-2</v>
      </c>
      <c r="D3">
        <v>0.90186177037104898</v>
      </c>
    </row>
    <row r="4" spans="1:4" x14ac:dyDescent="0.25">
      <c r="A4">
        <v>2</v>
      </c>
      <c r="B4">
        <v>5.4753800134251997E-2</v>
      </c>
      <c r="C4">
        <v>4.93803591236191E-2</v>
      </c>
      <c r="D4">
        <v>0.85248141124743004</v>
      </c>
    </row>
    <row r="5" spans="1:4" x14ac:dyDescent="0.25">
      <c r="A5">
        <v>3</v>
      </c>
      <c r="B5">
        <v>5.7984408663170797E-2</v>
      </c>
      <c r="C5">
        <v>4.9430630527527497E-2</v>
      </c>
      <c r="D5">
        <v>0.80305078071990199</v>
      </c>
    </row>
    <row r="6" spans="1:4" x14ac:dyDescent="0.25">
      <c r="A6">
        <v>4</v>
      </c>
      <c r="B6">
        <v>6.14145914037659E-2</v>
      </c>
      <c r="C6">
        <v>4.9319035574388097E-2</v>
      </c>
      <c r="D6">
        <v>0.753731745145514</v>
      </c>
    </row>
    <row r="7" spans="1:4" x14ac:dyDescent="0.25">
      <c r="A7">
        <v>5</v>
      </c>
      <c r="B7">
        <v>6.5049771440340701E-2</v>
      </c>
      <c r="C7">
        <v>4.9030077749044797E-2</v>
      </c>
      <c r="D7">
        <v>0.704701667396469</v>
      </c>
    </row>
    <row r="8" spans="1:4" x14ac:dyDescent="0.25">
      <c r="A8">
        <v>6</v>
      </c>
      <c r="B8">
        <v>6.8894484700010999E-2</v>
      </c>
      <c r="C8">
        <v>4.8550058242518297E-2</v>
      </c>
      <c r="D8">
        <v>0.65615160915395099</v>
      </c>
    </row>
    <row r="9" spans="1:4" x14ac:dyDescent="0.25">
      <c r="A9">
        <v>7</v>
      </c>
      <c r="B9">
        <v>7.2952152778581497E-2</v>
      </c>
      <c r="C9">
        <v>4.7867672436911098E-2</v>
      </c>
      <c r="D9">
        <v>0.60828393671703995</v>
      </c>
    </row>
    <row r="10" spans="1:4" x14ac:dyDescent="0.25">
      <c r="A10">
        <v>8</v>
      </c>
      <c r="B10">
        <v>7.7224885308298394E-2</v>
      </c>
      <c r="C10">
        <v>4.6974657247853699E-2</v>
      </c>
      <c r="D10">
        <v>0.56130927946918596</v>
      </c>
    </row>
    <row r="11" spans="1:4" x14ac:dyDescent="0.25">
      <c r="A11">
        <v>9</v>
      </c>
      <c r="B11">
        <v>8.17133175410409E-2</v>
      </c>
      <c r="C11">
        <v>4.5866443391998503E-2</v>
      </c>
      <c r="D11">
        <v>0.51544283607718799</v>
      </c>
    </row>
    <row r="12" spans="1:4" x14ac:dyDescent="0.25">
      <c r="A12">
        <v>10</v>
      </c>
      <c r="B12">
        <v>8.6416488922287094E-2</v>
      </c>
      <c r="C12">
        <v>4.4542760133936599E-2</v>
      </c>
      <c r="D12">
        <v>0.47090007594325101</v>
      </c>
    </row>
    <row r="13" spans="1:4" x14ac:dyDescent="0.25">
      <c r="A13">
        <v>11</v>
      </c>
      <c r="B13">
        <v>9.1331768479667896E-2</v>
      </c>
      <c r="C13">
        <v>4.3008136713107097E-2</v>
      </c>
      <c r="D13">
        <v>0.42789193923014401</v>
      </c>
    </row>
    <row r="14" spans="1:4" x14ac:dyDescent="0.25">
      <c r="A14">
        <v>12</v>
      </c>
      <c r="B14">
        <v>9.6454832960467599E-2</v>
      </c>
      <c r="C14">
        <v>4.12722455235741E-2</v>
      </c>
      <c r="D14">
        <v>0.38661969370657001</v>
      </c>
    </row>
    <row r="15" spans="1:4" x14ac:dyDescent="0.25">
      <c r="A15">
        <v>13</v>
      </c>
      <c r="B15">
        <v>0.101779703981293</v>
      </c>
      <c r="C15">
        <v>3.9350037978793197E-2</v>
      </c>
      <c r="D15">
        <v>0.34726965572777702</v>
      </c>
    </row>
    <row r="16" spans="1:4" x14ac:dyDescent="0.25">
      <c r="A16">
        <v>14</v>
      </c>
      <c r="B16">
        <v>0.107298851200415</v>
      </c>
      <c r="C16">
        <v>3.7261635116354302E-2</v>
      </c>
      <c r="D16">
        <v>0.31000802061142202</v>
      </c>
    </row>
    <row r="17" spans="1:4" x14ac:dyDescent="0.25">
      <c r="A17">
        <v>15</v>
      </c>
      <c r="B17">
        <v>0.11300336994230099</v>
      </c>
      <c r="C17">
        <v>3.5031951038233297E-2</v>
      </c>
      <c r="D17">
        <v>0.27497606957318899</v>
      </c>
    </row>
    <row r="18" spans="1:4" x14ac:dyDescent="0.25">
      <c r="A18">
        <v>16</v>
      </c>
      <c r="B18">
        <v>0.11888324412085299</v>
      </c>
      <c r="C18">
        <v>3.2690047206462299E-2</v>
      </c>
      <c r="D18">
        <v>0.242286022366727</v>
      </c>
    </row>
    <row r="19" spans="1:4" x14ac:dyDescent="0.25">
      <c r="A19">
        <v>17</v>
      </c>
      <c r="B19">
        <v>0.12492770915719401</v>
      </c>
      <c r="C19">
        <v>3.0268237735084001E-2</v>
      </c>
      <c r="D19">
        <v>0.212017784631643</v>
      </c>
    </row>
    <row r="20" spans="1:4" x14ac:dyDescent="0.25">
      <c r="A20">
        <v>18</v>
      </c>
      <c r="B20">
        <v>0.131125735471917</v>
      </c>
      <c r="C20">
        <v>2.78009879429508E-2</v>
      </c>
      <c r="D20">
        <v>0.18421679668869201</v>
      </c>
    </row>
    <row r="21" spans="1:4" x14ac:dyDescent="0.25">
      <c r="A21">
        <v>19</v>
      </c>
      <c r="B21">
        <v>0.13746666191780499</v>
      </c>
      <c r="C21">
        <v>2.53236681099854E-2</v>
      </c>
      <c r="D21">
        <v>0.15889312857870599</v>
      </c>
    </row>
    <row r="22" spans="1:4" x14ac:dyDescent="0.25">
      <c r="A22">
        <v>20</v>
      </c>
      <c r="B22">
        <v>0.14394102149848301</v>
      </c>
      <c r="C22">
        <v>2.2871239236708901E-2</v>
      </c>
      <c r="D22">
        <v>0.13602188934199699</v>
      </c>
    </row>
    <row r="23" spans="1:4" x14ac:dyDescent="0.25">
      <c r="A23">
        <v>21</v>
      </c>
      <c r="B23">
        <v>0.150541620869586</v>
      </c>
      <c r="C23">
        <v>2.0476955695287801E-2</v>
      </c>
      <c r="D23">
        <v>0.11554493364670899</v>
      </c>
    </row>
    <row r="24" spans="1:4" x14ac:dyDescent="0.25">
      <c r="A24">
        <v>22</v>
      </c>
      <c r="B24">
        <v>0.157264963551866</v>
      </c>
      <c r="C24">
        <v>1.8171169778552598E-2</v>
      </c>
      <c r="D24">
        <v>9.7373763868157201E-2</v>
      </c>
    </row>
    <row r="25" spans="1:4" x14ac:dyDescent="0.25">
      <c r="A25">
        <v>23</v>
      </c>
      <c r="B25">
        <v>0.16411314951622599</v>
      </c>
      <c r="C25">
        <v>1.5980315068652599E-2</v>
      </c>
      <c r="D25">
        <v>8.1393448799504498E-2</v>
      </c>
    </row>
    <row r="26" spans="1:4" x14ac:dyDescent="0.25">
      <c r="A26">
        <v>24</v>
      </c>
      <c r="B26">
        <v>0.17109644913427999</v>
      </c>
      <c r="C26">
        <v>1.3926130072388101E-2</v>
      </c>
      <c r="D26">
        <v>6.7467318727116393E-2</v>
      </c>
    </row>
    <row r="27" spans="1:4" x14ac:dyDescent="0.25">
      <c r="A27">
        <v>25</v>
      </c>
      <c r="B27">
        <v>0.17823685157525901</v>
      </c>
      <c r="C27">
        <v>1.20251624741458E-2</v>
      </c>
      <c r="D27">
        <v>5.5442156252970602E-2</v>
      </c>
    </row>
    <row r="28" spans="1:4" x14ac:dyDescent="0.25">
      <c r="A28">
        <v>26</v>
      </c>
      <c r="B28">
        <v>0.18557305143799699</v>
      </c>
      <c r="C28">
        <v>1.0288570114166E-2</v>
      </c>
      <c r="D28">
        <v>4.5153586138804602E-2</v>
      </c>
    </row>
    <row r="29" spans="1:4" x14ac:dyDescent="0.25">
      <c r="A29">
        <v>27</v>
      </c>
      <c r="B29">
        <v>0.193167607944779</v>
      </c>
      <c r="C29">
        <v>8.72221022456144E-3</v>
      </c>
      <c r="D29">
        <v>3.64313759142431E-2</v>
      </c>
    </row>
    <row r="30" spans="1:4" x14ac:dyDescent="0.25">
      <c r="A30">
        <v>28</v>
      </c>
      <c r="B30">
        <v>0.20111747370802599</v>
      </c>
      <c r="C30">
        <v>7.3269862875800203E-3</v>
      </c>
      <c r="D30">
        <v>2.9104389626663101E-2</v>
      </c>
    </row>
    <row r="31" spans="1:4" x14ac:dyDescent="0.25">
      <c r="A31">
        <v>29</v>
      </c>
      <c r="B31">
        <v>0.20956991270837599</v>
      </c>
      <c r="C31">
        <v>6.0994043934903801E-3</v>
      </c>
      <c r="D31">
        <v>2.3004985233172799E-2</v>
      </c>
    </row>
    <row r="32" spans="1:4" x14ac:dyDescent="0.25">
      <c r="A32">
        <v>30</v>
      </c>
      <c r="B32">
        <v>0.21874735539430101</v>
      </c>
      <c r="C32">
        <v>5.0322796806415099E-3</v>
      </c>
      <c r="D32">
        <v>1.7972705552531301E-2</v>
      </c>
    </row>
    <row r="33" spans="1:4" x14ac:dyDescent="0.25">
      <c r="A33">
        <v>31</v>
      </c>
      <c r="B33">
        <v>0.228987723722544</v>
      </c>
      <c r="C33">
        <v>4.1155289336096898E-3</v>
      </c>
      <c r="D33">
        <v>1.3857176618921699E-2</v>
      </c>
    </row>
    <row r="34" spans="1:4" x14ac:dyDescent="0.25">
      <c r="A34">
        <v>32</v>
      </c>
      <c r="B34">
        <v>0.24081293573807</v>
      </c>
      <c r="C34">
        <v>3.3369873826434898E-3</v>
      </c>
      <c r="D34">
        <v>1.05201892362781E-2</v>
      </c>
    </row>
    <row r="35" spans="1:4" x14ac:dyDescent="0.25">
      <c r="A35">
        <v>33</v>
      </c>
      <c r="B35">
        <v>0.25505198176392102</v>
      </c>
      <c r="C35">
        <v>2.6831951132442202E-3</v>
      </c>
      <c r="D35">
        <v>7.8369941230339493E-3</v>
      </c>
    </row>
    <row r="36" spans="1:4" x14ac:dyDescent="0.25">
      <c r="A36">
        <v>34</v>
      </c>
      <c r="B36">
        <v>0.273077871225616</v>
      </c>
      <c r="C36">
        <v>2.1401096719257701E-3</v>
      </c>
      <c r="D36">
        <v>5.6968844511081597E-3</v>
      </c>
    </row>
    <row r="37" spans="1:4" x14ac:dyDescent="0.25">
      <c r="A37">
        <v>35</v>
      </c>
      <c r="B37">
        <v>0.29730542277574301</v>
      </c>
      <c r="C37">
        <v>1.69371464024127E-3</v>
      </c>
      <c r="D37">
        <v>4.0031698108668997E-3</v>
      </c>
    </row>
    <row r="38" spans="1:4" x14ac:dyDescent="0.25">
      <c r="A38">
        <v>36</v>
      </c>
      <c r="B38">
        <v>0.33236346965410402</v>
      </c>
      <c r="C38">
        <v>1.33050740795428E-3</v>
      </c>
      <c r="D38">
        <v>2.67266240291264E-3</v>
      </c>
    </row>
    <row r="39" spans="1:4" x14ac:dyDescent="0.25">
      <c r="A39">
        <v>37</v>
      </c>
      <c r="B39">
        <v>0.38832501296681499</v>
      </c>
      <c r="C39">
        <v>1.0378616622669699E-3</v>
      </c>
      <c r="D39">
        <v>1.6348007406457E-3</v>
      </c>
    </row>
    <row r="40" spans="1:4" x14ac:dyDescent="0.25">
      <c r="A40">
        <v>38</v>
      </c>
      <c r="B40">
        <v>0.49196833980911098</v>
      </c>
      <c r="C40">
        <v>8.0427020629417201E-4</v>
      </c>
      <c r="D40">
        <v>8.3053053435155899E-4</v>
      </c>
    </row>
    <row r="41" spans="1:4" x14ac:dyDescent="0.25">
      <c r="A41">
        <v>39</v>
      </c>
      <c r="B41">
        <v>0.74588598255241101</v>
      </c>
      <c r="C41">
        <v>6.1948108365459103E-4</v>
      </c>
      <c r="D41">
        <v>2.11049450696942E-4</v>
      </c>
    </row>
    <row r="42" spans="1:4" x14ac:dyDescent="0.25">
      <c r="A42">
        <v>40</v>
      </c>
      <c r="B42">
        <v>0.99999999999845102</v>
      </c>
      <c r="C42">
        <v>2.1104945069661601E-4</v>
      </c>
      <c r="D42" s="4">
        <v>3.3306690738754598E-16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30FD3-2351-4FD3-BBA4-763E8DD2EC41}">
  <sheetPr>
    <tabColor theme="3" tint="9.9978637043366805E-2"/>
  </sheetPr>
  <dimension ref="A1:AE2"/>
  <sheetViews>
    <sheetView tabSelected="1" workbookViewId="0"/>
  </sheetViews>
  <sheetFormatPr defaultRowHeight="15" x14ac:dyDescent="0.25"/>
  <cols>
    <col min="1" max="1" width="12.5703125" bestFit="1" customWidth="1"/>
  </cols>
  <sheetData>
    <row r="1" spans="1:31" x14ac:dyDescent="0.25">
      <c r="A1" t="s">
        <v>13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14</v>
      </c>
      <c r="B2" cm="1">
        <f t="array" ref="B2:AE2">TRANSPOSE(Calcs!B2:B31)</f>
        <v>4.8953222224291097E-2</v>
      </c>
      <c r="C2">
        <v>5.1716706847682301E-2</v>
      </c>
      <c r="D2">
        <v>5.4753800134251997E-2</v>
      </c>
      <c r="E2">
        <v>5.7984408663170797E-2</v>
      </c>
      <c r="F2">
        <v>6.14145914037659E-2</v>
      </c>
      <c r="G2">
        <v>6.5049771440340701E-2</v>
      </c>
      <c r="H2">
        <v>6.8894484700010999E-2</v>
      </c>
      <c r="I2">
        <v>7.2952152778581497E-2</v>
      </c>
      <c r="J2">
        <v>7.7224885308298394E-2</v>
      </c>
      <c r="K2">
        <v>8.17133175410409E-2</v>
      </c>
      <c r="L2">
        <v>8.6416488922287094E-2</v>
      </c>
      <c r="M2">
        <v>9.1331768479667896E-2</v>
      </c>
      <c r="N2">
        <v>9.6454832960467599E-2</v>
      </c>
      <c r="O2">
        <v>0.101779703981293</v>
      </c>
      <c r="P2">
        <v>0.107298851200415</v>
      </c>
      <c r="Q2">
        <v>0.11300336994230099</v>
      </c>
      <c r="R2">
        <v>0.11888324412085299</v>
      </c>
      <c r="S2">
        <v>0.12492770915719401</v>
      </c>
      <c r="T2">
        <v>0.131125735471917</v>
      </c>
      <c r="U2">
        <v>0.13746666191780499</v>
      </c>
      <c r="V2">
        <v>0.14394102149848301</v>
      </c>
      <c r="W2">
        <v>0.150541620869586</v>
      </c>
      <c r="X2">
        <v>0.157264963551866</v>
      </c>
      <c r="Y2">
        <v>0.16411314951622599</v>
      </c>
      <c r="Z2">
        <v>0.17109644913427999</v>
      </c>
      <c r="AA2">
        <v>0.17823685157525901</v>
      </c>
      <c r="AB2">
        <v>0.18557305143799699</v>
      </c>
      <c r="AC2">
        <v>0.193167607944779</v>
      </c>
      <c r="AD2">
        <v>0.20111747370802599</v>
      </c>
      <c r="AE2">
        <v>0.20956991270837599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Calcs</vt:lpstr>
      <vt:lpstr>PHERP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O'Brien</dc:creator>
  <cp:lastModifiedBy>Dan O'Brien</cp:lastModifiedBy>
  <dcterms:created xsi:type="dcterms:W3CDTF">2025-03-12T13:10:48Z</dcterms:created>
  <dcterms:modified xsi:type="dcterms:W3CDTF">2025-10-14T18:38:29Z</dcterms:modified>
</cp:coreProperties>
</file>