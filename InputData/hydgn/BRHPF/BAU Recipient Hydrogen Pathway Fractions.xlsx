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BRHPF\"/>
    </mc:Choice>
  </mc:AlternateContent>
  <xr:revisionPtr revIDLastSave="0" documentId="8_{7F85B922-9F11-4FF4-A050-25C8627B551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Calcs" sheetId="3" r:id="rId2"/>
    <sheet name="BRHP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D8" i="2" s="1"/>
  <c r="E8" i="2" s="1"/>
  <c r="F8" i="2" s="1"/>
  <c r="G8" i="2" s="1"/>
  <c r="H8" i="2" s="1"/>
  <c r="C7" i="2"/>
  <c r="D7" i="2" s="1"/>
  <c r="E7" i="2" s="1"/>
  <c r="F7" i="2" s="1"/>
  <c r="G7" i="2" s="1"/>
  <c r="H7" i="2" s="1"/>
  <c r="D3" i="2"/>
  <c r="E3" i="2" s="1"/>
  <c r="F3" i="2" s="1"/>
  <c r="G3" i="2" s="1"/>
  <c r="H3" i="2" s="1"/>
  <c r="C3" i="2"/>
  <c r="B8" i="2"/>
  <c r="B7" i="2"/>
  <c r="B3" i="2"/>
  <c r="C22" i="3"/>
  <c r="C21" i="3"/>
  <c r="C20" i="3"/>
  <c r="H12" i="3" l="1" a="1"/>
  <c r="H12" i="3" s="1"/>
  <c r="G12" i="3" a="1"/>
  <c r="G12" i="3" s="1"/>
  <c r="F12" i="3" a="1"/>
  <c r="F12" i="3" s="1"/>
  <c r="E12" i="3" a="1"/>
  <c r="E12" i="3" s="1"/>
  <c r="D12" i="3"/>
  <c r="D12" i="3" a="1"/>
  <c r="H11" i="3"/>
  <c r="G11" i="3"/>
  <c r="F11" i="3"/>
  <c r="E11" i="3"/>
  <c r="D11" i="3"/>
  <c r="C12" i="3" a="1"/>
  <c r="C12" i="3" s="1"/>
  <c r="C11" i="3"/>
  <c r="C10" i="3" a="1"/>
  <c r="C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<sst xmlns="http://schemas.openxmlformats.org/spreadsheetml/2006/main" count="55" uniqueCount="47">
  <si>
    <t>Source:</t>
  </si>
  <si>
    <t>Notes</t>
  </si>
  <si>
    <t>This variable specifies the source pathway and recipient pathway</t>
  </si>
  <si>
    <t>for the hydrogen production pathway shifting policy.  It is used</t>
  </si>
  <si>
    <t>to define the behavior of that policy lever.  It is not for BAU input</t>
  </si>
  <si>
    <t>data.</t>
  </si>
  <si>
    <t>electrolysis</t>
  </si>
  <si>
    <t>natural gas reforming</t>
  </si>
  <si>
    <t>coal gasification</t>
  </si>
  <si>
    <t>biomass gasification</t>
  </si>
  <si>
    <t>To type (below)  / From type (right)</t>
  </si>
  <si>
    <t>electrolysis with guaranteed clean electricity</t>
  </si>
  <si>
    <t>natural gas reforming with CCS</t>
  </si>
  <si>
    <t>hydrocarbon partial oxidation</t>
  </si>
  <si>
    <t>BRHPF BAU Recipient Hydrogen Pathway Fractions</t>
  </si>
  <si>
    <t>Evolved Energy</t>
  </si>
  <si>
    <t>2024 U.S. Annual Decarbonization Perspective</t>
  </si>
  <si>
    <t>https://www.evolved.energy/us-adp-2024</t>
  </si>
  <si>
    <t>Interactive Figure, H2 Production</t>
  </si>
  <si>
    <t>were published before OBBBA and rescission of several green</t>
  </si>
  <si>
    <t xml:space="preserve">hydrogen hubs' funding. </t>
  </si>
  <si>
    <t>SMR</t>
  </si>
  <si>
    <t>SMR w/ CCS</t>
  </si>
  <si>
    <t>grid electrolysis</t>
  </si>
  <si>
    <t>off-grid electrolysis</t>
  </si>
  <si>
    <t>clean share</t>
  </si>
  <si>
    <t>BNEF</t>
  </si>
  <si>
    <t>https://efiling.energy.ca.gov/GetDocument.aspx?tn=265044</t>
  </si>
  <si>
    <t>Clean share of total H2 production</t>
  </si>
  <si>
    <t>Blue vs. Green Share</t>
  </si>
  <si>
    <t>Clean Hydrogen production share</t>
  </si>
  <si>
    <t>Blue vs. green shares</t>
  </si>
  <si>
    <t>For the U.S. model, it is configured to shift total production towards</t>
  </si>
  <si>
    <t>"current policies" forecasts published by Evolved Energy, which were</t>
  </si>
  <si>
    <t>However we use blue- vs green-hydrogen production shares from</t>
  </si>
  <si>
    <t>BNEF which we feel better reflect economic shifts in the forecasted</t>
  </si>
  <si>
    <t xml:space="preserve">price of electrolytic H2 vs CCS. </t>
  </si>
  <si>
    <t>Blue</t>
  </si>
  <si>
    <t>Green</t>
  </si>
  <si>
    <t>assumption; lines up with recent publications from other orgs such as BNEF.</t>
  </si>
  <si>
    <t>pg. 10</t>
  </si>
  <si>
    <t>https://ekfs-quiet-skunk.euwest01.umbraco.io/media/kfjjd5fm/20241220-investment-pipeline-for-low-carbon-hydrogen-master-v2.pdf</t>
  </si>
  <si>
    <t>US Clean Hydrogen Market Outlook / Investment Outlook for Low-Carbon Hydrogen</t>
  </si>
  <si>
    <t>2025/24</t>
  </si>
  <si>
    <t>grey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</si>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</sst>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0" borderId="0" xfId="2"/>
    <xf numFmtId="0" fontId="4" fillId="2" borderId="0" xfId="0" applyFont="1" applyFill="1"/>
    <xf numFmtId="9" fontId="0" fillId="0" borderId="0" xfId="1" applyFont="1"/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6" fillId="0" borderId="0" xfId="0" applyFont="1"/>
    <xf numFmtId="9" fontId="0" fillId="0" borderId="0" xfId="0" applyNumberFormat="1"/>
  </cellXfs>
  <cellStyles count="4">
    <cellStyle name="Hyperlink" xfId="2" builtinId="8"/>
    <cellStyle name="Normal" xfId="0" builtinId="0"/>
    <cellStyle name="Normal 10" xfId="3" xr:uid="{DD09A7B5-2C5F-4BF5-88AC-392E992333B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25" sqref="D25"/>
    </sheetView>
  </sheetViews>
  <sheetFormatPr defaultRowHeight="15" x14ac:dyDescent="0.25"/>
  <cols>
    <col min="2" max="2" width="41.42578125" customWidth="1"/>
  </cols>
  <sheetData>
    <row r="1" spans="1:2" x14ac:dyDescent="0.25">
      <c r="A1" s="1" t="s">
        <v>14</v>
      </c>
    </row>
    <row r="3" spans="1:2" x14ac:dyDescent="0.25">
      <c r="A3" s="1" t="s">
        <v>0</v>
      </c>
      <c r="B3" s="8" t="s">
        <v>28</v>
      </c>
    </row>
    <row r="4" spans="1:2" x14ac:dyDescent="0.25">
      <c r="B4" s="6" t="s">
        <v>15</v>
      </c>
    </row>
    <row r="5" spans="1:2" x14ac:dyDescent="0.25">
      <c r="B5" s="6">
        <v>2024</v>
      </c>
    </row>
    <row r="6" spans="1:2" x14ac:dyDescent="0.25">
      <c r="B6" t="s">
        <v>16</v>
      </c>
    </row>
    <row r="7" spans="1:2" x14ac:dyDescent="0.25">
      <c r="B7" s="7" t="s">
        <v>17</v>
      </c>
    </row>
    <row r="8" spans="1:2" x14ac:dyDescent="0.25">
      <c r="B8" t="s">
        <v>18</v>
      </c>
    </row>
    <row r="10" spans="1:2" x14ac:dyDescent="0.25">
      <c r="B10" s="11" t="s">
        <v>29</v>
      </c>
    </row>
    <row r="11" spans="1:2" x14ac:dyDescent="0.25">
      <c r="B11" t="s">
        <v>26</v>
      </c>
    </row>
    <row r="12" spans="1:2" x14ac:dyDescent="0.25">
      <c r="B12" s="6" t="s">
        <v>43</v>
      </c>
    </row>
    <row r="13" spans="1:2" x14ac:dyDescent="0.25">
      <c r="B13" t="s">
        <v>42</v>
      </c>
    </row>
    <row r="14" spans="1:2" x14ac:dyDescent="0.25">
      <c r="B14" s="7" t="s">
        <v>27</v>
      </c>
    </row>
    <row r="15" spans="1:2" x14ac:dyDescent="0.25">
      <c r="B15" s="7" t="s">
        <v>41</v>
      </c>
    </row>
    <row r="16" spans="1:2" x14ac:dyDescent="0.25">
      <c r="B16" t="s">
        <v>40</v>
      </c>
    </row>
    <row r="17" spans="1:2" x14ac:dyDescent="0.25">
      <c r="B17" s="7"/>
    </row>
    <row r="18" spans="1:2" x14ac:dyDescent="0.25">
      <c r="A18" s="1" t="s">
        <v>1</v>
      </c>
    </row>
    <row r="19" spans="1:2" x14ac:dyDescent="0.25">
      <c r="A19" t="s">
        <v>2</v>
      </c>
    </row>
    <row r="20" spans="1:2" x14ac:dyDescent="0.25">
      <c r="A20" t="s">
        <v>3</v>
      </c>
    </row>
    <row r="21" spans="1:2" x14ac:dyDescent="0.25">
      <c r="A21" t="s">
        <v>4</v>
      </c>
    </row>
    <row r="22" spans="1:2" x14ac:dyDescent="0.25">
      <c r="A22" t="s">
        <v>5</v>
      </c>
    </row>
    <row r="24" spans="1:2" x14ac:dyDescent="0.25">
      <c r="A24" t="s">
        <v>32</v>
      </c>
    </row>
    <row r="25" spans="1:2" x14ac:dyDescent="0.25">
      <c r="A25" t="s">
        <v>33</v>
      </c>
    </row>
    <row r="26" spans="1:2" x14ac:dyDescent="0.25">
      <c r="A26" t="s">
        <v>19</v>
      </c>
    </row>
    <row r="27" spans="1:2" x14ac:dyDescent="0.25">
      <c r="A27" t="s">
        <v>20</v>
      </c>
    </row>
    <row r="29" spans="1:2" x14ac:dyDescent="0.25">
      <c r="A29" t="s">
        <v>34</v>
      </c>
    </row>
    <row r="30" spans="1:2" x14ac:dyDescent="0.25">
      <c r="A30" t="s">
        <v>35</v>
      </c>
    </row>
    <row r="31" spans="1:2" x14ac:dyDescent="0.25">
      <c r="A31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6AE8-3248-4806-9E8D-69A6DCDC1AC3}">
  <dimension ref="A2:K22"/>
  <sheetViews>
    <sheetView zoomScale="85" zoomScaleNormal="85" workbookViewId="0">
      <selection activeCell="B20" sqref="B20:C22"/>
    </sheetView>
  </sheetViews>
  <sheetFormatPr defaultRowHeight="15" x14ac:dyDescent="0.25"/>
  <cols>
    <col min="2" max="2" width="21.140625" bestFit="1" customWidth="1"/>
  </cols>
  <sheetData>
    <row r="2" spans="1:11" x14ac:dyDescent="0.25">
      <c r="A2" s="12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spans="1:11" x14ac:dyDescent="0.25">
      <c r="C4">
        <v>2024</v>
      </c>
      <c r="D4">
        <v>2030</v>
      </c>
      <c r="E4">
        <v>2035</v>
      </c>
      <c r="F4">
        <v>2040</v>
      </c>
      <c r="G4">
        <v>2045</v>
      </c>
      <c r="H4">
        <v>2050</v>
      </c>
    </row>
    <row r="5" spans="1:11" x14ac:dyDescent="0.25">
      <c r="B5" t="s">
        <v>21</v>
      </c>
      <c r="C5">
        <v>1.323</v>
      </c>
      <c r="D5">
        <v>1.181</v>
      </c>
      <c r="E5">
        <v>0.71</v>
      </c>
      <c r="F5">
        <v>0.64500000000000002</v>
      </c>
      <c r="G5">
        <v>0.67900000000000005</v>
      </c>
      <c r="H5">
        <v>0.65400000000000003</v>
      </c>
    </row>
    <row r="6" spans="1:11" x14ac:dyDescent="0.25">
      <c r="B6" t="s">
        <v>23</v>
      </c>
      <c r="D6">
        <v>0.253</v>
      </c>
      <c r="E6">
        <v>1.02</v>
      </c>
      <c r="F6">
        <v>1.2010000000000001</v>
      </c>
      <c r="G6">
        <v>1.1479999999999999</v>
      </c>
      <c r="H6">
        <v>1.167</v>
      </c>
    </row>
    <row r="7" spans="1:11" x14ac:dyDescent="0.25">
      <c r="B7" t="s">
        <v>24</v>
      </c>
      <c r="E7">
        <v>1.4999999999999999E-2</v>
      </c>
      <c r="F7">
        <v>1.4999999999999999E-2</v>
      </c>
      <c r="G7">
        <v>1.7000000000000001E-2</v>
      </c>
    </row>
    <row r="8" spans="1:11" x14ac:dyDescent="0.25">
      <c r="B8" t="s">
        <v>22</v>
      </c>
      <c r="D8">
        <v>6.0999999999999999E-2</v>
      </c>
      <c r="E8">
        <v>6.0999999999999999E-2</v>
      </c>
      <c r="F8">
        <v>6.0999999999999999E-2</v>
      </c>
      <c r="G8">
        <v>6.0999999999999999E-2</v>
      </c>
      <c r="H8">
        <v>6.0999999999999999E-2</v>
      </c>
    </row>
    <row r="10" spans="1:11" x14ac:dyDescent="0.25">
      <c r="C10" cm="1">
        <f t="array" ref="C10:H10">C4:H4</f>
        <v>2024</v>
      </c>
      <c r="D10">
        <v>2030</v>
      </c>
      <c r="E10">
        <v>2035</v>
      </c>
      <c r="F10">
        <v>2040</v>
      </c>
      <c r="G10">
        <v>2045</v>
      </c>
      <c r="H10">
        <v>2050</v>
      </c>
    </row>
    <row r="11" spans="1:11" x14ac:dyDescent="0.25">
      <c r="B11" t="s">
        <v>21</v>
      </c>
      <c r="C11" s="9">
        <f>C5/SUM(C5:C8)</f>
        <v>1</v>
      </c>
      <c r="D11" s="9">
        <f t="shared" ref="D11:H11" si="0">D5/SUM(D5:D8)</f>
        <v>0.78996655518394643</v>
      </c>
      <c r="E11" s="9">
        <f t="shared" si="0"/>
        <v>0.39313399778516062</v>
      </c>
      <c r="F11" s="9">
        <f t="shared" si="0"/>
        <v>0.33558792924037462</v>
      </c>
      <c r="G11" s="9">
        <f t="shared" si="0"/>
        <v>0.35643044619422576</v>
      </c>
      <c r="H11" s="9">
        <f t="shared" si="0"/>
        <v>0.34750265674814029</v>
      </c>
    </row>
    <row r="12" spans="1:11" x14ac:dyDescent="0.25">
      <c r="B12" t="s">
        <v>25</v>
      </c>
      <c r="C12" s="9" cm="1">
        <f t="array" ref="C12">SUM(C6:C8/SUM(C5:C8))</f>
        <v>0</v>
      </c>
      <c r="D12" s="9" cm="1">
        <f t="array" ref="D12">SUM(D6:D8/SUM(D5:D8))</f>
        <v>0.21003344481605349</v>
      </c>
      <c r="E12" s="9" cm="1">
        <f t="array" ref="E12">SUM(E6:E8/SUM(E5:E8))</f>
        <v>0.60686600221483944</v>
      </c>
      <c r="F12" s="9" cm="1">
        <f t="array" ref="F12">SUM(F6:F8/SUM(F5:F8))</f>
        <v>0.66441207075962538</v>
      </c>
      <c r="G12" s="9" cm="1">
        <f t="array" ref="G12">SUM(G6:G8/SUM(G5:G8))</f>
        <v>0.6435695538057743</v>
      </c>
      <c r="H12" s="9" cm="1">
        <f t="array" ref="H12">SUM(H6:H8/SUM(H5:H8))</f>
        <v>0.65249734325185971</v>
      </c>
    </row>
    <row r="14" spans="1:11" x14ac:dyDescent="0.25">
      <c r="A14" s="12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 s="14" t="s">
        <v>39</v>
      </c>
    </row>
    <row r="16" spans="1:11" x14ac:dyDescent="0.25">
      <c r="D16" s="9"/>
      <c r="E16" s="9"/>
      <c r="F16" s="9"/>
      <c r="G16" s="9"/>
      <c r="H16" s="9"/>
    </row>
    <row r="17" spans="2:8" x14ac:dyDescent="0.25">
      <c r="B17" t="s">
        <v>37</v>
      </c>
      <c r="C17" s="9">
        <v>0.8</v>
      </c>
      <c r="D17" s="9"/>
      <c r="E17" s="9"/>
      <c r="F17" s="9"/>
      <c r="G17" s="9"/>
      <c r="H17" s="9"/>
    </row>
    <row r="18" spans="2:8" x14ac:dyDescent="0.25">
      <c r="B18" t="s">
        <v>38</v>
      </c>
      <c r="C18" s="9">
        <v>0.2</v>
      </c>
      <c r="D18" s="9"/>
      <c r="E18" s="9"/>
      <c r="F18" s="9"/>
      <c r="G18" s="9"/>
      <c r="H18" s="9"/>
    </row>
    <row r="20" spans="2:8" x14ac:dyDescent="0.25">
      <c r="B20" t="s">
        <v>44</v>
      </c>
      <c r="C20" s="15">
        <f>H11</f>
        <v>0.34750265674814029</v>
      </c>
    </row>
    <row r="21" spans="2:8" x14ac:dyDescent="0.25">
      <c r="B21" t="s">
        <v>45</v>
      </c>
      <c r="C21" s="15">
        <f>H12*C17</f>
        <v>0.52199787460148783</v>
      </c>
    </row>
    <row r="22" spans="2:8" x14ac:dyDescent="0.25">
      <c r="B22" t="s">
        <v>46</v>
      </c>
      <c r="C22" s="15">
        <f>H12*C18</f>
        <v>0.13049946865037196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H8"/>
  <sheetViews>
    <sheetView workbookViewId="0">
      <selection activeCell="C7" sqref="C7:H8"/>
    </sheetView>
  </sheetViews>
  <sheetFormatPr defaultRowHeight="15" x14ac:dyDescent="0.25"/>
  <cols>
    <col min="1" max="1" width="34.28515625" customWidth="1"/>
    <col min="2" max="6" width="16.5703125" style="3" customWidth="1"/>
    <col min="7" max="8" width="16.42578125" customWidth="1"/>
  </cols>
  <sheetData>
    <row r="1" spans="1:8" ht="45" x14ac:dyDescent="0.25">
      <c r="A1" s="4" t="s">
        <v>10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13</v>
      </c>
      <c r="G1" s="5" t="s">
        <v>11</v>
      </c>
      <c r="H1" s="5" t="s">
        <v>12</v>
      </c>
    </row>
    <row r="2" spans="1:8" x14ac:dyDescent="0.25">
      <c r="A2" t="s">
        <v>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v>0</v>
      </c>
      <c r="H2">
        <v>0</v>
      </c>
    </row>
    <row r="3" spans="1:8" x14ac:dyDescent="0.25">
      <c r="A3" t="s">
        <v>7</v>
      </c>
      <c r="B3" s="10">
        <f>Calcs!C20</f>
        <v>0.34750265674814029</v>
      </c>
      <c r="C3" s="10">
        <f>B3</f>
        <v>0.34750265674814029</v>
      </c>
      <c r="D3" s="10">
        <f t="shared" ref="D3:H3" si="0">C3</f>
        <v>0.34750265674814029</v>
      </c>
      <c r="E3" s="10">
        <f t="shared" si="0"/>
        <v>0.34750265674814029</v>
      </c>
      <c r="F3" s="10">
        <f t="shared" si="0"/>
        <v>0.34750265674814029</v>
      </c>
      <c r="G3" s="10">
        <f t="shared" si="0"/>
        <v>0.34750265674814029</v>
      </c>
      <c r="H3" s="10">
        <f t="shared" si="0"/>
        <v>0.34750265674814029</v>
      </c>
    </row>
    <row r="4" spans="1:8" x14ac:dyDescent="0.25">
      <c r="A4" t="s">
        <v>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>
        <v>0</v>
      </c>
      <c r="H4">
        <v>0</v>
      </c>
    </row>
    <row r="5" spans="1:8" x14ac:dyDescent="0.25">
      <c r="A5" t="s">
        <v>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>
        <v>0</v>
      </c>
      <c r="H5">
        <v>0</v>
      </c>
    </row>
    <row r="6" spans="1:8" x14ac:dyDescent="0.25">
      <c r="A6" t="s">
        <v>13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</row>
    <row r="7" spans="1:8" x14ac:dyDescent="0.25">
      <c r="A7" t="s">
        <v>11</v>
      </c>
      <c r="B7" s="10">
        <f>Calcs!C22</f>
        <v>0.13049946865037196</v>
      </c>
      <c r="C7" s="10">
        <f t="shared" ref="C7:H7" si="1">B7</f>
        <v>0.13049946865037196</v>
      </c>
      <c r="D7" s="10">
        <f t="shared" si="1"/>
        <v>0.13049946865037196</v>
      </c>
      <c r="E7" s="10">
        <f t="shared" si="1"/>
        <v>0.13049946865037196</v>
      </c>
      <c r="F7" s="10">
        <f t="shared" si="1"/>
        <v>0.13049946865037196</v>
      </c>
      <c r="G7" s="10">
        <f t="shared" si="1"/>
        <v>0.13049946865037196</v>
      </c>
      <c r="H7" s="10">
        <f t="shared" si="1"/>
        <v>0.13049946865037196</v>
      </c>
    </row>
    <row r="8" spans="1:8" x14ac:dyDescent="0.25">
      <c r="A8" t="s">
        <v>12</v>
      </c>
      <c r="B8" s="10">
        <f>Calcs!C21</f>
        <v>0.52199787460148783</v>
      </c>
      <c r="C8" s="10">
        <f t="shared" ref="C8:H8" si="2">B8</f>
        <v>0.52199787460148783</v>
      </c>
      <c r="D8" s="10">
        <f t="shared" si="2"/>
        <v>0.52199787460148783</v>
      </c>
      <c r="E8" s="10">
        <f t="shared" si="2"/>
        <v>0.52199787460148783</v>
      </c>
      <c r="F8" s="10">
        <f t="shared" si="2"/>
        <v>0.52199787460148783</v>
      </c>
      <c r="G8" s="10">
        <f t="shared" si="2"/>
        <v>0.52199787460148783</v>
      </c>
      <c r="H8" s="10">
        <f t="shared" si="2"/>
        <v>0.52199787460148783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BRHPF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2019-07-23T18:17:26Z</dcterms:created>
  <dcterms:modified xsi:type="dcterms:W3CDTF">2026-06-03T16:44:37Z</dcterms:modified>
</cp:coreProperties>
</file>