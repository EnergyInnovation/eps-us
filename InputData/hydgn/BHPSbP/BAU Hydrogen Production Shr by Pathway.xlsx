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BHPSbP\"/>
    </mc:Choice>
  </mc:AlternateContent>
  <xr:revisionPtr revIDLastSave="0" documentId="13_ncr:1_{B0746773-3F94-4C80-9392-DDC2F80141A8}" xr6:coauthVersionLast="47" xr6:coauthVersionMax="47" xr10:uidLastSave="{00000000-0000-0000-0000-000000000000}"/>
  <bookViews>
    <workbookView xWindow="1520" yWindow="1520" windowWidth="14400" windowHeight="9340" activeTab="3" xr2:uid="{00000000-000D-0000-FFFF-FFFF00000000}"/>
  </bookViews>
  <sheets>
    <sheet name="About" sheetId="1" r:id="rId1"/>
    <sheet name="BNEF" sheetId="5" r:id="rId2"/>
    <sheet name="EPS Data" sheetId="6" r:id="rId3"/>
    <sheet name="BHPSb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M7" i="2"/>
  <c r="M3" i="2" s="1"/>
  <c r="L8" i="2"/>
  <c r="L7" i="2"/>
  <c r="K8" i="2" a="1"/>
  <c r="K8" i="2" s="1"/>
  <c r="J8" i="2" a="1"/>
  <c r="J8" i="2" s="1"/>
  <c r="I8" i="2" a="1"/>
  <c r="I8" i="2" s="1"/>
  <c r="H8" i="2" a="1"/>
  <c r="H8" i="2" s="1"/>
  <c r="K7" i="2" a="1"/>
  <c r="K7" i="2" s="1"/>
  <c r="K3" i="2" s="1"/>
  <c r="J7" i="2" a="1"/>
  <c r="J7" i="2" s="1"/>
  <c r="J3" i="2" s="1"/>
  <c r="I7" i="2" a="1"/>
  <c r="I7" i="2" s="1"/>
  <c r="I3" i="2" s="1"/>
  <c r="H7" i="2" a="1"/>
  <c r="H7" i="2" s="1"/>
  <c r="G8" i="2" a="1"/>
  <c r="G8" i="2" s="1"/>
  <c r="G7" i="2" a="1"/>
  <c r="G7" i="2" s="1"/>
  <c r="N16" i="5"/>
  <c r="N15" i="5"/>
  <c r="N10" i="5"/>
  <c r="N11" i="5"/>
  <c r="N8" i="5"/>
  <c r="N4" i="5"/>
  <c r="N3" i="5"/>
  <c r="N7" i="2" l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H3" i="2"/>
  <c r="L3" i="2"/>
  <c r="G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N3" i="2" l="1"/>
  <c r="O3" i="2" l="1"/>
  <c r="P3" i="2" l="1"/>
  <c r="Q3" i="2" l="1"/>
  <c r="R3" i="2" l="1"/>
  <c r="S3" i="2" l="1"/>
  <c r="T3" i="2" l="1"/>
  <c r="U3" i="2" l="1"/>
  <c r="V3" i="2" l="1"/>
  <c r="W3" i="2" l="1"/>
  <c r="X3" i="2" l="1"/>
  <c r="Y3" i="2" l="1"/>
  <c r="Z3" i="2" l="1"/>
  <c r="AA3" i="2" l="1"/>
  <c r="AB3" i="2" l="1"/>
  <c r="AC3" i="2" l="1"/>
  <c r="AD3" i="2" l="1"/>
  <c r="AE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<sst xmlns="http://schemas.openxmlformats.org/spreadsheetml/2006/main" count="36" uniqueCount="32">
  <si>
    <t>BHPSbP BAU Hydrogen Production Shares by Pathway</t>
  </si>
  <si>
    <t>Sources:</t>
  </si>
  <si>
    <t>electrolysis</t>
  </si>
  <si>
    <t>natural gas reforming</t>
  </si>
  <si>
    <t>coal gasification</t>
  </si>
  <si>
    <t>biomass gasification</t>
  </si>
  <si>
    <t>Production Share (dimensionless)</t>
  </si>
  <si>
    <t>electrolysis with guaranteed clean electricity</t>
  </si>
  <si>
    <t>natural gas reforming with CCS</t>
  </si>
  <si>
    <t>hydrocarbon partial oxidation</t>
  </si>
  <si>
    <t>% Blue:</t>
  </si>
  <si>
    <t>% Green:</t>
  </si>
  <si>
    <t>Capacity</t>
  </si>
  <si>
    <t>Mt</t>
  </si>
  <si>
    <t>Time (Year)</t>
  </si>
  <si>
    <t>Hydrogen Demand by Sector[transportation sector] : NoSettings</t>
  </si>
  <si>
    <t>Hydrogen Demand by Sector[electricity sector] : NoSettings</t>
  </si>
  <si>
    <t>Hydrogen Demand by Sector[residential buildings sector] : NoSettings</t>
  </si>
  <si>
    <t>Hydrogen Demand by Sector[commercial buildings sector] : NoSettings</t>
  </si>
  <si>
    <t>Hydrogen Demand by Sector[industry sector] : NoSettings</t>
  </si>
  <si>
    <t>Hydrogen Demand by Sector[district heat and hydrogen sector] : NoSettings</t>
  </si>
  <si>
    <t>Hydrogen Demand by Sector[LULUCF sector] : NoSettings</t>
  </si>
  <si>
    <t>Hydrogen Demand by Sector[geoengineering sector] : NoSettings</t>
  </si>
  <si>
    <t>EPS Data</t>
  </si>
  <si>
    <t>BpMMTH BTU per MMT Hydrogen : NoSettings</t>
  </si>
  <si>
    <t>*data for 2030</t>
  </si>
  <si>
    <t>blue</t>
  </si>
  <si>
    <t>green</t>
  </si>
  <si>
    <t>BNEF</t>
  </si>
  <si>
    <t>US Clean Hydrogen Market Outlook</t>
  </si>
  <si>
    <t>https://efiling.energy.ca.gov/GetDocument.aspx?tn=265044</t>
  </si>
  <si>
    <t>pgs. 10,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</si>
</sst>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64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536696</xdr:colOff>
      <xdr:row>19</xdr:row>
      <xdr:rowOff>70110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661492-DC81-408D-BF1C-FD0AB969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6023096" cy="3384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534092</xdr:colOff>
      <xdr:row>37</xdr:row>
      <xdr:rowOff>171193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6FC29-38EA-45AA-81F7-E95FC535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136" y="3752273"/>
          <a:ext cx="5989320" cy="336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8" sqref="B8"/>
    </sheetView>
  </sheetViews>
  <sheetFormatPr defaultRowHeight="14.5" x14ac:dyDescent="0.35"/>
  <cols>
    <col min="1" max="1" width="12.7265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28</v>
      </c>
    </row>
    <row r="4" spans="1:2" x14ac:dyDescent="0.35">
      <c r="B4" s="3">
        <v>2025</v>
      </c>
    </row>
    <row r="5" spans="1:2" x14ac:dyDescent="0.35">
      <c r="B5" t="s">
        <v>29</v>
      </c>
    </row>
    <row r="6" spans="1:2" x14ac:dyDescent="0.35">
      <c r="B6" s="4" t="s">
        <v>30</v>
      </c>
    </row>
    <row r="7" spans="1:2" x14ac:dyDescent="0.35">
      <c r="B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00DD-FBB5-4F2F-A64F-4218B001AAAE}">
  <dimension ref="L3:O16"/>
  <sheetViews>
    <sheetView zoomScale="88" workbookViewId="0">
      <selection activeCell="N16" sqref="N16"/>
    </sheetView>
  </sheetViews>
  <sheetFormatPr defaultRowHeight="14.5" x14ac:dyDescent="0.35"/>
  <sheetData>
    <row r="3" spans="12:15" x14ac:dyDescent="0.35">
      <c r="M3" t="s">
        <v>10</v>
      </c>
      <c r="N3">
        <f>11.71/15.49</f>
        <v>0.75597159457714658</v>
      </c>
    </row>
    <row r="4" spans="12:15" x14ac:dyDescent="0.35">
      <c r="M4" t="s">
        <v>11</v>
      </c>
      <c r="N4">
        <f>1-N3</f>
        <v>0.24402840542285342</v>
      </c>
    </row>
    <row r="6" spans="12:15" x14ac:dyDescent="0.35">
      <c r="M6" t="s">
        <v>12</v>
      </c>
      <c r="N6">
        <v>1.57</v>
      </c>
      <c r="O6" t="s">
        <v>13</v>
      </c>
    </row>
    <row r="8" spans="12:15" x14ac:dyDescent="0.35">
      <c r="M8" t="s">
        <v>23</v>
      </c>
      <c r="N8" s="7">
        <f>SUM('EPS Data'!I3:I10)/'EPS Data'!I13</f>
        <v>5.7338269658243561</v>
      </c>
      <c r="O8" t="s">
        <v>13</v>
      </c>
    </row>
    <row r="10" spans="12:15" x14ac:dyDescent="0.35">
      <c r="M10" t="s">
        <v>10</v>
      </c>
      <c r="N10" s="5">
        <f>N6/N8*N3</f>
        <v>0.20699532974404683</v>
      </c>
    </row>
    <row r="11" spans="12:15" x14ac:dyDescent="0.35">
      <c r="M11" t="s">
        <v>11</v>
      </c>
      <c r="N11" s="5">
        <f>N6/N8*N4</f>
        <v>6.6818304562980088E-2</v>
      </c>
    </row>
    <row r="12" spans="12:15" x14ac:dyDescent="0.35">
      <c r="M12" t="s">
        <v>25</v>
      </c>
    </row>
    <row r="14" spans="12:15" x14ac:dyDescent="0.35">
      <c r="M14">
        <v>2025</v>
      </c>
      <c r="N14">
        <v>2030</v>
      </c>
    </row>
    <row r="15" spans="12:15" x14ac:dyDescent="0.35">
      <c r="L15" t="s">
        <v>26</v>
      </c>
      <c r="M15">
        <v>0</v>
      </c>
      <c r="N15" s="5">
        <f>N10</f>
        <v>0.20699532974404683</v>
      </c>
    </row>
    <row r="16" spans="12:15" x14ac:dyDescent="0.35">
      <c r="L16" t="s">
        <v>27</v>
      </c>
      <c r="M16">
        <v>0</v>
      </c>
      <c r="N16" s="5">
        <f>N11</f>
        <v>6.6818304562980088E-2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4057-6164-4D1A-BD42-115A681D8E69}">
  <dimension ref="B2:AC13"/>
  <sheetViews>
    <sheetView topLeftCell="B1" workbookViewId="0">
      <selection activeCell="B9" sqref="B9:C9"/>
    </sheetView>
  </sheetViews>
  <sheetFormatPr defaultRowHeight="14.5" x14ac:dyDescent="0.35"/>
  <cols>
    <col min="2" max="2" width="64.6328125" bestFit="1" customWidth="1"/>
  </cols>
  <sheetData>
    <row r="2" spans="2:29" x14ac:dyDescent="0.35">
      <c r="B2" t="s">
        <v>14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  <c r="L2">
        <v>2033</v>
      </c>
      <c r="M2">
        <v>2034</v>
      </c>
      <c r="N2">
        <v>2035</v>
      </c>
      <c r="O2">
        <v>2036</v>
      </c>
      <c r="P2">
        <v>2037</v>
      </c>
      <c r="Q2">
        <v>2038</v>
      </c>
      <c r="R2">
        <v>2039</v>
      </c>
      <c r="S2">
        <v>2040</v>
      </c>
      <c r="T2">
        <v>2041</v>
      </c>
      <c r="U2">
        <v>2042</v>
      </c>
      <c r="V2">
        <v>2043</v>
      </c>
      <c r="W2">
        <v>2044</v>
      </c>
      <c r="X2">
        <v>2045</v>
      </c>
      <c r="Y2">
        <v>2046</v>
      </c>
      <c r="Z2">
        <v>2047</v>
      </c>
      <c r="AA2">
        <v>2048</v>
      </c>
      <c r="AB2">
        <v>2049</v>
      </c>
      <c r="AC2">
        <v>2050</v>
      </c>
    </row>
    <row r="3" spans="2:29" x14ac:dyDescent="0.35">
      <c r="B3" t="s">
        <v>15</v>
      </c>
      <c r="C3" s="6">
        <v>503573000000</v>
      </c>
      <c r="D3" s="6">
        <v>478265000000</v>
      </c>
      <c r="E3" s="6">
        <v>448968000000</v>
      </c>
      <c r="F3" s="6">
        <v>417873000000</v>
      </c>
      <c r="G3" s="6">
        <v>385901000000</v>
      </c>
      <c r="H3" s="6">
        <v>353868000000</v>
      </c>
      <c r="I3" s="6">
        <v>321799000000</v>
      </c>
      <c r="J3" s="6">
        <v>289522000000</v>
      </c>
      <c r="K3" s="6">
        <v>256628000000</v>
      </c>
      <c r="L3" s="6">
        <v>223769000000</v>
      </c>
      <c r="M3" s="6">
        <v>190918000000</v>
      </c>
      <c r="N3" s="6">
        <v>158037000000</v>
      </c>
      <c r="O3" s="6">
        <v>126326000000</v>
      </c>
      <c r="P3" s="6">
        <v>94801800000</v>
      </c>
      <c r="Q3" s="6">
        <v>63274700000</v>
      </c>
      <c r="R3" s="6">
        <v>31607500000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2:29" x14ac:dyDescent="0.35"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>
        <v>99731900000</v>
      </c>
      <c r="L4" s="6">
        <v>199464000000</v>
      </c>
      <c r="M4" s="6">
        <v>199464000000</v>
      </c>
      <c r="N4" s="6">
        <v>199464000000</v>
      </c>
      <c r="O4" s="6">
        <v>99731900000</v>
      </c>
      <c r="P4" s="6">
        <v>99731900000</v>
      </c>
      <c r="Q4" s="6">
        <v>99731900000</v>
      </c>
      <c r="R4" s="6">
        <v>99731900000</v>
      </c>
      <c r="S4" s="6">
        <v>99731900000</v>
      </c>
      <c r="T4" s="6">
        <v>199464000000</v>
      </c>
      <c r="U4" s="6">
        <v>199464000000</v>
      </c>
      <c r="V4" s="6">
        <v>199464000000</v>
      </c>
      <c r="W4" s="6">
        <v>299196000000</v>
      </c>
      <c r="X4" s="6">
        <v>398928000000</v>
      </c>
      <c r="Y4" s="6">
        <v>897587000000</v>
      </c>
      <c r="Z4" s="6">
        <v>1396250000000</v>
      </c>
      <c r="AA4" s="6">
        <v>1595710000000</v>
      </c>
      <c r="AB4" s="6">
        <v>1894910000000</v>
      </c>
      <c r="AC4" s="6">
        <v>2293830000000</v>
      </c>
    </row>
    <row r="5" spans="2:29" x14ac:dyDescent="0.35"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2:29" x14ac:dyDescent="0.35"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2:29" x14ac:dyDescent="0.35">
      <c r="B7" t="s">
        <v>19</v>
      </c>
      <c r="C7" s="6">
        <v>766434000000000</v>
      </c>
      <c r="D7" s="6">
        <v>761811000000000</v>
      </c>
      <c r="E7" s="6">
        <v>767823000000000</v>
      </c>
      <c r="F7" s="6">
        <v>770612000000000</v>
      </c>
      <c r="G7" s="6">
        <v>759357000000000</v>
      </c>
      <c r="H7" s="6">
        <v>761580000000000</v>
      </c>
      <c r="I7" s="6">
        <v>770941000000000</v>
      </c>
      <c r="J7" s="6">
        <v>778058000000000</v>
      </c>
      <c r="K7" s="6">
        <v>789035000000000</v>
      </c>
      <c r="L7" s="6">
        <v>797316000000000</v>
      </c>
      <c r="M7" s="6">
        <v>800662000000000</v>
      </c>
      <c r="N7" s="6">
        <v>804543000000000</v>
      </c>
      <c r="O7" s="6">
        <v>810367000000000</v>
      </c>
      <c r="P7" s="6">
        <v>815126000000000</v>
      </c>
      <c r="Q7" s="6">
        <v>815739000000000</v>
      </c>
      <c r="R7" s="6">
        <v>816504000000000</v>
      </c>
      <c r="S7" s="6">
        <v>817544000000000</v>
      </c>
      <c r="T7" s="6">
        <v>817593000000000</v>
      </c>
      <c r="U7" s="6">
        <v>812498000000000</v>
      </c>
      <c r="V7" s="6">
        <v>808775000000000</v>
      </c>
      <c r="W7" s="6">
        <v>809511000000000</v>
      </c>
      <c r="X7" s="6">
        <v>811900000000000</v>
      </c>
      <c r="Y7" s="6">
        <v>812341000000000</v>
      </c>
      <c r="Z7" s="6">
        <v>805955000000000</v>
      </c>
      <c r="AA7" s="6">
        <v>798030000000000</v>
      </c>
      <c r="AB7" s="6">
        <v>794455000000000</v>
      </c>
      <c r="AC7" s="6">
        <v>794974000000000</v>
      </c>
    </row>
    <row r="8" spans="2:29" x14ac:dyDescent="0.35"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2:29" x14ac:dyDescent="0.35">
      <c r="B9" t="s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2:29" x14ac:dyDescent="0.35"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2" spans="2:29" x14ac:dyDescent="0.35">
      <c r="B12" t="s">
        <v>14</v>
      </c>
      <c r="C12">
        <v>2024</v>
      </c>
      <c r="D12">
        <v>2025</v>
      </c>
      <c r="E12">
        <v>2026</v>
      </c>
      <c r="F12">
        <v>2027</v>
      </c>
      <c r="G12">
        <v>2028</v>
      </c>
      <c r="H12">
        <v>2029</v>
      </c>
      <c r="I12">
        <v>2030</v>
      </c>
      <c r="J12">
        <v>2031</v>
      </c>
      <c r="K12">
        <v>2032</v>
      </c>
      <c r="L12">
        <v>2033</v>
      </c>
      <c r="M12">
        <v>2034</v>
      </c>
      <c r="N12">
        <v>2035</v>
      </c>
      <c r="O12">
        <v>2036</v>
      </c>
      <c r="P12">
        <v>2037</v>
      </c>
      <c r="Q12">
        <v>2038</v>
      </c>
      <c r="R12">
        <v>2039</v>
      </c>
      <c r="S12">
        <v>2040</v>
      </c>
      <c r="T12">
        <v>2041</v>
      </c>
      <c r="U12">
        <v>2042</v>
      </c>
      <c r="V12">
        <v>2043</v>
      </c>
      <c r="W12">
        <v>2044</v>
      </c>
      <c r="X12">
        <v>2045</v>
      </c>
      <c r="Y12">
        <v>2046</v>
      </c>
      <c r="Z12">
        <v>2047</v>
      </c>
      <c r="AA12">
        <v>2048</v>
      </c>
      <c r="AB12">
        <v>2049</v>
      </c>
      <c r="AC12">
        <v>2050</v>
      </c>
    </row>
    <row r="13" spans="2:29" x14ac:dyDescent="0.35">
      <c r="B13" t="s">
        <v>24</v>
      </c>
      <c r="C13" s="6">
        <v>134511000000000</v>
      </c>
      <c r="D13" s="6">
        <v>134511000000000</v>
      </c>
      <c r="E13" s="6">
        <v>134511000000000</v>
      </c>
      <c r="F13" s="6">
        <v>134511000000000</v>
      </c>
      <c r="G13" s="6">
        <v>134511000000000</v>
      </c>
      <c r="H13" s="6">
        <v>134511000000000</v>
      </c>
      <c r="I13" s="6">
        <v>134511000000000</v>
      </c>
      <c r="J13" s="6">
        <v>134511000000000</v>
      </c>
      <c r="K13" s="6">
        <v>134511000000000</v>
      </c>
      <c r="L13" s="6">
        <v>134511000000000</v>
      </c>
      <c r="M13" s="6">
        <v>134511000000000</v>
      </c>
      <c r="N13" s="6">
        <v>134511000000000</v>
      </c>
      <c r="O13" s="6">
        <v>134511000000000</v>
      </c>
      <c r="P13" s="6">
        <v>134511000000000</v>
      </c>
      <c r="Q13" s="6">
        <v>134511000000000</v>
      </c>
      <c r="R13" s="6">
        <v>134511000000000</v>
      </c>
      <c r="S13" s="6">
        <v>134511000000000</v>
      </c>
      <c r="T13" s="6">
        <v>134511000000000</v>
      </c>
      <c r="U13" s="6">
        <v>134511000000000</v>
      </c>
      <c r="V13" s="6">
        <v>134511000000000</v>
      </c>
      <c r="W13" s="6">
        <v>134511000000000</v>
      </c>
      <c r="X13" s="6">
        <v>134511000000000</v>
      </c>
      <c r="Y13" s="6">
        <v>134511000000000</v>
      </c>
      <c r="Z13" s="6">
        <v>134511000000000</v>
      </c>
      <c r="AA13" s="6">
        <v>134511000000000</v>
      </c>
      <c r="AB13" s="6">
        <v>134511000000000</v>
      </c>
      <c r="AC13" s="6">
        <v>134511000000000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E8"/>
  <sheetViews>
    <sheetView tabSelected="1" topLeftCell="E1" workbookViewId="0">
      <selection activeCell="L4" sqref="L4"/>
    </sheetView>
  </sheetViews>
  <sheetFormatPr defaultRowHeight="14.5" x14ac:dyDescent="0.35"/>
  <cols>
    <col min="1" max="1" width="40.453125" customWidth="1"/>
  </cols>
  <sheetData>
    <row r="1" spans="1:31" x14ac:dyDescent="0.35">
      <c r="A1" s="1" t="s">
        <v>6</v>
      </c>
      <c r="B1" s="2">
        <v>2021</v>
      </c>
      <c r="C1">
        <v>2022</v>
      </c>
      <c r="D1" s="2">
        <v>2023</v>
      </c>
      <c r="E1">
        <v>2024</v>
      </c>
      <c r="F1" s="2">
        <v>2025</v>
      </c>
      <c r="G1">
        <v>2026</v>
      </c>
      <c r="H1" s="2">
        <v>2027</v>
      </c>
      <c r="I1">
        <v>2028</v>
      </c>
      <c r="J1" s="2">
        <v>2029</v>
      </c>
      <c r="K1">
        <v>2030</v>
      </c>
      <c r="L1" s="2">
        <v>2031</v>
      </c>
      <c r="M1">
        <v>2032</v>
      </c>
      <c r="N1" s="2">
        <v>2033</v>
      </c>
      <c r="O1">
        <v>2034</v>
      </c>
      <c r="P1" s="2">
        <v>2035</v>
      </c>
      <c r="Q1">
        <v>2036</v>
      </c>
      <c r="R1" s="2">
        <v>2037</v>
      </c>
      <c r="S1">
        <v>2038</v>
      </c>
      <c r="T1" s="2">
        <v>2039</v>
      </c>
      <c r="U1">
        <v>2040</v>
      </c>
      <c r="V1" s="2">
        <v>2041</v>
      </c>
      <c r="W1">
        <v>2042</v>
      </c>
      <c r="X1" s="2">
        <v>2043</v>
      </c>
      <c r="Y1">
        <v>2044</v>
      </c>
      <c r="Z1" s="2">
        <v>2045</v>
      </c>
      <c r="AA1">
        <v>2046</v>
      </c>
      <c r="AB1" s="2">
        <v>2047</v>
      </c>
      <c r="AC1">
        <v>2048</v>
      </c>
      <c r="AD1" s="2">
        <v>2049</v>
      </c>
      <c r="AE1">
        <v>2050</v>
      </c>
    </row>
    <row r="2" spans="1:31" x14ac:dyDescent="0.35">
      <c r="A2" t="s">
        <v>2</v>
      </c>
      <c r="B2" s="8">
        <v>0</v>
      </c>
      <c r="C2" s="8">
        <f t="shared" ref="C2:AE2" si="0">$B2</f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</row>
    <row r="3" spans="1:31" x14ac:dyDescent="0.35">
      <c r="A3" t="s">
        <v>3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5">
        <f>1-SUM(G7:G8)</f>
        <v>0.94523727313859496</v>
      </c>
      <c r="H3" s="5">
        <f t="shared" ref="H3:AE3" si="1">1-SUM(H7:H8)</f>
        <v>0.89047454627718992</v>
      </c>
      <c r="I3" s="5">
        <f t="shared" si="1"/>
        <v>0.83571181941578487</v>
      </c>
      <c r="J3" s="5">
        <f t="shared" si="1"/>
        <v>0.78094909255437983</v>
      </c>
      <c r="K3" s="5">
        <f t="shared" si="1"/>
        <v>0.72618636569297479</v>
      </c>
      <c r="L3" s="5">
        <f t="shared" si="1"/>
        <v>0.72618636569297479</v>
      </c>
      <c r="M3" s="5">
        <f t="shared" si="1"/>
        <v>0.72618636569297479</v>
      </c>
      <c r="N3" s="5">
        <f t="shared" si="1"/>
        <v>0.72618636569297479</v>
      </c>
      <c r="O3" s="5">
        <f t="shared" si="1"/>
        <v>0.72618636569297479</v>
      </c>
      <c r="P3" s="5">
        <f t="shared" si="1"/>
        <v>0.72618636569297479</v>
      </c>
      <c r="Q3" s="5">
        <f t="shared" si="1"/>
        <v>0.72618636569297479</v>
      </c>
      <c r="R3" s="5">
        <f t="shared" si="1"/>
        <v>0.72618636569297479</v>
      </c>
      <c r="S3" s="5">
        <f t="shared" si="1"/>
        <v>0.72618636569297479</v>
      </c>
      <c r="T3" s="5">
        <f t="shared" si="1"/>
        <v>0.72618636569297479</v>
      </c>
      <c r="U3" s="5">
        <f t="shared" si="1"/>
        <v>0.72618636569297479</v>
      </c>
      <c r="V3" s="5">
        <f t="shared" si="1"/>
        <v>0.72618636569297479</v>
      </c>
      <c r="W3" s="5">
        <f t="shared" si="1"/>
        <v>0.72618636569297479</v>
      </c>
      <c r="X3" s="5">
        <f t="shared" si="1"/>
        <v>0.72618636569297479</v>
      </c>
      <c r="Y3" s="5">
        <f t="shared" si="1"/>
        <v>0.72618636569297479</v>
      </c>
      <c r="Z3" s="5">
        <f t="shared" si="1"/>
        <v>0.72618636569297479</v>
      </c>
      <c r="AA3" s="5">
        <f t="shared" si="1"/>
        <v>0.72618636569297479</v>
      </c>
      <c r="AB3" s="5">
        <f t="shared" si="1"/>
        <v>0.72618636569297479</v>
      </c>
      <c r="AC3" s="5">
        <f t="shared" si="1"/>
        <v>0.72618636569297479</v>
      </c>
      <c r="AD3" s="5">
        <f t="shared" si="1"/>
        <v>0.72618636569297479</v>
      </c>
      <c r="AE3" s="5">
        <f t="shared" si="1"/>
        <v>0.72618636569297479</v>
      </c>
    </row>
    <row r="4" spans="1:31" x14ac:dyDescent="0.35">
      <c r="A4" t="s">
        <v>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35">
      <c r="A5" t="s">
        <v>5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5">
      <c r="A6" t="s">
        <v>9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35">
      <c r="A7" t="s">
        <v>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5" cm="1">
        <f t="array" ref="G7">TREND(BNEF!$M16:$N16,BNEF!$M$14:$N$14,BHPSbP!G$1)</f>
        <v>1.3363660912595776E-2</v>
      </c>
      <c r="H7" s="5" cm="1">
        <f t="array" ref="H7">TREND(BNEF!$M16:$N16,BNEF!$M$14:$N$14,BHPSbP!H$1)</f>
        <v>2.6727321825191552E-2</v>
      </c>
      <c r="I7" s="5" cm="1">
        <f t="array" ref="I7">TREND(BNEF!$M16:$N16,BNEF!$M$14:$N$14,BHPSbP!I$1)</f>
        <v>4.0090982737787328E-2</v>
      </c>
      <c r="J7" s="5" cm="1">
        <f t="array" ref="J7">TREND(BNEF!$M16:$N16,BNEF!$M$14:$N$14,BHPSbP!J$1)</f>
        <v>5.3454643650383105E-2</v>
      </c>
      <c r="K7" s="5" cm="1">
        <f t="array" ref="K7">TREND(BNEF!$M16:$N16,BNEF!$M$14:$N$14,BHPSbP!K$1)</f>
        <v>6.6818304562978881E-2</v>
      </c>
      <c r="L7" s="5">
        <f>K7</f>
        <v>6.6818304562978881E-2</v>
      </c>
      <c r="M7" s="5">
        <f t="shared" ref="M7:AE7" si="2">L7</f>
        <v>6.6818304562978881E-2</v>
      </c>
      <c r="N7" s="5">
        <f t="shared" si="2"/>
        <v>6.6818304562978881E-2</v>
      </c>
      <c r="O7" s="5">
        <f t="shared" si="2"/>
        <v>6.6818304562978881E-2</v>
      </c>
      <c r="P7" s="5">
        <f t="shared" si="2"/>
        <v>6.6818304562978881E-2</v>
      </c>
      <c r="Q7" s="5">
        <f t="shared" si="2"/>
        <v>6.6818304562978881E-2</v>
      </c>
      <c r="R7" s="5">
        <f t="shared" si="2"/>
        <v>6.6818304562978881E-2</v>
      </c>
      <c r="S7" s="5">
        <f t="shared" si="2"/>
        <v>6.6818304562978881E-2</v>
      </c>
      <c r="T7" s="5">
        <f t="shared" si="2"/>
        <v>6.6818304562978881E-2</v>
      </c>
      <c r="U7" s="5">
        <f t="shared" si="2"/>
        <v>6.6818304562978881E-2</v>
      </c>
      <c r="V7" s="5">
        <f t="shared" si="2"/>
        <v>6.6818304562978881E-2</v>
      </c>
      <c r="W7" s="5">
        <f t="shared" si="2"/>
        <v>6.6818304562978881E-2</v>
      </c>
      <c r="X7" s="5">
        <f t="shared" si="2"/>
        <v>6.6818304562978881E-2</v>
      </c>
      <c r="Y7" s="5">
        <f t="shared" si="2"/>
        <v>6.6818304562978881E-2</v>
      </c>
      <c r="Z7" s="5">
        <f t="shared" si="2"/>
        <v>6.6818304562978881E-2</v>
      </c>
      <c r="AA7" s="5">
        <f t="shared" si="2"/>
        <v>6.6818304562978881E-2</v>
      </c>
      <c r="AB7" s="5">
        <f t="shared" si="2"/>
        <v>6.6818304562978881E-2</v>
      </c>
      <c r="AC7" s="5">
        <f t="shared" si="2"/>
        <v>6.6818304562978881E-2</v>
      </c>
      <c r="AD7" s="5">
        <f t="shared" si="2"/>
        <v>6.6818304562978881E-2</v>
      </c>
      <c r="AE7" s="5">
        <f t="shared" si="2"/>
        <v>6.6818304562978881E-2</v>
      </c>
    </row>
    <row r="8" spans="1:31" x14ac:dyDescent="0.35">
      <c r="A8" t="s">
        <v>8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5" cm="1">
        <f t="array" ref="G8">TREND(BNEF!$M15:$N15,BNEF!$M$14:$N$14,BHPSbP!G$1)</f>
        <v>4.1399065948809266E-2</v>
      </c>
      <c r="H8" s="5" cm="1">
        <f t="array" ref="H8">TREND(BNEF!$M15:$N15,BNEF!$M$14:$N$14,BHPSbP!H$1)</f>
        <v>8.2798131897618532E-2</v>
      </c>
      <c r="I8" s="5" cm="1">
        <f t="array" ref="I8">TREND(BNEF!$M15:$N15,BNEF!$M$14:$N$14,BHPSbP!I$1)</f>
        <v>0.1241971978464278</v>
      </c>
      <c r="J8" s="5" cm="1">
        <f t="array" ref="J8">TREND(BNEF!$M15:$N15,BNEF!$M$14:$N$14,BHPSbP!J$1)</f>
        <v>0.16559626379523706</v>
      </c>
      <c r="K8" s="5" cm="1">
        <f t="array" ref="K8">TREND(BNEF!$M15:$N15,BNEF!$M$14:$N$14,BHPSbP!K$1)</f>
        <v>0.20699532974404633</v>
      </c>
      <c r="L8" s="5">
        <f>K8</f>
        <v>0.20699532974404633</v>
      </c>
      <c r="M8" s="5">
        <f t="shared" ref="M8:AE8" si="3">L8</f>
        <v>0.20699532974404633</v>
      </c>
      <c r="N8" s="5">
        <f t="shared" si="3"/>
        <v>0.20699532974404633</v>
      </c>
      <c r="O8" s="5">
        <f t="shared" si="3"/>
        <v>0.20699532974404633</v>
      </c>
      <c r="P8" s="5">
        <f t="shared" si="3"/>
        <v>0.20699532974404633</v>
      </c>
      <c r="Q8" s="5">
        <f t="shared" si="3"/>
        <v>0.20699532974404633</v>
      </c>
      <c r="R8" s="5">
        <f t="shared" si="3"/>
        <v>0.20699532974404633</v>
      </c>
      <c r="S8" s="5">
        <f t="shared" si="3"/>
        <v>0.20699532974404633</v>
      </c>
      <c r="T8" s="5">
        <f t="shared" si="3"/>
        <v>0.20699532974404633</v>
      </c>
      <c r="U8" s="5">
        <f t="shared" si="3"/>
        <v>0.20699532974404633</v>
      </c>
      <c r="V8" s="5">
        <f t="shared" si="3"/>
        <v>0.20699532974404633</v>
      </c>
      <c r="W8" s="5">
        <f t="shared" si="3"/>
        <v>0.20699532974404633</v>
      </c>
      <c r="X8" s="5">
        <f t="shared" si="3"/>
        <v>0.20699532974404633</v>
      </c>
      <c r="Y8" s="5">
        <f t="shared" si="3"/>
        <v>0.20699532974404633</v>
      </c>
      <c r="Z8" s="5">
        <f t="shared" si="3"/>
        <v>0.20699532974404633</v>
      </c>
      <c r="AA8" s="5">
        <f t="shared" si="3"/>
        <v>0.20699532974404633</v>
      </c>
      <c r="AB8" s="5">
        <f t="shared" si="3"/>
        <v>0.20699532974404633</v>
      </c>
      <c r="AC8" s="5">
        <f t="shared" si="3"/>
        <v>0.20699532974404633</v>
      </c>
      <c r="AD8" s="5">
        <f t="shared" si="3"/>
        <v>0.20699532974404633</v>
      </c>
      <c r="AE8" s="5">
        <f t="shared" si="3"/>
        <v>0.20699532974404633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BNEF</vt:lpstr>
      <vt:lpstr>EPS Data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2019-07-22T20:16:37Z</dcterms:created>
  <dcterms:modified xsi:type="dcterms:W3CDTF">2026-04-14T20:48:58Z</dcterms:modified>
</cp:coreProperties>
</file>