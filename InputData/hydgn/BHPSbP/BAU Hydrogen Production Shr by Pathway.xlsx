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DanOBrien\Models\EPS\US\eps-us\InputData\hydgn\BHPSbP\"/>
    </mc:Choice>
  </mc:AlternateContent>
  <xr:revisionPtr revIDLastSave="0" documentId="8_{37FF2600-3BF2-45A0-A141-49EDFBC5DBBA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BNEF" sheetId="5" r:id="rId2"/>
    <sheet name="EPS Data" sheetId="6" r:id="rId3"/>
    <sheet name="BHPSbP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" i="5" l="1"/>
  <c r="N3" i="5"/>
  <c r="N15" i="5"/>
  <c r="N8" i="5"/>
  <c r="N4" i="5"/>
  <c r="N11" i="5" s="1"/>
  <c r="N16" i="5" s="1"/>
  <c r="J7" i="2" l="1" a="1"/>
  <c r="J7" i="2" s="1"/>
  <c r="I7" i="2" a="1"/>
  <c r="I7" i="2" s="1"/>
  <c r="G7" i="2" a="1"/>
  <c r="G7" i="2" s="1"/>
  <c r="K7" i="2" a="1"/>
  <c r="K7" i="2" s="1"/>
  <c r="K3" i="2" s="1"/>
  <c r="H7" i="2" a="1"/>
  <c r="H7" i="2" s="1"/>
  <c r="K8" i="2" a="1"/>
  <c r="K8" i="2" s="1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G8" i="2" a="1"/>
  <c r="G8" i="2" s="1"/>
  <c r="G3" i="2" s="1"/>
  <c r="J8" i="2" a="1"/>
  <c r="J8" i="2" s="1"/>
  <c r="H8" i="2" a="1"/>
  <c r="H8" i="2" s="1"/>
  <c r="H3" i="2" s="1"/>
  <c r="I8" i="2" a="1"/>
  <c r="I8" i="2" s="1"/>
  <c r="L7" i="2"/>
  <c r="M7" i="2" s="1"/>
  <c r="M3" i="2" s="1"/>
  <c r="L3" i="2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N7" i="2" l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I3" i="2"/>
  <c r="J3" i="2"/>
  <c r="N3" i="2" l="1"/>
  <c r="O3" i="2"/>
  <c r="P3" i="2" l="1"/>
  <c r="Q3" i="2" l="1"/>
  <c r="R3" i="2" l="1"/>
  <c r="S3" i="2" l="1"/>
  <c r="T3" i="2" l="1"/>
  <c r="U3" i="2" l="1"/>
  <c r="V3" i="2" l="1"/>
  <c r="W3" i="2" l="1"/>
  <c r="X3" i="2" l="1"/>
  <c r="Y3" i="2" l="1"/>
  <c r="Z3" i="2" l="1"/>
  <c r="AA3" i="2" l="1"/>
  <c r="AB3" i="2" l="1"/>
  <c r="AC3" i="2" l="1"/>
  <c r="AD3" i="2" l="1"/>
  <c r="AE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<sst xmlns="http://schemas.openxmlformats.org/spreadsheetml/2006/main" count="44" uniqueCount="38">
  <si>
    <t>BHPSbP BAU Hydrogen Production Shares by Pathway</t>
  </si>
  <si>
    <t>Sources:</t>
  </si>
  <si>
    <t>electrolysis</t>
  </si>
  <si>
    <t>natural gas reforming</t>
  </si>
  <si>
    <t>coal gasification</t>
  </si>
  <si>
    <t>biomass gasification</t>
  </si>
  <si>
    <t>Production Share (dimensionless)</t>
  </si>
  <si>
    <t>electrolysis with guaranteed clean electricity</t>
  </si>
  <si>
    <t>natural gas reforming with CCS</t>
  </si>
  <si>
    <t>hydrocarbon partial oxidation</t>
  </si>
  <si>
    <t>% Blue:</t>
  </si>
  <si>
    <t>% Green:</t>
  </si>
  <si>
    <t>Capacity</t>
  </si>
  <si>
    <t>Mt</t>
  </si>
  <si>
    <t>Time (Year)</t>
  </si>
  <si>
    <t>Hydrogen Demand by Sector[transportation sector] : NoSettings</t>
  </si>
  <si>
    <t>Hydrogen Demand by Sector[electricity sector] : NoSettings</t>
  </si>
  <si>
    <t>Hydrogen Demand by Sector[residential buildings sector] : NoSettings</t>
  </si>
  <si>
    <t>Hydrogen Demand by Sector[commercial buildings sector] : NoSettings</t>
  </si>
  <si>
    <t>Hydrogen Demand by Sector[industry sector] : NoSettings</t>
  </si>
  <si>
    <t>Hydrogen Demand by Sector[district heat and hydrogen sector] : NoSettings</t>
  </si>
  <si>
    <t>Hydrogen Demand by Sector[LULUCF sector] : NoSettings</t>
  </si>
  <si>
    <t>Hydrogen Demand by Sector[geoengineering sector] : NoSettings</t>
  </si>
  <si>
    <t>EPS Data</t>
  </si>
  <si>
    <t>BpMMTH BTU per MMT Hydrogen : NoSettings</t>
  </si>
  <si>
    <t>*data for 2030</t>
  </si>
  <si>
    <t>blue</t>
  </si>
  <si>
    <t>green</t>
  </si>
  <si>
    <t>BNEF</t>
  </si>
  <si>
    <t>US Clean Hydrogen Market Outlook</t>
  </si>
  <si>
    <t>https://efiling.energy.ca.gov/GetDocument.aspx?tn=265044</t>
  </si>
  <si>
    <t>pgs. 10, 16</t>
  </si>
  <si>
    <t>blue share of clean H2 supply</t>
  </si>
  <si>
    <t>Hydrogen Supply Outlook Update: 10% Cut</t>
  </si>
  <si>
    <t>https://www.bnef.com/insights/38875</t>
  </si>
  <si>
    <t>Blue/green clean hydrogen split</t>
  </si>
  <si>
    <t>Clean hydrogen offtake demand</t>
  </si>
  <si>
    <t>Aggregated expected production from projects; included with permission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</si>
</sst>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2" fillId="0" borderId="0" xfId="1"/>
    <xf numFmtId="164" fontId="0" fillId="0" borderId="0" xfId="0" applyNumberFormat="1"/>
    <xf numFmtId="11" fontId="0" fillId="0" borderId="0" xfId="0" applyNumberFormat="1"/>
    <xf numFmtId="2" fontId="0" fillId="0" borderId="0" xfId="0" applyNumberFormat="1"/>
    <xf numFmtId="164" fontId="0" fillId="2" borderId="0" xfId="0" applyNumberFormat="1" applyFill="1"/>
    <xf numFmtId="9" fontId="0" fillId="0" borderId="0" xfId="2" applyFont="1"/>
    <xf numFmtId="0" fontId="1" fillId="3" borderId="0" xfId="0" applyFont="1" applyFill="1"/>
    <xf numFmtId="9" fontId="0" fillId="0" borderId="0" xfId="0" applyNumberFormat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10</xdr:col>
      <xdr:colOff>534092</xdr:colOff>
      <xdr:row>18</xdr:row>
      <xdr:rowOff>171193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50E1DB1-3649-4488-8F2D-F0C181554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6136" y="184006"/>
          <a:ext cx="5989320" cy="32992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tabSelected="1" workbookViewId="0">
      <selection activeCell="A17" sqref="A17"/>
    </sheetView>
  </sheetViews>
  <sheetFormatPr defaultRowHeight="15" x14ac:dyDescent="0.25"/>
  <cols>
    <col min="1" max="1" width="12.7109375" customWidth="1"/>
    <col min="2" max="2" width="52.5703125" customWidth="1"/>
  </cols>
  <sheetData>
    <row r="1" spans="1:2" x14ac:dyDescent="0.25">
      <c r="A1" s="1" t="s">
        <v>0</v>
      </c>
    </row>
    <row r="3" spans="1:2" x14ac:dyDescent="0.25">
      <c r="A3" s="1" t="s">
        <v>1</v>
      </c>
      <c r="B3" s="10" t="s">
        <v>36</v>
      </c>
    </row>
    <row r="4" spans="1:2" x14ac:dyDescent="0.25">
      <c r="B4" t="s">
        <v>28</v>
      </c>
    </row>
    <row r="5" spans="1:2" x14ac:dyDescent="0.25">
      <c r="B5" s="3">
        <v>2025</v>
      </c>
    </row>
    <row r="6" spans="1:2" x14ac:dyDescent="0.25">
      <c r="B6" t="s">
        <v>29</v>
      </c>
    </row>
    <row r="7" spans="1:2" x14ac:dyDescent="0.25">
      <c r="B7" s="4" t="s">
        <v>30</v>
      </c>
    </row>
    <row r="8" spans="1:2" x14ac:dyDescent="0.25">
      <c r="B8" t="s">
        <v>31</v>
      </c>
    </row>
    <row r="10" spans="1:2" x14ac:dyDescent="0.25">
      <c r="B10" s="10" t="s">
        <v>35</v>
      </c>
    </row>
    <row r="11" spans="1:2" x14ac:dyDescent="0.25">
      <c r="B11" t="s">
        <v>28</v>
      </c>
    </row>
    <row r="12" spans="1:2" x14ac:dyDescent="0.25">
      <c r="B12" s="3">
        <v>2026</v>
      </c>
    </row>
    <row r="13" spans="1:2" x14ac:dyDescent="0.25">
      <c r="B13" t="s">
        <v>33</v>
      </c>
    </row>
    <row r="14" spans="1:2" x14ac:dyDescent="0.25">
      <c r="B14" t="s">
        <v>34</v>
      </c>
    </row>
    <row r="15" spans="1:2" x14ac:dyDescent="0.25">
      <c r="B15" t="s">
        <v>37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F00DD-FBB5-4F2F-A64F-4218B001AAAE}">
  <dimension ref="B3:AM35"/>
  <sheetViews>
    <sheetView zoomScale="88" workbookViewId="0">
      <selection activeCell="N4" sqref="N4"/>
    </sheetView>
  </sheetViews>
  <sheetFormatPr defaultRowHeight="15" x14ac:dyDescent="0.25"/>
  <sheetData>
    <row r="3" spans="12:15" x14ac:dyDescent="0.25">
      <c r="M3" t="s">
        <v>10</v>
      </c>
      <c r="N3" s="11">
        <f>B23</f>
        <v>0.92344863824651802</v>
      </c>
    </row>
    <row r="4" spans="12:15" x14ac:dyDescent="0.25">
      <c r="M4" t="s">
        <v>11</v>
      </c>
      <c r="N4" s="9">
        <f>1-N3</f>
        <v>7.6551361753481983E-2</v>
      </c>
    </row>
    <row r="6" spans="12:15" x14ac:dyDescent="0.25">
      <c r="M6" t="s">
        <v>12</v>
      </c>
      <c r="N6">
        <v>1.57</v>
      </c>
      <c r="O6" t="s">
        <v>13</v>
      </c>
    </row>
    <row r="8" spans="12:15" x14ac:dyDescent="0.25">
      <c r="M8" t="s">
        <v>23</v>
      </c>
      <c r="N8" s="7">
        <f>SUM('EPS Data'!I3:I10)/'EPS Data'!I13</f>
        <v>5.7338269658243561</v>
      </c>
      <c r="O8" t="s">
        <v>13</v>
      </c>
    </row>
    <row r="10" spans="12:15" x14ac:dyDescent="0.25">
      <c r="M10" t="s">
        <v>10</v>
      </c>
      <c r="N10" s="5">
        <f>N6/N8*N3</f>
        <v>0.25285282773415407</v>
      </c>
    </row>
    <row r="11" spans="12:15" x14ac:dyDescent="0.25">
      <c r="M11" t="s">
        <v>11</v>
      </c>
      <c r="N11" s="5">
        <f>N6/N8*N4</f>
        <v>2.0960806572872845E-2</v>
      </c>
    </row>
    <row r="12" spans="12:15" x14ac:dyDescent="0.25">
      <c r="M12" t="s">
        <v>25</v>
      </c>
    </row>
    <row r="14" spans="12:15" x14ac:dyDescent="0.25">
      <c r="M14">
        <v>2025</v>
      </c>
      <c r="N14">
        <v>2030</v>
      </c>
    </row>
    <row r="15" spans="12:15" x14ac:dyDescent="0.25">
      <c r="L15" t="s">
        <v>26</v>
      </c>
      <c r="M15">
        <v>0</v>
      </c>
      <c r="N15" s="5">
        <f>N10</f>
        <v>0.25285282773415407</v>
      </c>
    </row>
    <row r="16" spans="12:15" x14ac:dyDescent="0.25">
      <c r="L16" t="s">
        <v>27</v>
      </c>
      <c r="M16">
        <v>0</v>
      </c>
      <c r="N16" s="5">
        <f>N11</f>
        <v>2.0960806572872845E-2</v>
      </c>
    </row>
    <row r="22" spans="2:39" x14ac:dyDescent="0.25">
      <c r="B22" s="1" t="s">
        <v>33</v>
      </c>
    </row>
    <row r="23" spans="2:39" x14ac:dyDescent="0.25">
      <c r="B23" s="9">
        <v>0.92344863824651802</v>
      </c>
      <c r="C23" t="s">
        <v>32</v>
      </c>
    </row>
    <row r="24" spans="2:39" x14ac:dyDescent="0.25"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</row>
    <row r="28" spans="2:39" x14ac:dyDescent="0.25"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</row>
    <row r="32" spans="2:39" x14ac:dyDescent="0.25">
      <c r="N32" s="6"/>
      <c r="O32" s="6"/>
      <c r="P32" s="6"/>
      <c r="Q32" s="6"/>
      <c r="R32" s="6"/>
      <c r="S32" s="6"/>
    </row>
    <row r="34" spans="14:20" x14ac:dyDescent="0.25">
      <c r="N34" s="9"/>
      <c r="O34" s="9"/>
      <c r="P34" s="9"/>
      <c r="Q34" s="9"/>
      <c r="R34" s="9"/>
      <c r="S34" s="9"/>
      <c r="T34" s="6"/>
    </row>
    <row r="35" spans="14:20" x14ac:dyDescent="0.25">
      <c r="N35" s="9"/>
      <c r="O35" s="9"/>
      <c r="P35" s="9"/>
      <c r="Q35" s="9"/>
      <c r="R35" s="9"/>
      <c r="S35" s="9"/>
      <c r="T35" s="6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14057-6164-4D1A-BD42-115A681D8E69}">
  <dimension ref="B2:AC13"/>
  <sheetViews>
    <sheetView topLeftCell="B1" workbookViewId="0">
      <selection activeCell="D23" sqref="D23"/>
    </sheetView>
  </sheetViews>
  <sheetFormatPr defaultRowHeight="15" x14ac:dyDescent="0.25"/>
  <cols>
    <col min="2" max="2" width="64.5703125" bestFit="1" customWidth="1"/>
  </cols>
  <sheetData>
    <row r="2" spans="2:29" x14ac:dyDescent="0.25">
      <c r="B2" t="s">
        <v>14</v>
      </c>
      <c r="C2">
        <v>2024</v>
      </c>
      <c r="D2">
        <v>2025</v>
      </c>
      <c r="E2">
        <v>2026</v>
      </c>
      <c r="F2">
        <v>2027</v>
      </c>
      <c r="G2">
        <v>2028</v>
      </c>
      <c r="H2">
        <v>2029</v>
      </c>
      <c r="I2">
        <v>2030</v>
      </c>
      <c r="J2">
        <v>2031</v>
      </c>
      <c r="K2">
        <v>2032</v>
      </c>
      <c r="L2">
        <v>2033</v>
      </c>
      <c r="M2">
        <v>2034</v>
      </c>
      <c r="N2">
        <v>2035</v>
      </c>
      <c r="O2">
        <v>2036</v>
      </c>
      <c r="P2">
        <v>2037</v>
      </c>
      <c r="Q2">
        <v>2038</v>
      </c>
      <c r="R2">
        <v>2039</v>
      </c>
      <c r="S2">
        <v>2040</v>
      </c>
      <c r="T2">
        <v>2041</v>
      </c>
      <c r="U2">
        <v>2042</v>
      </c>
      <c r="V2">
        <v>2043</v>
      </c>
      <c r="W2">
        <v>2044</v>
      </c>
      <c r="X2">
        <v>2045</v>
      </c>
      <c r="Y2">
        <v>2046</v>
      </c>
      <c r="Z2">
        <v>2047</v>
      </c>
      <c r="AA2">
        <v>2048</v>
      </c>
      <c r="AB2">
        <v>2049</v>
      </c>
      <c r="AC2">
        <v>2050</v>
      </c>
    </row>
    <row r="3" spans="2:29" x14ac:dyDescent="0.25">
      <c r="B3" t="s">
        <v>15</v>
      </c>
      <c r="C3" s="6">
        <v>503573000000</v>
      </c>
      <c r="D3" s="6">
        <v>478265000000</v>
      </c>
      <c r="E3" s="6">
        <v>448968000000</v>
      </c>
      <c r="F3" s="6">
        <v>417873000000</v>
      </c>
      <c r="G3" s="6">
        <v>385901000000</v>
      </c>
      <c r="H3" s="6">
        <v>353868000000</v>
      </c>
      <c r="I3" s="6">
        <v>321799000000</v>
      </c>
      <c r="J3" s="6">
        <v>289522000000</v>
      </c>
      <c r="K3" s="6">
        <v>256628000000</v>
      </c>
      <c r="L3" s="6">
        <v>223769000000</v>
      </c>
      <c r="M3" s="6">
        <v>190918000000</v>
      </c>
      <c r="N3" s="6">
        <v>158037000000</v>
      </c>
      <c r="O3" s="6">
        <v>126326000000</v>
      </c>
      <c r="P3" s="6">
        <v>94801800000</v>
      </c>
      <c r="Q3" s="6">
        <v>63274700000</v>
      </c>
      <c r="R3" s="6">
        <v>31607500000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</row>
    <row r="4" spans="2:29" x14ac:dyDescent="0.25">
      <c r="B4" t="s">
        <v>16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6">
        <v>99731900000</v>
      </c>
      <c r="L4" s="6">
        <v>199464000000</v>
      </c>
      <c r="M4" s="6">
        <v>199464000000</v>
      </c>
      <c r="N4" s="6">
        <v>199464000000</v>
      </c>
      <c r="O4" s="6">
        <v>99731900000</v>
      </c>
      <c r="P4" s="6">
        <v>99731900000</v>
      </c>
      <c r="Q4" s="6">
        <v>99731900000</v>
      </c>
      <c r="R4" s="6">
        <v>99731900000</v>
      </c>
      <c r="S4" s="6">
        <v>99731900000</v>
      </c>
      <c r="T4" s="6">
        <v>199464000000</v>
      </c>
      <c r="U4" s="6">
        <v>199464000000</v>
      </c>
      <c r="V4" s="6">
        <v>199464000000</v>
      </c>
      <c r="W4" s="6">
        <v>299196000000</v>
      </c>
      <c r="X4" s="6">
        <v>398928000000</v>
      </c>
      <c r="Y4" s="6">
        <v>897587000000</v>
      </c>
      <c r="Z4" s="6">
        <v>1396250000000</v>
      </c>
      <c r="AA4" s="6">
        <v>1595710000000</v>
      </c>
      <c r="AB4" s="6">
        <v>1894910000000</v>
      </c>
      <c r="AC4" s="6">
        <v>2293830000000</v>
      </c>
    </row>
    <row r="5" spans="2:29" x14ac:dyDescent="0.25">
      <c r="B5" t="s">
        <v>17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</row>
    <row r="6" spans="2:29" x14ac:dyDescent="0.25">
      <c r="B6" t="s">
        <v>18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</row>
    <row r="7" spans="2:29" x14ac:dyDescent="0.25">
      <c r="B7" t="s">
        <v>19</v>
      </c>
      <c r="C7" s="6">
        <v>766434000000000</v>
      </c>
      <c r="D7" s="6">
        <v>761811000000000</v>
      </c>
      <c r="E7" s="6">
        <v>767823000000000</v>
      </c>
      <c r="F7" s="6">
        <v>770612000000000</v>
      </c>
      <c r="G7" s="6">
        <v>759357000000000</v>
      </c>
      <c r="H7" s="6">
        <v>761580000000000</v>
      </c>
      <c r="I7" s="6">
        <v>770941000000000</v>
      </c>
      <c r="J7" s="6">
        <v>778058000000000</v>
      </c>
      <c r="K7" s="6">
        <v>789035000000000</v>
      </c>
      <c r="L7" s="6">
        <v>797316000000000</v>
      </c>
      <c r="M7" s="6">
        <v>800662000000000</v>
      </c>
      <c r="N7" s="6">
        <v>804543000000000</v>
      </c>
      <c r="O7" s="6">
        <v>810367000000000</v>
      </c>
      <c r="P7" s="6">
        <v>815126000000000</v>
      </c>
      <c r="Q7" s="6">
        <v>815739000000000</v>
      </c>
      <c r="R7" s="6">
        <v>816504000000000</v>
      </c>
      <c r="S7" s="6">
        <v>817544000000000</v>
      </c>
      <c r="T7" s="6">
        <v>817593000000000</v>
      </c>
      <c r="U7" s="6">
        <v>812498000000000</v>
      </c>
      <c r="V7" s="6">
        <v>808775000000000</v>
      </c>
      <c r="W7" s="6">
        <v>809511000000000</v>
      </c>
      <c r="X7" s="6">
        <v>811900000000000</v>
      </c>
      <c r="Y7" s="6">
        <v>812341000000000</v>
      </c>
      <c r="Z7" s="6">
        <v>805955000000000</v>
      </c>
      <c r="AA7" s="6">
        <v>798030000000000</v>
      </c>
      <c r="AB7" s="6">
        <v>794455000000000</v>
      </c>
      <c r="AC7" s="6">
        <v>794974000000000</v>
      </c>
    </row>
    <row r="8" spans="2:29" x14ac:dyDescent="0.25">
      <c r="B8" t="s">
        <v>20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</row>
    <row r="9" spans="2:29" x14ac:dyDescent="0.25">
      <c r="B9" t="s">
        <v>21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</row>
    <row r="10" spans="2:29" x14ac:dyDescent="0.25">
      <c r="B10" t="s">
        <v>22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</row>
    <row r="12" spans="2:29" x14ac:dyDescent="0.25">
      <c r="B12" t="s">
        <v>14</v>
      </c>
      <c r="C12">
        <v>2024</v>
      </c>
      <c r="D12">
        <v>2025</v>
      </c>
      <c r="E12">
        <v>2026</v>
      </c>
      <c r="F12">
        <v>2027</v>
      </c>
      <c r="G12">
        <v>2028</v>
      </c>
      <c r="H12">
        <v>2029</v>
      </c>
      <c r="I12">
        <v>2030</v>
      </c>
      <c r="J12">
        <v>2031</v>
      </c>
      <c r="K12">
        <v>2032</v>
      </c>
      <c r="L12">
        <v>2033</v>
      </c>
      <c r="M12">
        <v>2034</v>
      </c>
      <c r="N12">
        <v>2035</v>
      </c>
      <c r="O12">
        <v>2036</v>
      </c>
      <c r="P12">
        <v>2037</v>
      </c>
      <c r="Q12">
        <v>2038</v>
      </c>
      <c r="R12">
        <v>2039</v>
      </c>
      <c r="S12">
        <v>2040</v>
      </c>
      <c r="T12">
        <v>2041</v>
      </c>
      <c r="U12">
        <v>2042</v>
      </c>
      <c r="V12">
        <v>2043</v>
      </c>
      <c r="W12">
        <v>2044</v>
      </c>
      <c r="X12">
        <v>2045</v>
      </c>
      <c r="Y12">
        <v>2046</v>
      </c>
      <c r="Z12">
        <v>2047</v>
      </c>
      <c r="AA12">
        <v>2048</v>
      </c>
      <c r="AB12">
        <v>2049</v>
      </c>
      <c r="AC12">
        <v>2050</v>
      </c>
    </row>
    <row r="13" spans="2:29" x14ac:dyDescent="0.25">
      <c r="B13" t="s">
        <v>24</v>
      </c>
      <c r="C13" s="6">
        <v>134511000000000</v>
      </c>
      <c r="D13" s="6">
        <v>134511000000000</v>
      </c>
      <c r="E13" s="6">
        <v>134511000000000</v>
      </c>
      <c r="F13" s="6">
        <v>134511000000000</v>
      </c>
      <c r="G13" s="6">
        <v>134511000000000</v>
      </c>
      <c r="H13" s="6">
        <v>134511000000000</v>
      </c>
      <c r="I13" s="6">
        <v>134511000000000</v>
      </c>
      <c r="J13" s="6">
        <v>134511000000000</v>
      </c>
      <c r="K13" s="6">
        <v>134511000000000</v>
      </c>
      <c r="L13" s="6">
        <v>134511000000000</v>
      </c>
      <c r="M13" s="6">
        <v>134511000000000</v>
      </c>
      <c r="N13" s="6">
        <v>134511000000000</v>
      </c>
      <c r="O13" s="6">
        <v>134511000000000</v>
      </c>
      <c r="P13" s="6">
        <v>134511000000000</v>
      </c>
      <c r="Q13" s="6">
        <v>134511000000000</v>
      </c>
      <c r="R13" s="6">
        <v>134511000000000</v>
      </c>
      <c r="S13" s="6">
        <v>134511000000000</v>
      </c>
      <c r="T13" s="6">
        <v>134511000000000</v>
      </c>
      <c r="U13" s="6">
        <v>134511000000000</v>
      </c>
      <c r="V13" s="6">
        <v>134511000000000</v>
      </c>
      <c r="W13" s="6">
        <v>134511000000000</v>
      </c>
      <c r="X13" s="6">
        <v>134511000000000</v>
      </c>
      <c r="Y13" s="6">
        <v>134511000000000</v>
      </c>
      <c r="Z13" s="6">
        <v>134511000000000</v>
      </c>
      <c r="AA13" s="6">
        <v>134511000000000</v>
      </c>
      <c r="AB13" s="6">
        <v>134511000000000</v>
      </c>
      <c r="AC13" s="6">
        <v>134511000000000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 tint="-0.249977111117893"/>
  </sheetPr>
  <dimension ref="A1:AE8"/>
  <sheetViews>
    <sheetView workbookViewId="0">
      <selection activeCell="A10" sqref="A10"/>
    </sheetView>
  </sheetViews>
  <sheetFormatPr defaultRowHeight="15" x14ac:dyDescent="0.25"/>
  <cols>
    <col min="1" max="1" width="40.42578125" customWidth="1"/>
  </cols>
  <sheetData>
    <row r="1" spans="1:31" x14ac:dyDescent="0.25">
      <c r="A1" s="1" t="s">
        <v>6</v>
      </c>
      <c r="B1" s="2">
        <v>2021</v>
      </c>
      <c r="C1">
        <v>2022</v>
      </c>
      <c r="D1" s="2">
        <v>2023</v>
      </c>
      <c r="E1">
        <v>2024</v>
      </c>
      <c r="F1" s="2">
        <v>2025</v>
      </c>
      <c r="G1">
        <v>2026</v>
      </c>
      <c r="H1" s="2">
        <v>2027</v>
      </c>
      <c r="I1">
        <v>2028</v>
      </c>
      <c r="J1" s="2">
        <v>2029</v>
      </c>
      <c r="K1">
        <v>2030</v>
      </c>
      <c r="L1" s="2">
        <v>2031</v>
      </c>
      <c r="M1">
        <v>2032</v>
      </c>
      <c r="N1" s="2">
        <v>2033</v>
      </c>
      <c r="O1">
        <v>2034</v>
      </c>
      <c r="P1" s="2">
        <v>2035</v>
      </c>
      <c r="Q1">
        <v>2036</v>
      </c>
      <c r="R1" s="2">
        <v>2037</v>
      </c>
      <c r="S1">
        <v>2038</v>
      </c>
      <c r="T1" s="2">
        <v>2039</v>
      </c>
      <c r="U1">
        <v>2040</v>
      </c>
      <c r="V1" s="2">
        <v>2041</v>
      </c>
      <c r="W1">
        <v>2042</v>
      </c>
      <c r="X1" s="2">
        <v>2043</v>
      </c>
      <c r="Y1">
        <v>2044</v>
      </c>
      <c r="Z1" s="2">
        <v>2045</v>
      </c>
      <c r="AA1">
        <v>2046</v>
      </c>
      <c r="AB1" s="2">
        <v>2047</v>
      </c>
      <c r="AC1">
        <v>2048</v>
      </c>
      <c r="AD1" s="2">
        <v>2049</v>
      </c>
      <c r="AE1">
        <v>2050</v>
      </c>
    </row>
    <row r="2" spans="1:31" x14ac:dyDescent="0.25">
      <c r="A2" t="s">
        <v>2</v>
      </c>
      <c r="B2" s="8">
        <v>0</v>
      </c>
      <c r="C2" s="8">
        <f t="shared" ref="C2:AE2" si="0">$B2</f>
        <v>0</v>
      </c>
      <c r="D2" s="8">
        <f t="shared" si="0"/>
        <v>0</v>
      </c>
      <c r="E2" s="8">
        <f t="shared" si="0"/>
        <v>0</v>
      </c>
      <c r="F2" s="8">
        <f t="shared" si="0"/>
        <v>0</v>
      </c>
      <c r="G2" s="5">
        <f t="shared" si="0"/>
        <v>0</v>
      </c>
      <c r="H2" s="5">
        <f t="shared" si="0"/>
        <v>0</v>
      </c>
      <c r="I2" s="5">
        <f t="shared" si="0"/>
        <v>0</v>
      </c>
      <c r="J2" s="5">
        <f t="shared" si="0"/>
        <v>0</v>
      </c>
      <c r="K2" s="5">
        <f t="shared" si="0"/>
        <v>0</v>
      </c>
      <c r="L2" s="5">
        <f t="shared" si="0"/>
        <v>0</v>
      </c>
      <c r="M2" s="5">
        <f t="shared" si="0"/>
        <v>0</v>
      </c>
      <c r="N2" s="5">
        <f t="shared" si="0"/>
        <v>0</v>
      </c>
      <c r="O2" s="5">
        <f t="shared" si="0"/>
        <v>0</v>
      </c>
      <c r="P2" s="5">
        <f t="shared" si="0"/>
        <v>0</v>
      </c>
      <c r="Q2" s="5">
        <f t="shared" si="0"/>
        <v>0</v>
      </c>
      <c r="R2" s="5">
        <f t="shared" si="0"/>
        <v>0</v>
      </c>
      <c r="S2" s="5">
        <f t="shared" si="0"/>
        <v>0</v>
      </c>
      <c r="T2" s="5">
        <f t="shared" si="0"/>
        <v>0</v>
      </c>
      <c r="U2" s="5">
        <f t="shared" si="0"/>
        <v>0</v>
      </c>
      <c r="V2" s="5">
        <f t="shared" si="0"/>
        <v>0</v>
      </c>
      <c r="W2" s="5">
        <f t="shared" si="0"/>
        <v>0</v>
      </c>
      <c r="X2" s="5">
        <f t="shared" si="0"/>
        <v>0</v>
      </c>
      <c r="Y2" s="5">
        <f t="shared" si="0"/>
        <v>0</v>
      </c>
      <c r="Z2" s="5">
        <f t="shared" si="0"/>
        <v>0</v>
      </c>
      <c r="AA2" s="5">
        <f t="shared" si="0"/>
        <v>0</v>
      </c>
      <c r="AB2" s="5">
        <f t="shared" si="0"/>
        <v>0</v>
      </c>
      <c r="AC2" s="5">
        <f t="shared" si="0"/>
        <v>0</v>
      </c>
      <c r="AD2" s="5">
        <f t="shared" si="0"/>
        <v>0</v>
      </c>
      <c r="AE2" s="5">
        <f t="shared" si="0"/>
        <v>0</v>
      </c>
    </row>
    <row r="3" spans="1:31" x14ac:dyDescent="0.25">
      <c r="A3" t="s">
        <v>3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5">
        <f>1-SUM(G7:G8)</f>
        <v>0.94523727313858963</v>
      </c>
      <c r="H3" s="5">
        <f t="shared" ref="H3:AE3" si="1">1-SUM(H7:H8)</f>
        <v>0.89047454627718103</v>
      </c>
      <c r="I3" s="5">
        <f t="shared" si="1"/>
        <v>0.83571181941578665</v>
      </c>
      <c r="J3" s="5">
        <f t="shared" si="1"/>
        <v>0.78094909255437628</v>
      </c>
      <c r="K3" s="5">
        <f t="shared" si="1"/>
        <v>0.72618636569296768</v>
      </c>
      <c r="L3" s="5">
        <f t="shared" si="1"/>
        <v>0.72618636569296768</v>
      </c>
      <c r="M3" s="5">
        <f t="shared" si="1"/>
        <v>0.72618636569296768</v>
      </c>
      <c r="N3" s="5">
        <f t="shared" si="1"/>
        <v>0.72618636569296768</v>
      </c>
      <c r="O3" s="5">
        <f t="shared" si="1"/>
        <v>0.72618636569296768</v>
      </c>
      <c r="P3" s="5">
        <f t="shared" si="1"/>
        <v>0.72618636569296768</v>
      </c>
      <c r="Q3" s="5">
        <f t="shared" si="1"/>
        <v>0.72618636569296768</v>
      </c>
      <c r="R3" s="5">
        <f t="shared" si="1"/>
        <v>0.72618636569296768</v>
      </c>
      <c r="S3" s="5">
        <f t="shared" si="1"/>
        <v>0.72618636569296768</v>
      </c>
      <c r="T3" s="5">
        <f t="shared" si="1"/>
        <v>0.72618636569296768</v>
      </c>
      <c r="U3" s="5">
        <f t="shared" si="1"/>
        <v>0.72618636569296768</v>
      </c>
      <c r="V3" s="5">
        <f t="shared" si="1"/>
        <v>0.72618636569296768</v>
      </c>
      <c r="W3" s="5">
        <f t="shared" si="1"/>
        <v>0.72618636569296768</v>
      </c>
      <c r="X3" s="5">
        <f t="shared" si="1"/>
        <v>0.72618636569296768</v>
      </c>
      <c r="Y3" s="5">
        <f t="shared" si="1"/>
        <v>0.72618636569296768</v>
      </c>
      <c r="Z3" s="5">
        <f t="shared" si="1"/>
        <v>0.72618636569296768</v>
      </c>
      <c r="AA3" s="5">
        <f t="shared" si="1"/>
        <v>0.72618636569296768</v>
      </c>
      <c r="AB3" s="5">
        <f t="shared" si="1"/>
        <v>0.72618636569296768</v>
      </c>
      <c r="AC3" s="5">
        <f t="shared" si="1"/>
        <v>0.72618636569296768</v>
      </c>
      <c r="AD3" s="5">
        <f t="shared" si="1"/>
        <v>0.72618636569296768</v>
      </c>
      <c r="AE3" s="5">
        <f t="shared" si="1"/>
        <v>0.72618636569296768</v>
      </c>
    </row>
    <row r="4" spans="1:31" x14ac:dyDescent="0.25">
      <c r="A4" t="s">
        <v>4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</row>
    <row r="5" spans="1:31" x14ac:dyDescent="0.25">
      <c r="A5" t="s">
        <v>5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0</v>
      </c>
    </row>
    <row r="6" spans="1:31" x14ac:dyDescent="0.25">
      <c r="A6" t="s">
        <v>9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</row>
    <row r="7" spans="1:31" x14ac:dyDescent="0.25">
      <c r="A7" t="s">
        <v>7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5" cm="1">
        <f t="array" ref="G7">TREND(BNEF!$M16:$N16,BNEF!$M$14:$N$14,BHPSbP!G$1)</f>
        <v>4.1921613145756709E-3</v>
      </c>
      <c r="H7" s="5" cm="1">
        <f t="array" ref="H7">TREND(BNEF!$M16:$N16,BNEF!$M$14:$N$14,BHPSbP!H$1)</f>
        <v>8.3843226291495654E-3</v>
      </c>
      <c r="I7" s="5" cm="1">
        <f t="array" ref="I7">TREND(BNEF!$M16:$N16,BNEF!$M$14:$N$14,BHPSbP!I$1)</f>
        <v>1.257648394372346E-2</v>
      </c>
      <c r="J7" s="5" cm="1">
        <f t="array" ref="J7">TREND(BNEF!$M16:$N16,BNEF!$M$14:$N$14,BHPSbP!J$1)</f>
        <v>1.6768645258299131E-2</v>
      </c>
      <c r="K7" s="5" cm="1">
        <f t="array" ref="K7">TREND(BNEF!$M16:$N16,BNEF!$M$14:$N$14,BHPSbP!K$1)</f>
        <v>2.0960806572873025E-2</v>
      </c>
      <c r="L7" s="5">
        <f>K7</f>
        <v>2.0960806572873025E-2</v>
      </c>
      <c r="M7" s="5">
        <f t="shared" ref="M7:AE7" si="2">L7</f>
        <v>2.0960806572873025E-2</v>
      </c>
      <c r="N7" s="5">
        <f t="shared" si="2"/>
        <v>2.0960806572873025E-2</v>
      </c>
      <c r="O7" s="5">
        <f t="shared" si="2"/>
        <v>2.0960806572873025E-2</v>
      </c>
      <c r="P7" s="5">
        <f t="shared" si="2"/>
        <v>2.0960806572873025E-2</v>
      </c>
      <c r="Q7" s="5">
        <f t="shared" si="2"/>
        <v>2.0960806572873025E-2</v>
      </c>
      <c r="R7" s="5">
        <f t="shared" si="2"/>
        <v>2.0960806572873025E-2</v>
      </c>
      <c r="S7" s="5">
        <f t="shared" si="2"/>
        <v>2.0960806572873025E-2</v>
      </c>
      <c r="T7" s="5">
        <f t="shared" si="2"/>
        <v>2.0960806572873025E-2</v>
      </c>
      <c r="U7" s="5">
        <f t="shared" si="2"/>
        <v>2.0960806572873025E-2</v>
      </c>
      <c r="V7" s="5">
        <f t="shared" si="2"/>
        <v>2.0960806572873025E-2</v>
      </c>
      <c r="W7" s="5">
        <f t="shared" si="2"/>
        <v>2.0960806572873025E-2</v>
      </c>
      <c r="X7" s="5">
        <f t="shared" si="2"/>
        <v>2.0960806572873025E-2</v>
      </c>
      <c r="Y7" s="5">
        <f t="shared" si="2"/>
        <v>2.0960806572873025E-2</v>
      </c>
      <c r="Z7" s="5">
        <f t="shared" si="2"/>
        <v>2.0960806572873025E-2</v>
      </c>
      <c r="AA7" s="5">
        <f t="shared" si="2"/>
        <v>2.0960806572873025E-2</v>
      </c>
      <c r="AB7" s="5">
        <f t="shared" si="2"/>
        <v>2.0960806572873025E-2</v>
      </c>
      <c r="AC7" s="5">
        <f t="shared" si="2"/>
        <v>2.0960806572873025E-2</v>
      </c>
      <c r="AD7" s="5">
        <f t="shared" si="2"/>
        <v>2.0960806572873025E-2</v>
      </c>
      <c r="AE7" s="5">
        <f t="shared" si="2"/>
        <v>2.0960806572873025E-2</v>
      </c>
    </row>
    <row r="8" spans="1:31" x14ac:dyDescent="0.25">
      <c r="A8" t="s">
        <v>8</v>
      </c>
      <c r="B8" s="8">
        <v>0</v>
      </c>
      <c r="C8" s="8">
        <v>0</v>
      </c>
      <c r="D8" s="8">
        <v>0</v>
      </c>
      <c r="E8" s="8">
        <v>0</v>
      </c>
      <c r="F8" s="8">
        <v>0</v>
      </c>
      <c r="G8" s="5" cm="1">
        <f t="array" ref="G8">TREND(BNEF!$M15:$N15,BNEF!$M$14:$N$14,BHPSbP!G$1)</f>
        <v>5.05705655468347E-2</v>
      </c>
      <c r="H8" s="5" cm="1">
        <f t="array" ref="H8">TREND(BNEF!$M15:$N15,BNEF!$M$14:$N$14,BHPSbP!H$1)</f>
        <v>0.1011411310936694</v>
      </c>
      <c r="I8" s="5" cm="1">
        <f t="array" ref="I8">TREND(BNEF!$M15:$N15,BNEF!$M$14:$N$14,BHPSbP!I$1)</f>
        <v>0.15171169664048989</v>
      </c>
      <c r="J8" s="5" cm="1">
        <f t="array" ref="J8">TREND(BNEF!$M15:$N15,BNEF!$M$14:$N$14,BHPSbP!J$1)</f>
        <v>0.20228226218732459</v>
      </c>
      <c r="K8" s="5" cm="1">
        <f t="array" ref="K8">TREND(BNEF!$M15:$N15,BNEF!$M$14:$N$14,BHPSbP!K$1)</f>
        <v>0.25285282773415929</v>
      </c>
      <c r="L8" s="5">
        <f>K8</f>
        <v>0.25285282773415929</v>
      </c>
      <c r="M8" s="5">
        <f t="shared" ref="M8:AE8" si="3">L8</f>
        <v>0.25285282773415929</v>
      </c>
      <c r="N8" s="5">
        <f t="shared" si="3"/>
        <v>0.25285282773415929</v>
      </c>
      <c r="O8" s="5">
        <f t="shared" si="3"/>
        <v>0.25285282773415929</v>
      </c>
      <c r="P8" s="5">
        <f t="shared" si="3"/>
        <v>0.25285282773415929</v>
      </c>
      <c r="Q8" s="5">
        <f t="shared" si="3"/>
        <v>0.25285282773415929</v>
      </c>
      <c r="R8" s="5">
        <f t="shared" si="3"/>
        <v>0.25285282773415929</v>
      </c>
      <c r="S8" s="5">
        <f t="shared" si="3"/>
        <v>0.25285282773415929</v>
      </c>
      <c r="T8" s="5">
        <f t="shared" si="3"/>
        <v>0.25285282773415929</v>
      </c>
      <c r="U8" s="5">
        <f t="shared" si="3"/>
        <v>0.25285282773415929</v>
      </c>
      <c r="V8" s="5">
        <f t="shared" si="3"/>
        <v>0.25285282773415929</v>
      </c>
      <c r="W8" s="5">
        <f t="shared" si="3"/>
        <v>0.25285282773415929</v>
      </c>
      <c r="X8" s="5">
        <f t="shared" si="3"/>
        <v>0.25285282773415929</v>
      </c>
      <c r="Y8" s="5">
        <f t="shared" si="3"/>
        <v>0.25285282773415929</v>
      </c>
      <c r="Z8" s="5">
        <f t="shared" si="3"/>
        <v>0.25285282773415929</v>
      </c>
      <c r="AA8" s="5">
        <f t="shared" si="3"/>
        <v>0.25285282773415929</v>
      </c>
      <c r="AB8" s="5">
        <f t="shared" si="3"/>
        <v>0.25285282773415929</v>
      </c>
      <c r="AC8" s="5">
        <f t="shared" si="3"/>
        <v>0.25285282773415929</v>
      </c>
      <c r="AD8" s="5">
        <f t="shared" si="3"/>
        <v>0.25285282773415929</v>
      </c>
      <c r="AE8" s="5">
        <f t="shared" si="3"/>
        <v>0.25285282773415929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BNEF</vt:lpstr>
      <vt:lpstr>EPS Data</vt:lpstr>
      <vt:lpstr>BHPSbP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2019-07-22T20:16:37Z</dcterms:created>
  <dcterms:modified xsi:type="dcterms:W3CDTF">2026-06-03T16:43:45Z</dcterms:modified>
</cp:coreProperties>
</file>