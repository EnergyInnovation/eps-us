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-analysis\InputData\hydgn\BHPSbP\"/>
    </mc:Choice>
  </mc:AlternateContent>
  <xr:revisionPtr revIDLastSave="0" documentId="13_ncr:1_{A67D7648-F14F-412C-B5F8-99FFC34E7EC6}" xr6:coauthVersionLast="47" xr6:coauthVersionMax="47" xr10:uidLastSave="{00000000-0000-0000-0000-000000000000}"/>
  <bookViews>
    <workbookView xWindow="38280" yWindow="-120" windowWidth="29040" windowHeight="17520" xr2:uid="{00000000-000D-0000-FFFF-FFFF00000000}"/>
  </bookViews>
  <sheets>
    <sheet name="About" sheetId="1" r:id="rId1"/>
    <sheet name="Evolved" sheetId="4" r:id="rId2"/>
    <sheet name="BHPSbP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B3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B8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B7" i="2"/>
  <c r="R12" i="4"/>
  <c r="S12" i="4"/>
  <c r="T12" i="4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R13" i="4"/>
  <c r="S13" i="4"/>
  <c r="T13" i="4"/>
  <c r="U13" i="4"/>
  <c r="V13" i="4"/>
  <c r="W13" i="4"/>
  <c r="X13" i="4" s="1"/>
  <c r="Y13" i="4" s="1"/>
  <c r="Z13" i="4" s="1"/>
  <c r="AA13" i="4" s="1"/>
  <c r="AB13" i="4" s="1"/>
  <c r="AC13" i="4" s="1"/>
  <c r="AD13" i="4" s="1"/>
  <c r="AE13" i="4" s="1"/>
  <c r="R14" i="4"/>
  <c r="S14" i="4"/>
  <c r="T14" i="4"/>
  <c r="U14" i="4"/>
  <c r="V14" i="4"/>
  <c r="W14" i="4"/>
  <c r="X14" i="4"/>
  <c r="Y14" i="4"/>
  <c r="Z14" i="4"/>
  <c r="AA14" i="4"/>
  <c r="AB14" i="4"/>
  <c r="AC14" i="4"/>
  <c r="AD14" i="4" s="1"/>
  <c r="AE14" i="4" s="1"/>
  <c r="Q13" i="4"/>
  <c r="Q14" i="4"/>
  <c r="Q12" i="4"/>
  <c r="M12" i="4" a="1"/>
  <c r="M12" i="4" s="1"/>
  <c r="N12" i="4" a="1"/>
  <c r="N12" i="4" s="1"/>
  <c r="O12" i="4" a="1"/>
  <c r="O12" i="4"/>
  <c r="P12" i="4" a="1"/>
  <c r="P12" i="4"/>
  <c r="M13" i="4" a="1"/>
  <c r="M13" i="4"/>
  <c r="N13" i="4" a="1"/>
  <c r="N13" i="4" s="1"/>
  <c r="O13" i="4" a="1"/>
  <c r="O13" i="4" s="1"/>
  <c r="P13" i="4" a="1"/>
  <c r="P13" i="4"/>
  <c r="M14" i="4" a="1"/>
  <c r="M14" i="4"/>
  <c r="N14" i="4" a="1"/>
  <c r="N14" i="4"/>
  <c r="O14" i="4" a="1"/>
  <c r="O14" i="4" s="1"/>
  <c r="P14" i="4" a="1"/>
  <c r="P14" i="4" s="1"/>
  <c r="L13" i="4" a="1"/>
  <c r="L13" i="4"/>
  <c r="L14" i="4" a="1"/>
  <c r="L14" i="4"/>
  <c r="L12" i="4" a="1"/>
  <c r="L12" i="4" s="1"/>
  <c r="H12" i="4" a="1"/>
  <c r="H12" i="4"/>
  <c r="I12" i="4" a="1"/>
  <c r="I12" i="4"/>
  <c r="J12" i="4" a="1"/>
  <c r="J12" i="4" s="1"/>
  <c r="K12" i="4" a="1"/>
  <c r="K12" i="4" s="1"/>
  <c r="H13" i="4" a="1"/>
  <c r="H13" i="4"/>
  <c r="I13" i="4" a="1"/>
  <c r="I13" i="4"/>
  <c r="J13" i="4" a="1"/>
  <c r="J13" i="4"/>
  <c r="K13" i="4" a="1"/>
  <c r="K13" i="4" s="1"/>
  <c r="H14" i="4" a="1"/>
  <c r="H14" i="4" s="1"/>
  <c r="I14" i="4" a="1"/>
  <c r="I14" i="4" s="1"/>
  <c r="J14" i="4" a="1"/>
  <c r="J14" i="4"/>
  <c r="K14" i="4" a="1"/>
  <c r="K14" i="4"/>
  <c r="G13" i="4" a="1"/>
  <c r="G13" i="4" s="1"/>
  <c r="G14" i="4" a="1"/>
  <c r="G14" i="4" s="1"/>
  <c r="G12" i="4" a="1"/>
  <c r="G12" i="4" s="1"/>
  <c r="F12" i="4"/>
  <c r="F13" i="4"/>
  <c r="F14" i="4"/>
  <c r="C12" i="4"/>
  <c r="D12" i="4"/>
  <c r="E12" i="4"/>
  <c r="C13" i="4"/>
  <c r="D13" i="4"/>
  <c r="E13" i="4"/>
  <c r="C14" i="4"/>
  <c r="D14" i="4"/>
  <c r="E14" i="4"/>
  <c r="B13" i="4"/>
  <c r="B14" i="4"/>
  <c r="B12" i="4"/>
  <c r="C7" i="4"/>
  <c r="D7" i="4"/>
  <c r="C8" i="4"/>
  <c r="D8" i="4"/>
  <c r="C9" i="4"/>
  <c r="D9" i="4"/>
  <c r="B8" i="4"/>
  <c r="B9" i="4"/>
  <c r="B7" i="4"/>
  <c r="C2" i="2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<sst xmlns="http://schemas.openxmlformats.org/spreadsheetml/2006/main" count="26" uniqueCount="20">
  <si>
    <t>BHPSbP BAU Hydrogen Production Shares by Pathway</t>
  </si>
  <si>
    <t>Sources:</t>
  </si>
  <si>
    <t>electrolysis</t>
  </si>
  <si>
    <t>natural gas reforming</t>
  </si>
  <si>
    <t>coal gasification</t>
  </si>
  <si>
    <t>biomass gasification</t>
  </si>
  <si>
    <t>Production Share (dimensionless)</t>
  </si>
  <si>
    <t>electrolysis with guaranteed clean electricity</t>
  </si>
  <si>
    <t>natural gas reforming with CCS</t>
  </si>
  <si>
    <t>hydrocarbon partial oxidation</t>
  </si>
  <si>
    <t>Evolved Energy</t>
  </si>
  <si>
    <t>https://www.evolved.energy/us-adp-2024</t>
  </si>
  <si>
    <t>Interactive Figure, H2 Production</t>
  </si>
  <si>
    <t>2024 U.S. Annual Decarbonization Perspective</t>
  </si>
  <si>
    <t>Grid-connected electrolysis</t>
  </si>
  <si>
    <t>SMR w/ CC</t>
  </si>
  <si>
    <t>SMR</t>
  </si>
  <si>
    <t>EJ by production pathway</t>
  </si>
  <si>
    <t>% by production pathway</t>
  </si>
  <si>
    <t>Extrapolated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</si>
</sst>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1"/>
    <xf numFmtId="164" fontId="0" fillId="0" borderId="0" xfId="0" applyNumberFormat="1"/>
    <xf numFmtId="0" fontId="4" fillId="0" borderId="0" xfId="0" applyFont="1"/>
    <xf numFmtId="0" fontId="4" fillId="0" borderId="0" xfId="0" applyFont="1" applyAlignment="1">
      <alignment horizontal="right"/>
    </xf>
    <xf numFmtId="9" fontId="0" fillId="0" borderId="0" xfId="2" applyFont="1"/>
    <xf numFmtId="9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selection activeCell="A13" sqref="A13:XFD24"/>
    </sheetView>
  </sheetViews>
  <sheetFormatPr defaultRowHeight="14.5" x14ac:dyDescent="0.35"/>
  <cols>
    <col min="1" max="1" width="12.7265625" customWidth="1"/>
  </cols>
  <sheetData>
    <row r="1" spans="1:2" x14ac:dyDescent="0.35">
      <c r="A1" s="1" t="s">
        <v>0</v>
      </c>
    </row>
    <row r="3" spans="1:2" x14ac:dyDescent="0.35">
      <c r="A3" s="1" t="s">
        <v>1</v>
      </c>
      <c r="B3" t="s">
        <v>10</v>
      </c>
    </row>
    <row r="4" spans="1:2" x14ac:dyDescent="0.35">
      <c r="B4" s="3">
        <v>2024</v>
      </c>
    </row>
    <row r="5" spans="1:2" x14ac:dyDescent="0.35">
      <c r="B5" t="s">
        <v>13</v>
      </c>
    </row>
    <row r="6" spans="1:2" x14ac:dyDescent="0.35">
      <c r="B6" s="4" t="s">
        <v>11</v>
      </c>
    </row>
    <row r="7" spans="1:2" x14ac:dyDescent="0.35">
      <c r="B7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1DD9-DD63-472A-AC41-88073BAABF04}">
  <dimension ref="A1:AE14"/>
  <sheetViews>
    <sheetView workbookViewId="0">
      <selection activeCell="Q12" sqref="Q12:AE14"/>
    </sheetView>
  </sheetViews>
  <sheetFormatPr defaultRowHeight="14.5" x14ac:dyDescent="0.35"/>
  <cols>
    <col min="1" max="1" width="24.90625" customWidth="1"/>
  </cols>
  <sheetData>
    <row r="1" spans="1:31" x14ac:dyDescent="0.35">
      <c r="A1" s="7" t="s">
        <v>17</v>
      </c>
      <c r="B1">
        <v>2025</v>
      </c>
      <c r="C1">
        <v>2030</v>
      </c>
      <c r="D1">
        <v>2035</v>
      </c>
    </row>
    <row r="2" spans="1:31" x14ac:dyDescent="0.35">
      <c r="A2" t="s">
        <v>14</v>
      </c>
      <c r="C2">
        <v>0.253</v>
      </c>
      <c r="D2">
        <v>1.02</v>
      </c>
    </row>
    <row r="3" spans="1:31" x14ac:dyDescent="0.35">
      <c r="A3" t="s">
        <v>15</v>
      </c>
      <c r="C3">
        <v>6.0999999999999999E-2</v>
      </c>
      <c r="D3">
        <v>4.4999999999999998E-2</v>
      </c>
    </row>
    <row r="4" spans="1:31" x14ac:dyDescent="0.35">
      <c r="A4" t="s">
        <v>16</v>
      </c>
      <c r="B4">
        <v>1.323</v>
      </c>
      <c r="C4">
        <v>1.181</v>
      </c>
      <c r="D4">
        <v>0.71</v>
      </c>
    </row>
    <row r="6" spans="1:31" x14ac:dyDescent="0.35">
      <c r="A6" s="7" t="s">
        <v>18</v>
      </c>
      <c r="B6">
        <v>2025</v>
      </c>
      <c r="C6">
        <v>2030</v>
      </c>
      <c r="D6">
        <v>2035</v>
      </c>
    </row>
    <row r="7" spans="1:31" x14ac:dyDescent="0.35">
      <c r="A7" t="s">
        <v>14</v>
      </c>
      <c r="B7" s="8">
        <f>B2/SUM(B$2:B$4)</f>
        <v>0</v>
      </c>
      <c r="C7" s="8">
        <f t="shared" ref="C7:D7" si="0">C2/SUM(C$2:C$4)</f>
        <v>0.16923076923076921</v>
      </c>
      <c r="D7" s="8">
        <f t="shared" si="0"/>
        <v>0.57464788732394367</v>
      </c>
    </row>
    <row r="8" spans="1:31" x14ac:dyDescent="0.35">
      <c r="A8" t="s">
        <v>15</v>
      </c>
      <c r="B8" s="8">
        <f t="shared" ref="B8:D9" si="1">B3/SUM(B$2:B$4)</f>
        <v>0</v>
      </c>
      <c r="C8" s="8">
        <f t="shared" si="1"/>
        <v>4.0802675585284276E-2</v>
      </c>
      <c r="D8" s="8">
        <f t="shared" si="1"/>
        <v>2.5352112676056339E-2</v>
      </c>
    </row>
    <row r="9" spans="1:31" x14ac:dyDescent="0.35">
      <c r="A9" t="s">
        <v>16</v>
      </c>
      <c r="B9" s="8">
        <f t="shared" si="1"/>
        <v>1</v>
      </c>
      <c r="C9" s="8">
        <f t="shared" si="1"/>
        <v>0.78996655518394643</v>
      </c>
      <c r="D9" s="8">
        <f t="shared" si="1"/>
        <v>0.4</v>
      </c>
    </row>
    <row r="11" spans="1:31" x14ac:dyDescent="0.35">
      <c r="A11" s="6" t="s">
        <v>19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 x14ac:dyDescent="0.35">
      <c r="A12" t="s">
        <v>14</v>
      </c>
      <c r="B12" s="9">
        <f>$B7</f>
        <v>0</v>
      </c>
      <c r="C12" s="9">
        <f t="shared" ref="C12:E12" si="2">$B7</f>
        <v>0</v>
      </c>
      <c r="D12" s="9">
        <f t="shared" si="2"/>
        <v>0</v>
      </c>
      <c r="E12" s="9">
        <f t="shared" si="2"/>
        <v>0</v>
      </c>
      <c r="F12" s="9">
        <f t="shared" ref="F12" si="3">$B7</f>
        <v>0</v>
      </c>
      <c r="G12" s="9" cm="1">
        <f t="array" ref="G12">TREND($B7:$C7,$B$6:$C$6,G$11)</f>
        <v>3.3846153846155858E-2</v>
      </c>
      <c r="H12" s="9" cm="1">
        <f t="array" ref="H12">TREND($B7:$C7,$B$6:$C$6,H$11)</f>
        <v>6.7692307692311715E-2</v>
      </c>
      <c r="I12" s="9" cm="1">
        <f t="array" ref="I12">TREND($B7:$C7,$B$6:$C$6,I$11)</f>
        <v>0.10153846153846757</v>
      </c>
      <c r="J12" s="9" cm="1">
        <f t="array" ref="J12">TREND($B7:$C7,$B$6:$C$6,J$11)</f>
        <v>0.13538461538462343</v>
      </c>
      <c r="K12" s="9" cm="1">
        <f t="array" ref="K12">TREND($B7:$C7,$B$6:$C$6,K$11)</f>
        <v>0.16923076923077929</v>
      </c>
      <c r="L12" s="9" cm="1">
        <f t="array" ref="L12">TREND($C7:$D7,$C$6:$D$6,L$11)</f>
        <v>0.25031419284943013</v>
      </c>
      <c r="M12" s="9" cm="1">
        <f t="array" ref="M12">TREND($C7:$D7,$C$6:$D$6,M$11)</f>
        <v>0.33139761646805255</v>
      </c>
      <c r="N12" s="9" cm="1">
        <f t="array" ref="N12">TREND($C7:$D7,$C$6:$D$6,N$11)</f>
        <v>0.41248104008667497</v>
      </c>
      <c r="O12" s="9" cm="1">
        <f t="array" ref="O12">TREND($C7:$D7,$C$6:$D$6,O$11)</f>
        <v>0.49356446370532581</v>
      </c>
      <c r="P12" s="9" cm="1">
        <f t="array" ref="P12">TREND($C7:$D7,$C$6:$D$6,P$11)</f>
        <v>0.57464788732394823</v>
      </c>
      <c r="Q12" s="9">
        <f>P12</f>
        <v>0.57464788732394823</v>
      </c>
      <c r="R12" s="9">
        <f t="shared" ref="R12:AE12" si="4">Q12</f>
        <v>0.57464788732394823</v>
      </c>
      <c r="S12" s="9">
        <f t="shared" si="4"/>
        <v>0.57464788732394823</v>
      </c>
      <c r="T12" s="9">
        <f t="shared" si="4"/>
        <v>0.57464788732394823</v>
      </c>
      <c r="U12" s="9">
        <f t="shared" si="4"/>
        <v>0.57464788732394823</v>
      </c>
      <c r="V12" s="9">
        <f t="shared" si="4"/>
        <v>0.57464788732394823</v>
      </c>
      <c r="W12" s="9">
        <f t="shared" si="4"/>
        <v>0.57464788732394823</v>
      </c>
      <c r="X12" s="9">
        <f t="shared" si="4"/>
        <v>0.57464788732394823</v>
      </c>
      <c r="Y12" s="9">
        <f t="shared" si="4"/>
        <v>0.57464788732394823</v>
      </c>
      <c r="Z12" s="9">
        <f t="shared" si="4"/>
        <v>0.57464788732394823</v>
      </c>
      <c r="AA12" s="9">
        <f t="shared" si="4"/>
        <v>0.57464788732394823</v>
      </c>
      <c r="AB12" s="9">
        <f t="shared" si="4"/>
        <v>0.57464788732394823</v>
      </c>
      <c r="AC12" s="9">
        <f t="shared" si="4"/>
        <v>0.57464788732394823</v>
      </c>
      <c r="AD12" s="9">
        <f t="shared" si="4"/>
        <v>0.57464788732394823</v>
      </c>
      <c r="AE12" s="9">
        <f t="shared" si="4"/>
        <v>0.57464788732394823</v>
      </c>
    </row>
    <row r="13" spans="1:31" x14ac:dyDescent="0.35">
      <c r="A13" t="s">
        <v>15</v>
      </c>
      <c r="B13" s="9">
        <f t="shared" ref="B13:E14" si="5">$B8</f>
        <v>0</v>
      </c>
      <c r="C13" s="9">
        <f t="shared" si="5"/>
        <v>0</v>
      </c>
      <c r="D13" s="9">
        <f t="shared" si="5"/>
        <v>0</v>
      </c>
      <c r="E13" s="9">
        <f t="shared" si="5"/>
        <v>0</v>
      </c>
      <c r="F13" s="9">
        <f t="shared" ref="F13" si="6">$B8</f>
        <v>0</v>
      </c>
      <c r="G13" s="9" cm="1">
        <f t="array" ref="G13">TREND($B8:$C8,$B$6:$C$6,G$11)</f>
        <v>8.1605351170566109E-3</v>
      </c>
      <c r="H13" s="9" cm="1">
        <f t="array" ref="H13">TREND($B8:$C8,$B$6:$C$6,H$11)</f>
        <v>1.6321070234113222E-2</v>
      </c>
      <c r="I13" s="9" cm="1">
        <f t="array" ref="I13">TREND($B8:$C8,$B$6:$C$6,I$11)</f>
        <v>2.4481605351169833E-2</v>
      </c>
      <c r="J13" s="9" cm="1">
        <f t="array" ref="J13">TREND($B8:$C8,$B$6:$C$6,J$11)</f>
        <v>3.2642140468226444E-2</v>
      </c>
      <c r="K13" s="9" cm="1">
        <f t="array" ref="K13">TREND($B8:$C8,$B$6:$C$6,K$11)</f>
        <v>4.0802675585283055E-2</v>
      </c>
      <c r="L13" s="9" cm="1">
        <f t="array" ref="L13">TREND($C8:$D8,$C$6:$D$6,L$11)</f>
        <v>3.7712563003438504E-2</v>
      </c>
      <c r="M13" s="9" cm="1">
        <f t="array" ref="M13">TREND($C8:$D8,$C$6:$D$6,M$11)</f>
        <v>3.4622450421593065E-2</v>
      </c>
      <c r="N13" s="9" cm="1">
        <f t="array" ref="N13">TREND($C8:$D8,$C$6:$D$6,N$11)</f>
        <v>3.1532337839747626E-2</v>
      </c>
      <c r="O13" s="9" cm="1">
        <f t="array" ref="O13">TREND($C8:$D8,$C$6:$D$6,O$11)</f>
        <v>2.8442225257901299E-2</v>
      </c>
      <c r="P13" s="9" cm="1">
        <f t="array" ref="P13">TREND($C8:$D8,$C$6:$D$6,P$11)</f>
        <v>2.535211267605586E-2</v>
      </c>
      <c r="Q13" s="9">
        <f t="shared" ref="Q13:AE14" si="7">P13</f>
        <v>2.535211267605586E-2</v>
      </c>
      <c r="R13" s="9">
        <f t="shared" si="7"/>
        <v>2.535211267605586E-2</v>
      </c>
      <c r="S13" s="9">
        <f t="shared" si="7"/>
        <v>2.535211267605586E-2</v>
      </c>
      <c r="T13" s="9">
        <f t="shared" si="7"/>
        <v>2.535211267605586E-2</v>
      </c>
      <c r="U13" s="9">
        <f t="shared" si="7"/>
        <v>2.535211267605586E-2</v>
      </c>
      <c r="V13" s="9">
        <f t="shared" si="7"/>
        <v>2.535211267605586E-2</v>
      </c>
      <c r="W13" s="9">
        <f t="shared" si="7"/>
        <v>2.535211267605586E-2</v>
      </c>
      <c r="X13" s="9">
        <f t="shared" si="7"/>
        <v>2.535211267605586E-2</v>
      </c>
      <c r="Y13" s="9">
        <f t="shared" si="7"/>
        <v>2.535211267605586E-2</v>
      </c>
      <c r="Z13" s="9">
        <f t="shared" si="7"/>
        <v>2.535211267605586E-2</v>
      </c>
      <c r="AA13" s="9">
        <f t="shared" si="7"/>
        <v>2.535211267605586E-2</v>
      </c>
      <c r="AB13" s="9">
        <f t="shared" si="7"/>
        <v>2.535211267605586E-2</v>
      </c>
      <c r="AC13" s="9">
        <f t="shared" si="7"/>
        <v>2.535211267605586E-2</v>
      </c>
      <c r="AD13" s="9">
        <f t="shared" si="7"/>
        <v>2.535211267605586E-2</v>
      </c>
      <c r="AE13" s="9">
        <f t="shared" si="7"/>
        <v>2.535211267605586E-2</v>
      </c>
    </row>
    <row r="14" spans="1:31" x14ac:dyDescent="0.35">
      <c r="A14" t="s">
        <v>16</v>
      </c>
      <c r="B14" s="9">
        <f t="shared" si="5"/>
        <v>1</v>
      </c>
      <c r="C14" s="9">
        <f t="shared" si="5"/>
        <v>1</v>
      </c>
      <c r="D14" s="9">
        <f t="shared" si="5"/>
        <v>1</v>
      </c>
      <c r="E14" s="9">
        <f t="shared" si="5"/>
        <v>1</v>
      </c>
      <c r="F14" s="9">
        <f t="shared" ref="F14" si="8">$B9</f>
        <v>1</v>
      </c>
      <c r="G14" s="9" cm="1">
        <f t="array" ref="G14">TREND($B9:$C9,$B$6:$C$6,G$11)</f>
        <v>0.95799331103678753</v>
      </c>
      <c r="H14" s="9" cm="1">
        <f t="array" ref="H14">TREND($B9:$C9,$B$6:$C$6,H$11)</f>
        <v>0.91598662207357506</v>
      </c>
      <c r="I14" s="9" cm="1">
        <f t="array" ref="I14">TREND($B9:$C9,$B$6:$C$6,I$11)</f>
        <v>0.87397993311037681</v>
      </c>
      <c r="J14" s="9" cm="1">
        <f t="array" ref="J14">TREND($B9:$C9,$B$6:$C$6,J$11)</f>
        <v>0.83197324414716434</v>
      </c>
      <c r="K14" s="9" cm="1">
        <f t="array" ref="K14">TREND($B9:$C9,$B$6:$C$6,K$11)</f>
        <v>0.78996655518395187</v>
      </c>
      <c r="L14" s="9" cm="1">
        <f t="array" ref="L14">TREND($C9:$D9,$C$6:$D$6,L$11)</f>
        <v>0.711973244147174</v>
      </c>
      <c r="M14" s="9" cm="1">
        <f t="array" ref="M14">TREND($C9:$D9,$C$6:$D$6,M$11)</f>
        <v>0.63397993311036771</v>
      </c>
      <c r="N14" s="9" cm="1">
        <f t="array" ref="N14">TREND($C9:$D9,$C$6:$D$6,N$11)</f>
        <v>0.55598662207358984</v>
      </c>
      <c r="O14" s="9" cm="1">
        <f t="array" ref="O14">TREND($C9:$D9,$C$6:$D$6,O$11)</f>
        <v>0.47799331103681197</v>
      </c>
      <c r="P14" s="9" cm="1">
        <f t="array" ref="P14">TREND($C9:$D9,$C$6:$D$6,P$11)</f>
        <v>0.40000000000000568</v>
      </c>
      <c r="Q14" s="9">
        <f t="shared" si="7"/>
        <v>0.40000000000000568</v>
      </c>
      <c r="R14" s="9">
        <f t="shared" si="7"/>
        <v>0.40000000000000568</v>
      </c>
      <c r="S14" s="9">
        <f t="shared" si="7"/>
        <v>0.40000000000000568</v>
      </c>
      <c r="T14" s="9">
        <f t="shared" si="7"/>
        <v>0.40000000000000568</v>
      </c>
      <c r="U14" s="9">
        <f t="shared" si="7"/>
        <v>0.40000000000000568</v>
      </c>
      <c r="V14" s="9">
        <f t="shared" si="7"/>
        <v>0.40000000000000568</v>
      </c>
      <c r="W14" s="9">
        <f t="shared" si="7"/>
        <v>0.40000000000000568</v>
      </c>
      <c r="X14" s="9">
        <f t="shared" si="7"/>
        <v>0.40000000000000568</v>
      </c>
      <c r="Y14" s="9">
        <f t="shared" si="7"/>
        <v>0.40000000000000568</v>
      </c>
      <c r="Z14" s="9">
        <f t="shared" si="7"/>
        <v>0.40000000000000568</v>
      </c>
      <c r="AA14" s="9">
        <f t="shared" si="7"/>
        <v>0.40000000000000568</v>
      </c>
      <c r="AB14" s="9">
        <f t="shared" si="7"/>
        <v>0.40000000000000568</v>
      </c>
      <c r="AC14" s="9">
        <f t="shared" si="7"/>
        <v>0.40000000000000568</v>
      </c>
      <c r="AD14" s="9">
        <f t="shared" si="7"/>
        <v>0.40000000000000568</v>
      </c>
      <c r="AE14" s="9">
        <f t="shared" si="7"/>
        <v>0.40000000000000568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-0.249977111117893"/>
  </sheetPr>
  <dimension ref="A1:AE8"/>
  <sheetViews>
    <sheetView workbookViewId="0">
      <selection activeCell="B3" sqref="B3:AE3"/>
    </sheetView>
  </sheetViews>
  <sheetFormatPr defaultRowHeight="14.5" x14ac:dyDescent="0.35"/>
  <cols>
    <col min="1" max="1" width="40.453125" customWidth="1"/>
  </cols>
  <sheetData>
    <row r="1" spans="1:31" x14ac:dyDescent="0.35">
      <c r="A1" s="1" t="s">
        <v>6</v>
      </c>
      <c r="B1" s="2">
        <v>2021</v>
      </c>
      <c r="C1">
        <v>2022</v>
      </c>
      <c r="D1" s="2">
        <v>2023</v>
      </c>
      <c r="E1">
        <v>2024</v>
      </c>
      <c r="F1" s="2">
        <v>2025</v>
      </c>
      <c r="G1">
        <v>2026</v>
      </c>
      <c r="H1" s="2">
        <v>2027</v>
      </c>
      <c r="I1">
        <v>2028</v>
      </c>
      <c r="J1" s="2">
        <v>2029</v>
      </c>
      <c r="K1">
        <v>2030</v>
      </c>
      <c r="L1" s="2">
        <v>2031</v>
      </c>
      <c r="M1">
        <v>2032</v>
      </c>
      <c r="N1" s="2">
        <v>2033</v>
      </c>
      <c r="O1">
        <v>2034</v>
      </c>
      <c r="P1" s="2">
        <v>2035</v>
      </c>
      <c r="Q1">
        <v>2036</v>
      </c>
      <c r="R1" s="2">
        <v>2037</v>
      </c>
      <c r="S1">
        <v>2038</v>
      </c>
      <c r="T1" s="2">
        <v>2039</v>
      </c>
      <c r="U1">
        <v>2040</v>
      </c>
      <c r="V1" s="2">
        <v>2041</v>
      </c>
      <c r="W1">
        <v>2042</v>
      </c>
      <c r="X1" s="2">
        <v>2043</v>
      </c>
      <c r="Y1">
        <v>2044</v>
      </c>
      <c r="Z1" s="2">
        <v>2045</v>
      </c>
      <c r="AA1">
        <v>2046</v>
      </c>
      <c r="AB1" s="2">
        <v>2047</v>
      </c>
      <c r="AC1">
        <v>2048</v>
      </c>
      <c r="AD1" s="2">
        <v>2049</v>
      </c>
      <c r="AE1">
        <v>2050</v>
      </c>
    </row>
    <row r="2" spans="1:31" x14ac:dyDescent="0.35">
      <c r="A2" t="s">
        <v>2</v>
      </c>
      <c r="B2" s="5">
        <v>0</v>
      </c>
      <c r="C2" s="5">
        <f t="shared" ref="C2:AE2" si="0">$B2</f>
        <v>0</v>
      </c>
      <c r="D2" s="5">
        <f t="shared" si="0"/>
        <v>0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0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</row>
    <row r="3" spans="1:31" x14ac:dyDescent="0.35">
      <c r="A3" t="s">
        <v>3</v>
      </c>
      <c r="B3" s="5">
        <f>Evolved!B14</f>
        <v>1</v>
      </c>
      <c r="C3" s="5">
        <f>Evolved!C14</f>
        <v>1</v>
      </c>
      <c r="D3" s="5">
        <f>Evolved!D14</f>
        <v>1</v>
      </c>
      <c r="E3" s="5">
        <f>Evolved!E14</f>
        <v>1</v>
      </c>
      <c r="F3" s="5">
        <f>Evolved!F14</f>
        <v>1</v>
      </c>
      <c r="G3" s="5">
        <f>Evolved!G14</f>
        <v>0.95799331103678753</v>
      </c>
      <c r="H3" s="5">
        <f>Evolved!H14</f>
        <v>0.91598662207357506</v>
      </c>
      <c r="I3" s="5">
        <f>Evolved!I14</f>
        <v>0.87397993311037681</v>
      </c>
      <c r="J3" s="5">
        <f>Evolved!J14</f>
        <v>0.83197324414716434</v>
      </c>
      <c r="K3" s="5">
        <f>Evolved!K14</f>
        <v>0.78996655518395187</v>
      </c>
      <c r="L3" s="5">
        <f>Evolved!L14</f>
        <v>0.711973244147174</v>
      </c>
      <c r="M3" s="5">
        <f>Evolved!M14</f>
        <v>0.63397993311036771</v>
      </c>
      <c r="N3" s="5">
        <f>Evolved!N14</f>
        <v>0.55598662207358984</v>
      </c>
      <c r="O3" s="5">
        <f>Evolved!O14</f>
        <v>0.47799331103681197</v>
      </c>
      <c r="P3" s="5">
        <f>Evolved!P14</f>
        <v>0.40000000000000568</v>
      </c>
      <c r="Q3" s="5">
        <f>Evolved!Q14</f>
        <v>0.40000000000000568</v>
      </c>
      <c r="R3" s="5">
        <f>Evolved!R14</f>
        <v>0.40000000000000568</v>
      </c>
      <c r="S3" s="5">
        <f>Evolved!S14</f>
        <v>0.40000000000000568</v>
      </c>
      <c r="T3" s="5">
        <f>Evolved!T14</f>
        <v>0.40000000000000568</v>
      </c>
      <c r="U3" s="5">
        <f>Evolved!U14</f>
        <v>0.40000000000000568</v>
      </c>
      <c r="V3" s="5">
        <f>Evolved!V14</f>
        <v>0.40000000000000568</v>
      </c>
      <c r="W3" s="5">
        <f>Evolved!W14</f>
        <v>0.40000000000000568</v>
      </c>
      <c r="X3" s="5">
        <f>Evolved!X14</f>
        <v>0.40000000000000568</v>
      </c>
      <c r="Y3" s="5">
        <f>Evolved!Y14</f>
        <v>0.40000000000000568</v>
      </c>
      <c r="Z3" s="5">
        <f>Evolved!Z14</f>
        <v>0.40000000000000568</v>
      </c>
      <c r="AA3" s="5">
        <f>Evolved!AA14</f>
        <v>0.40000000000000568</v>
      </c>
      <c r="AB3" s="5">
        <f>Evolved!AB14</f>
        <v>0.40000000000000568</v>
      </c>
      <c r="AC3" s="5">
        <f>Evolved!AC14</f>
        <v>0.40000000000000568</v>
      </c>
      <c r="AD3" s="5">
        <f>Evolved!AD14</f>
        <v>0.40000000000000568</v>
      </c>
      <c r="AE3" s="5">
        <f>Evolved!AE14</f>
        <v>0.40000000000000568</v>
      </c>
    </row>
    <row r="4" spans="1:31" x14ac:dyDescent="0.35">
      <c r="A4" t="s">
        <v>4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35">
      <c r="A5" t="s">
        <v>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35">
      <c r="A6" t="s">
        <v>9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35">
      <c r="A7" t="s">
        <v>7</v>
      </c>
      <c r="B7" s="5">
        <f>Evolved!B12</f>
        <v>0</v>
      </c>
      <c r="C7" s="5">
        <f>Evolved!C12</f>
        <v>0</v>
      </c>
      <c r="D7" s="5">
        <f>Evolved!D12</f>
        <v>0</v>
      </c>
      <c r="E7" s="5">
        <f>Evolved!E12</f>
        <v>0</v>
      </c>
      <c r="F7" s="5">
        <f>Evolved!F12</f>
        <v>0</v>
      </c>
      <c r="G7" s="5">
        <f>Evolved!G12</f>
        <v>3.3846153846155858E-2</v>
      </c>
      <c r="H7" s="5">
        <f>Evolved!H12</f>
        <v>6.7692307692311715E-2</v>
      </c>
      <c r="I7" s="5">
        <f>Evolved!I12</f>
        <v>0.10153846153846757</v>
      </c>
      <c r="J7" s="5">
        <f>Evolved!J12</f>
        <v>0.13538461538462343</v>
      </c>
      <c r="K7" s="5">
        <f>Evolved!K12</f>
        <v>0.16923076923077929</v>
      </c>
      <c r="L7" s="5">
        <f>Evolved!L12</f>
        <v>0.25031419284943013</v>
      </c>
      <c r="M7" s="5">
        <f>Evolved!M12</f>
        <v>0.33139761646805255</v>
      </c>
      <c r="N7" s="5">
        <f>Evolved!N12</f>
        <v>0.41248104008667497</v>
      </c>
      <c r="O7" s="5">
        <f>Evolved!O12</f>
        <v>0.49356446370532581</v>
      </c>
      <c r="P7" s="5">
        <f>Evolved!P12</f>
        <v>0.57464788732394823</v>
      </c>
      <c r="Q7" s="5">
        <f>Evolved!Q12</f>
        <v>0.57464788732394823</v>
      </c>
      <c r="R7" s="5">
        <f>Evolved!R12</f>
        <v>0.57464788732394823</v>
      </c>
      <c r="S7" s="5">
        <f>Evolved!S12</f>
        <v>0.57464788732394823</v>
      </c>
      <c r="T7" s="5">
        <f>Evolved!T12</f>
        <v>0.57464788732394823</v>
      </c>
      <c r="U7" s="5">
        <f>Evolved!U12</f>
        <v>0.57464788732394823</v>
      </c>
      <c r="V7" s="5">
        <f>Evolved!V12</f>
        <v>0.57464788732394823</v>
      </c>
      <c r="W7" s="5">
        <f>Evolved!W12</f>
        <v>0.57464788732394823</v>
      </c>
      <c r="X7" s="5">
        <f>Evolved!X12</f>
        <v>0.57464788732394823</v>
      </c>
      <c r="Y7" s="5">
        <f>Evolved!Y12</f>
        <v>0.57464788732394823</v>
      </c>
      <c r="Z7" s="5">
        <f>Evolved!Z12</f>
        <v>0.57464788732394823</v>
      </c>
      <c r="AA7" s="5">
        <f>Evolved!AA12</f>
        <v>0.57464788732394823</v>
      </c>
      <c r="AB7" s="5">
        <f>Evolved!AB12</f>
        <v>0.57464788732394823</v>
      </c>
      <c r="AC7" s="5">
        <f>Evolved!AC12</f>
        <v>0.57464788732394823</v>
      </c>
      <c r="AD7" s="5">
        <f>Evolved!AD12</f>
        <v>0.57464788732394823</v>
      </c>
      <c r="AE7" s="5">
        <f>Evolved!AE12</f>
        <v>0.57464788732394823</v>
      </c>
    </row>
    <row r="8" spans="1:31" x14ac:dyDescent="0.35">
      <c r="A8" t="s">
        <v>8</v>
      </c>
      <c r="B8" s="5">
        <f>Evolved!B13</f>
        <v>0</v>
      </c>
      <c r="C8" s="5">
        <f>Evolved!C13</f>
        <v>0</v>
      </c>
      <c r="D8" s="5">
        <f>Evolved!D13</f>
        <v>0</v>
      </c>
      <c r="E8" s="5">
        <f>Evolved!E13</f>
        <v>0</v>
      </c>
      <c r="F8" s="5">
        <f>Evolved!F13</f>
        <v>0</v>
      </c>
      <c r="G8" s="5">
        <f>Evolved!G13</f>
        <v>8.1605351170566109E-3</v>
      </c>
      <c r="H8" s="5">
        <f>Evolved!H13</f>
        <v>1.6321070234113222E-2</v>
      </c>
      <c r="I8" s="5">
        <f>Evolved!I13</f>
        <v>2.4481605351169833E-2</v>
      </c>
      <c r="J8" s="5">
        <f>Evolved!J13</f>
        <v>3.2642140468226444E-2</v>
      </c>
      <c r="K8" s="5">
        <f>Evolved!K13</f>
        <v>4.0802675585283055E-2</v>
      </c>
      <c r="L8" s="5">
        <f>Evolved!L13</f>
        <v>3.7712563003438504E-2</v>
      </c>
      <c r="M8" s="5">
        <f>Evolved!M13</f>
        <v>3.4622450421593065E-2</v>
      </c>
      <c r="N8" s="5">
        <f>Evolved!N13</f>
        <v>3.1532337839747626E-2</v>
      </c>
      <c r="O8" s="5">
        <f>Evolved!O13</f>
        <v>2.8442225257901299E-2</v>
      </c>
      <c r="P8" s="5">
        <f>Evolved!P13</f>
        <v>2.535211267605586E-2</v>
      </c>
      <c r="Q8" s="5">
        <f>Evolved!Q13</f>
        <v>2.535211267605586E-2</v>
      </c>
      <c r="R8" s="5">
        <f>Evolved!R13</f>
        <v>2.535211267605586E-2</v>
      </c>
      <c r="S8" s="5">
        <f>Evolved!S13</f>
        <v>2.535211267605586E-2</v>
      </c>
      <c r="T8" s="5">
        <f>Evolved!T13</f>
        <v>2.535211267605586E-2</v>
      </c>
      <c r="U8" s="5">
        <f>Evolved!U13</f>
        <v>2.535211267605586E-2</v>
      </c>
      <c r="V8" s="5">
        <f>Evolved!V13</f>
        <v>2.535211267605586E-2</v>
      </c>
      <c r="W8" s="5">
        <f>Evolved!W13</f>
        <v>2.535211267605586E-2</v>
      </c>
      <c r="X8" s="5">
        <f>Evolved!X13</f>
        <v>2.535211267605586E-2</v>
      </c>
      <c r="Y8" s="5">
        <f>Evolved!Y13</f>
        <v>2.535211267605586E-2</v>
      </c>
      <c r="Z8" s="5">
        <f>Evolved!Z13</f>
        <v>2.535211267605586E-2</v>
      </c>
      <c r="AA8" s="5">
        <f>Evolved!AA13</f>
        <v>2.535211267605586E-2</v>
      </c>
      <c r="AB8" s="5">
        <f>Evolved!AB13</f>
        <v>2.535211267605586E-2</v>
      </c>
      <c r="AC8" s="5">
        <f>Evolved!AC13</f>
        <v>2.535211267605586E-2</v>
      </c>
      <c r="AD8" s="5">
        <f>Evolved!AD13</f>
        <v>2.535211267605586E-2</v>
      </c>
      <c r="AE8" s="5">
        <f>Evolved!AE13</f>
        <v>2.535211267605586E-2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Evolved</vt:lpstr>
      <vt:lpstr>BHPSbP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2019-07-22T20:16:37Z</dcterms:created>
  <dcterms:modified xsi:type="dcterms:W3CDTF">2025-05-13T21:33:46Z</dcterms:modified>
</cp:coreProperties>
</file>