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hydgn\EHPpUC\"/>
    </mc:Choice>
  </mc:AlternateContent>
  <xr:revisionPtr revIDLastSave="0" documentId="13_ncr:1_{C18906AC-2494-4E5E-88F9-493776200E5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About" sheetId="1" r:id="rId1"/>
    <sheet name="FIoHP Source" sheetId="4" r:id="rId2"/>
    <sheet name="Calculations" sheetId="3" r:id="rId3"/>
    <sheet name="EHPpUC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" i="3" l="1"/>
  <c r="AH9" i="3"/>
  <c r="AG10" i="3"/>
  <c r="AG2" i="2" s="1"/>
  <c r="AG9" i="3"/>
  <c r="AF10" i="3"/>
  <c r="AF2" i="2" s="1"/>
  <c r="AF9" i="3"/>
  <c r="AE10" i="3"/>
  <c r="AE2" i="2" s="1"/>
  <c r="AE9" i="3"/>
  <c r="AD9" i="3"/>
  <c r="AC9" i="3"/>
  <c r="AB9" i="3"/>
  <c r="AA9" i="3"/>
  <c r="Z9" i="3"/>
  <c r="Y9" i="3"/>
  <c r="X9" i="3"/>
  <c r="W9" i="3"/>
  <c r="V10" i="3"/>
  <c r="V2" i="2" s="1"/>
  <c r="V9" i="3"/>
  <c r="U10" i="3"/>
  <c r="U2" i="2" s="1"/>
  <c r="U9" i="3"/>
  <c r="T10" i="3"/>
  <c r="T2" i="2" s="1"/>
  <c r="T9" i="3"/>
  <c r="S9" i="3"/>
  <c r="R9" i="3"/>
  <c r="Q9" i="3"/>
  <c r="P9" i="3"/>
  <c r="O9" i="3"/>
  <c r="N9" i="3"/>
  <c r="M9" i="3"/>
  <c r="L9" i="3"/>
  <c r="K10" i="3"/>
  <c r="K2" i="2" s="1"/>
  <c r="K9" i="3"/>
  <c r="J10" i="3"/>
  <c r="J2" i="2" s="1"/>
  <c r="J9" i="3"/>
  <c r="I10" i="3"/>
  <c r="I2" i="2" s="1"/>
  <c r="I9" i="3"/>
  <c r="H9" i="3"/>
  <c r="G9" i="3"/>
  <c r="F9" i="3"/>
  <c r="E9" i="3"/>
  <c r="D9" i="3"/>
  <c r="C9" i="3"/>
  <c r="B9" i="3"/>
  <c r="B6" i="3"/>
  <c r="AD10" i="3" s="1"/>
  <c r="AD2" i="2" s="1"/>
  <c r="C10" i="3" l="1"/>
  <c r="C2" i="2" s="1"/>
  <c r="M10" i="3"/>
  <c r="M2" i="2" s="1"/>
  <c r="AI10" i="3"/>
  <c r="AI2" i="2" s="1"/>
  <c r="O10" i="3"/>
  <c r="O2" i="2" s="1"/>
  <c r="P10" i="3"/>
  <c r="P2" i="2" s="1"/>
  <c r="W10" i="3"/>
  <c r="W2" i="2" s="1"/>
  <c r="N10" i="3"/>
  <c r="N2" i="2" s="1"/>
  <c r="AA10" i="3"/>
  <c r="AA2" i="2" s="1"/>
  <c r="G10" i="3"/>
  <c r="G2" i="2" s="1"/>
  <c r="R10" i="3"/>
  <c r="R2" i="2" s="1"/>
  <c r="AC10" i="3"/>
  <c r="AC2" i="2" s="1"/>
  <c r="L10" i="3"/>
  <c r="L2" i="2" s="1"/>
  <c r="AH10" i="3"/>
  <c r="AH2" i="2" s="1"/>
  <c r="X10" i="3"/>
  <c r="X2" i="2" s="1"/>
  <c r="Y10" i="3"/>
  <c r="Y2" i="2" s="1"/>
  <c r="D10" i="3"/>
  <c r="D2" i="2" s="1"/>
  <c r="Z10" i="3"/>
  <c r="Z2" i="2" s="1"/>
  <c r="AB10" i="3"/>
  <c r="AB2" i="2" s="1"/>
  <c r="B10" i="3"/>
  <c r="B2" i="2" s="1"/>
  <c r="E10" i="3"/>
  <c r="E2" i="2" s="1"/>
  <c r="F10" i="3"/>
  <c r="F2" i="2" s="1"/>
  <c r="Q10" i="3"/>
  <c r="Q2" i="2" s="1"/>
  <c r="H10" i="3"/>
  <c r="H2" i="2" s="1"/>
  <c r="S10" i="3"/>
  <c r="S2" i="2" s="1"/>
</calcChain>
</file>

<file path=xl/sharedStrings.xml><?xml version="1.0" encoding="utf-8"?>
<sst xmlns="http://schemas.openxmlformats.org/spreadsheetml/2006/main" count="44" uniqueCount="43">
  <si>
    <t>Notes</t>
  </si>
  <si>
    <t>EHPpUC Electrolyzer Hydrogen Production per Unit Capacity</t>
  </si>
  <si>
    <t>(BTU H2/yr) / MW</t>
  </si>
  <si>
    <t>Electricity needed per unit of hydrogen produced by electrolysis (BTU of electricity per BTU of hydrogen)</t>
  </si>
  <si>
    <t>Pasted from the 'electricity' row of the 'FIoHP-electrolysis' tab of Fuel Intensity of Hydrogen Production.xlsx (FIoHP; exported as FIoHP-electrolysis.csv) in InputData/hydgn/FIoHP.</t>
  </si>
  <si>
    <t>Year</t>
  </si>
  <si>
    <t>electricity</t>
  </si>
  <si>
    <t>Constants</t>
  </si>
  <si>
    <t>Hours in a year at full load</t>
  </si>
  <si>
    <t>24 hours x 365 days; the electrolyzer is assumed to run flat out all year</t>
  </si>
  <si>
    <t>BTU per MWh</t>
  </si>
  <si>
    <t>Standard energy conversion: 1 kWh = 3,412.14163 BTU (see Sources on the About tab)</t>
  </si>
  <si>
    <t>Electricity used per MW of electrolyzer per year at full load</t>
  </si>
  <si>
    <t>BTU electricity / MW / year</t>
  </si>
  <si>
    <t>Hydrogen produced per MW of electrolyzer per year at full load</t>
  </si>
  <si>
    <t>BTU H2 / MW / year</t>
  </si>
  <si>
    <t>Formula: (BTU of electricity per MW per year) / (BTU of electricity per BTU of hydrogen)</t>
  </si>
  <si>
    <t>Sources:</t>
  </si>
  <si>
    <t>Electricity needed per unit of hydrogen (by year)</t>
  </si>
  <si>
    <t>The FIoHP input in this model: Fuel Intensity of Hydrogen Production, electrolysis row 'electricity' (see the 'FIoHP Source' tab)</t>
  </si>
  <si>
    <t>NREL</t>
  </si>
  <si>
    <t>Hydrogen Pathways: Updated Cost, Well-to-Wheels Energy Use, and Emissions for the Current Technology Status of Ten Hydrogen Production, Delivery, and Distribution Scenarios</t>
  </si>
  <si>
    <t>https://www.nrel.gov/docs/fy14osti/60528.pdf</t>
  </si>
  <si>
    <t>Appendix I (electrolysis)</t>
  </si>
  <si>
    <t>Improvement rate over time</t>
  </si>
  <si>
    <t>International Energy Agency</t>
  </si>
  <si>
    <t>The Future of Hydrogen</t>
  </si>
  <si>
    <t>https://iea.blob.core.windows.net/assets/a02a0c80-77b2-462e-a9d5-1099e0e572ce/IEA-The-Future-of-Hydrogen-Assumptions-Annex.pdf</t>
  </si>
  <si>
    <t>Assumptions annex, Page 3</t>
  </si>
  <si>
    <t>Energy content of electricity</t>
  </si>
  <si>
    <t>U.S. Energy Information Administration</t>
  </si>
  <si>
    <t>Units and calculators explained: British thermal units (Btu)</t>
  </si>
  <si>
    <t>https://www.eia.gov/energyexplained/units-and-calculators/british-thermal-units.php</t>
  </si>
  <si>
    <t>1 kWh = 3,412 Btu (this workbook uses the more precise value of 3,412.14163 Btu per kWh)</t>
  </si>
  <si>
    <t>This input tells EPS how much hydrogen one megawatt (MW) of electrolyzer capacity produces in a year, in BTU of hydrogen per year per MW.</t>
  </si>
  <si>
    <t>EPS uses it to convert hydrogen made by electrolysis into the electrolyzer capacity needed to make it, for example the spare capacity that can</t>
  </si>
  <si>
    <t>shift when it draws electricity from the grid.</t>
  </si>
  <si>
    <t>How the workbook is laid out: this About tab; a 'FIoHP Source' tab holding the electricity needed per unit of hydrogen for each year (copied from</t>
  </si>
  <si>
    <t>the FIoHP input); a Calculations tab that does the arithmetic; and the EHPpUC tab, which EPS reads (exported to EHPpUC.csv).</t>
  </si>
  <si>
    <t>The electrolyzer is assumed to run at full load all year (24 hours x 365 days = 8,760 hours), so 1 MW uses 8,760 MWh of electricity a year.</t>
  </si>
  <si>
    <t>We convert that electricity to BTU and divide by the electricity needed per BTU of hydrogen. That need falls over time as electrolyzers become</t>
  </si>
  <si>
    <t>more efficient, so the hydrogen produced per MW rises over time. If the electrolysis efficiency in the FIoHP input is revised, paste the new</t>
  </si>
  <si>
    <t>electricity row into the 'FIoHP Source' tab and the rest updates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</si>
</sst>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5" formatCode="0.000E+00"/>
    <numFmt numFmtId="166" formatCode="0.0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>
      <selection activeCell="B6" sqref="B6"/>
    </sheetView>
  </sheetViews>
  <sheetFormatPr defaultColWidth="8.85546875" defaultRowHeight="15" x14ac:dyDescent="0.25"/>
  <sheetData>
    <row r="1" spans="1:2" x14ac:dyDescent="0.25">
      <c r="A1" s="1" t="s">
        <v>1</v>
      </c>
    </row>
    <row r="3" spans="1:2" x14ac:dyDescent="0.25">
      <c r="A3" s="1" t="s">
        <v>17</v>
      </c>
    </row>
    <row r="4" spans="1:2" x14ac:dyDescent="0.25">
      <c r="B4" t="s">
        <v>18</v>
      </c>
    </row>
    <row r="5" spans="1:2" x14ac:dyDescent="0.25">
      <c r="B5" t="s">
        <v>19</v>
      </c>
    </row>
    <row r="6" spans="1:2" x14ac:dyDescent="0.25">
      <c r="B6" t="s">
        <v>20</v>
      </c>
    </row>
    <row r="7" spans="1:2" x14ac:dyDescent="0.25">
      <c r="B7">
        <v>2013</v>
      </c>
    </row>
    <row r="8" spans="1:2" x14ac:dyDescent="0.25">
      <c r="B8" t="s">
        <v>21</v>
      </c>
    </row>
    <row r="9" spans="1:2" x14ac:dyDescent="0.25">
      <c r="B9" t="s">
        <v>22</v>
      </c>
    </row>
    <row r="10" spans="1:2" x14ac:dyDescent="0.25">
      <c r="B10" t="s">
        <v>23</v>
      </c>
    </row>
    <row r="12" spans="1:2" x14ac:dyDescent="0.25">
      <c r="B12" t="s">
        <v>24</v>
      </c>
    </row>
    <row r="13" spans="1:2" x14ac:dyDescent="0.25">
      <c r="B13" t="s">
        <v>25</v>
      </c>
    </row>
    <row r="14" spans="1:2" x14ac:dyDescent="0.25">
      <c r="B14">
        <v>2019</v>
      </c>
    </row>
    <row r="15" spans="1:2" x14ac:dyDescent="0.25">
      <c r="B15" t="s">
        <v>26</v>
      </c>
    </row>
    <row r="16" spans="1:2" x14ac:dyDescent="0.25">
      <c r="B16" t="s">
        <v>27</v>
      </c>
    </row>
    <row r="17" spans="1:2" x14ac:dyDescent="0.25">
      <c r="B17" t="s">
        <v>28</v>
      </c>
    </row>
    <row r="19" spans="1:2" x14ac:dyDescent="0.25">
      <c r="B19" t="s">
        <v>29</v>
      </c>
    </row>
    <row r="20" spans="1:2" x14ac:dyDescent="0.25">
      <c r="B20" t="s">
        <v>30</v>
      </c>
    </row>
    <row r="21" spans="1:2" x14ac:dyDescent="0.25">
      <c r="B21" t="s">
        <v>31</v>
      </c>
    </row>
    <row r="22" spans="1:2" x14ac:dyDescent="0.25">
      <c r="B22" t="s">
        <v>32</v>
      </c>
    </row>
    <row r="23" spans="1:2" x14ac:dyDescent="0.25">
      <c r="B23" t="s">
        <v>33</v>
      </c>
    </row>
    <row r="26" spans="1:2" x14ac:dyDescent="0.25">
      <c r="A26" s="1" t="s">
        <v>0</v>
      </c>
    </row>
    <row r="27" spans="1:2" x14ac:dyDescent="0.25">
      <c r="A27" t="s">
        <v>34</v>
      </c>
    </row>
    <row r="28" spans="1:2" x14ac:dyDescent="0.25">
      <c r="A28" t="s">
        <v>35</v>
      </c>
    </row>
    <row r="29" spans="1:2" x14ac:dyDescent="0.25">
      <c r="A29" t="s">
        <v>36</v>
      </c>
    </row>
    <row r="31" spans="1:2" x14ac:dyDescent="0.25">
      <c r="A31" t="s">
        <v>37</v>
      </c>
    </row>
    <row r="32" spans="1:2" x14ac:dyDescent="0.25">
      <c r="A32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17E34-78B3-4433-AA73-CB673FF51102}">
  <dimension ref="A1:AI4"/>
  <sheetViews>
    <sheetView tabSelected="1" workbookViewId="0"/>
  </sheetViews>
  <sheetFormatPr defaultRowHeight="15" x14ac:dyDescent="0.25"/>
  <cols>
    <col min="1" max="1" width="14.7109375" customWidth="1"/>
    <col min="2" max="35" width="9.5703125" bestFit="1" customWidth="1"/>
  </cols>
  <sheetData>
    <row r="1" spans="1:35" x14ac:dyDescent="0.25">
      <c r="A1" s="1" t="s">
        <v>3</v>
      </c>
    </row>
    <row r="2" spans="1:35" x14ac:dyDescent="0.25">
      <c r="A2" t="s">
        <v>4</v>
      </c>
    </row>
    <row r="3" spans="1:35" x14ac:dyDescent="0.25">
      <c r="A3" s="1" t="s">
        <v>5</v>
      </c>
      <c r="B3" s="1">
        <v>2017</v>
      </c>
      <c r="C3" s="1">
        <v>2018</v>
      </c>
      <c r="D3" s="1">
        <v>2019</v>
      </c>
      <c r="E3" s="1">
        <v>2020</v>
      </c>
      <c r="F3" s="1">
        <v>2021</v>
      </c>
      <c r="G3" s="1">
        <v>2022</v>
      </c>
      <c r="H3" s="1">
        <v>2023</v>
      </c>
      <c r="I3" s="1">
        <v>2024</v>
      </c>
      <c r="J3" s="1">
        <v>2025</v>
      </c>
      <c r="K3" s="1">
        <v>2026</v>
      </c>
      <c r="L3" s="1">
        <v>2027</v>
      </c>
      <c r="M3" s="1">
        <v>2028</v>
      </c>
      <c r="N3" s="1">
        <v>2029</v>
      </c>
      <c r="O3" s="1">
        <v>2030</v>
      </c>
      <c r="P3" s="1">
        <v>2031</v>
      </c>
      <c r="Q3" s="1">
        <v>2032</v>
      </c>
      <c r="R3" s="1">
        <v>2033</v>
      </c>
      <c r="S3" s="1">
        <v>2034</v>
      </c>
      <c r="T3" s="1">
        <v>2035</v>
      </c>
      <c r="U3" s="1">
        <v>2036</v>
      </c>
      <c r="V3" s="1">
        <v>2037</v>
      </c>
      <c r="W3" s="1">
        <v>2038</v>
      </c>
      <c r="X3" s="1">
        <v>2039</v>
      </c>
      <c r="Y3" s="1">
        <v>2040</v>
      </c>
      <c r="Z3" s="1">
        <v>2041</v>
      </c>
      <c r="AA3" s="1">
        <v>2042</v>
      </c>
      <c r="AB3" s="1">
        <v>2043</v>
      </c>
      <c r="AC3" s="1">
        <v>2044</v>
      </c>
      <c r="AD3" s="1">
        <v>2045</v>
      </c>
      <c r="AE3" s="1">
        <v>2046</v>
      </c>
      <c r="AF3" s="1">
        <v>2047</v>
      </c>
      <c r="AG3" s="1">
        <v>2048</v>
      </c>
      <c r="AH3" s="1">
        <v>2049</v>
      </c>
      <c r="AI3" s="1">
        <v>2050</v>
      </c>
    </row>
    <row r="4" spans="1:35" x14ac:dyDescent="0.25">
      <c r="A4" s="1" t="s">
        <v>6</v>
      </c>
      <c r="B4" s="2">
        <v>1.4915254237288136</v>
      </c>
      <c r="C4" s="2">
        <v>1.4829197576318118</v>
      </c>
      <c r="D4" s="2">
        <v>1.4743637437149171</v>
      </c>
      <c r="E4" s="2">
        <v>1.4658570954995509</v>
      </c>
      <c r="F4" s="2">
        <v>1.4573995281600327</v>
      </c>
      <c r="G4" s="2">
        <v>1.4489907585140429</v>
      </c>
      <c r="H4" s="2">
        <v>1.4406305050131409</v>
      </c>
      <c r="I4" s="2">
        <v>1.4323184877333388</v>
      </c>
      <c r="J4" s="2">
        <v>1.4240544283657282</v>
      </c>
      <c r="K4" s="2">
        <v>1.4158380502071617</v>
      </c>
      <c r="L4" s="2">
        <v>1.4076690781509884</v>
      </c>
      <c r="M4" s="2">
        <v>1.3995472386778423</v>
      </c>
      <c r="N4" s="2">
        <v>1.3914722598464844</v>
      </c>
      <c r="O4" s="2">
        <v>1.3834438712846973</v>
      </c>
      <c r="P4" s="2">
        <v>1.3786131359632665</v>
      </c>
      <c r="Q4" s="2">
        <v>1.3737992686942593</v>
      </c>
      <c r="R4" s="2">
        <v>1.3690022105774928</v>
      </c>
      <c r="S4" s="2">
        <v>1.3642219029184535</v>
      </c>
      <c r="T4" s="2">
        <v>1.3594582872275778</v>
      </c>
      <c r="U4" s="2">
        <v>1.3547113052195376</v>
      </c>
      <c r="V4" s="2">
        <v>1.3499808988125266</v>
      </c>
      <c r="W4" s="2">
        <v>1.345267010127549</v>
      </c>
      <c r="X4" s="2">
        <v>1.3405695814877128</v>
      </c>
      <c r="Y4" s="2">
        <v>1.3358885554175228</v>
      </c>
      <c r="Z4" s="2">
        <v>1.3312238746421781</v>
      </c>
      <c r="AA4" s="2">
        <v>1.3265754820868705</v>
      </c>
      <c r="AB4" s="2">
        <v>1.3219433208760871</v>
      </c>
      <c r="AC4" s="2">
        <v>1.3173273343329139</v>
      </c>
      <c r="AD4" s="2">
        <v>1.3127274659783426</v>
      </c>
      <c r="AE4" s="2">
        <v>1.3081436595305791</v>
      </c>
      <c r="AF4" s="2">
        <v>1.3035758589043551</v>
      </c>
      <c r="AG4" s="2">
        <v>1.2990240082102422</v>
      </c>
      <c r="AH4" s="2">
        <v>1.2944880517539674</v>
      </c>
      <c r="AI4" s="2">
        <v>1.2899679340357322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"/>
  <sheetViews>
    <sheetView workbookViewId="0">
      <selection activeCell="J6" sqref="J6"/>
    </sheetView>
  </sheetViews>
  <sheetFormatPr defaultColWidth="8.85546875" defaultRowHeight="15" x14ac:dyDescent="0.25"/>
  <cols>
    <col min="1" max="1" width="34.7109375" customWidth="1"/>
    <col min="2" max="2" width="25.140625" customWidth="1"/>
    <col min="3" max="3" width="27.42578125" customWidth="1"/>
    <col min="4" max="5" width="14.7109375" customWidth="1"/>
    <col min="6" max="6" width="12" bestFit="1" customWidth="1"/>
    <col min="7" max="35" width="9.5703125" bestFit="1" customWidth="1"/>
  </cols>
  <sheetData>
    <row r="1" spans="1:35" x14ac:dyDescent="0.25">
      <c r="A1" s="1" t="s">
        <v>7</v>
      </c>
    </row>
    <row r="2" spans="1:35" x14ac:dyDescent="0.25">
      <c r="A2" t="s">
        <v>8</v>
      </c>
      <c r="B2" s="4">
        <v>8760</v>
      </c>
      <c r="C2" t="s">
        <v>9</v>
      </c>
    </row>
    <row r="3" spans="1:35" x14ac:dyDescent="0.25">
      <c r="A3" t="s">
        <v>10</v>
      </c>
      <c r="B3" s="3">
        <v>3412141.63</v>
      </c>
      <c r="C3" t="s">
        <v>11</v>
      </c>
    </row>
    <row r="5" spans="1:35" x14ac:dyDescent="0.25">
      <c r="A5" s="1" t="s">
        <v>12</v>
      </c>
    </row>
    <row r="6" spans="1:35" x14ac:dyDescent="0.25">
      <c r="A6" t="s">
        <v>13</v>
      </c>
      <c r="B6" s="5">
        <f>B2*B3</f>
        <v>29890360678.799999</v>
      </c>
    </row>
    <row r="8" spans="1:35" x14ac:dyDescent="0.25">
      <c r="A8" s="1" t="s">
        <v>14</v>
      </c>
    </row>
    <row r="9" spans="1:35" x14ac:dyDescent="0.25">
      <c r="A9" s="1" t="s">
        <v>5</v>
      </c>
      <c r="B9" s="1">
        <f>'FIoHP Source'!B3</f>
        <v>2017</v>
      </c>
      <c r="C9" s="1">
        <f>'FIoHP Source'!C3</f>
        <v>2018</v>
      </c>
      <c r="D9" s="1">
        <f>'FIoHP Source'!D3</f>
        <v>2019</v>
      </c>
      <c r="E9" s="1">
        <f>'FIoHP Source'!E3</f>
        <v>2020</v>
      </c>
      <c r="F9" s="1">
        <f>'FIoHP Source'!F3</f>
        <v>2021</v>
      </c>
      <c r="G9" s="1">
        <f>'FIoHP Source'!G3</f>
        <v>2022</v>
      </c>
      <c r="H9" s="1">
        <f>'FIoHP Source'!H3</f>
        <v>2023</v>
      </c>
      <c r="I9" s="1">
        <f>'FIoHP Source'!I3</f>
        <v>2024</v>
      </c>
      <c r="J9" s="1">
        <f>'FIoHP Source'!J3</f>
        <v>2025</v>
      </c>
      <c r="K9" s="1">
        <f>'FIoHP Source'!K3</f>
        <v>2026</v>
      </c>
      <c r="L9" s="1">
        <f>'FIoHP Source'!L3</f>
        <v>2027</v>
      </c>
      <c r="M9" s="1">
        <f>'FIoHP Source'!M3</f>
        <v>2028</v>
      </c>
      <c r="N9" s="1">
        <f>'FIoHP Source'!N3</f>
        <v>2029</v>
      </c>
      <c r="O9" s="1">
        <f>'FIoHP Source'!O3</f>
        <v>2030</v>
      </c>
      <c r="P9" s="1">
        <f>'FIoHP Source'!P3</f>
        <v>2031</v>
      </c>
      <c r="Q9" s="1">
        <f>'FIoHP Source'!Q3</f>
        <v>2032</v>
      </c>
      <c r="R9" s="1">
        <f>'FIoHP Source'!R3</f>
        <v>2033</v>
      </c>
      <c r="S9" s="1">
        <f>'FIoHP Source'!S3</f>
        <v>2034</v>
      </c>
      <c r="T9" s="1">
        <f>'FIoHP Source'!T3</f>
        <v>2035</v>
      </c>
      <c r="U9" s="1">
        <f>'FIoHP Source'!U3</f>
        <v>2036</v>
      </c>
      <c r="V9" s="1">
        <f>'FIoHP Source'!V3</f>
        <v>2037</v>
      </c>
      <c r="W9" s="1">
        <f>'FIoHP Source'!W3</f>
        <v>2038</v>
      </c>
      <c r="X9" s="1">
        <f>'FIoHP Source'!X3</f>
        <v>2039</v>
      </c>
      <c r="Y9" s="1">
        <f>'FIoHP Source'!Y3</f>
        <v>2040</v>
      </c>
      <c r="Z9" s="1">
        <f>'FIoHP Source'!Z3</f>
        <v>2041</v>
      </c>
      <c r="AA9" s="1">
        <f>'FIoHP Source'!AA3</f>
        <v>2042</v>
      </c>
      <c r="AB9" s="1">
        <f>'FIoHP Source'!AB3</f>
        <v>2043</v>
      </c>
      <c r="AC9" s="1">
        <f>'FIoHP Source'!AC3</f>
        <v>2044</v>
      </c>
      <c r="AD9" s="1">
        <f>'FIoHP Source'!AD3</f>
        <v>2045</v>
      </c>
      <c r="AE9" s="1">
        <f>'FIoHP Source'!AE3</f>
        <v>2046</v>
      </c>
      <c r="AF9" s="1">
        <f>'FIoHP Source'!AF3</f>
        <v>2047</v>
      </c>
      <c r="AG9" s="1">
        <f>'FIoHP Source'!AG3</f>
        <v>2048</v>
      </c>
      <c r="AH9" s="1">
        <f>'FIoHP Source'!AH3</f>
        <v>2049</v>
      </c>
      <c r="AI9" s="1">
        <f>'FIoHP Source'!AI3</f>
        <v>2050</v>
      </c>
    </row>
    <row r="10" spans="1:35" x14ac:dyDescent="0.25">
      <c r="A10" s="1" t="s">
        <v>15</v>
      </c>
      <c r="B10" s="5">
        <f>$B$6/'FIoHP Source'!B4</f>
        <v>20040128182.377274</v>
      </c>
      <c r="C10" s="5">
        <f>$B$6/'FIoHP Source'!C4</f>
        <v>20156424867.20536</v>
      </c>
      <c r="D10" s="5">
        <f>$B$6/'FIoHP Source'!D4</f>
        <v>20273396443.869415</v>
      </c>
      <c r="E10" s="5">
        <f>$B$6/'FIoHP Source'!E4</f>
        <v>20391046828.895443</v>
      </c>
      <c r="F10" s="5">
        <f>$B$6/'FIoHP Source'!F4</f>
        <v>20509379961.537785</v>
      </c>
      <c r="G10" s="5">
        <f>$B$6/'FIoHP Source'!G4</f>
        <v>20628399803.911045</v>
      </c>
      <c r="H10" s="5">
        <f>$B$6/'FIoHP Source'!H4</f>
        <v>20748110341.122723</v>
      </c>
      <c r="I10" s="5">
        <f>$B$6/'FIoHP Source'!I4</f>
        <v>20868515581.406654</v>
      </c>
      <c r="J10" s="5">
        <f>$B$6/'FIoHP Source'!J4</f>
        <v>20989619556.257229</v>
      </c>
      <c r="K10" s="5">
        <f>$B$6/'FIoHP Source'!K4</f>
        <v>21111426320.564362</v>
      </c>
      <c r="L10" s="5">
        <f>$B$6/'FIoHP Source'!L4</f>
        <v>21233939952.749264</v>
      </c>
      <c r="M10" s="5">
        <f>$B$6/'FIoHP Source'!M4</f>
        <v>21357164554.901012</v>
      </c>
      <c r="N10" s="5">
        <f>$B$6/'FIoHP Source'!N4</f>
        <v>21481104252.913876</v>
      </c>
      <c r="O10" s="5">
        <f>$B$6/'FIoHP Source'!O4</f>
        <v>21605763196.625488</v>
      </c>
      <c r="P10" s="5">
        <f>$B$6/'FIoHP Source'!P4</f>
        <v>21681470964.597305</v>
      </c>
      <c r="Q10" s="5">
        <f>$B$6/'FIoHP Source'!Q4</f>
        <v>21757444016.700912</v>
      </c>
      <c r="R10" s="5">
        <f>$B$6/'FIoHP Source'!R4</f>
        <v>21833683282.506317</v>
      </c>
      <c r="S10" s="5">
        <f>$B$6/'FIoHP Source'!S4</f>
        <v>21910189694.840794</v>
      </c>
      <c r="T10" s="5">
        <f>$B$6/'FIoHP Source'!T4</f>
        <v>21986964189.800297</v>
      </c>
      <c r="U10" s="5">
        <f>$B$6/'FIoHP Source'!U4</f>
        <v>22064007706.760902</v>
      </c>
      <c r="V10" s="5">
        <f>$B$6/'FIoHP Source'!V4</f>
        <v>22141321188.390316</v>
      </c>
      <c r="W10" s="5">
        <f>$B$6/'FIoHP Source'!W4</f>
        <v>22218905580.659412</v>
      </c>
      <c r="X10" s="5">
        <f>$B$6/'FIoHP Source'!X4</f>
        <v>22296761832.853779</v>
      </c>
      <c r="Y10" s="5">
        <f>$B$6/'FIoHP Source'!Y4</f>
        <v>22374890897.585369</v>
      </c>
      <c r="Z10" s="5">
        <f>$B$6/'FIoHP Source'!Z4</f>
        <v>22453293730.804131</v>
      </c>
      <c r="AA10" s="5">
        <f>$B$6/'FIoHP Source'!AA4</f>
        <v>22531971291.809715</v>
      </c>
      <c r="AB10" s="5">
        <f>$B$6/'FIoHP Source'!AB4</f>
        <v>22610924543.263214</v>
      </c>
      <c r="AC10" s="5">
        <f>$B$6/'FIoHP Source'!AC4</f>
        <v>22690154451.19894</v>
      </c>
      <c r="AD10" s="5">
        <f>$B$6/'FIoHP Source'!AD4</f>
        <v>22769661985.036224</v>
      </c>
      <c r="AE10" s="5">
        <f>$B$6/'FIoHP Source'!AE4</f>
        <v>22849448117.591312</v>
      </c>
      <c r="AF10" s="5">
        <f>$B$6/'FIoHP Source'!AF4</f>
        <v>22929513825.089245</v>
      </c>
      <c r="AG10" s="5">
        <f>$B$6/'FIoHP Source'!AG4</f>
        <v>23009860087.175816</v>
      </c>
      <c r="AH10" s="5">
        <f>$B$6/'FIoHP Source'!AH4</f>
        <v>23090487886.929535</v>
      </c>
      <c r="AI10" s="5">
        <f>$B$6/'FIoHP Source'!AI4</f>
        <v>23171398210.873695</v>
      </c>
    </row>
    <row r="11" spans="1:35" x14ac:dyDescent="0.25">
      <c r="A1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workbookViewId="0">
      <selection activeCell="B2" sqref="B2"/>
    </sheetView>
  </sheetViews>
  <sheetFormatPr defaultColWidth="8.85546875" defaultRowHeight="15" x14ac:dyDescent="0.25"/>
  <cols>
    <col min="1" max="1" width="17" customWidth="1"/>
    <col min="2" max="35" width="11.5703125" bestFit="1" customWidth="1"/>
  </cols>
  <sheetData>
    <row r="1" spans="1:35" x14ac:dyDescent="0.25"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2</v>
      </c>
      <c r="B2" s="6">
        <f>Calculations!B10</f>
        <v>20040128182.377274</v>
      </c>
      <c r="C2" s="6">
        <f>Calculations!C10</f>
        <v>20156424867.20536</v>
      </c>
      <c r="D2" s="6">
        <f>Calculations!D10</f>
        <v>20273396443.869415</v>
      </c>
      <c r="E2" s="6">
        <f>Calculations!E10</f>
        <v>20391046828.895443</v>
      </c>
      <c r="F2" s="6">
        <f>Calculations!F10</f>
        <v>20509379961.537785</v>
      </c>
      <c r="G2" s="6">
        <f>Calculations!G10</f>
        <v>20628399803.911045</v>
      </c>
      <c r="H2" s="6">
        <f>Calculations!H10</f>
        <v>20748110341.122723</v>
      </c>
      <c r="I2" s="6">
        <f>Calculations!I10</f>
        <v>20868515581.406654</v>
      </c>
      <c r="J2" s="6">
        <f>Calculations!J10</f>
        <v>20989619556.257229</v>
      </c>
      <c r="K2" s="6">
        <f>Calculations!K10</f>
        <v>21111426320.564362</v>
      </c>
      <c r="L2" s="6">
        <f>Calculations!L10</f>
        <v>21233939952.749264</v>
      </c>
      <c r="M2" s="6">
        <f>Calculations!M10</f>
        <v>21357164554.901012</v>
      </c>
      <c r="N2" s="6">
        <f>Calculations!N10</f>
        <v>21481104252.913876</v>
      </c>
      <c r="O2" s="6">
        <f>Calculations!O10</f>
        <v>21605763196.625488</v>
      </c>
      <c r="P2" s="6">
        <f>Calculations!P10</f>
        <v>21681470964.597305</v>
      </c>
      <c r="Q2" s="6">
        <f>Calculations!Q10</f>
        <v>21757444016.700912</v>
      </c>
      <c r="R2" s="6">
        <f>Calculations!R10</f>
        <v>21833683282.506317</v>
      </c>
      <c r="S2" s="6">
        <f>Calculations!S10</f>
        <v>21910189694.840794</v>
      </c>
      <c r="T2" s="6">
        <f>Calculations!T10</f>
        <v>21986964189.800297</v>
      </c>
      <c r="U2" s="6">
        <f>Calculations!U10</f>
        <v>22064007706.760902</v>
      </c>
      <c r="V2" s="6">
        <f>Calculations!V10</f>
        <v>22141321188.390316</v>
      </c>
      <c r="W2" s="6">
        <f>Calculations!W10</f>
        <v>22218905580.659412</v>
      </c>
      <c r="X2" s="6">
        <f>Calculations!X10</f>
        <v>22296761832.853779</v>
      </c>
      <c r="Y2" s="6">
        <f>Calculations!Y10</f>
        <v>22374890897.585369</v>
      </c>
      <c r="Z2" s="6">
        <f>Calculations!Z10</f>
        <v>22453293730.804131</v>
      </c>
      <c r="AA2" s="6">
        <f>Calculations!AA10</f>
        <v>22531971291.809715</v>
      </c>
      <c r="AB2" s="6">
        <f>Calculations!AB10</f>
        <v>22610924543.263214</v>
      </c>
      <c r="AC2" s="6">
        <f>Calculations!AC10</f>
        <v>22690154451.19894</v>
      </c>
      <c r="AD2" s="6">
        <f>Calculations!AD10</f>
        <v>22769661985.036224</v>
      </c>
      <c r="AE2" s="6">
        <f>Calculations!AE10</f>
        <v>22849448117.591312</v>
      </c>
      <c r="AF2" s="6">
        <f>Calculations!AF10</f>
        <v>22929513825.089245</v>
      </c>
      <c r="AG2" s="6">
        <f>Calculations!AG10</f>
        <v>23009860087.175816</v>
      </c>
      <c r="AH2" s="6">
        <f>Calculations!AH10</f>
        <v>23090487886.929535</v>
      </c>
      <c r="AI2" s="6">
        <f>Calculations!AI10</f>
        <v>23171398210.873695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FIoHP Source</vt:lpstr>
      <vt:lpstr>Calculations</vt:lpstr>
      <vt:lpstr>EHPpUC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2019-07-24T01:16:31Z</dcterms:created>
  <dcterms:modified xsi:type="dcterms:W3CDTF">2026-10-20T15:03:38Z</dcterms:modified>
</cp:coreProperties>
</file>