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HPEC\"/>
    </mc:Choice>
  </mc:AlternateContent>
  <xr:revisionPtr revIDLastSave="0" documentId="13_ncr:1_{878AE3F9-7A1A-456B-9BB1-9DE98075B5EA}" xr6:coauthVersionLast="47" xr6:coauthVersionMax="47" xr10:uidLastSave="{00000000-0000-0000-0000-000000000000}"/>
  <bookViews>
    <workbookView xWindow="-120" yWindow="-120" windowWidth="29040" windowHeight="17520" tabRatio="658" activeTab="8" xr2:uid="{00000000-000D-0000-FFFF-FFFF00000000}"/>
  </bookViews>
  <sheets>
    <sheet name="About" sheetId="1" r:id="rId1"/>
    <sheet name="IEA Data" sheetId="2" r:id="rId2"/>
    <sheet name="Reformer data" sheetId="7" r:id="rId3"/>
    <sheet name="DoE Data" sheetId="6" r:id="rId4"/>
    <sheet name="OM Split" sheetId="8" r:id="rId5"/>
    <sheet name="Conversion Factors" sheetId="4" r:id="rId6"/>
    <sheet name="HPEC" sheetId="3" r:id="rId7"/>
    <sheet name="HPEO" sheetId="5" r:id="rId8"/>
    <sheet name="HPVOS" sheetId="9" r:id="rId9"/>
  </sheets>
  <definedNames>
    <definedName name="btu_per_kwh">'Conversion Factors'!$A$3</definedName>
    <definedName name="hours_per_year">'Conversion Factors'!$A$1</definedName>
    <definedName name="usd_year_conv">'Conversion Factors'!$A$5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B20" i="8"/>
  <c r="C11" i="8"/>
  <c r="C10" i="8"/>
  <c r="C12" i="8" s="1"/>
  <c r="B11" i="8"/>
  <c r="B14" i="8" s="1"/>
  <c r="B10" i="8"/>
  <c r="B12" i="8" s="1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B79" i="6"/>
  <c r="I82" i="6"/>
  <c r="I83" i="6" s="1"/>
  <c r="J78" i="6"/>
  <c r="B57" i="6"/>
  <c r="B58" i="6" s="1"/>
  <c r="B63" i="6" s="1"/>
  <c r="B23" i="6"/>
  <c r="F10" i="7"/>
  <c r="D79" i="6"/>
  <c r="C79" i="6"/>
  <c r="D5" i="7"/>
  <c r="G40" i="7" s="1"/>
  <c r="F12" i="7"/>
  <c r="F11" i="7"/>
  <c r="B33" i="7"/>
  <c r="B3" i="9" l="1"/>
  <c r="B6" i="9"/>
  <c r="B8" i="9"/>
  <c r="C14" i="8"/>
  <c r="B35" i="7"/>
  <c r="K78" i="6"/>
  <c r="B24" i="6"/>
  <c r="B27" i="6" s="1"/>
  <c r="H8" i="2"/>
  <c r="D73" i="6"/>
  <c r="C73" i="6"/>
  <c r="B73" i="6"/>
  <c r="B62" i="6"/>
  <c r="U64" i="6"/>
  <c r="V64" i="6"/>
  <c r="W64" i="6"/>
  <c r="X64" i="6"/>
  <c r="Y64" i="6"/>
  <c r="Z64" i="6"/>
  <c r="AA64" i="6"/>
  <c r="AB64" i="6"/>
  <c r="AC64" i="6"/>
  <c r="AD64" i="6"/>
  <c r="AE64" i="6"/>
  <c r="B48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B41" i="6"/>
  <c r="B45" i="6" s="1"/>
  <c r="B35" i="6"/>
  <c r="L5" i="2"/>
  <c r="L6" i="2" s="1"/>
  <c r="K5" i="2"/>
  <c r="K6" i="2" s="1"/>
  <c r="J5" i="2"/>
  <c r="J6" i="2" s="1"/>
  <c r="H5" i="2"/>
  <c r="B18" i="2"/>
  <c r="B19" i="2"/>
  <c r="B21" i="2"/>
  <c r="N31" i="2"/>
  <c r="B5" i="9" l="1"/>
  <c r="B4" i="9"/>
  <c r="D74" i="6"/>
  <c r="C74" i="6"/>
  <c r="B74" i="6"/>
  <c r="B13" i="8"/>
  <c r="C13" i="8"/>
  <c r="H30" i="2"/>
  <c r="B31" i="2"/>
  <c r="A31" i="2" s="1"/>
  <c r="L78" i="6"/>
  <c r="M78" i="6" s="1"/>
  <c r="N78" i="6" s="1"/>
  <c r="O78" i="6" s="1"/>
  <c r="P78" i="6" s="1"/>
  <c r="Q78" i="6" s="1"/>
  <c r="R78" i="6" s="1"/>
  <c r="I80" i="6"/>
  <c r="U96" i="6"/>
  <c r="U104" i="6"/>
  <c r="V104" i="6"/>
  <c r="V96" i="6"/>
  <c r="W104" i="6"/>
  <c r="W96" i="6"/>
  <c r="X104" i="6"/>
  <c r="X96" i="6"/>
  <c r="Y104" i="6"/>
  <c r="Y96" i="6"/>
  <c r="Z96" i="6"/>
  <c r="Z104" i="6"/>
  <c r="AA96" i="6"/>
  <c r="AA104" i="6"/>
  <c r="AB96" i="6"/>
  <c r="AB104" i="6"/>
  <c r="AC104" i="6"/>
  <c r="AC96" i="6"/>
  <c r="AD104" i="6"/>
  <c r="AD96" i="6"/>
  <c r="AE104" i="6"/>
  <c r="AE96" i="6"/>
  <c r="T104" i="6"/>
  <c r="T96" i="6"/>
  <c r="S96" i="6"/>
  <c r="S104" i="6"/>
  <c r="R104" i="6"/>
  <c r="R96" i="6"/>
  <c r="Q104" i="6"/>
  <c r="Q96" i="6"/>
  <c r="P104" i="6"/>
  <c r="P96" i="6"/>
  <c r="O104" i="6"/>
  <c r="O96" i="6"/>
  <c r="N104" i="6"/>
  <c r="N96" i="6"/>
  <c r="M104" i="6"/>
  <c r="M96" i="6"/>
  <c r="L96" i="6"/>
  <c r="L104" i="6"/>
  <c r="K96" i="6"/>
  <c r="K104" i="6"/>
  <c r="J104" i="6"/>
  <c r="J96" i="6"/>
  <c r="I96" i="6"/>
  <c r="I104" i="6"/>
  <c r="H104" i="6"/>
  <c r="H96" i="6"/>
  <c r="G104" i="6"/>
  <c r="G96" i="6"/>
  <c r="F96" i="6"/>
  <c r="F104" i="6"/>
  <c r="E96" i="6"/>
  <c r="E104" i="6"/>
  <c r="D96" i="6"/>
  <c r="D104" i="6"/>
  <c r="C104" i="6"/>
  <c r="C96" i="6"/>
  <c r="B96" i="6"/>
  <c r="B104" i="6"/>
  <c r="H68" i="6"/>
  <c r="G11" i="7"/>
  <c r="B36" i="7" s="1"/>
  <c r="C80" i="6"/>
  <c r="D80" i="6"/>
  <c r="G10" i="7"/>
  <c r="B80" i="6"/>
  <c r="G12" i="7"/>
  <c r="G41" i="7"/>
  <c r="B3" i="3" s="1"/>
  <c r="U53" i="6"/>
  <c r="U56" i="6" s="1"/>
  <c r="I39" i="6"/>
  <c r="W58" i="6"/>
  <c r="W63" i="6" s="1"/>
  <c r="X58" i="6"/>
  <c r="X63" i="6" s="1"/>
  <c r="B37" i="6"/>
  <c r="B39" i="6" s="1"/>
  <c r="Q53" i="6"/>
  <c r="Q56" i="6" s="1"/>
  <c r="P53" i="6"/>
  <c r="S53" i="6"/>
  <c r="R53" i="6"/>
  <c r="T53" i="6"/>
  <c r="AE53" i="6"/>
  <c r="AE56" i="6" s="1"/>
  <c r="H53" i="6"/>
  <c r="J53" i="6"/>
  <c r="J56" i="6" s="1"/>
  <c r="AD58" i="6"/>
  <c r="AD63" i="6" s="1"/>
  <c r="AD53" i="6"/>
  <c r="AD56" i="6" s="1"/>
  <c r="K53" i="6"/>
  <c r="K56" i="6" s="1"/>
  <c r="AC58" i="6"/>
  <c r="AC63" i="6" s="1"/>
  <c r="AC53" i="6"/>
  <c r="AC56" i="6" s="1"/>
  <c r="AB58" i="6"/>
  <c r="AB63" i="6" s="1"/>
  <c r="AB53" i="6"/>
  <c r="AB56" i="6" s="1"/>
  <c r="M53" i="6"/>
  <c r="AA58" i="6"/>
  <c r="AA63" i="6" s="1"/>
  <c r="AA53" i="6"/>
  <c r="AA56" i="6" s="1"/>
  <c r="I53" i="6"/>
  <c r="N53" i="6"/>
  <c r="Z58" i="6"/>
  <c r="Z63" i="6" s="1"/>
  <c r="Z53" i="6"/>
  <c r="Z56" i="6" s="1"/>
  <c r="L53" i="6"/>
  <c r="L56" i="6" s="1"/>
  <c r="O53" i="6"/>
  <c r="O56" i="6" s="1"/>
  <c r="Y58" i="6"/>
  <c r="Y63" i="6" s="1"/>
  <c r="D53" i="6"/>
  <c r="W53" i="6"/>
  <c r="W56" i="6" s="1"/>
  <c r="B53" i="6"/>
  <c r="C53" i="6"/>
  <c r="X53" i="6"/>
  <c r="X56" i="6" s="1"/>
  <c r="E53" i="6"/>
  <c r="V53" i="6"/>
  <c r="V56" i="6" s="1"/>
  <c r="Y53" i="6"/>
  <c r="Y56" i="6" s="1"/>
  <c r="F53" i="6"/>
  <c r="G53" i="6"/>
  <c r="V58" i="6"/>
  <c r="V63" i="6" s="1"/>
  <c r="U58" i="6"/>
  <c r="U63" i="6" s="1"/>
  <c r="AE58" i="6"/>
  <c r="AE63" i="6" s="1"/>
  <c r="N58" i="6"/>
  <c r="N63" i="6" s="1"/>
  <c r="O58" i="6"/>
  <c r="O63" i="6" s="1"/>
  <c r="P58" i="6"/>
  <c r="P63" i="6" s="1"/>
  <c r="S58" i="6"/>
  <c r="S63" i="6" s="1"/>
  <c r="R58" i="6"/>
  <c r="R63" i="6" s="1"/>
  <c r="C58" i="6"/>
  <c r="C63" i="6" s="1"/>
  <c r="G67" i="6" s="1"/>
  <c r="F58" i="6"/>
  <c r="F63" i="6" s="1"/>
  <c r="H58" i="6"/>
  <c r="H63" i="6" s="1"/>
  <c r="I58" i="6"/>
  <c r="I63" i="6" s="1"/>
  <c r="D58" i="6"/>
  <c r="D63" i="6" s="1"/>
  <c r="T58" i="6"/>
  <c r="T63" i="6" s="1"/>
  <c r="J58" i="6"/>
  <c r="J63" i="6" s="1"/>
  <c r="L58" i="6"/>
  <c r="L63" i="6" s="1"/>
  <c r="Q58" i="6"/>
  <c r="Q63" i="6" s="1"/>
  <c r="E58" i="6"/>
  <c r="E63" i="6" s="1"/>
  <c r="G58" i="6"/>
  <c r="G63" i="6" s="1"/>
  <c r="K58" i="6"/>
  <c r="K63" i="6" s="1"/>
  <c r="M58" i="6"/>
  <c r="M63" i="6" s="1"/>
  <c r="AI3" i="5" l="1"/>
  <c r="AG3" i="5"/>
  <c r="AE3" i="5"/>
  <c r="AD3" i="5"/>
  <c r="AC3" i="5"/>
  <c r="N3" i="5"/>
  <c r="L3" i="5"/>
  <c r="AH3" i="5"/>
  <c r="AF3" i="5"/>
  <c r="AB3" i="5"/>
  <c r="AA3" i="5"/>
  <c r="Z3" i="5"/>
  <c r="V3" i="5"/>
  <c r="I3" i="5"/>
  <c r="E3" i="5"/>
  <c r="K3" i="5"/>
  <c r="F3" i="5"/>
  <c r="Y3" i="5"/>
  <c r="X3" i="5"/>
  <c r="W3" i="5"/>
  <c r="G3" i="5"/>
  <c r="U3" i="5"/>
  <c r="T3" i="5"/>
  <c r="P3" i="5"/>
  <c r="H3" i="5"/>
  <c r="S3" i="5"/>
  <c r="R3" i="5"/>
  <c r="J3" i="5"/>
  <c r="Q3" i="5"/>
  <c r="O3" i="5"/>
  <c r="M3" i="5"/>
  <c r="D3" i="5"/>
  <c r="C3" i="5"/>
  <c r="B3" i="5"/>
  <c r="AI4" i="5"/>
  <c r="AI5" i="5" s="1"/>
  <c r="AF4" i="5"/>
  <c r="AF5" i="5" s="1"/>
  <c r="AB4" i="5"/>
  <c r="AB5" i="5" s="1"/>
  <c r="AA4" i="5"/>
  <c r="AA5" i="5" s="1"/>
  <c r="W4" i="5"/>
  <c r="W5" i="5" s="1"/>
  <c r="P4" i="5"/>
  <c r="P5" i="5" s="1"/>
  <c r="K4" i="5"/>
  <c r="K5" i="5" s="1"/>
  <c r="J4" i="5"/>
  <c r="J5" i="5" s="1"/>
  <c r="E4" i="5"/>
  <c r="E5" i="5" s="1"/>
  <c r="D4" i="5"/>
  <c r="D5" i="5" s="1"/>
  <c r="AH4" i="5"/>
  <c r="AH5" i="5" s="1"/>
  <c r="AG4" i="5"/>
  <c r="AG5" i="5" s="1"/>
  <c r="AE4" i="5"/>
  <c r="AE5" i="5" s="1"/>
  <c r="AD4" i="5"/>
  <c r="AD5" i="5" s="1"/>
  <c r="AC4" i="5"/>
  <c r="AC5" i="5" s="1"/>
  <c r="Z4" i="5"/>
  <c r="Z5" i="5" s="1"/>
  <c r="V4" i="5"/>
  <c r="V5" i="5" s="1"/>
  <c r="O4" i="5"/>
  <c r="O5" i="5" s="1"/>
  <c r="N4" i="5"/>
  <c r="N5" i="5" s="1"/>
  <c r="F4" i="5"/>
  <c r="F5" i="5" s="1"/>
  <c r="I4" i="5"/>
  <c r="I5" i="5" s="1"/>
  <c r="G4" i="5"/>
  <c r="G5" i="5" s="1"/>
  <c r="Y4" i="5"/>
  <c r="Y5" i="5" s="1"/>
  <c r="X4" i="5"/>
  <c r="X5" i="5" s="1"/>
  <c r="U4" i="5"/>
  <c r="U5" i="5" s="1"/>
  <c r="T4" i="5"/>
  <c r="T5" i="5" s="1"/>
  <c r="M4" i="5"/>
  <c r="M5" i="5" s="1"/>
  <c r="S4" i="5"/>
  <c r="S5" i="5" s="1"/>
  <c r="R4" i="5"/>
  <c r="R5" i="5" s="1"/>
  <c r="Q4" i="5"/>
  <c r="Q5" i="5" s="1"/>
  <c r="L4" i="5"/>
  <c r="L5" i="5" s="1"/>
  <c r="H4" i="5"/>
  <c r="H5" i="5" s="1"/>
  <c r="C4" i="5"/>
  <c r="C5" i="5" s="1"/>
  <c r="B4" i="5"/>
  <c r="B5" i="5" s="1"/>
  <c r="W3" i="3"/>
  <c r="W4" i="3" s="1"/>
  <c r="Q3" i="3"/>
  <c r="Q4" i="3" s="1"/>
  <c r="G3" i="3"/>
  <c r="G4" i="3" s="1"/>
  <c r="Z3" i="3"/>
  <c r="Z4" i="3" s="1"/>
  <c r="O3" i="3"/>
  <c r="O4" i="3" s="1"/>
  <c r="B4" i="3"/>
  <c r="AF3" i="3"/>
  <c r="AF4" i="3" s="1"/>
  <c r="L3" i="3"/>
  <c r="L4" i="3" s="1"/>
  <c r="I3" i="3"/>
  <c r="I4" i="3" s="1"/>
  <c r="D3" i="3"/>
  <c r="D4" i="3" s="1"/>
  <c r="B6" i="3"/>
  <c r="Y3" i="3"/>
  <c r="Y4" i="3" s="1"/>
  <c r="U3" i="3"/>
  <c r="U4" i="3" s="1"/>
  <c r="K3" i="3"/>
  <c r="K4" i="3" s="1"/>
  <c r="C3" i="3"/>
  <c r="C4" i="3" s="1"/>
  <c r="AI3" i="3"/>
  <c r="AI4" i="3" s="1"/>
  <c r="AD3" i="3"/>
  <c r="AD4" i="3" s="1"/>
  <c r="AA3" i="3"/>
  <c r="AA4" i="3" s="1"/>
  <c r="T3" i="3"/>
  <c r="T4" i="3" s="1"/>
  <c r="P3" i="3"/>
  <c r="P4" i="3" s="1"/>
  <c r="H3" i="3"/>
  <c r="H4" i="3" s="1"/>
  <c r="F3" i="3"/>
  <c r="F4" i="3" s="1"/>
  <c r="AH3" i="3"/>
  <c r="AH4" i="3" s="1"/>
  <c r="N3" i="3"/>
  <c r="N4" i="3" s="1"/>
  <c r="AC3" i="3"/>
  <c r="AC4" i="3" s="1"/>
  <c r="X3" i="3"/>
  <c r="X4" i="3" s="1"/>
  <c r="R3" i="3"/>
  <c r="R4" i="3" s="1"/>
  <c r="J3" i="3"/>
  <c r="J4" i="3" s="1"/>
  <c r="AG3" i="3"/>
  <c r="AG4" i="3" s="1"/>
  <c r="AE3" i="3"/>
  <c r="AE4" i="3" s="1"/>
  <c r="AB3" i="3"/>
  <c r="AB4" i="3" s="1"/>
  <c r="V3" i="3"/>
  <c r="V4" i="3" s="1"/>
  <c r="S3" i="3"/>
  <c r="S4" i="3" s="1"/>
  <c r="M3" i="3"/>
  <c r="M4" i="3" s="1"/>
  <c r="E3" i="3"/>
  <c r="E4" i="3" s="1"/>
  <c r="B56" i="6"/>
  <c r="B61" i="6" s="1"/>
  <c r="A48" i="6"/>
  <c r="B68" i="6"/>
  <c r="N56" i="6"/>
  <c r="G56" i="6"/>
  <c r="R56" i="6"/>
  <c r="D56" i="6"/>
  <c r="S56" i="6"/>
  <c r="F56" i="6"/>
  <c r="C56" i="6"/>
  <c r="T56" i="6"/>
  <c r="E56" i="6"/>
  <c r="P56" i="6"/>
  <c r="M56" i="6"/>
  <c r="I56" i="6"/>
  <c r="H56" i="6"/>
  <c r="AI6" i="5" l="1"/>
  <c r="AI8" i="5"/>
  <c r="AG6" i="5"/>
  <c r="AG8" i="5"/>
  <c r="AE6" i="5"/>
  <c r="AE8" i="5"/>
  <c r="AD8" i="5"/>
  <c r="AD6" i="5"/>
  <c r="AC6" i="5"/>
  <c r="AC8" i="5"/>
  <c r="N8" i="5"/>
  <c r="N6" i="5"/>
  <c r="L6" i="5"/>
  <c r="L8" i="5"/>
  <c r="AH6" i="5"/>
  <c r="AH8" i="5"/>
  <c r="AF8" i="5"/>
  <c r="AF6" i="5"/>
  <c r="AB6" i="5"/>
  <c r="AB8" i="5"/>
  <c r="AA6" i="5"/>
  <c r="AA8" i="5"/>
  <c r="Z8" i="5"/>
  <c r="Z6" i="5"/>
  <c r="V6" i="5"/>
  <c r="V8" i="5"/>
  <c r="I8" i="5"/>
  <c r="I6" i="5"/>
  <c r="E8" i="5"/>
  <c r="E6" i="5"/>
  <c r="K6" i="5"/>
  <c r="K8" i="5"/>
  <c r="F8" i="5"/>
  <c r="F6" i="5"/>
  <c r="Y6" i="5"/>
  <c r="Y8" i="5"/>
  <c r="X6" i="5"/>
  <c r="X8" i="5"/>
  <c r="W8" i="5"/>
  <c r="W6" i="5"/>
  <c r="G8" i="5"/>
  <c r="G6" i="5"/>
  <c r="U6" i="5"/>
  <c r="U8" i="5"/>
  <c r="T6" i="5"/>
  <c r="T8" i="5"/>
  <c r="P6" i="5"/>
  <c r="P8" i="5"/>
  <c r="H6" i="5"/>
  <c r="H8" i="5"/>
  <c r="S6" i="5"/>
  <c r="S8" i="5"/>
  <c r="R6" i="5"/>
  <c r="R8" i="5"/>
  <c r="J6" i="5"/>
  <c r="J8" i="5"/>
  <c r="Q6" i="5"/>
  <c r="Q8" i="5"/>
  <c r="O8" i="5"/>
  <c r="O6" i="5"/>
  <c r="M6" i="5"/>
  <c r="M8" i="5"/>
  <c r="D6" i="5"/>
  <c r="D8" i="5"/>
  <c r="C6" i="5"/>
  <c r="C8" i="5"/>
  <c r="B6" i="5"/>
  <c r="B8" i="5"/>
  <c r="D23" i="6" l="1"/>
  <c r="C23" i="6"/>
  <c r="D24" i="6" l="1"/>
  <c r="D27" i="6" s="1"/>
  <c r="C24" i="6"/>
  <c r="C27" i="6" s="1"/>
  <c r="A1" i="4" l="1"/>
  <c r="AE101" i="6" l="1"/>
  <c r="J101" i="6"/>
  <c r="I101" i="6"/>
  <c r="U93" i="6"/>
  <c r="R93" i="6"/>
  <c r="D101" i="6"/>
  <c r="AC93" i="6"/>
  <c r="AB93" i="6"/>
  <c r="N93" i="6"/>
  <c r="G93" i="6"/>
  <c r="F93" i="6"/>
  <c r="D93" i="6"/>
  <c r="C93" i="6"/>
  <c r="M93" i="6"/>
  <c r="AE93" i="6"/>
  <c r="T93" i="6"/>
  <c r="S93" i="6"/>
  <c r="I93" i="6"/>
  <c r="Q93" i="6"/>
  <c r="P93" i="6"/>
  <c r="K93" i="6"/>
  <c r="H93" i="6"/>
  <c r="E93" i="6"/>
  <c r="AD93" i="6"/>
  <c r="AA93" i="6"/>
  <c r="Z93" i="6"/>
  <c r="Y93" i="6"/>
  <c r="X93" i="6"/>
  <c r="W93" i="6"/>
  <c r="V93" i="6"/>
  <c r="O93" i="6"/>
  <c r="L93" i="6"/>
  <c r="J93" i="6"/>
  <c r="B93" i="6"/>
  <c r="B25" i="6"/>
  <c r="V54" i="6"/>
  <c r="Z54" i="6"/>
  <c r="AD54" i="6"/>
  <c r="AE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Y54" i="6"/>
  <c r="AB54" i="6"/>
  <c r="U54" i="6"/>
  <c r="X54" i="6"/>
  <c r="AA54" i="6"/>
  <c r="AC54" i="6"/>
  <c r="W54" i="6"/>
  <c r="B89" i="6"/>
  <c r="C25" i="6"/>
  <c r="D25" i="6"/>
  <c r="B5" i="3"/>
  <c r="B30" i="2"/>
  <c r="A30" i="2" s="1"/>
  <c r="AC101" i="6" l="1"/>
  <c r="AB101" i="6"/>
  <c r="AA101" i="6"/>
  <c r="Z101" i="6"/>
  <c r="Y101" i="6"/>
  <c r="X101" i="6"/>
  <c r="L101" i="6"/>
  <c r="W101" i="6"/>
  <c r="V101" i="6"/>
  <c r="U101" i="6"/>
  <c r="T101" i="6"/>
  <c r="S101" i="6"/>
  <c r="O101" i="6"/>
  <c r="N101" i="6"/>
  <c r="R101" i="6"/>
  <c r="Q101" i="6"/>
  <c r="P101" i="6"/>
  <c r="K101" i="6"/>
  <c r="C101" i="6"/>
  <c r="B101" i="6"/>
  <c r="M101" i="6"/>
  <c r="H101" i="6"/>
  <c r="G101" i="6"/>
  <c r="F101" i="6"/>
  <c r="E101" i="6"/>
  <c r="AD101" i="6"/>
  <c r="D94" i="6"/>
  <c r="D95" i="6" s="1"/>
  <c r="F94" i="6"/>
  <c r="F95" i="6" s="1"/>
  <c r="G94" i="6"/>
  <c r="G95" i="6" s="1"/>
  <c r="I94" i="6"/>
  <c r="I95" i="6" s="1"/>
  <c r="R94" i="6"/>
  <c r="R95" i="6" s="1"/>
  <c r="S94" i="6"/>
  <c r="S95" i="6" s="1"/>
  <c r="T94" i="6"/>
  <c r="T95" i="6" s="1"/>
  <c r="U94" i="6"/>
  <c r="U95" i="6" s="1"/>
  <c r="V94" i="6"/>
  <c r="V95" i="6" s="1"/>
  <c r="W94" i="6"/>
  <c r="W95" i="6" s="1"/>
  <c r="X94" i="6"/>
  <c r="X95" i="6" s="1"/>
  <c r="Y94" i="6"/>
  <c r="Y95" i="6" s="1"/>
  <c r="Z94" i="6"/>
  <c r="Z95" i="6" s="1"/>
  <c r="P94" i="6"/>
  <c r="P95" i="6" s="1"/>
  <c r="C94" i="6"/>
  <c r="C95" i="6" s="1"/>
  <c r="N94" i="6"/>
  <c r="N95" i="6" s="1"/>
  <c r="AB94" i="6"/>
  <c r="AB95" i="6" s="1"/>
  <c r="O94" i="6"/>
  <c r="O95" i="6" s="1"/>
  <c r="L94" i="6"/>
  <c r="L95" i="6" s="1"/>
  <c r="H94" i="6"/>
  <c r="H95" i="6" s="1"/>
  <c r="AC94" i="6"/>
  <c r="AC95" i="6" s="1"/>
  <c r="B94" i="6"/>
  <c r="B95" i="6" s="1"/>
  <c r="E94" i="6"/>
  <c r="E95" i="6" s="1"/>
  <c r="J94" i="6"/>
  <c r="J95" i="6" s="1"/>
  <c r="K94" i="6"/>
  <c r="K95" i="6" s="1"/>
  <c r="M94" i="6"/>
  <c r="M95" i="6" s="1"/>
  <c r="Q94" i="6"/>
  <c r="Q95" i="6" s="1"/>
  <c r="AA94" i="6"/>
  <c r="AA95" i="6" s="1"/>
  <c r="AD94" i="6"/>
  <c r="AD95" i="6" s="1"/>
  <c r="AE94" i="6"/>
  <c r="AE95" i="6" s="1"/>
  <c r="B26" i="6"/>
  <c r="B28" i="6"/>
  <c r="B29" i="6" s="1"/>
  <c r="Q55" i="6"/>
  <c r="W55" i="6"/>
  <c r="W59" i="6" s="1"/>
  <c r="AA55" i="6"/>
  <c r="K55" i="6"/>
  <c r="J55" i="6"/>
  <c r="O55" i="6"/>
  <c r="I55" i="6"/>
  <c r="C55" i="6"/>
  <c r="P55" i="6"/>
  <c r="H55" i="6"/>
  <c r="N55" i="6"/>
  <c r="N59" i="6" s="1"/>
  <c r="B55" i="6"/>
  <c r="S55" i="6"/>
  <c r="G55" i="6"/>
  <c r="G59" i="6" s="1"/>
  <c r="R55" i="6"/>
  <c r="R59" i="6" s="1"/>
  <c r="T55" i="6"/>
  <c r="T59" i="6" s="1"/>
  <c r="F55" i="6"/>
  <c r="AC55" i="6"/>
  <c r="L55" i="6"/>
  <c r="AE55" i="6"/>
  <c r="E55" i="6"/>
  <c r="D55" i="6"/>
  <c r="X55" i="6"/>
  <c r="AB55" i="6"/>
  <c r="AD55" i="6"/>
  <c r="AD59" i="6" s="1"/>
  <c r="U55" i="6"/>
  <c r="Z55" i="6"/>
  <c r="M55" i="6"/>
  <c r="Y55" i="6"/>
  <c r="V55" i="6"/>
  <c r="C28" i="6"/>
  <c r="C29" i="6" s="1"/>
  <c r="C26" i="6"/>
  <c r="D28" i="6"/>
  <c r="D29" i="6" s="1"/>
  <c r="D26" i="6"/>
  <c r="G8" i="3"/>
  <c r="B32" i="2"/>
  <c r="A32" i="2" s="1"/>
  <c r="A33" i="2" s="1"/>
  <c r="B8" i="3"/>
  <c r="Y8" i="3"/>
  <c r="E8" i="3"/>
  <c r="AA8" i="3"/>
  <c r="H8" i="3"/>
  <c r="K8" i="3"/>
  <c r="Z8" i="3"/>
  <c r="AC8" i="3"/>
  <c r="W8" i="3"/>
  <c r="J8" i="3"/>
  <c r="O8" i="3"/>
  <c r="V8" i="3"/>
  <c r="M8" i="3"/>
  <c r="C8" i="3"/>
  <c r="T8" i="3"/>
  <c r="AF8" i="3"/>
  <c r="N8" i="3"/>
  <c r="X8" i="3"/>
  <c r="P8" i="3"/>
  <c r="AI8" i="3"/>
  <c r="AB8" i="3"/>
  <c r="D8" i="3"/>
  <c r="Q8" i="3"/>
  <c r="F8" i="3"/>
  <c r="U8" i="3"/>
  <c r="AH8" i="3"/>
  <c r="R8" i="3"/>
  <c r="AE8" i="3"/>
  <c r="I8" i="3"/>
  <c r="S8" i="3"/>
  <c r="AD8" i="3"/>
  <c r="L8" i="3"/>
  <c r="AG8" i="3"/>
  <c r="AG5" i="3"/>
  <c r="P5" i="3"/>
  <c r="C5" i="3"/>
  <c r="I5" i="3"/>
  <c r="W5" i="3"/>
  <c r="J5" i="3"/>
  <c r="U5" i="3"/>
  <c r="T5" i="3"/>
  <c r="S5" i="3"/>
  <c r="X5" i="3"/>
  <c r="H5" i="3"/>
  <c r="O5" i="3"/>
  <c r="N5" i="3"/>
  <c r="AI5" i="3"/>
  <c r="AD5" i="3"/>
  <c r="D5" i="3"/>
  <c r="F5" i="3"/>
  <c r="V5" i="3"/>
  <c r="AB5" i="3"/>
  <c r="G5" i="3"/>
  <c r="M5" i="3"/>
  <c r="AC5" i="3"/>
  <c r="Q5" i="3"/>
  <c r="L5" i="3"/>
  <c r="E5" i="3"/>
  <c r="AH5" i="3"/>
  <c r="Z5" i="3"/>
  <c r="K5" i="3"/>
  <c r="R5" i="3"/>
  <c r="Y5" i="3"/>
  <c r="AA5" i="3"/>
  <c r="AF5" i="3"/>
  <c r="AE5" i="3"/>
  <c r="P59" i="6" l="1"/>
  <c r="L59" i="6"/>
  <c r="D59" i="6"/>
  <c r="X59" i="6"/>
  <c r="AB59" i="6"/>
  <c r="U59" i="6"/>
  <c r="Z59" i="6"/>
  <c r="S59" i="6"/>
  <c r="D102" i="6"/>
  <c r="D103" i="6" s="1"/>
  <c r="B105" i="6" s="1"/>
  <c r="C21" i="8" s="1"/>
  <c r="C22" i="8" s="1"/>
  <c r="B7" i="9" s="1"/>
  <c r="I102" i="6"/>
  <c r="I103" i="6" s="1"/>
  <c r="M102" i="6"/>
  <c r="M103" i="6" s="1"/>
  <c r="N102" i="6"/>
  <c r="N103" i="6" s="1"/>
  <c r="O102" i="6"/>
  <c r="O103" i="6" s="1"/>
  <c r="Q102" i="6"/>
  <c r="Q103" i="6" s="1"/>
  <c r="R102" i="6"/>
  <c r="R103" i="6" s="1"/>
  <c r="P102" i="6"/>
  <c r="P103" i="6" s="1"/>
  <c r="S102" i="6"/>
  <c r="S103" i="6" s="1"/>
  <c r="T102" i="6"/>
  <c r="T103" i="6" s="1"/>
  <c r="U102" i="6"/>
  <c r="U103" i="6" s="1"/>
  <c r="V102" i="6"/>
  <c r="V103" i="6" s="1"/>
  <c r="W102" i="6"/>
  <c r="W103" i="6" s="1"/>
  <c r="J102" i="6"/>
  <c r="J103" i="6" s="1"/>
  <c r="X102" i="6"/>
  <c r="X103" i="6" s="1"/>
  <c r="Y102" i="6"/>
  <c r="Y103" i="6" s="1"/>
  <c r="Z102" i="6"/>
  <c r="Z103" i="6" s="1"/>
  <c r="AA102" i="6"/>
  <c r="AA103" i="6" s="1"/>
  <c r="AB102" i="6"/>
  <c r="AB103" i="6" s="1"/>
  <c r="AC102" i="6"/>
  <c r="AC103" i="6" s="1"/>
  <c r="B102" i="6"/>
  <c r="B103" i="6" s="1"/>
  <c r="C102" i="6"/>
  <c r="C103" i="6" s="1"/>
  <c r="K102" i="6"/>
  <c r="K103" i="6" s="1"/>
  <c r="H102" i="6"/>
  <c r="H103" i="6" s="1"/>
  <c r="AD102" i="6"/>
  <c r="AD103" i="6" s="1"/>
  <c r="AE102" i="6"/>
  <c r="AE103" i="6" s="1"/>
  <c r="E102" i="6"/>
  <c r="E103" i="6" s="1"/>
  <c r="F102" i="6"/>
  <c r="F103" i="6" s="1"/>
  <c r="G102" i="6"/>
  <c r="G103" i="6" s="1"/>
  <c r="L102" i="6"/>
  <c r="L103" i="6" s="1"/>
  <c r="L2" i="3"/>
  <c r="L2" i="5" s="1"/>
  <c r="F2" i="3"/>
  <c r="F2" i="5" s="1"/>
  <c r="N2" i="3"/>
  <c r="N2" i="5" s="1"/>
  <c r="J2" i="3"/>
  <c r="J2" i="5" s="1"/>
  <c r="H2" i="3"/>
  <c r="H2" i="5" s="1"/>
  <c r="M2" i="3"/>
  <c r="M2" i="5" s="1"/>
  <c r="E2" i="3"/>
  <c r="E2" i="5" s="1"/>
  <c r="G2" i="3"/>
  <c r="G2" i="5" s="1"/>
  <c r="O2" i="3"/>
  <c r="D2" i="3"/>
  <c r="D2" i="5" s="1"/>
  <c r="C2" i="3"/>
  <c r="C2" i="5" s="1"/>
  <c r="I2" i="3"/>
  <c r="I2" i="5" s="1"/>
  <c r="B2" i="3"/>
  <c r="B2" i="5" s="1"/>
  <c r="K2" i="3"/>
  <c r="K2" i="5" s="1"/>
  <c r="W62" i="6"/>
  <c r="W61" i="6"/>
  <c r="P61" i="6"/>
  <c r="P62" i="6"/>
  <c r="N61" i="6"/>
  <c r="N62" i="6"/>
  <c r="S61" i="6"/>
  <c r="S62" i="6"/>
  <c r="G61" i="6"/>
  <c r="G62" i="6"/>
  <c r="R61" i="6"/>
  <c r="R62" i="6"/>
  <c r="T61" i="6"/>
  <c r="T62" i="6"/>
  <c r="L62" i="6"/>
  <c r="L61" i="6"/>
  <c r="D61" i="6"/>
  <c r="D62" i="6"/>
  <c r="X62" i="6"/>
  <c r="X61" i="6"/>
  <c r="AB62" i="6"/>
  <c r="AB61" i="6"/>
  <c r="AD62" i="6"/>
  <c r="AD61" i="6"/>
  <c r="S2" i="3"/>
  <c r="S2" i="5" s="1"/>
  <c r="AD2" i="3"/>
  <c r="AD2" i="5" s="1"/>
  <c r="AH2" i="3"/>
  <c r="AH2" i="5" s="1"/>
  <c r="Y2" i="3"/>
  <c r="Y2" i="5" s="1"/>
  <c r="AC2" i="3"/>
  <c r="AC2" i="5" s="1"/>
  <c r="R2" i="3"/>
  <c r="R2" i="5" s="1"/>
  <c r="U2" i="3"/>
  <c r="U2" i="5" s="1"/>
  <c r="X2" i="3"/>
  <c r="X2" i="5" s="1"/>
  <c r="AA2" i="3"/>
  <c r="AA2" i="5" s="1"/>
  <c r="AB2" i="3"/>
  <c r="AB2" i="5" s="1"/>
  <c r="AG2" i="3"/>
  <c r="AG2" i="5" s="1"/>
  <c r="Q2" i="3"/>
  <c r="Q2" i="5" s="1"/>
  <c r="V2" i="3"/>
  <c r="V2" i="5" s="1"/>
  <c r="Z2" i="3"/>
  <c r="Z2" i="5" s="1"/>
  <c r="AF2" i="3"/>
  <c r="AF2" i="5" s="1"/>
  <c r="T2" i="3"/>
  <c r="T2" i="5" s="1"/>
  <c r="W2" i="3"/>
  <c r="W2" i="5" s="1"/>
  <c r="AE2" i="3"/>
  <c r="AE2" i="5" s="1"/>
  <c r="AI2" i="3"/>
  <c r="AI2" i="5" s="1"/>
  <c r="P2" i="3"/>
  <c r="P2" i="5" s="1"/>
  <c r="M59" i="6"/>
  <c r="Y59" i="6"/>
  <c r="V59" i="6"/>
  <c r="K59" i="6"/>
  <c r="J59" i="6"/>
  <c r="O59" i="6"/>
  <c r="I59" i="6"/>
  <c r="C59" i="6"/>
  <c r="F59" i="6"/>
  <c r="AC59" i="6"/>
  <c r="E59" i="6"/>
  <c r="Q59" i="6"/>
  <c r="H59" i="6"/>
  <c r="AE59" i="6"/>
  <c r="B97" i="6"/>
  <c r="B21" i="8" s="1"/>
  <c r="B22" i="8" s="1"/>
  <c r="B2" i="9" s="1"/>
  <c r="AA59" i="6"/>
  <c r="X6" i="3"/>
  <c r="U6" i="3"/>
  <c r="S6" i="3"/>
  <c r="O6" i="3"/>
  <c r="E6" i="3"/>
  <c r="W6" i="3"/>
  <c r="P6" i="3"/>
  <c r="L6" i="3"/>
  <c r="F6" i="3"/>
  <c r="V6" i="3"/>
  <c r="T6" i="3"/>
  <c r="Q6" i="3"/>
  <c r="I6" i="3"/>
  <c r="AA6" i="3"/>
  <c r="AI6" i="3"/>
  <c r="J6" i="3"/>
  <c r="AE6" i="3"/>
  <c r="AD6" i="3"/>
  <c r="G6" i="3"/>
  <c r="AB6" i="3"/>
  <c r="Z6" i="3"/>
  <c r="R6" i="3"/>
  <c r="M6" i="3"/>
  <c r="AG6" i="3"/>
  <c r="H6" i="3"/>
  <c r="D6" i="3"/>
  <c r="Y6" i="3"/>
  <c r="C6" i="3"/>
  <c r="N6" i="3"/>
  <c r="AH6" i="3"/>
  <c r="K6" i="3"/>
  <c r="AF6" i="3"/>
  <c r="AC6" i="3"/>
  <c r="U61" i="6" l="1"/>
  <c r="U62" i="6"/>
  <c r="Z62" i="6"/>
  <c r="Z61" i="6"/>
  <c r="O2" i="5"/>
  <c r="L7" i="3"/>
  <c r="L7" i="5" s="1"/>
  <c r="F7" i="3"/>
  <c r="F7" i="5" s="1"/>
  <c r="N7" i="3"/>
  <c r="N7" i="5" s="1"/>
  <c r="J7" i="3"/>
  <c r="J7" i="5" s="1"/>
  <c r="H7" i="3"/>
  <c r="H7" i="5" s="1"/>
  <c r="H6" i="2"/>
  <c r="M7" i="3"/>
  <c r="M7" i="5" s="1"/>
  <c r="E7" i="3"/>
  <c r="E7" i="5" s="1"/>
  <c r="G7" i="3"/>
  <c r="G7" i="5" s="1"/>
  <c r="O7" i="3"/>
  <c r="O7" i="5" s="1"/>
  <c r="D7" i="3"/>
  <c r="D7" i="5" s="1"/>
  <c r="C7" i="3"/>
  <c r="C7" i="5" s="1"/>
  <c r="D21" i="2"/>
  <c r="I7" i="3"/>
  <c r="I7" i="5" s="1"/>
  <c r="B7" i="3"/>
  <c r="B7" i="5" s="1"/>
  <c r="K7" i="3"/>
  <c r="K7" i="5" s="1"/>
  <c r="S7" i="3"/>
  <c r="S7" i="5" s="1"/>
  <c r="AD7" i="3"/>
  <c r="AD7" i="5" s="1"/>
  <c r="AH7" i="3"/>
  <c r="AH7" i="5" s="1"/>
  <c r="Y7" i="3"/>
  <c r="Y7" i="5" s="1"/>
  <c r="AC7" i="3"/>
  <c r="AC7" i="5" s="1"/>
  <c r="R7" i="3"/>
  <c r="R7" i="5" s="1"/>
  <c r="U7" i="3"/>
  <c r="U7" i="5" s="1"/>
  <c r="X7" i="3"/>
  <c r="X7" i="5" s="1"/>
  <c r="AA7" i="3"/>
  <c r="AA7" i="5" s="1"/>
  <c r="AB7" i="3"/>
  <c r="AB7" i="5" s="1"/>
  <c r="AG7" i="3"/>
  <c r="AG7" i="5" s="1"/>
  <c r="Q7" i="3"/>
  <c r="Q7" i="5" s="1"/>
  <c r="V7" i="3"/>
  <c r="V7" i="5" s="1"/>
  <c r="Z7" i="3"/>
  <c r="Z7" i="5" s="1"/>
  <c r="AF7" i="3"/>
  <c r="AF7" i="5" s="1"/>
  <c r="T7" i="3"/>
  <c r="T7" i="5" s="1"/>
  <c r="W7" i="3"/>
  <c r="W7" i="5" s="1"/>
  <c r="AE7" i="3"/>
  <c r="AE7" i="5" s="1"/>
  <c r="AI7" i="3"/>
  <c r="AI7" i="5" s="1"/>
  <c r="P7" i="3"/>
  <c r="P7" i="5" s="1"/>
  <c r="M62" i="6"/>
  <c r="M61" i="6"/>
  <c r="Y61" i="6"/>
  <c r="Y62" i="6"/>
  <c r="V61" i="6"/>
  <c r="V62" i="6"/>
  <c r="K61" i="6"/>
  <c r="K62" i="6"/>
  <c r="J61" i="6"/>
  <c r="J62" i="6"/>
  <c r="O61" i="6"/>
  <c r="O62" i="6"/>
  <c r="I62" i="6"/>
  <c r="I61" i="6"/>
  <c r="C62" i="6"/>
  <c r="C61" i="6"/>
  <c r="F62" i="6"/>
  <c r="F61" i="6"/>
  <c r="AC61" i="6"/>
  <c r="AC62" i="6"/>
  <c r="E62" i="6"/>
  <c r="E61" i="6"/>
  <c r="Q62" i="6"/>
  <c r="Q61" i="6"/>
  <c r="H62" i="6"/>
  <c r="H61" i="6"/>
  <c r="AE61" i="6"/>
  <c r="AE62" i="6"/>
  <c r="AA62" i="6"/>
  <c r="AA61" i="6"/>
  <c r="B67" i="6" l="1"/>
  <c r="B66" i="6"/>
</calcChain>
</file>

<file path=xl/sharedStrings.xml><?xml version="1.0" encoding="utf-8"?>
<sst xmlns="http://schemas.openxmlformats.org/spreadsheetml/2006/main" count="363" uniqueCount="259">
  <si>
    <t>HPEC Hydrogen Production Equipment CapEx</t>
  </si>
  <si>
    <t>Source: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</si>
  <si>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</si>
  <si>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</si>
  <si>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</si>
  <si>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</si>
  <si>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</si>
  <si>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</si>
  <si>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</si>
  <si>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</si>
  <si>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</si>
  <si>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</si>
  <si>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</si>
  <si>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</si>
  <si>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</si>
  <si>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</si>
  <si>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</si>
  <si>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</si>
  <si>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</si>
  <si>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</si>
  <si>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</si>
  <si>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International Energy Agency</t>
  </si>
  <si>
    <t>The Future of Hydrogen</t>
  </si>
  <si>
    <t>https://www.iea.org/media/publications/hydrogen/IEA-The-Future-of-Hydrogen-Assumptions-Annex.pdf</t>
  </si>
  <si>
    <t>Assumptions annex, Page 3</t>
  </si>
  <si>
    <t>biomass gasification</t>
  </si>
  <si>
    <t>hours per year</t>
  </si>
  <si>
    <t>BTU/kWh</t>
  </si>
  <si>
    <t>Notes</t>
  </si>
  <si>
    <t>We average the use of the hydrogen plant out over the</t>
  </si>
  <si>
    <t>course of a year to convert between kW and kWh,</t>
  </si>
  <si>
    <t>necessary to convert BTU/yr of hydrogen production</t>
  </si>
  <si>
    <t>capacity to $ of CapEx using the $/kW conversion factor.</t>
  </si>
  <si>
    <t>Biomass Gassification</t>
  </si>
  <si>
    <t>We don't have data on biomass gasification to hydrogen</t>
  </si>
  <si>
    <t>CapEx from the same source or in the same format as</t>
  </si>
  <si>
    <t>we do for electrolysis, natural gas reforming, and coal</t>
  </si>
  <si>
    <t>gasification.  However, the following source provides</t>
  </si>
  <si>
    <t>an equation that shows biomass gassificaiton to have</t>
  </si>
  <si>
    <t>extremely similar capital costs to coal gasification.</t>
  </si>
  <si>
    <t>Accordingly, we use the coal gasification values</t>
  </si>
  <si>
    <t>for biomass gasification.</t>
  </si>
  <si>
    <t>Acar, Canan and Dincer, Ibrahim</t>
  </si>
  <si>
    <t>Comparative assessment of hydrogen production methods from renewable and non-renewable sources</t>
  </si>
  <si>
    <t>https://doi.org/10.1016/j.ijhydene.2013.10.060</t>
  </si>
  <si>
    <t>Page 7, Table 3</t>
  </si>
  <si>
    <t>2018 USD/2012 USD</t>
  </si>
  <si>
    <t>Currency Year</t>
  </si>
  <si>
    <t>We assume the currency year of the IEA report (published in 2019)</t>
  </si>
  <si>
    <t>is 2018 USD.</t>
  </si>
  <si>
    <t>HPEC Hydrogen Production Equipment OpEx</t>
  </si>
  <si>
    <t>In other words, this variable should contain the CapEx</t>
  </si>
  <si>
    <t>and OpEx costs to produce a certain amount of hydrogen</t>
  </si>
  <si>
    <t>per year, if the production plant were to run constantly</t>
  </si>
  <si>
    <t>at its design capacity.</t>
  </si>
  <si>
    <t>In reality, plants do not run all the time, so they require</t>
  </si>
  <si>
    <t>excess capacity to produce a given amount of hydrogen</t>
  </si>
  <si>
    <t>per year.  This excess capacity is specified in</t>
  </si>
  <si>
    <r>
      <t xml:space="preserve">a different input variable, </t>
    </r>
    <r>
      <rPr>
        <b/>
        <sz val="11"/>
        <color theme="1"/>
        <rFont val="Calibri"/>
        <family val="2"/>
        <scheme val="minor"/>
      </rPr>
      <t>hydgn/HPPECbP</t>
    </r>
    <r>
      <rPr>
        <sz val="11"/>
        <color theme="1"/>
        <rFont val="Calibri"/>
        <family val="2"/>
        <scheme val="minor"/>
      </rPr>
      <t>.</t>
    </r>
  </si>
  <si>
    <t>The costs entered in this variable should be for a 100% capacity factor.</t>
  </si>
  <si>
    <t>The adjustment for actual capacity factor is handled inside Vensim.</t>
  </si>
  <si>
    <t>CapEx Cost ($/BTU)</t>
  </si>
  <si>
    <t>OpEx Cost ($/BTU)</t>
  </si>
  <si>
    <t>electrolysis with guaranteed clean electricity</t>
  </si>
  <si>
    <t>natural gas reforming with CCS</t>
  </si>
  <si>
    <t>hydrocarbon partial oxidation</t>
  </si>
  <si>
    <t>Partial Oxidation of Hydrocarbons</t>
  </si>
  <si>
    <t>According to ICF, POx reactors are essentially equivalent to autothermal</t>
  </si>
  <si>
    <t>reformers (ATRs) but without a catalyst bed. For lack of economic data,</t>
  </si>
  <si>
    <t xml:space="preserve">we assume that the costs mirror those of ATRs, which, per ICF, </t>
  </si>
  <si>
    <t>Robertson, Penshorn, and McCurdy</t>
  </si>
  <si>
    <t>Comparing the costs of industrial hydrogen technologies</t>
  </si>
  <si>
    <t>https://www.icf.com/insights/energy/comparing-costs-of-industrial-hydrogen-technologies</t>
  </si>
  <si>
    <t>have ~15% lower capital costs and ~5% lower production costs than SMRs.</t>
  </si>
  <si>
    <t>Department of Energy</t>
  </si>
  <si>
    <t>Clean Hydrogen Production Cost PEM Electrolyzer</t>
  </si>
  <si>
    <t>https://www.hydrogen.energy.gov/docs/hydrogenprogramlibraries/pdfs/24005-clean-hydrogen-production-cost-pem-electrolyzer.pdf</t>
  </si>
  <si>
    <t>Table 2</t>
  </si>
  <si>
    <t>For DoE data we convert from 2022 to 2012 dollars:</t>
  </si>
  <si>
    <t xml:space="preserve">$/kW </t>
  </si>
  <si>
    <t>2022 USD</t>
  </si>
  <si>
    <t>Cost trends:</t>
  </si>
  <si>
    <t>$/kW</t>
  </si>
  <si>
    <t>BTU/Mt</t>
  </si>
  <si>
    <t>kg/Mt</t>
  </si>
  <si>
    <t>2012/2024USD</t>
  </si>
  <si>
    <t>$/BTU NG</t>
  </si>
  <si>
    <t>intensity NG</t>
  </si>
  <si>
    <t>capital cost</t>
  </si>
  <si>
    <t>fuel cost</t>
  </si>
  <si>
    <t>$/BTU -&gt; 2024$/kg</t>
  </si>
  <si>
    <t>$/BTU elec</t>
  </si>
  <si>
    <t>intensity elec</t>
  </si>
  <si>
    <t>opex cost</t>
  </si>
  <si>
    <t>adder</t>
  </si>
  <si>
    <r>
      <t>USD/kW</t>
    </r>
    <r>
      <rPr>
        <vertAlign val="subscript"/>
        <sz val="11"/>
        <color theme="1"/>
        <rFont val="Calibri"/>
        <family val="2"/>
        <scheme val="minor"/>
      </rPr>
      <t>H2</t>
    </r>
  </si>
  <si>
    <t xml:space="preserve">For electrolyzers, assume 264 kg H2/kW of production. </t>
  </si>
  <si>
    <t>See hydgn/EHPpUC</t>
  </si>
  <si>
    <t>kg H2/kW</t>
  </si>
  <si>
    <t>kg/yr production</t>
  </si>
  <si>
    <t>kg/kW</t>
  </si>
  <si>
    <t>kwh/kg</t>
  </si>
  <si>
    <t>$/kWh</t>
  </si>
  <si>
    <t>renewables assumption</t>
  </si>
  <si>
    <t>system elec consumption</t>
  </si>
  <si>
    <t>$/kg</t>
  </si>
  <si>
    <t>production (kg)</t>
  </si>
  <si>
    <t>WACC</t>
  </si>
  <si>
    <t>fuel costs</t>
  </si>
  <si>
    <t>opex</t>
  </si>
  <si>
    <t>effective operating hours</t>
  </si>
  <si>
    <t>of installed cost for electrolyzer replacement</t>
  </si>
  <si>
    <t>hours</t>
  </si>
  <si>
    <t>replacement timeline</t>
  </si>
  <si>
    <t>hours on this electrolyzer</t>
  </si>
  <si>
    <t>electrolyzer replacement</t>
  </si>
  <si>
    <t>capacity factor</t>
  </si>
  <si>
    <t>kW assumption (106 MW plant)</t>
  </si>
  <si>
    <t xml:space="preserve"> </t>
  </si>
  <si>
    <t>CapEx contribution to LCOH</t>
  </si>
  <si>
    <t>Total LCOH</t>
  </si>
  <si>
    <t>&lt;-- adjust value to match future prices from "Cost trends" section below to get CapEx contribution to LCOH in future years</t>
  </si>
  <si>
    <t>CapEx contribution to LCOH using assumptions from:</t>
  </si>
  <si>
    <t>2024 cost:</t>
  </si>
  <si>
    <t>Value being studied:</t>
  </si>
  <si>
    <t>$/kg (2022 USD)</t>
  </si>
  <si>
    <t>$/kg (2012 USD)</t>
  </si>
  <si>
    <t>$/BTU (2012 USD)</t>
  </si>
  <si>
    <t>Assumes similar rate of decline to IEA data</t>
  </si>
  <si>
    <t>Cleaner Engineering and Technology</t>
  </si>
  <si>
    <t>Analysis of hydrogen production costs in Steam-Methane Reforming considering integration with electrolysis and CO2 capture</t>
  </si>
  <si>
    <t>Table 3</t>
  </si>
  <si>
    <t>https://www.sciencedirect.com/science/article/pii/S2666790822001574</t>
  </si>
  <si>
    <t>From Katebah et al.</t>
  </si>
  <si>
    <r>
      <t>Table 3</t>
    </r>
    <r>
      <rPr>
        <sz val="12"/>
        <color rgb="FF1F1F1F"/>
        <rFont val="Georgia"/>
        <family val="1"/>
      </rPr>
      <t>. Summary of the main results for SMR plant.</t>
    </r>
  </si>
  <si>
    <t>Unit</t>
  </si>
  <si>
    <t>Value</t>
  </si>
  <si>
    <t>Hydrogen Production</t>
  </si>
  <si>
    <t>NG Consumption</t>
  </si>
  <si>
    <t>NG Price</t>
  </si>
  <si>
    <t>$/GJ</t>
  </si>
  <si>
    <t>Water Consumption</t>
  </si>
  <si>
    <t>OPEX</t>
  </si>
  <si>
    <t>Hydrogen Production Cost</t>
  </si>
  <si>
    <t>kg NG/kg H2</t>
  </si>
  <si>
    <t>kg H2O/kg H2</t>
  </si>
  <si>
    <t>Specific CO2 Emissions</t>
  </si>
  <si>
    <t>kg CO2/kg H2</t>
  </si>
  <si>
    <t>$/kg H2</t>
  </si>
  <si>
    <t>*all in 2018 USD</t>
  </si>
  <si>
    <t>For Reformer data we convert from 2018 to 2012 dollars:</t>
  </si>
  <si>
    <t>From Figure 3:</t>
  </si>
  <si>
    <t>OpEx</t>
  </si>
  <si>
    <t>feedstock</t>
  </si>
  <si>
    <t>other</t>
  </si>
  <si>
    <t>kg H2/yr</t>
  </si>
  <si>
    <t>other OpEx / kg</t>
  </si>
  <si>
    <t>other OpEx / BTU</t>
  </si>
  <si>
    <t>Table 2. Design and Economic Assumptions for SMR plant.</t>
  </si>
  <si>
    <t>Property</t>
  </si>
  <si>
    <t>Reference</t>
  </si>
  <si>
    <t>Pre-reformer:</t>
  </si>
  <si>
    <t>Temperature</t>
  </si>
  <si>
    <t>⁰C</t>
  </si>
  <si>
    <t>Salem et al. (2021)</t>
  </si>
  <si>
    <t>Pressure</t>
  </si>
  <si>
    <t>bar</t>
  </si>
  <si>
    <t>IEAGHG (2017)</t>
  </si>
  <si>
    <t>S/C Ratio</t>
  </si>
  <si>
    <t>–</t>
  </si>
  <si>
    <t>Reference capacity</t>
  </si>
  <si>
    <t>MWLHV NG feed</t>
  </si>
  <si>
    <t>Spallina et al. (2016)</t>
  </si>
  <si>
    <t>Reference costa</t>
  </si>
  <si>
    <t>M$b</t>
  </si>
  <si>
    <t>Scaling factor</t>
  </si>
  <si>
    <t>Reformer:</t>
  </si>
  <si>
    <t>Bar</t>
  </si>
  <si>
    <t>Jakobsen and Atland (2016)</t>
  </si>
  <si>
    <t>S/C ratio</t>
  </si>
  <si>
    <t>WGS Reactors</t>
  </si>
  <si>
    <t>High-temperature WGS</t>
  </si>
  <si>
    <t>Liu et al. (2009)</t>
  </si>
  <si>
    <t>Low-temperature WGS</t>
  </si>
  <si>
    <t>PSA Unit</t>
  </si>
  <si>
    <t>H2 Recovery</t>
  </si>
  <si>
    <t>H2 Purity</t>
  </si>
  <si>
    <t>kg/hr inlet flowrate</t>
  </si>
  <si>
    <t>$ capex</t>
  </si>
  <si>
    <t>$/BTU</t>
  </si>
  <si>
    <t>non-levelized CapEx</t>
  </si>
  <si>
    <t>$/annual kg</t>
  </si>
  <si>
    <t>$</t>
  </si>
  <si>
    <t>OpEx contribution to LCOH</t>
  </si>
  <si>
    <t>discounted costs</t>
  </si>
  <si>
    <t>discounted opex costs</t>
  </si>
  <si>
    <t>OpEx contribution to LCOH using assumptions from:</t>
  </si>
  <si>
    <t>discounted capex costs</t>
  </si>
  <si>
    <t>CapEx</t>
  </si>
  <si>
    <t>Annual OpEx</t>
  </si>
  <si>
    <t>&lt;- resulting data</t>
  </si>
  <si>
    <t>2012$/BTU</t>
  </si>
  <si>
    <t>2022$ per annual kg of full-load (100% CF) capacity: $/kW x kWh/kg / 8760 h</t>
  </si>
  <si>
    <t>2022$ per annual kg of full-load capacity, per year (fixed O&amp;M excl. stack replacement)</t>
  </si>
  <si>
    <t>UTILIZATION AND STACK REPLACEMENT (added 2026-10-23)</t>
  </si>
  <si>
    <t>CapEx and OpEx above are per unit of FULL-LOAD capacity. Utilization enters EPS only through hydgn/HPPECbP (= 1/CF - 1); keep the two CF cells below equal to the CFs used there.</t>
  </si>
  <si>
    <t>Fixed O&amp;M excl. stack replacement, share of installed capex per year (DOE 24005)</t>
  </si>
  <si>
    <t>Grid electrolysis capacity factor (DOE 24005 Table 2, Grid - Average Scenario)</t>
  </si>
  <si>
    <t>Green electrolysis capacity factor: the utilization implied by the earlier derivation (106 MW / 0.51 CF for 18.25 Mkg/yr at 57.5 kWh/kg), kept so the green cost is unchanged</t>
  </si>
  <si>
    <t>Grid electrolysis: year of operation</t>
  </si>
  <si>
    <t>operating hours per year (8760 x CF)</t>
  </si>
  <si>
    <t>cumulative operating hours</t>
  </si>
  <si>
    <t>stack replacement this year (share of installed capex; 11% every 40,000 h)</t>
  </si>
  <si>
    <t>discount factor (row 64)</t>
  </si>
  <si>
    <t>levelized stack replacement, share of installed capex per year</t>
  </si>
  <si>
    <t>Green electrolysis: year of operation</t>
  </si>
  <si>
    <t>2026-10-23 update (bug B8 and stack replacement)</t>
  </si>
  <si>
    <t>Electrolyzer CapEx was previously computed as 106 MW x $/kW / 0.51 CF / 18.25 Mkg, i.e. divided by a</t>
  </si>
  <si>
    <t>capacity factor, while EPS also added HPPECbP excess capacity on the spending side - utilization was</t>
  </si>
  <si>
    <t>counted twice and in two different ways. CapEx and OpEx are now on a full-load (100% CF) basis, as the</t>
  </si>
  <si>
    <t>note above says: $/kW x 57.5 kWh/kg (DOE lifetime-average use) / 8760 h, the same 8760 h / kWh-per-kg</t>
  </si>
  <si>
    <t>convention as hydgn/EHPpUC. Utilization is set only in hydgn/HPPECbP (= 1/CF - 1) and EPS applies</t>
  </si>
  <si>
    <t>(1 + HPPECbP) to CapEx and OpEx in both the levelized cost and spending.</t>
  </si>
  <si>
    <t>OpEx for electrolysis = 5% fixed O&amp;M + levelized stack replacement (11% of installed capex every</t>
  </si>
  <si>
    <t>40,000 operating hours, DOE 24005), with replacement timing driven by each pathway's CF ('DoE Data'</t>
  </si>
  <si>
    <t>rows 85-105, using the replacement and discounting assumptions in rows 46-64). Grid electrolysis</t>
  </si>
  <si>
    <t>(97% CF) replaces stacks about every 4.7 years; green (CF in 'DoE Data'!B89) about every 8 years.</t>
  </si>
  <si>
    <t>SMR CapEx/OpEx (Katebah et al., 500 t/d x 365 days) are already per unit of full-load capacity.</t>
  </si>
  <si>
    <t>Fixed and variable O&amp;M by pathway (added 2026-10-23)</t>
  </si>
  <si>
    <t>Source: NETL, Comparison of Commercial, State-of-the-Art, Fossil-Based Hydrogen Production Technologies, DOE/NETL-2022/3241 (2022), Exhibits 3-15 (Case 1 SMR) and 4-31 (Case 4 coal gasification), Dec 2018$</t>
  </si>
  <si>
    <t>Purchased electricity is removed from NETL's variable O&amp;M because EPS charges electricity through FIoHP. Fuel is likewise charged through FIoHP.</t>
  </si>
  <si>
    <t>NETL Case 1 SMR</t>
  </si>
  <si>
    <t>NETL Case 4 coal gasification</t>
  </si>
  <si>
    <t>Plant size (kg H2/day, full load)</t>
  </si>
  <si>
    <t>Fixed operating costs ($/yr)</t>
  </si>
  <si>
    <t>Variable operating costs total ($/kg H2)</t>
  </si>
  <si>
    <t xml:space="preserve">  of which purchased electricity ($/kg H2)</t>
  </si>
  <si>
    <t>Fixed O&amp;M ($ per kg/yr of full-load capacity, 2018$)</t>
  </si>
  <si>
    <t>Variable O&amp;M excl. electricity ($ per kg produced, 2018$)</t>
  </si>
  <si>
    <t>HPEO = fixed + variable at full load ($ per kg/yr of capacity, 2018$)</t>
  </si>
  <si>
    <t>HPEO (2012$ per BTU/yr of capacity)</t>
  </si>
  <si>
    <t>Variable share of HPEO (HPVOS)</t>
  </si>
  <si>
    <t>Electrolysis (DOE 24005): fixed O&amp;M = 5% of installed capex/yr; stack replacement is a variable cost (it scales with operating hours).</t>
  </si>
  <si>
    <t>Stack replacement per unit produced at full load = levelized replacement share ('DoE Data' B97, B105) / CF ('DoE Data' B88, B89).</t>
  </si>
  <si>
    <t>Grid electrolysis</t>
  </si>
  <si>
    <t>Green electrolysis</t>
  </si>
  <si>
    <t>Fixed O&amp;M share of capex per year</t>
  </si>
  <si>
    <t>Stack replacement share of capex per unit of full-load output</t>
  </si>
  <si>
    <t>Other pathways: biomass gasification uses coal gasification (as for capex); hydrocarbon partial oxidation uses SMR (85% of SMR cost, as for capex; NETL has no POx case); SMR with CCS uses SMR, with the CCS O&amp;M carried separately in CC CCS Total OM Cost per Hydrogen Sector Ton Sequestered.</t>
  </si>
  <si>
    <t>Unit: dimensionless (share of HPEO that is variable)</t>
  </si>
  <si>
    <t>share</t>
  </si>
  <si>
    <t>2026-10-23 update (fixed vs variable O&amp;M)</t>
  </si>
  <si>
    <t>HPEO is now fixed O&amp;M per unit of full-load capacity plus variable O&amp;M per unit produced at full load; HPVOS (new</t>
  </si>
  <si>
    <t>export tab and CSV) is the variable share. EPS charges the fixed part per unit of capacity, (1 + HPPECbP) per unit</t>
  </si>
  <si>
    <t>of output, and the variable part per unit of output; the dispatch cost keeps the variable part. Sources by pathway</t>
  </si>
  <si>
    <t>are on the 'OM Split' tab. SMR, SMR+CCS and POx O&amp;M is re-levelled from Katebah et al. ('Reformer data' B36, which</t>
  </si>
  <si>
    <t>appears to include utilities that EPS already charges through FIoHP) to NETL 2022 Case 1 without purchased power;</t>
  </si>
  <si>
    <t>coal and biomass gasification to NETL Case 4. Electrolysis: DOE 24005 5% fixed O&amp;M plus stack replacement as a</t>
  </si>
  <si>
    <t>variable cost (so electrolysis HPEO rises but its levelized cost is unchanged).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</si>
</sst>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_(&quot;$&quot;* #,##0.000_);_(&quot;$&quot;* \(#,##0.0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1F1F1F"/>
      <name val="Georgia"/>
      <family val="1"/>
    </font>
    <font>
      <sz val="12"/>
      <color rgb="FF1F1F1F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1" fontId="0" fillId="0" borderId="0" xfId="0" applyNumberFormat="1"/>
    <xf numFmtId="0" fontId="0" fillId="0" borderId="3" xfId="0" applyBorder="1"/>
    <xf numFmtId="11" fontId="0" fillId="0" borderId="2" xfId="0" applyNumberFormat="1" applyBorder="1"/>
    <xf numFmtId="1" fontId="0" fillId="0" borderId="0" xfId="0" applyNumberForma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44" fontId="0" fillId="0" borderId="0" xfId="2" applyFont="1"/>
    <xf numFmtId="44" fontId="0" fillId="0" borderId="0" xfId="0" applyNumberFormat="1"/>
    <xf numFmtId="0" fontId="1" fillId="3" borderId="0" xfId="0" applyFont="1" applyFill="1" applyAlignment="1">
      <alignment horizontal="left"/>
    </xf>
    <xf numFmtId="0" fontId="0" fillId="3" borderId="0" xfId="0" applyFill="1"/>
    <xf numFmtId="164" fontId="0" fillId="0" borderId="0" xfId="0" applyNumberFormat="1"/>
    <xf numFmtId="0" fontId="3" fillId="4" borderId="0" xfId="0" applyFont="1" applyFill="1"/>
    <xf numFmtId="0" fontId="7" fillId="0" borderId="0" xfId="0" applyFont="1"/>
    <xf numFmtId="3" fontId="0" fillId="0" borderId="0" xfId="0" applyNumberFormat="1"/>
    <xf numFmtId="11" fontId="0" fillId="0" borderId="4" xfId="0" applyNumberFormat="1" applyBorder="1"/>
    <xf numFmtId="165" fontId="1" fillId="0" borderId="0" xfId="0" applyNumberFormat="1" applyFont="1"/>
    <xf numFmtId="0" fontId="0" fillId="4" borderId="0" xfId="0" applyFill="1"/>
    <xf numFmtId="166" fontId="0" fillId="0" borderId="0" xfId="0" applyNumberForma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5</xdr:col>
      <xdr:colOff>605117</xdr:colOff>
      <xdr:row>29</xdr:row>
      <xdr:rowOff>38100</xdr:rowOff>
    </xdr:to>
    <xdr:pic>
      <xdr:nvPicPr>
        <xdr:cNvPr id="2" name="Picture 1" descr="Fig. 3">
          <a:extLst>
            <a:ext uri="{FF2B5EF4-FFF2-40B4-BE49-F238E27FC236}">
              <a16:creationId xmlns:a16="http://schemas.microsoft.com/office/drawing/2014/main" id="{6A566391-3CA2-219C-62E2-FB5C0CA0B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67025"/>
          <a:ext cx="6581775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699200</xdr:colOff>
      <xdr:row>14</xdr:row>
      <xdr:rowOff>92201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D108D-0B02-CBE6-15FF-B4699646E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6369377" cy="2444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f.com/insights/energy/comparing-costs-of-industrial-hydrogen-technologies" TargetMode="External"/><Relationship Id="rId2" Type="http://schemas.openxmlformats.org/officeDocument/2006/relationships/hyperlink" Target="https://doi.org/10.1016/j.ijhydene.2013.10.060" TargetMode="External"/><Relationship Id="rId1" Type="http://schemas.openxmlformats.org/officeDocument/2006/relationships/hyperlink" Target="https://www.iea.org/media/publications/hydrogen/IEA-The-Future-of-Hydrogen-Assumptions-Annex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hydrogen.energy.gov/docs/hydrogenprogramlibraries/pdfs/24005-clean-hydrogen-production-cost-pem-electrolyzer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workbookViewId="0">
      <selection activeCell="B25" sqref="B25"/>
    </sheetView>
  </sheetViews>
  <sheetFormatPr defaultRowHeight="15" x14ac:dyDescent="0.25"/>
  <cols>
    <col min="2" max="2" width="45.85546875" customWidth="1"/>
  </cols>
  <sheetData>
    <row r="1" spans="1:2" x14ac:dyDescent="0.25">
      <c r="A1" s="1" t="s">
        <v>0</v>
      </c>
    </row>
    <row r="2" spans="1:2" x14ac:dyDescent="0.25">
      <c r="A2" s="1" t="s">
        <v>50</v>
      </c>
    </row>
    <row r="3" spans="1:2" x14ac:dyDescent="0.25">
      <c r="A3" s="1"/>
    </row>
    <row r="4" spans="1:2" x14ac:dyDescent="0.25">
      <c r="A4" s="1"/>
    </row>
    <row r="6" spans="1:2" x14ac:dyDescent="0.25">
      <c r="A6" s="1" t="s">
        <v>1</v>
      </c>
      <c r="B6" t="s">
        <v>21</v>
      </c>
    </row>
    <row r="7" spans="1:2" x14ac:dyDescent="0.25">
      <c r="B7" s="7">
        <v>2019</v>
      </c>
    </row>
    <row r="8" spans="1:2" x14ac:dyDescent="0.25">
      <c r="B8" t="s">
        <v>22</v>
      </c>
    </row>
    <row r="9" spans="1:2" x14ac:dyDescent="0.25">
      <c r="B9" s="8" t="s">
        <v>23</v>
      </c>
    </row>
    <row r="10" spans="1:2" x14ac:dyDescent="0.25">
      <c r="B10" t="s">
        <v>24</v>
      </c>
    </row>
    <row r="12" spans="1:2" x14ac:dyDescent="0.25">
      <c r="B12" t="s">
        <v>74</v>
      </c>
    </row>
    <row r="13" spans="1:2" x14ac:dyDescent="0.25">
      <c r="B13" s="7">
        <v>2024</v>
      </c>
    </row>
    <row r="14" spans="1:2" x14ac:dyDescent="0.25">
      <c r="B14" t="s">
        <v>75</v>
      </c>
    </row>
    <row r="15" spans="1:2" x14ac:dyDescent="0.25">
      <c r="B15" s="8" t="s">
        <v>76</v>
      </c>
    </row>
    <row r="16" spans="1:2" x14ac:dyDescent="0.25">
      <c r="B16" t="s">
        <v>77</v>
      </c>
    </row>
    <row r="18" spans="1:2" x14ac:dyDescent="0.25">
      <c r="B18" t="s">
        <v>129</v>
      </c>
    </row>
    <row r="19" spans="1:2" x14ac:dyDescent="0.25">
      <c r="B19" s="7">
        <v>2022</v>
      </c>
    </row>
    <row r="20" spans="1:2" x14ac:dyDescent="0.25">
      <c r="B20" t="s">
        <v>130</v>
      </c>
    </row>
    <row r="21" spans="1:2" x14ac:dyDescent="0.25">
      <c r="B21" t="s">
        <v>132</v>
      </c>
    </row>
    <row r="22" spans="1:2" x14ac:dyDescent="0.25">
      <c r="B22" t="s">
        <v>131</v>
      </c>
    </row>
    <row r="25" spans="1:2" x14ac:dyDescent="0.25">
      <c r="A25" s="1" t="s">
        <v>28</v>
      </c>
    </row>
    <row r="26" spans="1:2" x14ac:dyDescent="0.25">
      <c r="A26" t="s">
        <v>29</v>
      </c>
    </row>
    <row r="27" spans="1:2" x14ac:dyDescent="0.25">
      <c r="A27" t="s">
        <v>30</v>
      </c>
    </row>
    <row r="28" spans="1:2" x14ac:dyDescent="0.25">
      <c r="A28" t="s">
        <v>31</v>
      </c>
    </row>
    <row r="29" spans="1:2" x14ac:dyDescent="0.25">
      <c r="A29" t="s">
        <v>32</v>
      </c>
    </row>
    <row r="31" spans="1:2" x14ac:dyDescent="0.25">
      <c r="A31" s="1" t="s">
        <v>59</v>
      </c>
    </row>
    <row r="32" spans="1:2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60</v>
      </c>
    </row>
    <row r="42" spans="1:1" x14ac:dyDescent="0.25">
      <c r="A42" s="1" t="s">
        <v>33</v>
      </c>
    </row>
    <row r="43" spans="1:1" x14ac:dyDescent="0.25">
      <c r="A43" t="s">
        <v>34</v>
      </c>
    </row>
    <row r="44" spans="1:1" x14ac:dyDescent="0.25">
      <c r="A44" t="s">
        <v>35</v>
      </c>
    </row>
    <row r="45" spans="1:1" x14ac:dyDescent="0.25">
      <c r="A45" t="s">
        <v>36</v>
      </c>
    </row>
    <row r="46" spans="1:1" x14ac:dyDescent="0.25">
      <c r="A46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49" spans="1:2" x14ac:dyDescent="0.25">
      <c r="A49" t="s">
        <v>40</v>
      </c>
    </row>
    <row r="50" spans="1:2" x14ac:dyDescent="0.25">
      <c r="A50" t="s">
        <v>41</v>
      </c>
    </row>
    <row r="51" spans="1:2" x14ac:dyDescent="0.25">
      <c r="B51" t="s">
        <v>42</v>
      </c>
    </row>
    <row r="52" spans="1:2" x14ac:dyDescent="0.25">
      <c r="B52" s="7">
        <v>2014</v>
      </c>
    </row>
    <row r="53" spans="1:2" x14ac:dyDescent="0.25">
      <c r="B53" t="s">
        <v>43</v>
      </c>
    </row>
    <row r="54" spans="1:2" x14ac:dyDescent="0.25">
      <c r="B54" s="8" t="s">
        <v>44</v>
      </c>
    </row>
    <row r="55" spans="1:2" x14ac:dyDescent="0.25">
      <c r="B55" t="s">
        <v>45</v>
      </c>
    </row>
    <row r="57" spans="1:2" x14ac:dyDescent="0.25">
      <c r="A57" s="1" t="s">
        <v>66</v>
      </c>
    </row>
    <row r="58" spans="1:2" x14ac:dyDescent="0.25">
      <c r="A58" t="s">
        <v>67</v>
      </c>
    </row>
    <row r="59" spans="1:2" x14ac:dyDescent="0.25">
      <c r="A59" t="s">
        <v>68</v>
      </c>
    </row>
    <row r="60" spans="1:2" x14ac:dyDescent="0.25">
      <c r="A60" t="s">
        <v>69</v>
      </c>
    </row>
    <row r="61" spans="1:2" x14ac:dyDescent="0.25">
      <c r="A61" t="s">
        <v>73</v>
      </c>
    </row>
    <row r="62" spans="1:2" x14ac:dyDescent="0.25">
      <c r="B62" t="s">
        <v>70</v>
      </c>
    </row>
    <row r="63" spans="1:2" x14ac:dyDescent="0.25">
      <c r="B63" s="7">
        <v>2023</v>
      </c>
    </row>
    <row r="64" spans="1:2" x14ac:dyDescent="0.25">
      <c r="B64" t="s">
        <v>71</v>
      </c>
    </row>
    <row r="65" spans="1:2" x14ac:dyDescent="0.25">
      <c r="B65" s="8" t="s">
        <v>72</v>
      </c>
    </row>
    <row r="67" spans="1:2" x14ac:dyDescent="0.25">
      <c r="A67" s="1" t="s">
        <v>47</v>
      </c>
    </row>
    <row r="68" spans="1:2" x14ac:dyDescent="0.25">
      <c r="A68" t="s">
        <v>48</v>
      </c>
    </row>
    <row r="69" spans="1:2" x14ac:dyDescent="0.25">
      <c r="A69" t="s">
        <v>49</v>
      </c>
    </row>
    <row r="71" spans="1:2" x14ac:dyDescent="0.25">
      <c r="A71" t="s">
        <v>78</v>
      </c>
    </row>
    <row r="72" spans="1:2" x14ac:dyDescent="0.25">
      <c r="A72">
        <v>0.78452102304761584</v>
      </c>
    </row>
    <row r="74" spans="1:2" x14ac:dyDescent="0.25">
      <c r="A74" t="s">
        <v>150</v>
      </c>
    </row>
    <row r="75" spans="1:2" x14ac:dyDescent="0.25">
      <c r="A75">
        <v>0.91400000000000003</v>
      </c>
    </row>
    <row r="77" spans="1:2" x14ac:dyDescent="0.25">
      <c r="A77" t="s">
        <v>216</v>
      </c>
    </row>
    <row r="78" spans="1:2" x14ac:dyDescent="0.25">
      <c r="A78" t="s">
        <v>217</v>
      </c>
    </row>
    <row r="79" spans="1:2" x14ac:dyDescent="0.25">
      <c r="A79" t="s">
        <v>218</v>
      </c>
    </row>
    <row r="80" spans="1:2" x14ac:dyDescent="0.25">
      <c r="A80" t="s">
        <v>219</v>
      </c>
    </row>
    <row r="81" spans="1:1" x14ac:dyDescent="0.25">
      <c r="A81" t="s">
        <v>220</v>
      </c>
    </row>
    <row r="82" spans="1:1" x14ac:dyDescent="0.25">
      <c r="A82" t="s">
        <v>221</v>
      </c>
    </row>
    <row r="83" spans="1:1" x14ac:dyDescent="0.25">
      <c r="A83" t="s">
        <v>222</v>
      </c>
    </row>
    <row r="84" spans="1:1" x14ac:dyDescent="0.25">
      <c r="A84" t="s">
        <v>223</v>
      </c>
    </row>
    <row r="85" spans="1:1" x14ac:dyDescent="0.25">
      <c r="A85" t="s">
        <v>224</v>
      </c>
    </row>
    <row r="86" spans="1:1" x14ac:dyDescent="0.25">
      <c r="A86" t="s">
        <v>225</v>
      </c>
    </row>
    <row r="87" spans="1:1" x14ac:dyDescent="0.25">
      <c r="A87" t="s">
        <v>226</v>
      </c>
    </row>
    <row r="88" spans="1:1" x14ac:dyDescent="0.25">
      <c r="A88" t="s">
        <v>227</v>
      </c>
    </row>
    <row r="90" spans="1:1" x14ac:dyDescent="0.25">
      <c r="A90" t="s">
        <v>251</v>
      </c>
    </row>
    <row r="91" spans="1:1" x14ac:dyDescent="0.25">
      <c r="A91" t="s">
        <v>252</v>
      </c>
    </row>
    <row r="92" spans="1:1" x14ac:dyDescent="0.25">
      <c r="A92" t="s">
        <v>253</v>
      </c>
    </row>
    <row r="93" spans="1:1" x14ac:dyDescent="0.25">
      <c r="A93" t="s">
        <v>254</v>
      </c>
    </row>
    <row r="94" spans="1:1" x14ac:dyDescent="0.25">
      <c r="A94" t="s">
        <v>255</v>
      </c>
    </row>
    <row r="95" spans="1:1" x14ac:dyDescent="0.25">
      <c r="A95" t="s">
        <v>256</v>
      </c>
    </row>
    <row r="96" spans="1:1" x14ac:dyDescent="0.25">
      <c r="A96" t="s">
        <v>257</v>
      </c>
    </row>
    <row r="97" spans="1:1" x14ac:dyDescent="0.25">
      <c r="A97" t="s">
        <v>258</v>
      </c>
    </row>
  </sheetData>
  <hyperlinks>
    <hyperlink ref="B9" r:id="rId1" xr:uid="{00000000-0004-0000-0000-000000000000}"/>
    <hyperlink ref="B54" r:id="rId2" xr:uid="{00000000-0004-0000-0000-000001000000}"/>
    <hyperlink ref="B65" r:id="rId3" xr:uid="{0EAF8239-1601-435F-A7F3-DCBE0357401E}"/>
    <hyperlink ref="B15" r:id="rId4" xr:uid="{0315EA59-F95F-4000-B10B-ABC8C54DF753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zoomScale="85" zoomScaleNormal="85" workbookViewId="0">
      <selection activeCell="D6" sqref="D6"/>
    </sheetView>
  </sheetViews>
  <sheetFormatPr defaultRowHeight="15" x14ac:dyDescent="0.25"/>
  <cols>
    <col min="1" max="3" width="25.42578125" customWidth="1"/>
    <col min="4" max="4" width="11.5703125" customWidth="1"/>
    <col min="5" max="5" width="10.140625" customWidth="1"/>
    <col min="6" max="6" width="14.5703125" customWidth="1"/>
    <col min="10" max="10" width="13.140625" bestFit="1" customWidth="1"/>
  </cols>
  <sheetData>
    <row r="1" spans="1:12" ht="15.75" thickBot="1" x14ac:dyDescent="0.3">
      <c r="A1" s="2" t="s">
        <v>2</v>
      </c>
      <c r="B1" s="2" t="s">
        <v>3</v>
      </c>
      <c r="C1" s="2" t="s">
        <v>4</v>
      </c>
      <c r="D1" s="3" t="s">
        <v>5</v>
      </c>
      <c r="E1" s="3">
        <v>2030</v>
      </c>
      <c r="F1" s="3" t="s">
        <v>6</v>
      </c>
      <c r="H1" s="20" t="s">
        <v>96</v>
      </c>
      <c r="I1" s="21"/>
      <c r="J1" s="21"/>
      <c r="K1" s="21"/>
      <c r="L1" s="21"/>
    </row>
    <row r="2" spans="1:12" ht="15.75" thickTop="1" x14ac:dyDescent="0.25">
      <c r="A2" t="s">
        <v>7</v>
      </c>
      <c r="B2" t="s">
        <v>8</v>
      </c>
      <c r="C2" t="s">
        <v>9</v>
      </c>
      <c r="D2">
        <v>900</v>
      </c>
      <c r="E2">
        <v>700</v>
      </c>
      <c r="F2">
        <v>450</v>
      </c>
      <c r="H2" s="21" t="s">
        <v>97</v>
      </c>
      <c r="I2" s="21"/>
      <c r="J2" s="21"/>
      <c r="K2" s="21"/>
      <c r="L2" s="21"/>
    </row>
    <row r="3" spans="1:12" x14ac:dyDescent="0.25">
      <c r="B3" t="s">
        <v>10</v>
      </c>
      <c r="C3" t="s">
        <v>11</v>
      </c>
      <c r="D3" s="4">
        <v>0.64</v>
      </c>
      <c r="E3" s="4">
        <v>0.69</v>
      </c>
      <c r="F3" s="4">
        <v>0.74</v>
      </c>
      <c r="H3">
        <v>264</v>
      </c>
      <c r="I3" t="s">
        <v>98</v>
      </c>
    </row>
    <row r="4" spans="1:12" x14ac:dyDescent="0.25">
      <c r="B4" t="s">
        <v>12</v>
      </c>
      <c r="C4" t="s">
        <v>13</v>
      </c>
      <c r="D4" s="5">
        <v>1.4999999999999999E-2</v>
      </c>
      <c r="E4" s="5">
        <v>1.4999999999999999E-2</v>
      </c>
      <c r="F4" s="5">
        <v>1.4999999999999999E-2</v>
      </c>
      <c r="J4" s="11"/>
      <c r="K4" s="11"/>
      <c r="L4" s="11"/>
    </row>
    <row r="5" spans="1:12" ht="15.75" thickBot="1" x14ac:dyDescent="0.3">
      <c r="A5" s="6"/>
      <c r="B5" s="6" t="s">
        <v>14</v>
      </c>
      <c r="C5" s="6" t="s">
        <v>15</v>
      </c>
      <c r="D5" s="6">
        <v>95000</v>
      </c>
      <c r="E5" s="6">
        <v>95000</v>
      </c>
      <c r="F5" s="6">
        <v>100000</v>
      </c>
      <c r="H5">
        <f>D2*usd_year_conv/'IEA Data'!B20/H3</f>
        <v>4.2572880050677568</v>
      </c>
      <c r="J5" s="18">
        <f>D2/$H$3</f>
        <v>3.4090909090909092</v>
      </c>
      <c r="K5" s="18">
        <f t="shared" ref="K5:L5" si="0">E2/$H$3</f>
        <v>2.6515151515151514</v>
      </c>
      <c r="L5" s="18">
        <f t="shared" si="0"/>
        <v>1.7045454545454546</v>
      </c>
    </row>
    <row r="6" spans="1:12" ht="18.75" thickTop="1" x14ac:dyDescent="0.35">
      <c r="A6" t="s">
        <v>16</v>
      </c>
      <c r="B6" t="s">
        <v>8</v>
      </c>
      <c r="C6" t="s">
        <v>95</v>
      </c>
      <c r="D6">
        <v>910</v>
      </c>
      <c r="E6">
        <v>910</v>
      </c>
      <c r="F6">
        <v>910</v>
      </c>
      <c r="H6" s="11">
        <f>HPEC!H2*'IEA Data'!B21</f>
        <v>14.592874254532326</v>
      </c>
      <c r="J6" s="18">
        <f>J5*usd_year_conv/'IEA Data'!$B$20</f>
        <v>4.2572880050677568</v>
      </c>
      <c r="K6" s="18">
        <f>K5*usd_year_conv/'IEA Data'!$B$20</f>
        <v>3.3112240039415881</v>
      </c>
      <c r="L6" s="18">
        <f>L5*usd_year_conv/'IEA Data'!$B$20</f>
        <v>2.1286440025338784</v>
      </c>
    </row>
    <row r="7" spans="1:12" x14ac:dyDescent="0.25">
      <c r="B7" t="s">
        <v>10</v>
      </c>
      <c r="C7" t="s">
        <v>11</v>
      </c>
      <c r="D7" s="4">
        <v>0.76</v>
      </c>
      <c r="E7" s="4">
        <v>0.76</v>
      </c>
      <c r="F7" s="4">
        <v>0.76</v>
      </c>
      <c r="J7" s="18"/>
      <c r="K7" s="18"/>
      <c r="L7" s="18"/>
    </row>
    <row r="8" spans="1:12" x14ac:dyDescent="0.25">
      <c r="B8" t="s">
        <v>12</v>
      </c>
      <c r="C8" t="s">
        <v>13</v>
      </c>
      <c r="D8" s="5">
        <v>4.7E-2</v>
      </c>
      <c r="E8" s="5">
        <v>4.7E-2</v>
      </c>
      <c r="F8" s="5">
        <v>4.7E-2</v>
      </c>
      <c r="H8">
        <f>D6/8760</f>
        <v>0.10388127853881278</v>
      </c>
    </row>
    <row r="9" spans="1:12" ht="15.75" thickBot="1" x14ac:dyDescent="0.3">
      <c r="A9" s="6"/>
      <c r="B9" s="6" t="s">
        <v>17</v>
      </c>
      <c r="C9" s="6" t="s">
        <v>18</v>
      </c>
      <c r="D9" s="6">
        <v>8.9</v>
      </c>
      <c r="E9" s="6">
        <v>8.9</v>
      </c>
      <c r="F9" s="6">
        <v>8.9</v>
      </c>
    </row>
    <row r="10" spans="1:12" ht="18.75" thickTop="1" x14ac:dyDescent="0.35">
      <c r="A10" t="s">
        <v>19</v>
      </c>
      <c r="B10" t="s">
        <v>8</v>
      </c>
      <c r="C10" t="s">
        <v>95</v>
      </c>
      <c r="D10">
        <v>2670</v>
      </c>
      <c r="E10">
        <v>2670</v>
      </c>
      <c r="F10">
        <v>2670</v>
      </c>
    </row>
    <row r="11" spans="1:12" x14ac:dyDescent="0.25">
      <c r="B11" t="s">
        <v>10</v>
      </c>
      <c r="C11" t="s">
        <v>11</v>
      </c>
      <c r="D11" s="4">
        <v>0.6</v>
      </c>
      <c r="E11" s="4">
        <v>0.6</v>
      </c>
      <c r="F11" s="4">
        <v>0.6</v>
      </c>
    </row>
    <row r="12" spans="1:12" x14ac:dyDescent="0.25">
      <c r="B12" t="s">
        <v>12</v>
      </c>
      <c r="C12" t="s">
        <v>13</v>
      </c>
      <c r="D12" s="4">
        <v>0.05</v>
      </c>
      <c r="E12" s="4">
        <v>0.05</v>
      </c>
      <c r="F12" s="4">
        <v>0.05</v>
      </c>
    </row>
    <row r="13" spans="1:12" ht="15.75" thickBot="1" x14ac:dyDescent="0.3">
      <c r="A13" s="6"/>
      <c r="B13" s="6" t="s">
        <v>17</v>
      </c>
      <c r="C13" s="6" t="s">
        <v>18</v>
      </c>
      <c r="D13" s="6">
        <v>20.2</v>
      </c>
      <c r="E13" s="6">
        <v>20.2</v>
      </c>
      <c r="F13" s="6">
        <v>20.2</v>
      </c>
    </row>
    <row r="14" spans="1:12" ht="15.75" thickTop="1" x14ac:dyDescent="0.25"/>
    <row r="15" spans="1:12" x14ac:dyDescent="0.25">
      <c r="A15" t="s">
        <v>20</v>
      </c>
      <c r="D15">
        <v>2017</v>
      </c>
      <c r="E15">
        <v>2030</v>
      </c>
      <c r="F15">
        <v>2050</v>
      </c>
    </row>
    <row r="18" spans="1:14" x14ac:dyDescent="0.25">
      <c r="B18">
        <f>134500000000000</f>
        <v>134500000000000</v>
      </c>
      <c r="C18" t="s">
        <v>83</v>
      </c>
    </row>
    <row r="19" spans="1:14" x14ac:dyDescent="0.25">
      <c r="B19" s="11">
        <f>1000000000</f>
        <v>1000000000</v>
      </c>
      <c r="C19" t="s">
        <v>84</v>
      </c>
    </row>
    <row r="20" spans="1:14" x14ac:dyDescent="0.25">
      <c r="B20">
        <v>0.7319</v>
      </c>
      <c r="C20" t="s">
        <v>85</v>
      </c>
    </row>
    <row r="21" spans="1:14" x14ac:dyDescent="0.25">
      <c r="B21">
        <f>B18/B19/B20</f>
        <v>183768.27435441999</v>
      </c>
      <c r="C21" t="s">
        <v>90</v>
      </c>
      <c r="D21" s="18">
        <f>HPEC!I2*'IEA Data'!B21</f>
        <v>14.071700174013298</v>
      </c>
    </row>
    <row r="23" spans="1:14" x14ac:dyDescent="0.25">
      <c r="B23" s="11">
        <v>3.1200000000000002E-6</v>
      </c>
      <c r="C23" t="s">
        <v>86</v>
      </c>
    </row>
    <row r="24" spans="1:14" x14ac:dyDescent="0.25">
      <c r="B24">
        <v>1.3729</v>
      </c>
      <c r="C24" t="s">
        <v>87</v>
      </c>
    </row>
    <row r="25" spans="1:14" x14ac:dyDescent="0.25">
      <c r="B25" s="11">
        <v>1.8600000000000001E-5</v>
      </c>
      <c r="C25" t="s">
        <v>91</v>
      </c>
    </row>
    <row r="26" spans="1:14" x14ac:dyDescent="0.25">
      <c r="B26">
        <v>1.6899999999999998E-2</v>
      </c>
      <c r="C26" t="s">
        <v>92</v>
      </c>
    </row>
    <row r="28" spans="1:14" x14ac:dyDescent="0.25">
      <c r="B28">
        <v>0.25</v>
      </c>
      <c r="C28" t="s">
        <v>94</v>
      </c>
    </row>
    <row r="30" spans="1:14" x14ac:dyDescent="0.25">
      <c r="A30" s="11">
        <f>B30/B21</f>
        <v>1.0053674186484697E-5</v>
      </c>
      <c r="B30" s="18">
        <f>HPEC!B3*B21*(1+B28)</f>
        <v>1.8475463561718699</v>
      </c>
      <c r="C30" t="s">
        <v>88</v>
      </c>
      <c r="H30">
        <f>0.15/B21</f>
        <v>8.1624535315985131E-7</v>
      </c>
    </row>
    <row r="31" spans="1:14" x14ac:dyDescent="0.25">
      <c r="A31" s="11">
        <f>B31/B21</f>
        <v>4.5977879999999999E-6</v>
      </c>
      <c r="B31" s="18">
        <f>B23*B24*B21+B25*B26*B21</f>
        <v>0.84492756660746005</v>
      </c>
      <c r="C31" t="s">
        <v>89</v>
      </c>
      <c r="N31">
        <f>200*8760/20000</f>
        <v>87.6</v>
      </c>
    </row>
    <row r="32" spans="1:14" x14ac:dyDescent="0.25">
      <c r="A32" s="11">
        <f>B32/B21</f>
        <v>8.6767529440267494E-7</v>
      </c>
      <c r="B32" s="19">
        <f>HPEO!B3*B21*(1+B28)</f>
        <v>0.15945119155234291</v>
      </c>
      <c r="C32" t="s">
        <v>93</v>
      </c>
    </row>
    <row r="33" spans="1:1" x14ac:dyDescent="0.25">
      <c r="A33" s="11">
        <f>SUM(A30:A32)</f>
        <v>1.5519137480887374E-5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8A5D-74AD-4ED6-BF04-3B635E31E1A5}">
  <dimension ref="B2:H68"/>
  <sheetViews>
    <sheetView zoomScale="70" zoomScaleNormal="70" workbookViewId="0">
      <selection activeCell="K36" sqref="K36"/>
    </sheetView>
  </sheetViews>
  <sheetFormatPr defaultRowHeight="15" x14ac:dyDescent="0.25"/>
  <cols>
    <col min="2" max="2" width="55.42578125" bestFit="1" customWidth="1"/>
    <col min="3" max="3" width="12.7109375" bestFit="1" customWidth="1"/>
    <col min="4" max="4" width="11.42578125" bestFit="1" customWidth="1"/>
    <col min="5" max="5" width="10" bestFit="1" customWidth="1"/>
    <col min="6" max="6" width="15.28515625" bestFit="1" customWidth="1"/>
    <col min="7" max="7" width="16.7109375" bestFit="1" customWidth="1"/>
  </cols>
  <sheetData>
    <row r="2" spans="2:7" x14ac:dyDescent="0.25">
      <c r="B2" t="s">
        <v>133</v>
      </c>
    </row>
    <row r="3" spans="2:7" ht="15.75" x14ac:dyDescent="0.25">
      <c r="B3" s="24" t="s">
        <v>134</v>
      </c>
    </row>
    <row r="4" spans="2:7" x14ac:dyDescent="0.25">
      <c r="B4" s="1" t="s">
        <v>3</v>
      </c>
      <c r="C4" s="1" t="s">
        <v>135</v>
      </c>
      <c r="D4" s="1" t="s">
        <v>136</v>
      </c>
      <c r="G4" s="1"/>
    </row>
    <row r="5" spans="2:7" x14ac:dyDescent="0.25">
      <c r="B5" t="s">
        <v>137</v>
      </c>
      <c r="C5" t="s">
        <v>155</v>
      </c>
      <c r="D5">
        <f>500000*365</f>
        <v>182500000</v>
      </c>
    </row>
    <row r="6" spans="2:7" x14ac:dyDescent="0.25">
      <c r="B6" t="s">
        <v>138</v>
      </c>
      <c r="C6" t="s">
        <v>144</v>
      </c>
      <c r="D6">
        <v>3.16</v>
      </c>
    </row>
    <row r="7" spans="2:7" x14ac:dyDescent="0.25">
      <c r="B7" t="s">
        <v>139</v>
      </c>
      <c r="C7" t="s">
        <v>140</v>
      </c>
      <c r="D7">
        <v>3.7</v>
      </c>
    </row>
    <row r="8" spans="2:7" x14ac:dyDescent="0.25">
      <c r="B8" t="s">
        <v>141</v>
      </c>
      <c r="C8" t="s">
        <v>145</v>
      </c>
      <c r="D8">
        <v>9.74</v>
      </c>
    </row>
    <row r="9" spans="2:7" x14ac:dyDescent="0.25">
      <c r="B9" t="s">
        <v>146</v>
      </c>
      <c r="C9" t="s">
        <v>147</v>
      </c>
      <c r="D9">
        <v>8.4700000000000006</v>
      </c>
      <c r="F9" s="1" t="s">
        <v>126</v>
      </c>
      <c r="G9" s="1" t="s">
        <v>127</v>
      </c>
    </row>
    <row r="10" spans="2:7" x14ac:dyDescent="0.25">
      <c r="B10" t="s">
        <v>8</v>
      </c>
      <c r="C10" t="s">
        <v>148</v>
      </c>
      <c r="D10">
        <v>0.15</v>
      </c>
      <c r="F10" s="19">
        <f>D10*About!$A$75</f>
        <v>0.1371</v>
      </c>
      <c r="G10" s="11">
        <f>D10*About!$A$75/'IEA Data'!$B$18*'IEA Data'!$B$19</f>
        <v>1.0193308550185872E-6</v>
      </c>
    </row>
    <row r="11" spans="2:7" x14ac:dyDescent="0.25">
      <c r="B11" t="s">
        <v>142</v>
      </c>
      <c r="C11" t="s">
        <v>148</v>
      </c>
      <c r="D11">
        <v>0.81</v>
      </c>
      <c r="F11" s="19">
        <f>D11*About!$A$75</f>
        <v>0.74034000000000011</v>
      </c>
      <c r="G11" s="11">
        <f>D11*About!$A$75/'IEA Data'!$B$18*'IEA Data'!$B$19</f>
        <v>5.5043866171003719E-6</v>
      </c>
    </row>
    <row r="12" spans="2:7" x14ac:dyDescent="0.25">
      <c r="B12" t="s">
        <v>143</v>
      </c>
      <c r="C12" t="s">
        <v>148</v>
      </c>
      <c r="D12">
        <v>0.96</v>
      </c>
      <c r="F12" s="19">
        <f>D12*About!$A$75</f>
        <v>0.87744</v>
      </c>
      <c r="G12" s="11">
        <f>D12*About!$A$75/'IEA Data'!$B$18*'IEA Data'!$B$19</f>
        <v>6.5237174721189588E-6</v>
      </c>
    </row>
    <row r="13" spans="2:7" x14ac:dyDescent="0.25">
      <c r="B13" t="s">
        <v>149</v>
      </c>
    </row>
    <row r="15" spans="2:7" x14ac:dyDescent="0.25">
      <c r="B15" t="s">
        <v>151</v>
      </c>
    </row>
    <row r="31" spans="2:3" x14ac:dyDescent="0.25">
      <c r="B31" t="s">
        <v>152</v>
      </c>
    </row>
    <row r="32" spans="2:3" x14ac:dyDescent="0.25">
      <c r="B32" s="22">
        <v>0.751</v>
      </c>
      <c r="C32" t="s">
        <v>153</v>
      </c>
    </row>
    <row r="33" spans="2:8" x14ac:dyDescent="0.25">
      <c r="B33" s="22">
        <f>1-B32</f>
        <v>0.249</v>
      </c>
      <c r="C33" t="s">
        <v>154</v>
      </c>
    </row>
    <row r="35" spans="2:8" x14ac:dyDescent="0.25">
      <c r="B35" s="19">
        <f>F11*B33</f>
        <v>0.18434466000000002</v>
      </c>
      <c r="C35" t="s">
        <v>156</v>
      </c>
    </row>
    <row r="36" spans="2:8" x14ac:dyDescent="0.25">
      <c r="B36" s="11">
        <f>G11*B33</f>
        <v>1.3705922676579926E-6</v>
      </c>
      <c r="C36" t="s">
        <v>157</v>
      </c>
    </row>
    <row r="38" spans="2:8" x14ac:dyDescent="0.25">
      <c r="B38" t="s">
        <v>158</v>
      </c>
      <c r="G38" s="15" t="s">
        <v>190</v>
      </c>
    </row>
    <row r="39" spans="2:8" x14ac:dyDescent="0.25">
      <c r="B39" t="s">
        <v>159</v>
      </c>
      <c r="C39" t="s">
        <v>135</v>
      </c>
      <c r="D39" t="s">
        <v>136</v>
      </c>
      <c r="E39" t="s">
        <v>160</v>
      </c>
      <c r="G39">
        <v>216000000</v>
      </c>
      <c r="H39" t="s">
        <v>188</v>
      </c>
    </row>
    <row r="40" spans="2:8" x14ac:dyDescent="0.25">
      <c r="B40" t="s">
        <v>161</v>
      </c>
      <c r="G40">
        <f>G39/D5</f>
        <v>1.1835616438356165</v>
      </c>
      <c r="H40" t="s">
        <v>191</v>
      </c>
    </row>
    <row r="41" spans="2:8" x14ac:dyDescent="0.25">
      <c r="B41" t="s">
        <v>162</v>
      </c>
      <c r="C41" t="s">
        <v>163</v>
      </c>
      <c r="D41">
        <v>500</v>
      </c>
      <c r="E41" t="s">
        <v>164</v>
      </c>
      <c r="G41" s="11">
        <f>G40/'IEA Data'!B18*'IEA Data'!B19*About!A75</f>
        <v>8.0429393491877576E-6</v>
      </c>
      <c r="H41" t="s">
        <v>189</v>
      </c>
    </row>
    <row r="42" spans="2:8" x14ac:dyDescent="0.25">
      <c r="B42" t="s">
        <v>165</v>
      </c>
      <c r="C42" t="s">
        <v>166</v>
      </c>
      <c r="D42">
        <v>25</v>
      </c>
      <c r="E42" t="s">
        <v>167</v>
      </c>
    </row>
    <row r="43" spans="2:8" x14ac:dyDescent="0.25">
      <c r="B43" t="s">
        <v>168</v>
      </c>
      <c r="C43" t="s">
        <v>169</v>
      </c>
      <c r="D43">
        <v>2.7</v>
      </c>
      <c r="E43" t="s">
        <v>167</v>
      </c>
    </row>
    <row r="44" spans="2:8" x14ac:dyDescent="0.25">
      <c r="B44" t="s">
        <v>170</v>
      </c>
      <c r="C44" t="s">
        <v>171</v>
      </c>
      <c r="D44" s="25">
        <v>1800</v>
      </c>
      <c r="E44" t="s">
        <v>172</v>
      </c>
    </row>
    <row r="45" spans="2:8" x14ac:dyDescent="0.25">
      <c r="B45" t="s">
        <v>173</v>
      </c>
      <c r="C45" t="s">
        <v>174</v>
      </c>
      <c r="D45">
        <v>24.8</v>
      </c>
      <c r="E45" t="s">
        <v>172</v>
      </c>
    </row>
    <row r="46" spans="2:8" x14ac:dyDescent="0.25">
      <c r="B46" t="s">
        <v>175</v>
      </c>
      <c r="C46" t="s">
        <v>169</v>
      </c>
      <c r="D46">
        <v>0.75</v>
      </c>
      <c r="E46" t="s">
        <v>172</v>
      </c>
    </row>
    <row r="47" spans="2:8" x14ac:dyDescent="0.25">
      <c r="B47" t="s">
        <v>176</v>
      </c>
    </row>
    <row r="48" spans="2:8" x14ac:dyDescent="0.25">
      <c r="B48" t="s">
        <v>162</v>
      </c>
      <c r="C48" t="s">
        <v>163</v>
      </c>
      <c r="D48">
        <v>700</v>
      </c>
      <c r="E48" t="s">
        <v>164</v>
      </c>
    </row>
    <row r="49" spans="2:5" x14ac:dyDescent="0.25">
      <c r="B49" t="s">
        <v>165</v>
      </c>
      <c r="C49" t="s">
        <v>177</v>
      </c>
      <c r="D49">
        <v>24</v>
      </c>
      <c r="E49" t="s">
        <v>178</v>
      </c>
    </row>
    <row r="50" spans="2:5" x14ac:dyDescent="0.25">
      <c r="B50" t="s">
        <v>179</v>
      </c>
      <c r="C50" t="s">
        <v>169</v>
      </c>
      <c r="D50">
        <v>3</v>
      </c>
      <c r="E50" t="s">
        <v>167</v>
      </c>
    </row>
    <row r="51" spans="2:5" x14ac:dyDescent="0.25">
      <c r="B51" t="s">
        <v>170</v>
      </c>
      <c r="C51" t="s">
        <v>171</v>
      </c>
      <c r="D51" s="25">
        <v>1246</v>
      </c>
      <c r="E51" t="s">
        <v>172</v>
      </c>
    </row>
    <row r="52" spans="2:5" x14ac:dyDescent="0.25">
      <c r="B52" t="s">
        <v>173</v>
      </c>
      <c r="C52" t="s">
        <v>174</v>
      </c>
      <c r="D52">
        <v>34.299999999999997</v>
      </c>
      <c r="E52" t="s">
        <v>172</v>
      </c>
    </row>
    <row r="53" spans="2:5" x14ac:dyDescent="0.25">
      <c r="B53" t="s">
        <v>175</v>
      </c>
      <c r="C53" t="s">
        <v>169</v>
      </c>
      <c r="D53">
        <v>0.75</v>
      </c>
      <c r="E53" t="s">
        <v>172</v>
      </c>
    </row>
    <row r="54" spans="2:5" x14ac:dyDescent="0.25">
      <c r="B54" t="s">
        <v>180</v>
      </c>
    </row>
    <row r="55" spans="2:5" x14ac:dyDescent="0.25">
      <c r="B55" t="s">
        <v>181</v>
      </c>
    </row>
    <row r="56" spans="2:5" x14ac:dyDescent="0.25">
      <c r="B56" t="s">
        <v>162</v>
      </c>
      <c r="C56" t="s">
        <v>163</v>
      </c>
      <c r="D56">
        <v>320</v>
      </c>
      <c r="E56" t="s">
        <v>182</v>
      </c>
    </row>
    <row r="57" spans="2:5" x14ac:dyDescent="0.25">
      <c r="B57" t="s">
        <v>165</v>
      </c>
      <c r="C57" t="s">
        <v>177</v>
      </c>
      <c r="D57">
        <v>23</v>
      </c>
      <c r="E57" t="s">
        <v>178</v>
      </c>
    </row>
    <row r="58" spans="2:5" x14ac:dyDescent="0.25">
      <c r="B58" t="s">
        <v>183</v>
      </c>
    </row>
    <row r="59" spans="2:5" x14ac:dyDescent="0.25">
      <c r="B59" t="s">
        <v>162</v>
      </c>
      <c r="C59" t="s">
        <v>163</v>
      </c>
      <c r="D59">
        <v>190</v>
      </c>
      <c r="E59" t="s">
        <v>182</v>
      </c>
    </row>
    <row r="60" spans="2:5" x14ac:dyDescent="0.25">
      <c r="B60" t="s">
        <v>165</v>
      </c>
      <c r="C60" t="s">
        <v>166</v>
      </c>
      <c r="D60">
        <v>22.5</v>
      </c>
      <c r="E60" t="s">
        <v>178</v>
      </c>
    </row>
    <row r="61" spans="2:5" x14ac:dyDescent="0.25">
      <c r="B61" t="s">
        <v>184</v>
      </c>
    </row>
    <row r="62" spans="2:5" x14ac:dyDescent="0.25">
      <c r="B62" t="s">
        <v>162</v>
      </c>
      <c r="C62" t="s">
        <v>163</v>
      </c>
      <c r="D62">
        <v>25</v>
      </c>
      <c r="E62" t="s">
        <v>178</v>
      </c>
    </row>
    <row r="63" spans="2:5" x14ac:dyDescent="0.25">
      <c r="B63" t="s">
        <v>165</v>
      </c>
      <c r="C63" t="s">
        <v>166</v>
      </c>
      <c r="D63">
        <v>23</v>
      </c>
      <c r="E63" t="s">
        <v>178</v>
      </c>
    </row>
    <row r="64" spans="2:5" x14ac:dyDescent="0.25">
      <c r="B64" t="s">
        <v>185</v>
      </c>
      <c r="C64" t="s">
        <v>11</v>
      </c>
      <c r="D64">
        <v>90</v>
      </c>
      <c r="E64" t="s">
        <v>178</v>
      </c>
    </row>
    <row r="65" spans="2:5" x14ac:dyDescent="0.25">
      <c r="B65" t="s">
        <v>186</v>
      </c>
      <c r="C65" t="s">
        <v>11</v>
      </c>
      <c r="D65">
        <v>99.99</v>
      </c>
      <c r="E65" t="s">
        <v>178</v>
      </c>
    </row>
    <row r="66" spans="2:5" x14ac:dyDescent="0.25">
      <c r="B66" t="s">
        <v>170</v>
      </c>
      <c r="C66" t="s">
        <v>187</v>
      </c>
      <c r="D66" s="25">
        <v>17069</v>
      </c>
      <c r="E66" t="s">
        <v>172</v>
      </c>
    </row>
    <row r="67" spans="2:5" x14ac:dyDescent="0.25">
      <c r="B67" t="s">
        <v>173</v>
      </c>
      <c r="C67" t="s">
        <v>174</v>
      </c>
      <c r="D67">
        <v>35.299999999999997</v>
      </c>
      <c r="E67" t="s">
        <v>172</v>
      </c>
    </row>
    <row r="68" spans="2:5" x14ac:dyDescent="0.25">
      <c r="B68" t="s">
        <v>175</v>
      </c>
      <c r="C68" t="s">
        <v>169</v>
      </c>
      <c r="D68">
        <v>0.6</v>
      </c>
      <c r="E68" t="s">
        <v>172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B9B9-450F-45DB-9C6D-28B16550AAC5}">
  <dimension ref="A17:AL105"/>
  <sheetViews>
    <sheetView topLeftCell="A55" zoomScale="85" zoomScaleNormal="85" workbookViewId="0">
      <selection activeCell="B79" sqref="B79"/>
    </sheetView>
  </sheetViews>
  <sheetFormatPr defaultRowHeight="15" x14ac:dyDescent="0.25"/>
  <cols>
    <col min="1" max="1" width="24.85546875" bestFit="1" customWidth="1"/>
    <col min="2" max="2" width="14.85546875" customWidth="1"/>
    <col min="3" max="4" width="13.28515625" customWidth="1"/>
    <col min="5" max="31" width="10.7109375" bestFit="1" customWidth="1"/>
  </cols>
  <sheetData>
    <row r="17" spans="2:6" x14ac:dyDescent="0.25">
      <c r="B17" s="15" t="s">
        <v>123</v>
      </c>
    </row>
    <row r="18" spans="2:6" x14ac:dyDescent="0.25">
      <c r="B18">
        <v>2000</v>
      </c>
      <c r="C18" t="s">
        <v>79</v>
      </c>
      <c r="D18" t="s">
        <v>80</v>
      </c>
    </row>
    <row r="20" spans="2:6" x14ac:dyDescent="0.25">
      <c r="B20" s="1" t="s">
        <v>81</v>
      </c>
    </row>
    <row r="21" spans="2:6" x14ac:dyDescent="0.25">
      <c r="B21" s="17" t="s">
        <v>128</v>
      </c>
    </row>
    <row r="22" spans="2:6" x14ac:dyDescent="0.25">
      <c r="B22" s="1">
        <v>2024</v>
      </c>
      <c r="C22" s="1">
        <v>2030</v>
      </c>
      <c r="D22" s="1">
        <v>2050</v>
      </c>
    </row>
    <row r="23" spans="2:6" x14ac:dyDescent="0.25">
      <c r="B23" s="16">
        <f>B18</f>
        <v>2000</v>
      </c>
      <c r="C23" s="16">
        <f>B23*'IEA Data'!E2/'IEA Data'!D2</f>
        <v>1555.5555555555557</v>
      </c>
      <c r="D23" s="16">
        <f>B23*'IEA Data'!F2/'IEA Data'!D2</f>
        <v>1000</v>
      </c>
      <c r="E23" t="s">
        <v>82</v>
      </c>
      <c r="F23" s="1" t="s">
        <v>198</v>
      </c>
    </row>
    <row r="24" spans="2:6" x14ac:dyDescent="0.25">
      <c r="B24" s="27">
        <f>B23*$B$36</f>
        <v>212000000</v>
      </c>
      <c r="C24" s="27">
        <f>C23*$B$36</f>
        <v>164888888.8888889</v>
      </c>
      <c r="D24" s="27">
        <f>D23*$B$36</f>
        <v>106000000</v>
      </c>
      <c r="E24" t="s">
        <v>192</v>
      </c>
    </row>
    <row r="25" spans="2:6" x14ac:dyDescent="0.25">
      <c r="B25" s="19">
        <f>B23*$B$41/hours_per_year</f>
        <v>13.127853881278538</v>
      </c>
      <c r="C25" s="19">
        <f>C23*$B$41/hours_per_year</f>
        <v>10.210553018772197</v>
      </c>
      <c r="D25" s="19">
        <f>D23*$B$41/hours_per_year</f>
        <v>6.5639269406392691</v>
      </c>
      <c r="E25" t="s">
        <v>202</v>
      </c>
    </row>
    <row r="26" spans="2:6" x14ac:dyDescent="0.25">
      <c r="B26" s="11">
        <f>B25/'IEA Data'!$B$18*'IEA Data'!$B$19*About!$A$72</f>
        <v>7.6573065853979578E-5</v>
      </c>
      <c r="C26" s="11">
        <f>C25/'IEA Data'!$B$18*'IEA Data'!$B$19*About!$A$72</f>
        <v>5.9556828997539679E-5</v>
      </c>
      <c r="D26" s="11">
        <f>D25/'IEA Data'!$B$18*'IEA Data'!$B$19*About!$A$72</f>
        <v>3.8286532926989789E-5</v>
      </c>
      <c r="E26" t="s">
        <v>201</v>
      </c>
    </row>
    <row r="27" spans="2:6" x14ac:dyDescent="0.25">
      <c r="B27" s="27">
        <f t="shared" ref="B27:D28" si="0">B24*$B$87</f>
        <v>10600000</v>
      </c>
      <c r="C27" s="27">
        <f t="shared" si="0"/>
        <v>8244444.444444445</v>
      </c>
      <c r="D27" s="27">
        <f t="shared" si="0"/>
        <v>5300000</v>
      </c>
      <c r="E27" t="s">
        <v>192</v>
      </c>
      <c r="F27" s="1" t="s">
        <v>199</v>
      </c>
    </row>
    <row r="28" spans="2:6" x14ac:dyDescent="0.25">
      <c r="B28" s="19">
        <f t="shared" si="0"/>
        <v>0.65639269406392697</v>
      </c>
      <c r="C28" s="19">
        <f t="shared" si="0"/>
        <v>0.51052765093860986</v>
      </c>
      <c r="D28" s="19">
        <f t="shared" si="0"/>
        <v>0.32819634703196349</v>
      </c>
      <c r="E28" t="s">
        <v>203</v>
      </c>
    </row>
    <row r="29" spans="2:6" x14ac:dyDescent="0.25">
      <c r="B29" s="11">
        <f>B28/'IEA Data'!$B$18*'IEA Data'!$B$19*About!$A$72</f>
        <v>3.8286532926989791E-6</v>
      </c>
      <c r="C29" s="11">
        <f>C28/'IEA Data'!$B$18*'IEA Data'!$B$19*About!$A$72</f>
        <v>2.9778414498769836E-6</v>
      </c>
      <c r="D29" s="11">
        <f>D28/'IEA Data'!$B$18*'IEA Data'!$B$19*About!$A$72</f>
        <v>1.9143266463494895E-6</v>
      </c>
      <c r="E29" t="s">
        <v>201</v>
      </c>
    </row>
    <row r="30" spans="2:6" x14ac:dyDescent="0.25">
      <c r="B30" s="11"/>
      <c r="C30" s="11"/>
      <c r="D30" s="11"/>
    </row>
    <row r="32" spans="2:6" x14ac:dyDescent="0.25">
      <c r="B32" s="15" t="s">
        <v>124</v>
      </c>
    </row>
    <row r="33" spans="1:9" x14ac:dyDescent="0.25">
      <c r="B33" s="23">
        <v>2000</v>
      </c>
      <c r="C33" t="s">
        <v>79</v>
      </c>
      <c r="D33" t="s">
        <v>80</v>
      </c>
      <c r="E33" s="23" t="s">
        <v>121</v>
      </c>
    </row>
    <row r="35" spans="1:9" x14ac:dyDescent="0.25">
      <c r="B35">
        <f>50000*365</f>
        <v>18250000</v>
      </c>
      <c r="C35" t="s">
        <v>99</v>
      </c>
    </row>
    <row r="36" spans="1:9" x14ac:dyDescent="0.25">
      <c r="B36">
        <v>106000</v>
      </c>
      <c r="C36" t="s">
        <v>117</v>
      </c>
    </row>
    <row r="37" spans="1:9" x14ac:dyDescent="0.25">
      <c r="B37">
        <f>B35/B36</f>
        <v>172.16981132075472</v>
      </c>
      <c r="C37" t="s">
        <v>100</v>
      </c>
    </row>
    <row r="39" spans="1:9" x14ac:dyDescent="0.25">
      <c r="B39">
        <f>B18/B37</f>
        <v>11.616438356164384</v>
      </c>
      <c r="I39">
        <f>B18*B36/B35</f>
        <v>11.616438356164384</v>
      </c>
    </row>
    <row r="41" spans="1:9" x14ac:dyDescent="0.25">
      <c r="B41">
        <f>57.5</f>
        <v>57.5</v>
      </c>
      <c r="C41" t="s">
        <v>101</v>
      </c>
      <c r="D41" t="s">
        <v>104</v>
      </c>
    </row>
    <row r="42" spans="1:9" x14ac:dyDescent="0.25">
      <c r="B42">
        <v>3.3000000000000002E-2</v>
      </c>
      <c r="C42" t="s">
        <v>102</v>
      </c>
      <c r="D42" t="s">
        <v>103</v>
      </c>
    </row>
    <row r="43" spans="1:9" x14ac:dyDescent="0.25">
      <c r="B43" s="4">
        <v>0.51</v>
      </c>
      <c r="C43" t="s">
        <v>11</v>
      </c>
      <c r="D43" t="s">
        <v>116</v>
      </c>
    </row>
    <row r="45" spans="1:9" x14ac:dyDescent="0.25">
      <c r="B45">
        <f>B41*B42</f>
        <v>1.8975000000000002</v>
      </c>
      <c r="C45" t="s">
        <v>105</v>
      </c>
      <c r="D45" t="s">
        <v>89</v>
      </c>
    </row>
    <row r="46" spans="1:9" x14ac:dyDescent="0.25">
      <c r="B46" s="4">
        <v>0.1</v>
      </c>
      <c r="D46" t="s">
        <v>107</v>
      </c>
    </row>
    <row r="47" spans="1:9" x14ac:dyDescent="0.25">
      <c r="B47" s="4"/>
    </row>
    <row r="48" spans="1:9" x14ac:dyDescent="0.25">
      <c r="A48" s="19">
        <f>B27/SUM(B64:AE64)/B53</f>
        <v>5.6011956736135488E-2</v>
      </c>
      <c r="B48" s="4">
        <f>0.11</f>
        <v>0.11</v>
      </c>
      <c r="C48" t="s">
        <v>11</v>
      </c>
      <c r="D48" t="s">
        <v>111</v>
      </c>
    </row>
    <row r="49" spans="1:31" x14ac:dyDescent="0.25">
      <c r="B49">
        <v>40000</v>
      </c>
      <c r="C49" t="s">
        <v>112</v>
      </c>
      <c r="D49" t="s">
        <v>113</v>
      </c>
    </row>
    <row r="50" spans="1:31" x14ac:dyDescent="0.25">
      <c r="B50" s="4"/>
    </row>
    <row r="52" spans="1:31" x14ac:dyDescent="0.25"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9</v>
      </c>
      <c r="K52">
        <v>10</v>
      </c>
      <c r="L52">
        <v>11</v>
      </c>
      <c r="M52">
        <v>12</v>
      </c>
      <c r="N52">
        <v>13</v>
      </c>
      <c r="O52">
        <v>14</v>
      </c>
      <c r="P52">
        <v>15</v>
      </c>
      <c r="Q52">
        <v>16</v>
      </c>
      <c r="R52">
        <v>17</v>
      </c>
      <c r="S52">
        <v>18</v>
      </c>
      <c r="T52">
        <v>19</v>
      </c>
      <c r="U52">
        <v>20</v>
      </c>
      <c r="V52">
        <v>21</v>
      </c>
      <c r="W52">
        <v>22</v>
      </c>
      <c r="X52">
        <v>23</v>
      </c>
      <c r="Y52">
        <v>24</v>
      </c>
      <c r="Z52">
        <v>25</v>
      </c>
      <c r="AA52">
        <v>26</v>
      </c>
      <c r="AB52">
        <v>27</v>
      </c>
      <c r="AC52">
        <v>28</v>
      </c>
      <c r="AD52">
        <v>29</v>
      </c>
      <c r="AE52">
        <v>30</v>
      </c>
    </row>
    <row r="53" spans="1:31" x14ac:dyDescent="0.25">
      <c r="A53" t="s">
        <v>106</v>
      </c>
      <c r="B53">
        <f>$B$35</f>
        <v>18250000</v>
      </c>
      <c r="C53">
        <f t="shared" ref="C53:AE53" si="1">$B$35</f>
        <v>18250000</v>
      </c>
      <c r="D53">
        <f t="shared" si="1"/>
        <v>18250000</v>
      </c>
      <c r="E53">
        <f t="shared" si="1"/>
        <v>18250000</v>
      </c>
      <c r="F53">
        <f t="shared" si="1"/>
        <v>18250000</v>
      </c>
      <c r="G53">
        <f t="shared" si="1"/>
        <v>18250000</v>
      </c>
      <c r="H53">
        <f t="shared" si="1"/>
        <v>18250000</v>
      </c>
      <c r="I53">
        <f t="shared" si="1"/>
        <v>18250000</v>
      </c>
      <c r="J53">
        <f t="shared" si="1"/>
        <v>18250000</v>
      </c>
      <c r="K53">
        <f t="shared" si="1"/>
        <v>18250000</v>
      </c>
      <c r="L53">
        <f t="shared" si="1"/>
        <v>18250000</v>
      </c>
      <c r="M53">
        <f t="shared" si="1"/>
        <v>18250000</v>
      </c>
      <c r="N53">
        <f t="shared" si="1"/>
        <v>18250000</v>
      </c>
      <c r="O53">
        <f t="shared" si="1"/>
        <v>18250000</v>
      </c>
      <c r="P53">
        <f t="shared" si="1"/>
        <v>18250000</v>
      </c>
      <c r="Q53">
        <f t="shared" si="1"/>
        <v>18250000</v>
      </c>
      <c r="R53">
        <f t="shared" si="1"/>
        <v>18250000</v>
      </c>
      <c r="S53">
        <f t="shared" si="1"/>
        <v>18250000</v>
      </c>
      <c r="T53">
        <f t="shared" si="1"/>
        <v>18250000</v>
      </c>
      <c r="U53">
        <f t="shared" si="1"/>
        <v>18250000</v>
      </c>
      <c r="V53">
        <f t="shared" si="1"/>
        <v>18250000</v>
      </c>
      <c r="W53">
        <f t="shared" si="1"/>
        <v>18250000</v>
      </c>
      <c r="X53">
        <f t="shared" si="1"/>
        <v>18250000</v>
      </c>
      <c r="Y53">
        <f t="shared" si="1"/>
        <v>18250000</v>
      </c>
      <c r="Z53">
        <f t="shared" si="1"/>
        <v>18250000</v>
      </c>
      <c r="AA53">
        <f t="shared" si="1"/>
        <v>18250000</v>
      </c>
      <c r="AB53">
        <f t="shared" si="1"/>
        <v>18250000</v>
      </c>
      <c r="AC53">
        <f t="shared" si="1"/>
        <v>18250000</v>
      </c>
      <c r="AD53">
        <f t="shared" si="1"/>
        <v>18250000</v>
      </c>
      <c r="AE53">
        <f t="shared" si="1"/>
        <v>18250000</v>
      </c>
    </row>
    <row r="54" spans="1:31" x14ac:dyDescent="0.25">
      <c r="A54" t="s">
        <v>110</v>
      </c>
      <c r="B54" s="14">
        <f>hours_per_year*'DoE Data'!$B$43</f>
        <v>4467.6000000000004</v>
      </c>
      <c r="C54" s="14">
        <f>hours_per_year*'DoE Data'!$B$43</f>
        <v>4467.6000000000004</v>
      </c>
      <c r="D54" s="14">
        <f>hours_per_year*'DoE Data'!$B$43</f>
        <v>4467.6000000000004</v>
      </c>
      <c r="E54" s="14">
        <f>hours_per_year*'DoE Data'!$B$43</f>
        <v>4467.6000000000004</v>
      </c>
      <c r="F54" s="14">
        <f>hours_per_year*'DoE Data'!$B$43</f>
        <v>4467.6000000000004</v>
      </c>
      <c r="G54" s="14">
        <f>hours_per_year*'DoE Data'!$B$43</f>
        <v>4467.6000000000004</v>
      </c>
      <c r="H54" s="14">
        <f>hours_per_year*'DoE Data'!$B$43</f>
        <v>4467.6000000000004</v>
      </c>
      <c r="I54" s="14">
        <f>hours_per_year*'DoE Data'!$B$43</f>
        <v>4467.6000000000004</v>
      </c>
      <c r="J54" s="14">
        <f>hours_per_year*'DoE Data'!$B$43</f>
        <v>4467.6000000000004</v>
      </c>
      <c r="K54" s="14">
        <f>hours_per_year*'DoE Data'!$B$43</f>
        <v>4467.6000000000004</v>
      </c>
      <c r="L54" s="14">
        <f>hours_per_year*'DoE Data'!$B$43</f>
        <v>4467.6000000000004</v>
      </c>
      <c r="M54" s="14">
        <f>hours_per_year*'DoE Data'!$B$43</f>
        <v>4467.6000000000004</v>
      </c>
      <c r="N54" s="14">
        <f>hours_per_year*'DoE Data'!$B$43</f>
        <v>4467.6000000000004</v>
      </c>
      <c r="O54" s="14">
        <f>hours_per_year*'DoE Data'!$B$43</f>
        <v>4467.6000000000004</v>
      </c>
      <c r="P54" s="14">
        <f>hours_per_year*'DoE Data'!$B$43</f>
        <v>4467.6000000000004</v>
      </c>
      <c r="Q54" s="14">
        <f>hours_per_year*'DoE Data'!$B$43</f>
        <v>4467.6000000000004</v>
      </c>
      <c r="R54" s="14">
        <f>hours_per_year*'DoE Data'!$B$43</f>
        <v>4467.6000000000004</v>
      </c>
      <c r="S54" s="14">
        <f>hours_per_year*'DoE Data'!$B$43</f>
        <v>4467.6000000000004</v>
      </c>
      <c r="T54" s="14">
        <f>hours_per_year*'DoE Data'!$B$43</f>
        <v>4467.6000000000004</v>
      </c>
      <c r="U54" s="14">
        <f>hours_per_year*'DoE Data'!$B$43</f>
        <v>4467.6000000000004</v>
      </c>
      <c r="V54" s="14">
        <f>hours_per_year*'DoE Data'!$B$43</f>
        <v>4467.6000000000004</v>
      </c>
      <c r="W54" s="14">
        <f>hours_per_year*'DoE Data'!$B$43</f>
        <v>4467.6000000000004</v>
      </c>
      <c r="X54" s="14">
        <f>hours_per_year*'DoE Data'!$B$43</f>
        <v>4467.6000000000004</v>
      </c>
      <c r="Y54" s="14">
        <f>hours_per_year*'DoE Data'!$B$43</f>
        <v>4467.6000000000004</v>
      </c>
      <c r="Z54" s="14">
        <f>hours_per_year*'DoE Data'!$B$43</f>
        <v>4467.6000000000004</v>
      </c>
      <c r="AA54" s="14">
        <f>hours_per_year*'DoE Data'!$B$43</f>
        <v>4467.6000000000004</v>
      </c>
      <c r="AB54" s="14">
        <f>hours_per_year*'DoE Data'!$B$43</f>
        <v>4467.6000000000004</v>
      </c>
      <c r="AC54" s="14">
        <f>hours_per_year*'DoE Data'!$B$43</f>
        <v>4467.6000000000004</v>
      </c>
      <c r="AD54" s="14">
        <f>hours_per_year*'DoE Data'!$B$43</f>
        <v>4467.6000000000004</v>
      </c>
      <c r="AE54" s="14">
        <f>hours_per_year*'DoE Data'!$B$43</f>
        <v>4467.6000000000004</v>
      </c>
    </row>
    <row r="55" spans="1:31" x14ac:dyDescent="0.25">
      <c r="A55" t="s">
        <v>114</v>
      </c>
      <c r="B55" s="14">
        <f>MOD(SUM(B54:$B$54),$B$49)</f>
        <v>4467.6000000000004</v>
      </c>
      <c r="C55" s="14">
        <f>MOD(SUM($B54:C$54),$B$49)</f>
        <v>8935.2000000000007</v>
      </c>
      <c r="D55" s="14">
        <f>MOD(SUM($B54:D$54),$B$49)</f>
        <v>13402.800000000001</v>
      </c>
      <c r="E55" s="14">
        <f>MOD(SUM($B54:E$54),$B$49)</f>
        <v>17870.400000000001</v>
      </c>
      <c r="F55" s="14">
        <f>MOD(SUM($B54:F$54),$B$49)</f>
        <v>22338</v>
      </c>
      <c r="G55" s="14">
        <f>MOD(SUM($B54:G$54),$B$49)</f>
        <v>26805.599999999999</v>
      </c>
      <c r="H55" s="14">
        <f>MOD(SUM($B54:H$54),$B$49)</f>
        <v>31273.199999999997</v>
      </c>
      <c r="I55" s="14">
        <f>MOD(SUM($B54:I$54),$B$49)</f>
        <v>35740.799999999996</v>
      </c>
      <c r="J55" s="14">
        <f>MOD(SUM($B54:J$54),$B$49)</f>
        <v>208.39999999999418</v>
      </c>
      <c r="K55" s="14">
        <f>MOD(SUM($B54:K$54),$B$49)</f>
        <v>4675.9999999999927</v>
      </c>
      <c r="L55" s="14">
        <f>MOD(SUM($B54:L$54),$B$49)</f>
        <v>9143.5999999999913</v>
      </c>
      <c r="M55" s="14">
        <f>MOD(SUM($B54:M$54),$B$49)</f>
        <v>13611.19999999999</v>
      </c>
      <c r="N55" s="14">
        <f>MOD(SUM($B54:N$54),$B$49)</f>
        <v>18078.799999999988</v>
      </c>
      <c r="O55" s="14">
        <f>MOD(SUM($B54:O$54),$B$49)</f>
        <v>22546.399999999987</v>
      </c>
      <c r="P55" s="14">
        <f>MOD(SUM($B54:P$54),$B$49)</f>
        <v>27013.999999999985</v>
      </c>
      <c r="Q55" s="14">
        <f>MOD(SUM($B54:Q$54),$B$49)</f>
        <v>31481.599999999991</v>
      </c>
      <c r="R55" s="14">
        <f>MOD(SUM($B54:R$54),$B$49)</f>
        <v>35949.199999999997</v>
      </c>
      <c r="S55" s="14">
        <f>MOD(SUM($B54:S$54),$B$49)</f>
        <v>416.80000000000291</v>
      </c>
      <c r="T55" s="14">
        <f>MOD(SUM($B54:T$54),$B$49)</f>
        <v>4884.4000000000087</v>
      </c>
      <c r="U55" s="14">
        <f>MOD(SUM($B54:U$54),$B$49)</f>
        <v>9352.0000000000146</v>
      </c>
      <c r="V55" s="14">
        <f>MOD(SUM($B54:V$54),$B$49)</f>
        <v>13819.60000000002</v>
      </c>
      <c r="W55" s="14">
        <f>MOD(SUM($B54:W$54),$B$49)</f>
        <v>18287.200000000026</v>
      </c>
      <c r="X55" s="14">
        <f>MOD(SUM($B54:X$54),$B$49)</f>
        <v>22754.800000000032</v>
      </c>
      <c r="Y55" s="14">
        <f>MOD(SUM($B54:Y$54),$B$49)</f>
        <v>27222.400000000038</v>
      </c>
      <c r="Z55" s="14">
        <f>MOD(SUM($B54:Z$54),$B$49)</f>
        <v>31690.000000000044</v>
      </c>
      <c r="AA55" s="14">
        <f>MOD(SUM($B54:AA$54),$B$49)</f>
        <v>36157.600000000049</v>
      </c>
      <c r="AB55" s="14">
        <f>MOD(SUM($B54:AB$54),$B$49)</f>
        <v>625.2000000000553</v>
      </c>
      <c r="AC55" s="14">
        <f>MOD(SUM($B54:AC$54),$B$49)</f>
        <v>5092.8000000000611</v>
      </c>
      <c r="AD55" s="14">
        <f>MOD(SUM($B54:AD$54),$B$49)</f>
        <v>9560.4000000000669</v>
      </c>
      <c r="AE55" s="14">
        <f>MOD(SUM($B54:AE$54),$B$49)</f>
        <v>14028.000000000058</v>
      </c>
    </row>
    <row r="56" spans="1:31" x14ac:dyDescent="0.25">
      <c r="A56" t="s">
        <v>108</v>
      </c>
      <c r="B56">
        <f>$B$45*B53</f>
        <v>34629375</v>
      </c>
      <c r="C56">
        <f t="shared" ref="C56:AE56" si="2">$B$45*C53</f>
        <v>34629375</v>
      </c>
      <c r="D56">
        <f t="shared" si="2"/>
        <v>34629375</v>
      </c>
      <c r="E56">
        <f t="shared" si="2"/>
        <v>34629375</v>
      </c>
      <c r="F56">
        <f t="shared" si="2"/>
        <v>34629375</v>
      </c>
      <c r="G56">
        <f t="shared" si="2"/>
        <v>34629375</v>
      </c>
      <c r="H56">
        <f t="shared" si="2"/>
        <v>34629375</v>
      </c>
      <c r="I56">
        <f t="shared" si="2"/>
        <v>34629375</v>
      </c>
      <c r="J56">
        <f t="shared" si="2"/>
        <v>34629375</v>
      </c>
      <c r="K56">
        <f t="shared" si="2"/>
        <v>34629375</v>
      </c>
      <c r="L56">
        <f t="shared" si="2"/>
        <v>34629375</v>
      </c>
      <c r="M56">
        <f t="shared" si="2"/>
        <v>34629375</v>
      </c>
      <c r="N56">
        <f t="shared" si="2"/>
        <v>34629375</v>
      </c>
      <c r="O56">
        <f t="shared" si="2"/>
        <v>34629375</v>
      </c>
      <c r="P56">
        <f t="shared" si="2"/>
        <v>34629375</v>
      </c>
      <c r="Q56">
        <f t="shared" si="2"/>
        <v>34629375</v>
      </c>
      <c r="R56">
        <f t="shared" si="2"/>
        <v>34629375</v>
      </c>
      <c r="S56">
        <f t="shared" si="2"/>
        <v>34629375</v>
      </c>
      <c r="T56">
        <f t="shared" si="2"/>
        <v>34629375</v>
      </c>
      <c r="U56">
        <f t="shared" si="2"/>
        <v>34629375</v>
      </c>
      <c r="V56">
        <f t="shared" si="2"/>
        <v>34629375</v>
      </c>
      <c r="W56">
        <f t="shared" si="2"/>
        <v>34629375</v>
      </c>
      <c r="X56">
        <f t="shared" si="2"/>
        <v>34629375</v>
      </c>
      <c r="Y56">
        <f t="shared" si="2"/>
        <v>34629375</v>
      </c>
      <c r="Z56">
        <f t="shared" si="2"/>
        <v>34629375</v>
      </c>
      <c r="AA56">
        <f t="shared" si="2"/>
        <v>34629375</v>
      </c>
      <c r="AB56">
        <f t="shared" si="2"/>
        <v>34629375</v>
      </c>
      <c r="AC56">
        <f t="shared" si="2"/>
        <v>34629375</v>
      </c>
      <c r="AD56">
        <f t="shared" si="2"/>
        <v>34629375</v>
      </c>
      <c r="AE56">
        <f t="shared" si="2"/>
        <v>34629375</v>
      </c>
    </row>
    <row r="57" spans="1:31" x14ac:dyDescent="0.25">
      <c r="A57" t="s">
        <v>88</v>
      </c>
      <c r="B57" s="14">
        <f>B36*B33/B43</f>
        <v>415686274.50980389</v>
      </c>
    </row>
    <row r="58" spans="1:31" x14ac:dyDescent="0.25">
      <c r="A58" t="s">
        <v>109</v>
      </c>
      <c r="B58" s="14">
        <f>5%*$B$57</f>
        <v>20784313.725490198</v>
      </c>
      <c r="C58" s="14">
        <f t="shared" ref="C58:AE58" si="3">5%*$B$57</f>
        <v>20784313.725490198</v>
      </c>
      <c r="D58" s="14">
        <f t="shared" si="3"/>
        <v>20784313.725490198</v>
      </c>
      <c r="E58" s="14">
        <f t="shared" si="3"/>
        <v>20784313.725490198</v>
      </c>
      <c r="F58" s="14">
        <f t="shared" si="3"/>
        <v>20784313.725490198</v>
      </c>
      <c r="G58" s="14">
        <f t="shared" si="3"/>
        <v>20784313.725490198</v>
      </c>
      <c r="H58" s="14">
        <f t="shared" si="3"/>
        <v>20784313.725490198</v>
      </c>
      <c r="I58" s="14">
        <f t="shared" si="3"/>
        <v>20784313.725490198</v>
      </c>
      <c r="J58" s="14">
        <f t="shared" si="3"/>
        <v>20784313.725490198</v>
      </c>
      <c r="K58" s="14">
        <f t="shared" si="3"/>
        <v>20784313.725490198</v>
      </c>
      <c r="L58" s="14">
        <f t="shared" si="3"/>
        <v>20784313.725490198</v>
      </c>
      <c r="M58" s="14">
        <f t="shared" si="3"/>
        <v>20784313.725490198</v>
      </c>
      <c r="N58" s="14">
        <f t="shared" si="3"/>
        <v>20784313.725490198</v>
      </c>
      <c r="O58" s="14">
        <f t="shared" si="3"/>
        <v>20784313.725490198</v>
      </c>
      <c r="P58" s="14">
        <f t="shared" si="3"/>
        <v>20784313.725490198</v>
      </c>
      <c r="Q58" s="14">
        <f t="shared" si="3"/>
        <v>20784313.725490198</v>
      </c>
      <c r="R58" s="14">
        <f t="shared" si="3"/>
        <v>20784313.725490198</v>
      </c>
      <c r="S58" s="14">
        <f t="shared" si="3"/>
        <v>20784313.725490198</v>
      </c>
      <c r="T58" s="14">
        <f t="shared" si="3"/>
        <v>20784313.725490198</v>
      </c>
      <c r="U58" s="14">
        <f t="shared" si="3"/>
        <v>20784313.725490198</v>
      </c>
      <c r="V58" s="14">
        <f t="shared" si="3"/>
        <v>20784313.725490198</v>
      </c>
      <c r="W58" s="14">
        <f t="shared" si="3"/>
        <v>20784313.725490198</v>
      </c>
      <c r="X58" s="14">
        <f t="shared" si="3"/>
        <v>20784313.725490198</v>
      </c>
      <c r="Y58" s="14">
        <f t="shared" si="3"/>
        <v>20784313.725490198</v>
      </c>
      <c r="Z58" s="14">
        <f t="shared" si="3"/>
        <v>20784313.725490198</v>
      </c>
      <c r="AA58" s="14">
        <f t="shared" si="3"/>
        <v>20784313.725490198</v>
      </c>
      <c r="AB58" s="14">
        <f t="shared" si="3"/>
        <v>20784313.725490198</v>
      </c>
      <c r="AC58" s="14">
        <f t="shared" si="3"/>
        <v>20784313.725490198</v>
      </c>
      <c r="AD58" s="14">
        <f t="shared" si="3"/>
        <v>20784313.725490198</v>
      </c>
      <c r="AE58" s="14">
        <f t="shared" si="3"/>
        <v>20784313.725490198</v>
      </c>
    </row>
    <row r="59" spans="1:31" x14ac:dyDescent="0.25">
      <c r="A59" t="s">
        <v>115</v>
      </c>
      <c r="B59" s="14"/>
      <c r="C59" s="14">
        <f t="shared" ref="C59:AE59" si="4">IF(C55&lt;B55,$B$57*0.11,0)</f>
        <v>0</v>
      </c>
      <c r="D59" s="14">
        <f t="shared" si="4"/>
        <v>0</v>
      </c>
      <c r="E59" s="14">
        <f t="shared" si="4"/>
        <v>0</v>
      </c>
      <c r="F59" s="14">
        <f t="shared" si="4"/>
        <v>0</v>
      </c>
      <c r="G59" s="14">
        <f t="shared" si="4"/>
        <v>0</v>
      </c>
      <c r="H59" s="14">
        <f t="shared" si="4"/>
        <v>0</v>
      </c>
      <c r="I59" s="14">
        <f t="shared" si="4"/>
        <v>0</v>
      </c>
      <c r="J59" s="14">
        <f t="shared" si="4"/>
        <v>45725490.196078427</v>
      </c>
      <c r="K59" s="14">
        <f t="shared" si="4"/>
        <v>0</v>
      </c>
      <c r="L59" s="14">
        <f t="shared" si="4"/>
        <v>0</v>
      </c>
      <c r="M59" s="14">
        <f t="shared" si="4"/>
        <v>0</v>
      </c>
      <c r="N59" s="14">
        <f t="shared" si="4"/>
        <v>0</v>
      </c>
      <c r="O59" s="14">
        <f t="shared" si="4"/>
        <v>0</v>
      </c>
      <c r="P59" s="14">
        <f t="shared" si="4"/>
        <v>0</v>
      </c>
      <c r="Q59" s="14">
        <f t="shared" si="4"/>
        <v>0</v>
      </c>
      <c r="R59" s="14">
        <f t="shared" si="4"/>
        <v>0</v>
      </c>
      <c r="S59" s="14">
        <f t="shared" si="4"/>
        <v>45725490.196078427</v>
      </c>
      <c r="T59" s="14">
        <f t="shared" si="4"/>
        <v>0</v>
      </c>
      <c r="U59" s="14">
        <f t="shared" si="4"/>
        <v>0</v>
      </c>
      <c r="V59" s="14">
        <f t="shared" si="4"/>
        <v>0</v>
      </c>
      <c r="W59" s="14">
        <f t="shared" si="4"/>
        <v>0</v>
      </c>
      <c r="X59" s="14">
        <f t="shared" si="4"/>
        <v>0</v>
      </c>
      <c r="Y59" s="14">
        <f t="shared" si="4"/>
        <v>0</v>
      </c>
      <c r="Z59" s="14">
        <f t="shared" si="4"/>
        <v>0</v>
      </c>
      <c r="AA59" s="14">
        <f t="shared" si="4"/>
        <v>0</v>
      </c>
      <c r="AB59" s="14">
        <f t="shared" si="4"/>
        <v>45725490.196078427</v>
      </c>
      <c r="AC59" s="14">
        <f t="shared" si="4"/>
        <v>0</v>
      </c>
      <c r="AD59" s="14">
        <f t="shared" si="4"/>
        <v>0</v>
      </c>
      <c r="AE59" s="14">
        <f t="shared" si="4"/>
        <v>0</v>
      </c>
    </row>
    <row r="60" spans="1:31" x14ac:dyDescent="0.2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x14ac:dyDescent="0.25">
      <c r="A61" t="s">
        <v>194</v>
      </c>
      <c r="B61" s="14">
        <f>SUM(B56:B59)/(1+$B$46)^(B52-1)</f>
        <v>471099963.2352941</v>
      </c>
      <c r="C61" s="14">
        <f t="shared" ref="C61:AE61" si="5">SUM(C56:C59)/(1+$B$46)^(C52-1)</f>
        <v>50376080.659536541</v>
      </c>
      <c r="D61" s="14">
        <f t="shared" si="5"/>
        <v>45796436.963215031</v>
      </c>
      <c r="E61" s="14">
        <f t="shared" si="5"/>
        <v>41633124.512013659</v>
      </c>
      <c r="F61" s="14">
        <f t="shared" si="5"/>
        <v>37848295.010921508</v>
      </c>
      <c r="G61" s="14">
        <f t="shared" si="5"/>
        <v>34407540.91901955</v>
      </c>
      <c r="H61" s="14">
        <f t="shared" si="5"/>
        <v>31279582.653654136</v>
      </c>
      <c r="I61" s="14">
        <f t="shared" si="5"/>
        <v>28435984.230594665</v>
      </c>
      <c r="J61" s="14">
        <f t="shared" si="5"/>
        <v>47182173.395264447</v>
      </c>
      <c r="K61" s="14">
        <f t="shared" si="5"/>
        <v>23500813.413714599</v>
      </c>
      <c r="L61" s="14">
        <f t="shared" si="5"/>
        <v>21364375.830649633</v>
      </c>
      <c r="M61" s="14">
        <f t="shared" si="5"/>
        <v>19422159.846045118</v>
      </c>
      <c r="N61" s="14">
        <f t="shared" si="5"/>
        <v>17656508.950950108</v>
      </c>
      <c r="O61" s="14">
        <f t="shared" si="5"/>
        <v>16051371.773591006</v>
      </c>
      <c r="P61" s="14">
        <f t="shared" si="5"/>
        <v>14592156.157810003</v>
      </c>
      <c r="Q61" s="14">
        <f t="shared" si="5"/>
        <v>13265596.507100003</v>
      </c>
      <c r="R61" s="14">
        <f t="shared" si="5"/>
        <v>12059633.18827273</v>
      </c>
      <c r="S61" s="14">
        <f t="shared" si="5"/>
        <v>20009847.366569262</v>
      </c>
      <c r="T61" s="14">
        <f t="shared" si="5"/>
        <v>9966638.9985725023</v>
      </c>
      <c r="U61" s="14">
        <f t="shared" si="5"/>
        <v>9060580.9077931829</v>
      </c>
      <c r="V61" s="14">
        <f t="shared" si="5"/>
        <v>8236891.734357439</v>
      </c>
      <c r="W61" s="14">
        <f t="shared" si="5"/>
        <v>7488083.3948703976</v>
      </c>
      <c r="X61" s="14">
        <f t="shared" si="5"/>
        <v>6807348.5407912703</v>
      </c>
      <c r="Y61" s="14">
        <f t="shared" si="5"/>
        <v>6188498.6734466087</v>
      </c>
      <c r="Z61" s="14">
        <f t="shared" si="5"/>
        <v>5625907.884951463</v>
      </c>
      <c r="AA61" s="14">
        <f t="shared" si="5"/>
        <v>5114461.7135922378</v>
      </c>
      <c r="AB61" s="14">
        <f t="shared" si="5"/>
        <v>8486128.6121589579</v>
      </c>
      <c r="AC61" s="14">
        <f t="shared" si="5"/>
        <v>4226827.8624729235</v>
      </c>
      <c r="AD61" s="14">
        <f t="shared" si="5"/>
        <v>3842570.7840662939</v>
      </c>
      <c r="AE61" s="14">
        <f t="shared" si="5"/>
        <v>3493246.1673329943</v>
      </c>
    </row>
    <row r="62" spans="1:31" x14ac:dyDescent="0.25">
      <c r="A62" t="s">
        <v>197</v>
      </c>
      <c r="B62" s="14">
        <f>(B57+B59)/(1+$B$46)^(B52-1)</f>
        <v>415686274.50980389</v>
      </c>
      <c r="C62">
        <f t="shared" ref="C62:AE62" si="6">(C57+C59)/(1+$B$46)^(C52-1)</f>
        <v>0</v>
      </c>
      <c r="D62">
        <f t="shared" si="6"/>
        <v>0</v>
      </c>
      <c r="E62">
        <f t="shared" si="6"/>
        <v>0</v>
      </c>
      <c r="F62">
        <f t="shared" si="6"/>
        <v>0</v>
      </c>
      <c r="G62">
        <f t="shared" si="6"/>
        <v>0</v>
      </c>
      <c r="H62">
        <f t="shared" si="6"/>
        <v>0</v>
      </c>
      <c r="I62">
        <f t="shared" si="6"/>
        <v>0</v>
      </c>
      <c r="J62">
        <f t="shared" si="6"/>
        <v>21331278.640178386</v>
      </c>
      <c r="K62">
        <f t="shared" si="6"/>
        <v>0</v>
      </c>
      <c r="L62">
        <f t="shared" si="6"/>
        <v>0</v>
      </c>
      <c r="M62">
        <f t="shared" si="6"/>
        <v>0</v>
      </c>
      <c r="N62">
        <f t="shared" si="6"/>
        <v>0</v>
      </c>
      <c r="O62">
        <f t="shared" si="6"/>
        <v>0</v>
      </c>
      <c r="P62">
        <f t="shared" si="6"/>
        <v>0</v>
      </c>
      <c r="Q62">
        <f t="shared" si="6"/>
        <v>0</v>
      </c>
      <c r="R62">
        <f t="shared" si="6"/>
        <v>0</v>
      </c>
      <c r="S62">
        <f t="shared" si="6"/>
        <v>9046544.4681395069</v>
      </c>
      <c r="T62">
        <f t="shared" si="6"/>
        <v>0</v>
      </c>
      <c r="U62">
        <f t="shared" si="6"/>
        <v>0</v>
      </c>
      <c r="V62">
        <f t="shared" si="6"/>
        <v>0</v>
      </c>
      <c r="W62">
        <f t="shared" si="6"/>
        <v>0</v>
      </c>
      <c r="X62">
        <f t="shared" si="6"/>
        <v>0</v>
      </c>
      <c r="Y62">
        <f t="shared" si="6"/>
        <v>0</v>
      </c>
      <c r="Z62">
        <f t="shared" si="6"/>
        <v>0</v>
      </c>
      <c r="AA62">
        <f t="shared" si="6"/>
        <v>0</v>
      </c>
      <c r="AB62">
        <f t="shared" si="6"/>
        <v>3836617.9634387405</v>
      </c>
      <c r="AC62">
        <f t="shared" si="6"/>
        <v>0</v>
      </c>
      <c r="AD62">
        <f t="shared" si="6"/>
        <v>0</v>
      </c>
      <c r="AE62">
        <f t="shared" si="6"/>
        <v>0</v>
      </c>
    </row>
    <row r="63" spans="1:31" x14ac:dyDescent="0.25">
      <c r="A63" t="s">
        <v>195</v>
      </c>
      <c r="B63">
        <f>B58/(1+$B$46)^(B52-1)</f>
        <v>20784313.725490198</v>
      </c>
      <c r="C63">
        <f t="shared" ref="C63:AE63" si="7">C58/(1+$B$46)^(C52-1)</f>
        <v>18894830.659536541</v>
      </c>
      <c r="D63">
        <f t="shared" si="7"/>
        <v>17177118.781396855</v>
      </c>
      <c r="E63">
        <f t="shared" si="7"/>
        <v>15615562.528542593</v>
      </c>
      <c r="F63">
        <f t="shared" si="7"/>
        <v>14195965.935038721</v>
      </c>
      <c r="G63">
        <f t="shared" si="7"/>
        <v>12905423.577307928</v>
      </c>
      <c r="H63">
        <f t="shared" si="7"/>
        <v>11732203.252098115</v>
      </c>
      <c r="I63">
        <f t="shared" si="7"/>
        <v>10665639.320089193</v>
      </c>
      <c r="J63">
        <f t="shared" si="7"/>
        <v>9696035.7455356307</v>
      </c>
      <c r="K63">
        <f t="shared" si="7"/>
        <v>8814577.9504869375</v>
      </c>
      <c r="L63">
        <f t="shared" si="7"/>
        <v>8013252.6822608504</v>
      </c>
      <c r="M63">
        <f t="shared" si="7"/>
        <v>7284775.1656916812</v>
      </c>
      <c r="N63">
        <f t="shared" si="7"/>
        <v>6622522.877901529</v>
      </c>
      <c r="O63">
        <f t="shared" si="7"/>
        <v>6020475.3435468441</v>
      </c>
      <c r="P63">
        <f t="shared" si="7"/>
        <v>5473159.403224403</v>
      </c>
      <c r="Q63">
        <f t="shared" si="7"/>
        <v>4975599.4574767295</v>
      </c>
      <c r="R63">
        <f t="shared" si="7"/>
        <v>4523272.2340697544</v>
      </c>
      <c r="S63">
        <f t="shared" si="7"/>
        <v>4112065.6673361403</v>
      </c>
      <c r="T63">
        <f t="shared" si="7"/>
        <v>3738241.515760127</v>
      </c>
      <c r="U63">
        <f t="shared" si="7"/>
        <v>3398401.3779637511</v>
      </c>
      <c r="V63">
        <f t="shared" si="7"/>
        <v>3089455.7981488649</v>
      </c>
      <c r="W63">
        <f t="shared" si="7"/>
        <v>2808596.1801353316</v>
      </c>
      <c r="X63">
        <f t="shared" si="7"/>
        <v>2553269.2546684826</v>
      </c>
      <c r="Y63">
        <f t="shared" si="7"/>
        <v>2321153.8678804385</v>
      </c>
      <c r="Z63">
        <f t="shared" si="7"/>
        <v>2110139.879891308</v>
      </c>
      <c r="AA63">
        <f t="shared" si="7"/>
        <v>1918308.9817193707</v>
      </c>
      <c r="AB63">
        <f t="shared" si="7"/>
        <v>1743917.2561085187</v>
      </c>
      <c r="AC63">
        <f t="shared" si="7"/>
        <v>1585379.3237350166</v>
      </c>
      <c r="AD63">
        <f t="shared" si="7"/>
        <v>1441253.9306681971</v>
      </c>
      <c r="AE63">
        <f t="shared" si="7"/>
        <v>1310230.8460619973</v>
      </c>
    </row>
    <row r="64" spans="1:31" x14ac:dyDescent="0.25">
      <c r="B64">
        <f>1/((1+$B$46)^(B52-1))</f>
        <v>1</v>
      </c>
      <c r="C64">
        <f t="shared" ref="C64:AE64" si="8">1/((1+$B$46)^(C52-1))</f>
        <v>0.90909090909090906</v>
      </c>
      <c r="D64">
        <f t="shared" si="8"/>
        <v>0.82644628099173545</v>
      </c>
      <c r="E64">
        <f t="shared" si="8"/>
        <v>0.75131480090157754</v>
      </c>
      <c r="F64">
        <f t="shared" si="8"/>
        <v>0.68301345536507052</v>
      </c>
      <c r="G64">
        <f t="shared" si="8"/>
        <v>0.62092132305915493</v>
      </c>
      <c r="H64">
        <f t="shared" si="8"/>
        <v>0.56447393005377722</v>
      </c>
      <c r="I64">
        <f t="shared" si="8"/>
        <v>0.51315811823070645</v>
      </c>
      <c r="J64">
        <f t="shared" si="8"/>
        <v>0.46650738020973315</v>
      </c>
      <c r="K64">
        <f t="shared" si="8"/>
        <v>0.42409761837248466</v>
      </c>
      <c r="L64">
        <f t="shared" si="8"/>
        <v>0.38554328942953148</v>
      </c>
      <c r="M64">
        <f t="shared" si="8"/>
        <v>0.3504938994813922</v>
      </c>
      <c r="N64">
        <f t="shared" si="8"/>
        <v>0.31863081771035656</v>
      </c>
      <c r="O64">
        <f t="shared" si="8"/>
        <v>0.28966437973668779</v>
      </c>
      <c r="P64">
        <f t="shared" si="8"/>
        <v>0.26333125430607973</v>
      </c>
      <c r="Q64">
        <f t="shared" si="8"/>
        <v>0.23939204936916339</v>
      </c>
      <c r="R64">
        <f t="shared" si="8"/>
        <v>0.21762913579014853</v>
      </c>
      <c r="S64">
        <f t="shared" si="8"/>
        <v>0.19784466890013502</v>
      </c>
      <c r="T64">
        <f t="shared" si="8"/>
        <v>0.17985878990921364</v>
      </c>
      <c r="U64">
        <f t="shared" si="8"/>
        <v>0.16350799082655781</v>
      </c>
      <c r="V64">
        <f t="shared" si="8"/>
        <v>0.14864362802414349</v>
      </c>
      <c r="W64">
        <f t="shared" si="8"/>
        <v>0.13513057093103953</v>
      </c>
      <c r="X64">
        <f t="shared" si="8"/>
        <v>0.12284597357367227</v>
      </c>
      <c r="Y64">
        <f t="shared" si="8"/>
        <v>0.11167815779424752</v>
      </c>
      <c r="Z64">
        <f t="shared" si="8"/>
        <v>0.10152559799477048</v>
      </c>
      <c r="AA64">
        <f t="shared" si="8"/>
        <v>9.2295998177064048E-2</v>
      </c>
      <c r="AB64">
        <f t="shared" si="8"/>
        <v>8.3905452888240042E-2</v>
      </c>
      <c r="AC64">
        <f t="shared" si="8"/>
        <v>7.6277684443854576E-2</v>
      </c>
      <c r="AD64">
        <f t="shared" si="8"/>
        <v>6.9343349494413245E-2</v>
      </c>
      <c r="AE64">
        <f t="shared" si="8"/>
        <v>6.3039408631284766E-2</v>
      </c>
    </row>
    <row r="65" spans="2:38" x14ac:dyDescent="0.25">
      <c r="C65" t="s">
        <v>118</v>
      </c>
    </row>
    <row r="66" spans="2:38" x14ac:dyDescent="0.25">
      <c r="B66">
        <f>SUM(B61:AE61)/SUM(B64:AE64)/B53</f>
        <v>5.4137079599129887</v>
      </c>
      <c r="C66" t="s">
        <v>120</v>
      </c>
    </row>
    <row r="67" spans="2:38" x14ac:dyDescent="0.25">
      <c r="B67" s="28">
        <f>SUM(B62:AE62)/SUM(B64:AE64)/B53</f>
        <v>2.3773414544066762</v>
      </c>
      <c r="C67" t="s">
        <v>119</v>
      </c>
      <c r="E67" s="23" t="s">
        <v>200</v>
      </c>
      <c r="G67">
        <f>SUM(B63:J63)/SUM(B64:J64)</f>
        <v>20784313.72549019</v>
      </c>
    </row>
    <row r="68" spans="2:38" x14ac:dyDescent="0.25">
      <c r="B68" s="28">
        <f>SUM(B63:AE63)/SUM(B64:AE64)/B53</f>
        <v>1.1388665055063121</v>
      </c>
      <c r="C68" t="s">
        <v>193</v>
      </c>
      <c r="E68" s="23" t="s">
        <v>200</v>
      </c>
      <c r="H68">
        <f>SUM(B64:AE64)</f>
        <v>10.369605913687147</v>
      </c>
    </row>
    <row r="70" spans="2:38" x14ac:dyDescent="0.25">
      <c r="B70" s="15" t="s">
        <v>122</v>
      </c>
    </row>
    <row r="71" spans="2:38" x14ac:dyDescent="0.25">
      <c r="B71">
        <v>2024</v>
      </c>
      <c r="C71">
        <v>2030</v>
      </c>
      <c r="D71">
        <v>2050</v>
      </c>
    </row>
    <row r="72" spans="2:38" x14ac:dyDescent="0.25">
      <c r="B72">
        <v>2.19654732298571</v>
      </c>
      <c r="C72">
        <v>1.7089138172828786</v>
      </c>
      <c r="D72">
        <v>1.0982736614928525</v>
      </c>
      <c r="E72" t="s">
        <v>125</v>
      </c>
      <c r="G72" s="29"/>
    </row>
    <row r="73" spans="2:38" x14ac:dyDescent="0.25">
      <c r="B73">
        <f>B72*About!$A$72</f>
        <v>1.7232375530012511</v>
      </c>
      <c r="C73">
        <f>C72*About!$A$72</f>
        <v>1.3406788162349703</v>
      </c>
      <c r="D73">
        <f>D72*About!$A$72</f>
        <v>0.86161877650062357</v>
      </c>
      <c r="E73" t="s">
        <v>126</v>
      </c>
    </row>
    <row r="74" spans="2:38" x14ac:dyDescent="0.25">
      <c r="B74" s="11">
        <f>B73/'IEA Data'!$B$18*'IEA Data'!$B$19</f>
        <v>1.2812175115250939E-5</v>
      </c>
      <c r="C74" s="11">
        <f>C73/'IEA Data'!$B$18*'IEA Data'!$B$19</f>
        <v>9.967872239665206E-6</v>
      </c>
      <c r="D74" s="11">
        <f>D73/'IEA Data'!$B$18*'IEA Data'!$B$19</f>
        <v>6.4060875576254542E-6</v>
      </c>
      <c r="E74" t="s">
        <v>127</v>
      </c>
    </row>
    <row r="76" spans="2:38" x14ac:dyDescent="0.25">
      <c r="B76" s="15" t="s">
        <v>196</v>
      </c>
    </row>
    <row r="77" spans="2:38" x14ac:dyDescent="0.25">
      <c r="B77">
        <v>2024</v>
      </c>
      <c r="C77">
        <v>2030</v>
      </c>
      <c r="D77">
        <v>2050</v>
      </c>
    </row>
    <row r="78" spans="2:38" x14ac:dyDescent="0.25">
      <c r="B78">
        <v>1.1388665055063121</v>
      </c>
      <c r="C78">
        <v>0.88603814128391067</v>
      </c>
      <c r="D78">
        <v>0.56943325275315604</v>
      </c>
      <c r="E78" t="s">
        <v>125</v>
      </c>
      <c r="I78">
        <v>60</v>
      </c>
      <c r="J78">
        <f>I78*J79/I79</f>
        <v>54.545454545454547</v>
      </c>
      <c r="K78">
        <f t="shared" ref="K78:R78" si="9">J78*K79/J79</f>
        <v>49.586776859504127</v>
      </c>
      <c r="L78">
        <f t="shared" si="9"/>
        <v>45.078888054094648</v>
      </c>
      <c r="M78">
        <f t="shared" si="9"/>
        <v>40.98080732190423</v>
      </c>
      <c r="N78">
        <f t="shared" si="9"/>
        <v>37.255279383549293</v>
      </c>
      <c r="O78">
        <f t="shared" si="9"/>
        <v>33.868435803226632</v>
      </c>
      <c r="P78">
        <f t="shared" si="9"/>
        <v>30.789487093842389</v>
      </c>
      <c r="Q78">
        <f t="shared" si="9"/>
        <v>27.990442812583989</v>
      </c>
      <c r="R78">
        <f t="shared" si="9"/>
        <v>25.44585710234908</v>
      </c>
    </row>
    <row r="79" spans="2:38" x14ac:dyDescent="0.25">
      <c r="B79">
        <f>B78*About!$A$72</f>
        <v>0.89346471601447519</v>
      </c>
      <c r="C79">
        <f>C78*About!$A$72</f>
        <v>0.69511554905926154</v>
      </c>
      <c r="D79">
        <f>D78*About!$A$72</f>
        <v>0.4467323580072376</v>
      </c>
      <c r="E79" t="s">
        <v>126</v>
      </c>
      <c r="I79">
        <v>1</v>
      </c>
      <c r="J79">
        <v>0.90909090909090906</v>
      </c>
      <c r="K79">
        <v>0.82644628099173545</v>
      </c>
      <c r="L79">
        <v>0.75131480090157754</v>
      </c>
      <c r="M79">
        <v>0.68301345536507052</v>
      </c>
      <c r="N79">
        <v>0.62092132305915493</v>
      </c>
      <c r="O79">
        <v>0.56447393005377722</v>
      </c>
      <c r="P79">
        <v>0.51315811823070645</v>
      </c>
      <c r="Q79">
        <v>0.46650738020973315</v>
      </c>
      <c r="R79">
        <v>0.42409761837248466</v>
      </c>
      <c r="S79">
        <v>0.38554328942953148</v>
      </c>
      <c r="T79">
        <v>0.3504938994813922</v>
      </c>
      <c r="U79">
        <v>0.31863081771035656</v>
      </c>
      <c r="V79">
        <v>0.28966437973668779</v>
      </c>
      <c r="W79">
        <v>0.26333125430607973</v>
      </c>
      <c r="X79">
        <v>0.23939204936916339</v>
      </c>
      <c r="Y79">
        <v>0.21762913579014853</v>
      </c>
      <c r="Z79">
        <v>0.19784466890013502</v>
      </c>
      <c r="AA79">
        <v>0.17985878990921364</v>
      </c>
      <c r="AB79">
        <v>0.16350799082655781</v>
      </c>
      <c r="AC79">
        <v>0.14864362802414349</v>
      </c>
      <c r="AD79">
        <v>0.13513057093103953</v>
      </c>
      <c r="AE79">
        <v>0.12284597357367227</v>
      </c>
      <c r="AF79">
        <v>0.11167815779424752</v>
      </c>
      <c r="AG79">
        <v>0.10152559799477048</v>
      </c>
      <c r="AH79">
        <v>9.2295998177064048E-2</v>
      </c>
      <c r="AI79">
        <v>8.3905452888240042E-2</v>
      </c>
      <c r="AJ79">
        <v>7.6277684443854576E-2</v>
      </c>
      <c r="AK79">
        <v>6.9343349494413245E-2</v>
      </c>
      <c r="AL79">
        <v>6.3039408631284766E-2</v>
      </c>
    </row>
    <row r="80" spans="2:38" x14ac:dyDescent="0.25">
      <c r="B80" s="11">
        <f>B79/'IEA Data'!$B$18*'IEA Data'!$B$19</f>
        <v>6.6428603421150575E-6</v>
      </c>
      <c r="C80" s="11">
        <f>C79/'IEA Data'!$B$18*'IEA Data'!$B$19</f>
        <v>5.1681453461655133E-6</v>
      </c>
      <c r="D80" s="11">
        <f>D79/'IEA Data'!$B$18*'IEA Data'!$B$19</f>
        <v>3.3214301710575287E-6</v>
      </c>
      <c r="E80" t="s">
        <v>127</v>
      </c>
      <c r="I80">
        <f>SUM(I78:R78)/SUM(I79:AL79)</f>
        <v>39.108663564660922</v>
      </c>
    </row>
    <row r="82" spans="1:31" x14ac:dyDescent="0.25">
      <c r="I82">
        <f>SUM(I79:R79)/SUM(I79:AL79)</f>
        <v>0.65181105941101536</v>
      </c>
    </row>
    <row r="83" spans="1:31" x14ac:dyDescent="0.25">
      <c r="I83">
        <f>I82*I78</f>
        <v>39.108663564660922</v>
      </c>
    </row>
    <row r="85" spans="1:31" x14ac:dyDescent="0.25">
      <c r="A85" t="s">
        <v>204</v>
      </c>
    </row>
    <row r="86" spans="1:31" x14ac:dyDescent="0.25">
      <c r="A86" t="s">
        <v>205</v>
      </c>
    </row>
    <row r="87" spans="1:31" x14ac:dyDescent="0.25">
      <c r="A87" t="s">
        <v>206</v>
      </c>
      <c r="B87">
        <v>0.05</v>
      </c>
    </row>
    <row r="88" spans="1:31" x14ac:dyDescent="0.25">
      <c r="A88" t="s">
        <v>207</v>
      </c>
      <c r="B88">
        <v>0.97</v>
      </c>
    </row>
    <row r="89" spans="1:31" x14ac:dyDescent="0.25">
      <c r="A89" t="s">
        <v>208</v>
      </c>
      <c r="B89">
        <f>$B$43*$B$35*$B$41/($B$36*hours_per_year)</f>
        <v>0.57635613207547165</v>
      </c>
    </row>
    <row r="92" spans="1:31" x14ac:dyDescent="0.25">
      <c r="A92" t="s">
        <v>209</v>
      </c>
      <c r="B92">
        <f t="shared" ref="B92:AE92" si="10">B$52</f>
        <v>1</v>
      </c>
      <c r="C92">
        <f t="shared" si="10"/>
        <v>2</v>
      </c>
      <c r="D92">
        <f t="shared" si="10"/>
        <v>3</v>
      </c>
      <c r="E92">
        <f t="shared" si="10"/>
        <v>4</v>
      </c>
      <c r="F92">
        <f t="shared" si="10"/>
        <v>5</v>
      </c>
      <c r="G92">
        <f t="shared" si="10"/>
        <v>6</v>
      </c>
      <c r="H92">
        <f t="shared" si="10"/>
        <v>7</v>
      </c>
      <c r="I92">
        <f t="shared" si="10"/>
        <v>8</v>
      </c>
      <c r="J92">
        <f t="shared" si="10"/>
        <v>9</v>
      </c>
      <c r="K92">
        <f t="shared" si="10"/>
        <v>10</v>
      </c>
      <c r="L92">
        <f t="shared" si="10"/>
        <v>11</v>
      </c>
      <c r="M92">
        <f t="shared" si="10"/>
        <v>12</v>
      </c>
      <c r="N92">
        <f t="shared" si="10"/>
        <v>13</v>
      </c>
      <c r="O92">
        <f t="shared" si="10"/>
        <v>14</v>
      </c>
      <c r="P92">
        <f t="shared" si="10"/>
        <v>15</v>
      </c>
      <c r="Q92">
        <f t="shared" si="10"/>
        <v>16</v>
      </c>
      <c r="R92">
        <f t="shared" si="10"/>
        <v>17</v>
      </c>
      <c r="S92">
        <f t="shared" si="10"/>
        <v>18</v>
      </c>
      <c r="T92">
        <f t="shared" si="10"/>
        <v>19</v>
      </c>
      <c r="U92">
        <f t="shared" si="10"/>
        <v>20</v>
      </c>
      <c r="V92">
        <f t="shared" si="10"/>
        <v>21</v>
      </c>
      <c r="W92">
        <f t="shared" si="10"/>
        <v>22</v>
      </c>
      <c r="X92">
        <f t="shared" si="10"/>
        <v>23</v>
      </c>
      <c r="Y92">
        <f t="shared" si="10"/>
        <v>24</v>
      </c>
      <c r="Z92">
        <f t="shared" si="10"/>
        <v>25</v>
      </c>
      <c r="AA92">
        <f t="shared" si="10"/>
        <v>26</v>
      </c>
      <c r="AB92">
        <f t="shared" si="10"/>
        <v>27</v>
      </c>
      <c r="AC92">
        <f t="shared" si="10"/>
        <v>28</v>
      </c>
      <c r="AD92">
        <f t="shared" si="10"/>
        <v>29</v>
      </c>
      <c r="AE92">
        <f t="shared" si="10"/>
        <v>30</v>
      </c>
    </row>
    <row r="93" spans="1:31" x14ac:dyDescent="0.25">
      <c r="A93" t="s">
        <v>210</v>
      </c>
      <c r="B93">
        <f t="shared" ref="B93:AE93" si="11">hours_per_year*$B$88</f>
        <v>8497.1999999999989</v>
      </c>
      <c r="C93">
        <f t="shared" si="11"/>
        <v>8497.1999999999989</v>
      </c>
      <c r="D93">
        <f t="shared" si="11"/>
        <v>8497.1999999999989</v>
      </c>
      <c r="E93">
        <f t="shared" si="11"/>
        <v>8497.1999999999989</v>
      </c>
      <c r="F93">
        <f t="shared" si="11"/>
        <v>8497.1999999999989</v>
      </c>
      <c r="G93">
        <f t="shared" si="11"/>
        <v>8497.1999999999989</v>
      </c>
      <c r="H93">
        <f t="shared" si="11"/>
        <v>8497.1999999999989</v>
      </c>
      <c r="I93">
        <f t="shared" si="11"/>
        <v>8497.1999999999989</v>
      </c>
      <c r="J93">
        <f t="shared" si="11"/>
        <v>8497.1999999999989</v>
      </c>
      <c r="K93">
        <f t="shared" si="11"/>
        <v>8497.1999999999989</v>
      </c>
      <c r="L93">
        <f t="shared" si="11"/>
        <v>8497.1999999999989</v>
      </c>
      <c r="M93">
        <f t="shared" si="11"/>
        <v>8497.1999999999989</v>
      </c>
      <c r="N93">
        <f t="shared" si="11"/>
        <v>8497.1999999999989</v>
      </c>
      <c r="O93">
        <f t="shared" si="11"/>
        <v>8497.1999999999989</v>
      </c>
      <c r="P93">
        <f t="shared" si="11"/>
        <v>8497.1999999999989</v>
      </c>
      <c r="Q93">
        <f t="shared" si="11"/>
        <v>8497.1999999999989</v>
      </c>
      <c r="R93">
        <f t="shared" si="11"/>
        <v>8497.1999999999989</v>
      </c>
      <c r="S93">
        <f t="shared" si="11"/>
        <v>8497.1999999999989</v>
      </c>
      <c r="T93">
        <f t="shared" si="11"/>
        <v>8497.1999999999989</v>
      </c>
      <c r="U93">
        <f t="shared" si="11"/>
        <v>8497.1999999999989</v>
      </c>
      <c r="V93">
        <f t="shared" si="11"/>
        <v>8497.1999999999989</v>
      </c>
      <c r="W93">
        <f t="shared" si="11"/>
        <v>8497.1999999999989</v>
      </c>
      <c r="X93">
        <f t="shared" si="11"/>
        <v>8497.1999999999989</v>
      </c>
      <c r="Y93">
        <f t="shared" si="11"/>
        <v>8497.1999999999989</v>
      </c>
      <c r="Z93">
        <f t="shared" si="11"/>
        <v>8497.1999999999989</v>
      </c>
      <c r="AA93">
        <f t="shared" si="11"/>
        <v>8497.1999999999989</v>
      </c>
      <c r="AB93">
        <f t="shared" si="11"/>
        <v>8497.1999999999989</v>
      </c>
      <c r="AC93">
        <f t="shared" si="11"/>
        <v>8497.1999999999989</v>
      </c>
      <c r="AD93">
        <f t="shared" si="11"/>
        <v>8497.1999999999989</v>
      </c>
      <c r="AE93">
        <f t="shared" si="11"/>
        <v>8497.1999999999989</v>
      </c>
    </row>
    <row r="94" spans="1:31" x14ac:dyDescent="0.25">
      <c r="A94" t="s">
        <v>211</v>
      </c>
      <c r="B94">
        <f>SUM($B93:B93)</f>
        <v>8497.1999999999989</v>
      </c>
      <c r="C94">
        <f>SUM($B93:C93)</f>
        <v>16994.399999999998</v>
      </c>
      <c r="D94">
        <f>SUM($B93:D93)</f>
        <v>25491.599999999999</v>
      </c>
      <c r="E94">
        <f>SUM($B93:E93)</f>
        <v>33988.799999999996</v>
      </c>
      <c r="F94">
        <f>SUM($B93:F93)</f>
        <v>42485.999999999993</v>
      </c>
      <c r="G94">
        <f>SUM($B93:G93)</f>
        <v>50983.19999999999</v>
      </c>
      <c r="H94">
        <f>SUM($B93:H93)</f>
        <v>59480.399999999987</v>
      </c>
      <c r="I94">
        <f>SUM($B93:I93)</f>
        <v>67977.599999999991</v>
      </c>
      <c r="J94">
        <f>SUM($B93:J93)</f>
        <v>76474.799999999988</v>
      </c>
      <c r="K94">
        <f>SUM($B93:K93)</f>
        <v>84971.999999999985</v>
      </c>
      <c r="L94">
        <f>SUM($B93:L93)</f>
        <v>93469.199999999983</v>
      </c>
      <c r="M94">
        <f>SUM($B93:M93)</f>
        <v>101966.39999999998</v>
      </c>
      <c r="N94">
        <f>SUM($B93:N93)</f>
        <v>110463.59999999998</v>
      </c>
      <c r="O94">
        <f>SUM($B93:O93)</f>
        <v>118960.79999999997</v>
      </c>
      <c r="P94">
        <f>SUM($B93:P93)</f>
        <v>127457.99999999997</v>
      </c>
      <c r="Q94">
        <f>SUM($B93:Q93)</f>
        <v>135955.19999999998</v>
      </c>
      <c r="R94">
        <f>SUM($B93:R93)</f>
        <v>144452.4</v>
      </c>
      <c r="S94">
        <f>SUM($B93:S93)</f>
        <v>152949.6</v>
      </c>
      <c r="T94">
        <f>SUM($B93:T93)</f>
        <v>161446.80000000002</v>
      </c>
      <c r="U94">
        <f>SUM($B93:U93)</f>
        <v>169944.00000000003</v>
      </c>
      <c r="V94">
        <f>SUM($B93:V93)</f>
        <v>178441.20000000004</v>
      </c>
      <c r="W94">
        <f>SUM($B93:W93)</f>
        <v>186938.40000000005</v>
      </c>
      <c r="X94">
        <f>SUM($B93:X93)</f>
        <v>195435.60000000006</v>
      </c>
      <c r="Y94">
        <f>SUM($B93:Y93)</f>
        <v>203932.80000000008</v>
      </c>
      <c r="Z94">
        <f>SUM($B93:Z93)</f>
        <v>212430.00000000009</v>
      </c>
      <c r="AA94">
        <f>SUM($B93:AA93)</f>
        <v>220927.2000000001</v>
      </c>
      <c r="AB94">
        <f>SUM($B93:AB93)</f>
        <v>229424.40000000011</v>
      </c>
      <c r="AC94">
        <f>SUM($B93:AC93)</f>
        <v>237921.60000000012</v>
      </c>
      <c r="AD94">
        <f>SUM($B93:AD93)</f>
        <v>246418.80000000013</v>
      </c>
      <c r="AE94">
        <f>SUM($B93:AE93)</f>
        <v>254916.00000000015</v>
      </c>
    </row>
    <row r="95" spans="1:31" x14ac:dyDescent="0.25">
      <c r="A95" t="s">
        <v>212</v>
      </c>
      <c r="B95">
        <f t="shared" ref="B95:AE95" si="12">IF(INT(B94/$B$49)&gt;INT((B94-B93)/$B$49),$B$48,0)</f>
        <v>0</v>
      </c>
      <c r="C95">
        <f t="shared" si="12"/>
        <v>0</v>
      </c>
      <c r="D95">
        <f t="shared" si="12"/>
        <v>0</v>
      </c>
      <c r="E95">
        <f t="shared" si="12"/>
        <v>0</v>
      </c>
      <c r="F95">
        <f t="shared" si="12"/>
        <v>0.11</v>
      </c>
      <c r="G95">
        <f t="shared" si="12"/>
        <v>0</v>
      </c>
      <c r="H95">
        <f t="shared" si="12"/>
        <v>0</v>
      </c>
      <c r="I95">
        <f t="shared" si="12"/>
        <v>0</v>
      </c>
      <c r="J95">
        <f t="shared" si="12"/>
        <v>0</v>
      </c>
      <c r="K95">
        <f t="shared" si="12"/>
        <v>0.11</v>
      </c>
      <c r="L95">
        <f t="shared" si="12"/>
        <v>0</v>
      </c>
      <c r="M95">
        <f t="shared" si="12"/>
        <v>0</v>
      </c>
      <c r="N95">
        <f t="shared" si="12"/>
        <v>0</v>
      </c>
      <c r="O95">
        <f t="shared" si="12"/>
        <v>0</v>
      </c>
      <c r="P95">
        <f t="shared" si="12"/>
        <v>0.11</v>
      </c>
      <c r="Q95">
        <f t="shared" si="12"/>
        <v>0</v>
      </c>
      <c r="R95">
        <f t="shared" si="12"/>
        <v>0</v>
      </c>
      <c r="S95">
        <f t="shared" si="12"/>
        <v>0</v>
      </c>
      <c r="T95">
        <f t="shared" si="12"/>
        <v>0.11</v>
      </c>
      <c r="U95">
        <f t="shared" si="12"/>
        <v>0</v>
      </c>
      <c r="V95">
        <f t="shared" si="12"/>
        <v>0</v>
      </c>
      <c r="W95">
        <f t="shared" si="12"/>
        <v>0</v>
      </c>
      <c r="X95">
        <f t="shared" si="12"/>
        <v>0</v>
      </c>
      <c r="Y95">
        <f t="shared" si="12"/>
        <v>0.11</v>
      </c>
      <c r="Z95">
        <f t="shared" si="12"/>
        <v>0</v>
      </c>
      <c r="AA95">
        <f t="shared" si="12"/>
        <v>0</v>
      </c>
      <c r="AB95">
        <f t="shared" si="12"/>
        <v>0</v>
      </c>
      <c r="AC95">
        <f t="shared" si="12"/>
        <v>0</v>
      </c>
      <c r="AD95">
        <f t="shared" si="12"/>
        <v>0.11</v>
      </c>
      <c r="AE95">
        <f t="shared" si="12"/>
        <v>0</v>
      </c>
    </row>
    <row r="96" spans="1:31" x14ac:dyDescent="0.25">
      <c r="A96" t="s">
        <v>213</v>
      </c>
      <c r="B96">
        <f t="shared" ref="B96:AE96" si="13">B$64</f>
        <v>1</v>
      </c>
      <c r="C96">
        <f t="shared" si="13"/>
        <v>0.90909090909090906</v>
      </c>
      <c r="D96">
        <f t="shared" si="13"/>
        <v>0.82644628099173545</v>
      </c>
      <c r="E96">
        <f t="shared" si="13"/>
        <v>0.75131480090157754</v>
      </c>
      <c r="F96">
        <f t="shared" si="13"/>
        <v>0.68301345536507052</v>
      </c>
      <c r="G96">
        <f t="shared" si="13"/>
        <v>0.62092132305915493</v>
      </c>
      <c r="H96">
        <f t="shared" si="13"/>
        <v>0.56447393005377722</v>
      </c>
      <c r="I96">
        <f t="shared" si="13"/>
        <v>0.51315811823070645</v>
      </c>
      <c r="J96">
        <f t="shared" si="13"/>
        <v>0.46650738020973315</v>
      </c>
      <c r="K96">
        <f t="shared" si="13"/>
        <v>0.42409761837248466</v>
      </c>
      <c r="L96">
        <f t="shared" si="13"/>
        <v>0.38554328942953148</v>
      </c>
      <c r="M96">
        <f t="shared" si="13"/>
        <v>0.3504938994813922</v>
      </c>
      <c r="N96">
        <f t="shared" si="13"/>
        <v>0.31863081771035656</v>
      </c>
      <c r="O96">
        <f t="shared" si="13"/>
        <v>0.28966437973668779</v>
      </c>
      <c r="P96">
        <f t="shared" si="13"/>
        <v>0.26333125430607973</v>
      </c>
      <c r="Q96">
        <f t="shared" si="13"/>
        <v>0.23939204936916339</v>
      </c>
      <c r="R96">
        <f t="shared" si="13"/>
        <v>0.21762913579014853</v>
      </c>
      <c r="S96">
        <f t="shared" si="13"/>
        <v>0.19784466890013502</v>
      </c>
      <c r="T96">
        <f t="shared" si="13"/>
        <v>0.17985878990921364</v>
      </c>
      <c r="U96">
        <f t="shared" si="13"/>
        <v>0.16350799082655781</v>
      </c>
      <c r="V96">
        <f t="shared" si="13"/>
        <v>0.14864362802414349</v>
      </c>
      <c r="W96">
        <f t="shared" si="13"/>
        <v>0.13513057093103953</v>
      </c>
      <c r="X96">
        <f t="shared" si="13"/>
        <v>0.12284597357367227</v>
      </c>
      <c r="Y96">
        <f t="shared" si="13"/>
        <v>0.11167815779424752</v>
      </c>
      <c r="Z96">
        <f t="shared" si="13"/>
        <v>0.10152559799477048</v>
      </c>
      <c r="AA96">
        <f t="shared" si="13"/>
        <v>9.2295998177064048E-2</v>
      </c>
      <c r="AB96">
        <f t="shared" si="13"/>
        <v>8.3905452888240042E-2</v>
      </c>
      <c r="AC96">
        <f t="shared" si="13"/>
        <v>7.6277684443854576E-2</v>
      </c>
      <c r="AD96">
        <f t="shared" si="13"/>
        <v>6.9343349494413245E-2</v>
      </c>
      <c r="AE96">
        <f t="shared" si="13"/>
        <v>6.3039408631284766E-2</v>
      </c>
    </row>
    <row r="97" spans="1:31" x14ac:dyDescent="0.25">
      <c r="A97" t="s">
        <v>214</v>
      </c>
      <c r="B97">
        <f>SUMPRODUCT(B95:AE95,B96:AE96)/SUM(B96:AE96)</f>
        <v>1.83657402568396E-2</v>
      </c>
    </row>
    <row r="100" spans="1:31" x14ac:dyDescent="0.25">
      <c r="A100" t="s">
        <v>215</v>
      </c>
      <c r="B100">
        <f t="shared" ref="B100:AE100" si="14">B$52</f>
        <v>1</v>
      </c>
      <c r="C100">
        <f t="shared" si="14"/>
        <v>2</v>
      </c>
      <c r="D100">
        <f t="shared" si="14"/>
        <v>3</v>
      </c>
      <c r="E100">
        <f t="shared" si="14"/>
        <v>4</v>
      </c>
      <c r="F100">
        <f t="shared" si="14"/>
        <v>5</v>
      </c>
      <c r="G100">
        <f t="shared" si="14"/>
        <v>6</v>
      </c>
      <c r="H100">
        <f t="shared" si="14"/>
        <v>7</v>
      </c>
      <c r="I100">
        <f t="shared" si="14"/>
        <v>8</v>
      </c>
      <c r="J100">
        <f t="shared" si="14"/>
        <v>9</v>
      </c>
      <c r="K100">
        <f t="shared" si="14"/>
        <v>10</v>
      </c>
      <c r="L100">
        <f t="shared" si="14"/>
        <v>11</v>
      </c>
      <c r="M100">
        <f t="shared" si="14"/>
        <v>12</v>
      </c>
      <c r="N100">
        <f t="shared" si="14"/>
        <v>13</v>
      </c>
      <c r="O100">
        <f t="shared" si="14"/>
        <v>14</v>
      </c>
      <c r="P100">
        <f t="shared" si="14"/>
        <v>15</v>
      </c>
      <c r="Q100">
        <f t="shared" si="14"/>
        <v>16</v>
      </c>
      <c r="R100">
        <f t="shared" si="14"/>
        <v>17</v>
      </c>
      <c r="S100">
        <f t="shared" si="14"/>
        <v>18</v>
      </c>
      <c r="T100">
        <f t="shared" si="14"/>
        <v>19</v>
      </c>
      <c r="U100">
        <f t="shared" si="14"/>
        <v>20</v>
      </c>
      <c r="V100">
        <f t="shared" si="14"/>
        <v>21</v>
      </c>
      <c r="W100">
        <f t="shared" si="14"/>
        <v>22</v>
      </c>
      <c r="X100">
        <f t="shared" si="14"/>
        <v>23</v>
      </c>
      <c r="Y100">
        <f t="shared" si="14"/>
        <v>24</v>
      </c>
      <c r="Z100">
        <f t="shared" si="14"/>
        <v>25</v>
      </c>
      <c r="AA100">
        <f t="shared" si="14"/>
        <v>26</v>
      </c>
      <c r="AB100">
        <f t="shared" si="14"/>
        <v>27</v>
      </c>
      <c r="AC100">
        <f t="shared" si="14"/>
        <v>28</v>
      </c>
      <c r="AD100">
        <f t="shared" si="14"/>
        <v>29</v>
      </c>
      <c r="AE100">
        <f t="shared" si="14"/>
        <v>30</v>
      </c>
    </row>
    <row r="101" spans="1:31" x14ac:dyDescent="0.25">
      <c r="A101" t="s">
        <v>210</v>
      </c>
      <c r="B101">
        <f t="shared" ref="B101:AE101" si="15">hours_per_year*$B$89</f>
        <v>5048.8797169811314</v>
      </c>
      <c r="C101">
        <f t="shared" si="15"/>
        <v>5048.8797169811314</v>
      </c>
      <c r="D101">
        <f t="shared" si="15"/>
        <v>5048.8797169811314</v>
      </c>
      <c r="E101">
        <f t="shared" si="15"/>
        <v>5048.8797169811314</v>
      </c>
      <c r="F101">
        <f t="shared" si="15"/>
        <v>5048.8797169811314</v>
      </c>
      <c r="G101">
        <f t="shared" si="15"/>
        <v>5048.8797169811314</v>
      </c>
      <c r="H101">
        <f t="shared" si="15"/>
        <v>5048.8797169811314</v>
      </c>
      <c r="I101">
        <f t="shared" si="15"/>
        <v>5048.8797169811314</v>
      </c>
      <c r="J101">
        <f t="shared" si="15"/>
        <v>5048.8797169811314</v>
      </c>
      <c r="K101">
        <f t="shared" si="15"/>
        <v>5048.8797169811314</v>
      </c>
      <c r="L101">
        <f t="shared" si="15"/>
        <v>5048.8797169811314</v>
      </c>
      <c r="M101">
        <f t="shared" si="15"/>
        <v>5048.8797169811314</v>
      </c>
      <c r="N101">
        <f t="shared" si="15"/>
        <v>5048.8797169811314</v>
      </c>
      <c r="O101">
        <f t="shared" si="15"/>
        <v>5048.8797169811314</v>
      </c>
      <c r="P101">
        <f t="shared" si="15"/>
        <v>5048.8797169811314</v>
      </c>
      <c r="Q101">
        <f t="shared" si="15"/>
        <v>5048.8797169811314</v>
      </c>
      <c r="R101">
        <f t="shared" si="15"/>
        <v>5048.8797169811314</v>
      </c>
      <c r="S101">
        <f t="shared" si="15"/>
        <v>5048.8797169811314</v>
      </c>
      <c r="T101">
        <f t="shared" si="15"/>
        <v>5048.8797169811314</v>
      </c>
      <c r="U101">
        <f t="shared" si="15"/>
        <v>5048.8797169811314</v>
      </c>
      <c r="V101">
        <f t="shared" si="15"/>
        <v>5048.8797169811314</v>
      </c>
      <c r="W101">
        <f t="shared" si="15"/>
        <v>5048.8797169811314</v>
      </c>
      <c r="X101">
        <f t="shared" si="15"/>
        <v>5048.8797169811314</v>
      </c>
      <c r="Y101">
        <f t="shared" si="15"/>
        <v>5048.8797169811314</v>
      </c>
      <c r="Z101">
        <f t="shared" si="15"/>
        <v>5048.8797169811314</v>
      </c>
      <c r="AA101">
        <f t="shared" si="15"/>
        <v>5048.8797169811314</v>
      </c>
      <c r="AB101">
        <f t="shared" si="15"/>
        <v>5048.8797169811314</v>
      </c>
      <c r="AC101">
        <f t="shared" si="15"/>
        <v>5048.8797169811314</v>
      </c>
      <c r="AD101">
        <f t="shared" si="15"/>
        <v>5048.8797169811314</v>
      </c>
      <c r="AE101">
        <f t="shared" si="15"/>
        <v>5048.8797169811314</v>
      </c>
    </row>
    <row r="102" spans="1:31" x14ac:dyDescent="0.25">
      <c r="A102" t="s">
        <v>211</v>
      </c>
      <c r="B102">
        <f>SUM($B101:B101)</f>
        <v>5048.8797169811314</v>
      </c>
      <c r="C102">
        <f>SUM($B101:C101)</f>
        <v>10097.759433962263</v>
      </c>
      <c r="D102">
        <f>SUM($B101:D101)</f>
        <v>15146.639150943394</v>
      </c>
      <c r="E102">
        <f>SUM($B101:E101)</f>
        <v>20195.518867924526</v>
      </c>
      <c r="F102">
        <f>SUM($B101:F101)</f>
        <v>25244.398584905655</v>
      </c>
      <c r="G102">
        <f>SUM($B101:G101)</f>
        <v>30293.278301886785</v>
      </c>
      <c r="H102">
        <f>SUM($B101:H101)</f>
        <v>35342.158018867915</v>
      </c>
      <c r="I102">
        <f>SUM($B101:I101)</f>
        <v>40391.037735849044</v>
      </c>
      <c r="J102">
        <f>SUM($B101:J101)</f>
        <v>45439.917452830174</v>
      </c>
      <c r="K102">
        <f>SUM($B101:K101)</f>
        <v>50488.797169811303</v>
      </c>
      <c r="L102">
        <f>SUM($B101:L101)</f>
        <v>55537.676886792433</v>
      </c>
      <c r="M102">
        <f>SUM($B101:M101)</f>
        <v>60586.556603773563</v>
      </c>
      <c r="N102">
        <f>SUM($B101:N101)</f>
        <v>65635.436320754699</v>
      </c>
      <c r="O102">
        <f>SUM($B101:O101)</f>
        <v>70684.316037735829</v>
      </c>
      <c r="P102">
        <f>SUM($B101:P101)</f>
        <v>75733.195754716959</v>
      </c>
      <c r="Q102">
        <f>SUM($B101:Q101)</f>
        <v>80782.075471698088</v>
      </c>
      <c r="R102">
        <f>SUM($B101:R101)</f>
        <v>85830.955188679218</v>
      </c>
      <c r="S102">
        <f>SUM($B101:S101)</f>
        <v>90879.834905660347</v>
      </c>
      <c r="T102">
        <f>SUM($B101:T101)</f>
        <v>95928.714622641477</v>
      </c>
      <c r="U102">
        <f>SUM($B101:U101)</f>
        <v>100977.59433962261</v>
      </c>
      <c r="V102">
        <f>SUM($B101:V101)</f>
        <v>106026.47405660374</v>
      </c>
      <c r="W102">
        <f>SUM($B101:W101)</f>
        <v>111075.35377358487</v>
      </c>
      <c r="X102">
        <f>SUM($B101:X101)</f>
        <v>116124.233490566</v>
      </c>
      <c r="Y102">
        <f>SUM($B101:Y101)</f>
        <v>121173.11320754713</v>
      </c>
      <c r="Z102">
        <f>SUM($B101:Z101)</f>
        <v>126221.99292452825</v>
      </c>
      <c r="AA102">
        <f>SUM($B101:AA101)</f>
        <v>131270.8726415094</v>
      </c>
      <c r="AB102">
        <f>SUM($B101:AB101)</f>
        <v>136319.75235849054</v>
      </c>
      <c r="AC102">
        <f>SUM($B101:AC101)</f>
        <v>141368.63207547169</v>
      </c>
      <c r="AD102">
        <f>SUM($B101:AD101)</f>
        <v>146417.51179245283</v>
      </c>
      <c r="AE102">
        <f>SUM($B101:AE101)</f>
        <v>151466.39150943398</v>
      </c>
    </row>
    <row r="103" spans="1:31" x14ac:dyDescent="0.25">
      <c r="A103" t="s">
        <v>212</v>
      </c>
      <c r="B103">
        <f t="shared" ref="B103:AE103" si="16">IF(INT(B102/$B$49)&gt;INT((B102-B101)/$B$49),$B$48,0)</f>
        <v>0</v>
      </c>
      <c r="C103">
        <f t="shared" si="16"/>
        <v>0</v>
      </c>
      <c r="D103">
        <f t="shared" si="16"/>
        <v>0</v>
      </c>
      <c r="E103">
        <f t="shared" si="16"/>
        <v>0</v>
      </c>
      <c r="F103">
        <f t="shared" si="16"/>
        <v>0</v>
      </c>
      <c r="G103">
        <f t="shared" si="16"/>
        <v>0</v>
      </c>
      <c r="H103">
        <f t="shared" si="16"/>
        <v>0</v>
      </c>
      <c r="I103">
        <f t="shared" si="16"/>
        <v>0.11</v>
      </c>
      <c r="J103">
        <f t="shared" si="16"/>
        <v>0</v>
      </c>
      <c r="K103">
        <f t="shared" si="16"/>
        <v>0</v>
      </c>
      <c r="L103">
        <f t="shared" si="16"/>
        <v>0</v>
      </c>
      <c r="M103">
        <f t="shared" si="16"/>
        <v>0</v>
      </c>
      <c r="N103">
        <f t="shared" si="16"/>
        <v>0</v>
      </c>
      <c r="O103">
        <f t="shared" si="16"/>
        <v>0</v>
      </c>
      <c r="P103">
        <f t="shared" si="16"/>
        <v>0</v>
      </c>
      <c r="Q103">
        <f t="shared" si="16"/>
        <v>0.11</v>
      </c>
      <c r="R103">
        <f t="shared" si="16"/>
        <v>0</v>
      </c>
      <c r="S103">
        <f t="shared" si="16"/>
        <v>0</v>
      </c>
      <c r="T103">
        <f t="shared" si="16"/>
        <v>0</v>
      </c>
      <c r="U103">
        <f t="shared" si="16"/>
        <v>0</v>
      </c>
      <c r="V103">
        <f t="shared" si="16"/>
        <v>0</v>
      </c>
      <c r="W103">
        <f t="shared" si="16"/>
        <v>0</v>
      </c>
      <c r="X103">
        <f t="shared" si="16"/>
        <v>0</v>
      </c>
      <c r="Y103">
        <f t="shared" si="16"/>
        <v>0.11</v>
      </c>
      <c r="Z103">
        <f t="shared" si="16"/>
        <v>0</v>
      </c>
      <c r="AA103">
        <f t="shared" si="16"/>
        <v>0</v>
      </c>
      <c r="AB103">
        <f t="shared" si="16"/>
        <v>0</v>
      </c>
      <c r="AC103">
        <f t="shared" si="16"/>
        <v>0</v>
      </c>
      <c r="AD103">
        <f t="shared" si="16"/>
        <v>0</v>
      </c>
      <c r="AE103">
        <f t="shared" si="16"/>
        <v>0</v>
      </c>
    </row>
    <row r="104" spans="1:31" x14ac:dyDescent="0.25">
      <c r="A104" t="s">
        <v>213</v>
      </c>
      <c r="B104">
        <f t="shared" ref="B104:AE104" si="17">B$64</f>
        <v>1</v>
      </c>
      <c r="C104">
        <f t="shared" si="17"/>
        <v>0.90909090909090906</v>
      </c>
      <c r="D104">
        <f t="shared" si="17"/>
        <v>0.82644628099173545</v>
      </c>
      <c r="E104">
        <f t="shared" si="17"/>
        <v>0.75131480090157754</v>
      </c>
      <c r="F104">
        <f t="shared" si="17"/>
        <v>0.68301345536507052</v>
      </c>
      <c r="G104">
        <f t="shared" si="17"/>
        <v>0.62092132305915493</v>
      </c>
      <c r="H104">
        <f t="shared" si="17"/>
        <v>0.56447393005377722</v>
      </c>
      <c r="I104">
        <f t="shared" si="17"/>
        <v>0.51315811823070645</v>
      </c>
      <c r="J104">
        <f t="shared" si="17"/>
        <v>0.46650738020973315</v>
      </c>
      <c r="K104">
        <f t="shared" si="17"/>
        <v>0.42409761837248466</v>
      </c>
      <c r="L104">
        <f t="shared" si="17"/>
        <v>0.38554328942953148</v>
      </c>
      <c r="M104">
        <f t="shared" si="17"/>
        <v>0.3504938994813922</v>
      </c>
      <c r="N104">
        <f t="shared" si="17"/>
        <v>0.31863081771035656</v>
      </c>
      <c r="O104">
        <f t="shared" si="17"/>
        <v>0.28966437973668779</v>
      </c>
      <c r="P104">
        <f t="shared" si="17"/>
        <v>0.26333125430607973</v>
      </c>
      <c r="Q104">
        <f t="shared" si="17"/>
        <v>0.23939204936916339</v>
      </c>
      <c r="R104">
        <f t="shared" si="17"/>
        <v>0.21762913579014853</v>
      </c>
      <c r="S104">
        <f t="shared" si="17"/>
        <v>0.19784466890013502</v>
      </c>
      <c r="T104">
        <f t="shared" si="17"/>
        <v>0.17985878990921364</v>
      </c>
      <c r="U104">
        <f t="shared" si="17"/>
        <v>0.16350799082655781</v>
      </c>
      <c r="V104">
        <f t="shared" si="17"/>
        <v>0.14864362802414349</v>
      </c>
      <c r="W104">
        <f t="shared" si="17"/>
        <v>0.13513057093103953</v>
      </c>
      <c r="X104">
        <f t="shared" si="17"/>
        <v>0.12284597357367227</v>
      </c>
      <c r="Y104">
        <f t="shared" si="17"/>
        <v>0.11167815779424752</v>
      </c>
      <c r="Z104">
        <f t="shared" si="17"/>
        <v>0.10152559799477048</v>
      </c>
      <c r="AA104">
        <f t="shared" si="17"/>
        <v>9.2295998177064048E-2</v>
      </c>
      <c r="AB104">
        <f t="shared" si="17"/>
        <v>8.3905452888240042E-2</v>
      </c>
      <c r="AC104">
        <f t="shared" si="17"/>
        <v>7.6277684443854576E-2</v>
      </c>
      <c r="AD104">
        <f t="shared" si="17"/>
        <v>6.9343349494413245E-2</v>
      </c>
      <c r="AE104">
        <f t="shared" si="17"/>
        <v>6.3039408631284766E-2</v>
      </c>
    </row>
    <row r="105" spans="1:31" x14ac:dyDescent="0.25">
      <c r="A105" t="s">
        <v>214</v>
      </c>
      <c r="B105">
        <f>SUMPRODUCT(B103:AE103,B104:AE104)/SUM(B104:AE104)</f>
        <v>9.1676691076440688E-3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B445-FD14-4067-BC3A-D5370D9E427C}">
  <dimension ref="A1:C24"/>
  <sheetViews>
    <sheetView workbookViewId="0"/>
  </sheetViews>
  <sheetFormatPr defaultRowHeight="15" x14ac:dyDescent="0.25"/>
  <sheetData>
    <row r="1" spans="1:3" x14ac:dyDescent="0.25">
      <c r="A1" t="s">
        <v>228</v>
      </c>
    </row>
    <row r="2" spans="1:3" x14ac:dyDescent="0.25">
      <c r="A2" t="s">
        <v>229</v>
      </c>
    </row>
    <row r="3" spans="1:3" x14ac:dyDescent="0.25">
      <c r="A3" t="s">
        <v>230</v>
      </c>
    </row>
    <row r="5" spans="1:3" x14ac:dyDescent="0.25">
      <c r="B5" t="s">
        <v>231</v>
      </c>
      <c r="C5" t="s">
        <v>232</v>
      </c>
    </row>
    <row r="6" spans="1:3" x14ac:dyDescent="0.25">
      <c r="A6" t="s">
        <v>233</v>
      </c>
      <c r="B6">
        <v>483014</v>
      </c>
      <c r="C6">
        <v>659947</v>
      </c>
    </row>
    <row r="7" spans="1:3" x14ac:dyDescent="0.25">
      <c r="A7" t="s">
        <v>234</v>
      </c>
      <c r="B7">
        <v>10633798</v>
      </c>
      <c r="C7">
        <v>101984658</v>
      </c>
    </row>
    <row r="8" spans="1:3" x14ac:dyDescent="0.25">
      <c r="A8" t="s">
        <v>235</v>
      </c>
      <c r="B8">
        <v>8.6900000000000005E-2</v>
      </c>
      <c r="C8">
        <v>0.43269000000000002</v>
      </c>
    </row>
    <row r="9" spans="1:3" x14ac:dyDescent="0.25">
      <c r="A9" t="s">
        <v>236</v>
      </c>
      <c r="B9">
        <v>4.5069999999999999E-2</v>
      </c>
      <c r="C9">
        <v>6.5159999999999996E-2</v>
      </c>
    </row>
    <row r="10" spans="1:3" x14ac:dyDescent="0.25">
      <c r="A10" t="s">
        <v>237</v>
      </c>
      <c r="B10">
        <f>B7/(B6*365)</f>
        <v>6.0316456977820378E-2</v>
      </c>
      <c r="C10">
        <f>C7/(C6*365)</f>
        <v>0.42338251695637408</v>
      </c>
    </row>
    <row r="11" spans="1:3" x14ac:dyDescent="0.25">
      <c r="A11" t="s">
        <v>238</v>
      </c>
      <c r="B11">
        <f>B8-B9</f>
        <v>4.1830000000000006E-2</v>
      </c>
      <c r="C11">
        <f>C8-C9</f>
        <v>0.36753000000000002</v>
      </c>
    </row>
    <row r="12" spans="1:3" x14ac:dyDescent="0.25">
      <c r="A12" t="s">
        <v>239</v>
      </c>
      <c r="B12">
        <f>B10+B11</f>
        <v>0.10214645697782038</v>
      </c>
      <c r="C12">
        <f>C10+C11</f>
        <v>0.7909125169563741</v>
      </c>
    </row>
    <row r="13" spans="1:3" x14ac:dyDescent="0.25">
      <c r="A13" t="s">
        <v>240</v>
      </c>
      <c r="B13">
        <f>B12*About!$A$75/'IEA Data'!$B$18*'IEA Data'!$B$19</f>
        <v>6.9414023552214001E-7</v>
      </c>
      <c r="C13">
        <f>C12*About!$A$75/'IEA Data'!$B$18*'IEA Data'!$B$19</f>
        <v>5.3746768810269592E-6</v>
      </c>
    </row>
    <row r="14" spans="1:3" x14ac:dyDescent="0.25">
      <c r="A14" t="s">
        <v>241</v>
      </c>
      <c r="B14">
        <f>B11/B12</f>
        <v>0.40951004310489969</v>
      </c>
      <c r="C14">
        <f>C11/C12</f>
        <v>0.46469109050688168</v>
      </c>
    </row>
    <row r="16" spans="1:3" x14ac:dyDescent="0.25">
      <c r="A16" t="s">
        <v>242</v>
      </c>
    </row>
    <row r="17" spans="1:3" x14ac:dyDescent="0.25">
      <c r="A17" t="s">
        <v>243</v>
      </c>
    </row>
    <row r="19" spans="1:3" x14ac:dyDescent="0.25">
      <c r="B19" t="s">
        <v>244</v>
      </c>
      <c r="C19" t="s">
        <v>245</v>
      </c>
    </row>
    <row r="20" spans="1:3" x14ac:dyDescent="0.25">
      <c r="A20" t="s">
        <v>246</v>
      </c>
      <c r="B20">
        <f>'DoE Data'!$B$87</f>
        <v>0.05</v>
      </c>
      <c r="C20">
        <f>'DoE Data'!$B$87</f>
        <v>0.05</v>
      </c>
    </row>
    <row r="21" spans="1:3" x14ac:dyDescent="0.25">
      <c r="A21" t="s">
        <v>247</v>
      </c>
      <c r="B21">
        <f>'DoE Data'!$B$97/'DoE Data'!$B$88</f>
        <v>1.8933752842102681E-2</v>
      </c>
      <c r="C21">
        <f>'DoE Data'!$B$105/'DoE Data'!$B$89</f>
        <v>1.5906257602623368E-2</v>
      </c>
    </row>
    <row r="22" spans="1:3" x14ac:dyDescent="0.25">
      <c r="A22" t="s">
        <v>241</v>
      </c>
      <c r="B22">
        <f>B21/(B20+B21)</f>
        <v>0.27466592288209951</v>
      </c>
      <c r="C22">
        <f>C21/(C20+C21)</f>
        <v>0.24134669728220506</v>
      </c>
    </row>
    <row r="24" spans="1:3" x14ac:dyDescent="0.25">
      <c r="A24" t="s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:B5"/>
    </sheetView>
  </sheetViews>
  <sheetFormatPr defaultRowHeight="15" x14ac:dyDescent="0.25"/>
  <sheetData>
    <row r="1" spans="1:2" x14ac:dyDescent="0.25">
      <c r="A1">
        <f>24*365</f>
        <v>8760</v>
      </c>
      <c r="B1" t="s">
        <v>26</v>
      </c>
    </row>
    <row r="3" spans="1:2" x14ac:dyDescent="0.25">
      <c r="A3">
        <v>3412.14</v>
      </c>
      <c r="B3" t="s">
        <v>27</v>
      </c>
    </row>
    <row r="5" spans="1:2" x14ac:dyDescent="0.25">
      <c r="A5">
        <v>0.91400000000000003</v>
      </c>
      <c r="B5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0"/>
  <sheetViews>
    <sheetView workbookViewId="0">
      <selection activeCell="B4" sqref="B4"/>
    </sheetView>
  </sheetViews>
  <sheetFormatPr defaultRowHeight="15" x14ac:dyDescent="0.25"/>
  <cols>
    <col min="1" max="1" width="30.140625" customWidth="1"/>
    <col min="2" max="2" width="12" bestFit="1" customWidth="1"/>
    <col min="8" max="8" width="12" bestFit="1" customWidth="1"/>
  </cols>
  <sheetData>
    <row r="1" spans="1:35" x14ac:dyDescent="0.25">
      <c r="A1" s="1" t="s">
        <v>61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 s="12">
        <v>2030</v>
      </c>
      <c r="P1" s="10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</row>
    <row r="2" spans="1:35" x14ac:dyDescent="0.25">
      <c r="A2" t="s">
        <v>7</v>
      </c>
      <c r="B2" s="11">
        <f>TREND('DoE Data'!$B$26:$C$26,'DoE Data'!$B$22:$C$22,B$1)</f>
        <v>9.642534218649336E-5</v>
      </c>
      <c r="C2" s="11">
        <f>TREND('DoE Data'!$B$26:$C$26,'DoE Data'!$B$22:$C$22,C$1)</f>
        <v>9.3589302710419923E-5</v>
      </c>
      <c r="D2" s="11">
        <f>TREND('DoE Data'!$B$26:$C$26,'DoE Data'!$B$22:$C$22,D$1)</f>
        <v>9.0753263234346487E-5</v>
      </c>
      <c r="E2" s="11">
        <f>TREND('DoE Data'!$B$26:$C$26,'DoE Data'!$B$22:$C$22,E$1)</f>
        <v>8.7917223758273051E-5</v>
      </c>
      <c r="F2" s="11">
        <f>TREND('DoE Data'!$B$26:$C$26,'DoE Data'!$B$22:$C$22,F$1)</f>
        <v>8.5081184282199615E-5</v>
      </c>
      <c r="G2" s="11">
        <f>TREND('DoE Data'!$B$26:$C$26,'DoE Data'!$B$22:$C$22,G$1)</f>
        <v>8.2245144806126179E-5</v>
      </c>
      <c r="H2" s="11">
        <f>TREND('DoE Data'!$B$26:$C$26,'DoE Data'!$B$22:$C$22,H$1)</f>
        <v>7.940910533005361E-5</v>
      </c>
      <c r="I2" s="11">
        <f>TREND('DoE Data'!$B$26:$C$26,'DoE Data'!$B$22:$C$22,I$1)</f>
        <v>7.6573065853980174E-5</v>
      </c>
      <c r="J2" s="11">
        <f>TREND('DoE Data'!$B$26:$C$26,'DoE Data'!$B$22:$C$22,J$1)</f>
        <v>7.3737026377906738E-5</v>
      </c>
      <c r="K2" s="11">
        <f>TREND('DoE Data'!$B$26:$C$26,'DoE Data'!$B$22:$C$22,K$1)</f>
        <v>7.0900986901833302E-5</v>
      </c>
      <c r="L2" s="11">
        <f>TREND('DoE Data'!$B$26:$C$26,'DoE Data'!$B$22:$C$22,L$1)</f>
        <v>6.8064947425759866E-5</v>
      </c>
      <c r="M2" s="11">
        <f>TREND('DoE Data'!$B$26:$C$26,'DoE Data'!$B$22:$C$22,M$1)</f>
        <v>6.5228907949686429E-5</v>
      </c>
      <c r="N2" s="11">
        <f>TREND('DoE Data'!$B$26:$C$26,'DoE Data'!$B$22:$C$22,N$1)</f>
        <v>6.2392868473612993E-5</v>
      </c>
      <c r="O2" s="11">
        <f>TREND('DoE Data'!$B$26:$C$26,'DoE Data'!$B$22:$C$22,O$1)</f>
        <v>5.9556828997540424E-5</v>
      </c>
      <c r="P2" s="13">
        <f>TREND('DoE Data'!$C$26:$D$26,'DoE Data'!$C$22:$D$22,P$1)</f>
        <v>5.8493314194012561E-5</v>
      </c>
      <c r="Q2" s="11">
        <f>TREND('DoE Data'!$C$26:$D$26,'DoE Data'!$C$22:$D$22,Q$1)</f>
        <v>5.7429799390484697E-5</v>
      </c>
      <c r="R2" s="11">
        <f>TREND('DoE Data'!$C$26:$D$26,'DoE Data'!$C$22:$D$22,R$1)</f>
        <v>5.6366284586957267E-5</v>
      </c>
      <c r="S2" s="11">
        <f>TREND('DoE Data'!$C$26:$D$26,'DoE Data'!$C$22:$D$22,S$1)</f>
        <v>5.5302769783429837E-5</v>
      </c>
      <c r="T2" s="11">
        <f>TREND('DoE Data'!$C$26:$D$26,'DoE Data'!$C$22:$D$22,T$1)</f>
        <v>5.4239254979902406E-5</v>
      </c>
      <c r="U2" s="11">
        <f>TREND('DoE Data'!$C$26:$D$26,'DoE Data'!$C$22:$D$22,U$1)</f>
        <v>5.3175740176374976E-5</v>
      </c>
      <c r="V2" s="11">
        <f>TREND('DoE Data'!$C$26:$D$26,'DoE Data'!$C$22:$D$22,V$1)</f>
        <v>5.2112225372847546E-5</v>
      </c>
      <c r="W2" s="11">
        <f>TREND('DoE Data'!$C$26:$D$26,'DoE Data'!$C$22:$D$22,W$1)</f>
        <v>5.1048710569319682E-5</v>
      </c>
      <c r="X2" s="11">
        <f>TREND('DoE Data'!$C$26:$D$26,'DoE Data'!$C$22:$D$22,X$1)</f>
        <v>4.9985195765792252E-5</v>
      </c>
      <c r="Y2" s="11">
        <f>TREND('DoE Data'!$C$26:$D$26,'DoE Data'!$C$22:$D$22,Y$1)</f>
        <v>4.8921680962264822E-5</v>
      </c>
      <c r="Z2" s="11">
        <f>TREND('DoE Data'!$C$26:$D$26,'DoE Data'!$C$22:$D$22,Z$1)</f>
        <v>4.7858166158737392E-5</v>
      </c>
      <c r="AA2" s="11">
        <f>TREND('DoE Data'!$C$26:$D$26,'DoE Data'!$C$22:$D$22,AA$1)</f>
        <v>4.6794651355209962E-5</v>
      </c>
      <c r="AB2" s="11">
        <f>TREND('DoE Data'!$C$26:$D$26,'DoE Data'!$C$22:$D$22,AB$1)</f>
        <v>4.5731136551682532E-5</v>
      </c>
      <c r="AC2" s="11">
        <f>TREND('DoE Data'!$C$26:$D$26,'DoE Data'!$C$22:$D$22,AC$1)</f>
        <v>4.4667621748155101E-5</v>
      </c>
      <c r="AD2" s="11">
        <f>TREND('DoE Data'!$C$26:$D$26,'DoE Data'!$C$22:$D$22,AD$1)</f>
        <v>4.3604106944627238E-5</v>
      </c>
      <c r="AE2" s="11">
        <f>TREND('DoE Data'!$C$26:$D$26,'DoE Data'!$C$22:$D$22,AE$1)</f>
        <v>4.2540592141099808E-5</v>
      </c>
      <c r="AF2" s="11">
        <f>TREND('DoE Data'!$C$26:$D$26,'DoE Data'!$C$22:$D$22,AF$1)</f>
        <v>4.1477077337572377E-5</v>
      </c>
      <c r="AG2" s="11">
        <f>TREND('DoE Data'!$C$26:$D$26,'DoE Data'!$C$22:$D$22,AG$1)</f>
        <v>4.0413562534044947E-5</v>
      </c>
      <c r="AH2" s="11">
        <f>TREND('DoE Data'!$C$26:$D$26,'DoE Data'!$C$22:$D$22,AH$1)</f>
        <v>3.9350047730517517E-5</v>
      </c>
      <c r="AI2" s="11">
        <f>TREND('DoE Data'!$C$26:$D$26,'DoE Data'!$C$22:$D$22,AI$1)</f>
        <v>3.8286532926990087E-5</v>
      </c>
    </row>
    <row r="3" spans="1:35" x14ac:dyDescent="0.25">
      <c r="A3" t="s">
        <v>16</v>
      </c>
      <c r="B3" s="11">
        <f>'Reformer data'!G41</f>
        <v>8.0429393491877576E-6</v>
      </c>
      <c r="C3" s="11">
        <f>$B$3</f>
        <v>8.0429393491877576E-6</v>
      </c>
      <c r="D3" s="11">
        <f t="shared" ref="D3:AI3" si="0">$B$3</f>
        <v>8.0429393491877576E-6</v>
      </c>
      <c r="E3" s="11">
        <f t="shared" si="0"/>
        <v>8.0429393491877576E-6</v>
      </c>
      <c r="F3" s="11">
        <f t="shared" si="0"/>
        <v>8.0429393491877576E-6</v>
      </c>
      <c r="G3" s="11">
        <f t="shared" si="0"/>
        <v>8.0429393491877576E-6</v>
      </c>
      <c r="H3" s="11">
        <f t="shared" si="0"/>
        <v>8.0429393491877576E-6</v>
      </c>
      <c r="I3" s="11">
        <f t="shared" si="0"/>
        <v>8.0429393491877576E-6</v>
      </c>
      <c r="J3" s="11">
        <f t="shared" si="0"/>
        <v>8.0429393491877576E-6</v>
      </c>
      <c r="K3" s="11">
        <f t="shared" si="0"/>
        <v>8.0429393491877576E-6</v>
      </c>
      <c r="L3" s="11">
        <f t="shared" si="0"/>
        <v>8.0429393491877576E-6</v>
      </c>
      <c r="M3" s="11">
        <f t="shared" si="0"/>
        <v>8.0429393491877576E-6</v>
      </c>
      <c r="N3" s="11">
        <f t="shared" si="0"/>
        <v>8.0429393491877576E-6</v>
      </c>
      <c r="O3" s="11">
        <f t="shared" si="0"/>
        <v>8.0429393491877576E-6</v>
      </c>
      <c r="P3" s="11">
        <f t="shared" si="0"/>
        <v>8.0429393491877576E-6</v>
      </c>
      <c r="Q3" s="11">
        <f t="shared" si="0"/>
        <v>8.0429393491877576E-6</v>
      </c>
      <c r="R3" s="11">
        <f t="shared" si="0"/>
        <v>8.0429393491877576E-6</v>
      </c>
      <c r="S3" s="11">
        <f t="shared" si="0"/>
        <v>8.0429393491877576E-6</v>
      </c>
      <c r="T3" s="11">
        <f t="shared" si="0"/>
        <v>8.0429393491877576E-6</v>
      </c>
      <c r="U3" s="11">
        <f t="shared" si="0"/>
        <v>8.0429393491877576E-6</v>
      </c>
      <c r="V3" s="11">
        <f t="shared" si="0"/>
        <v>8.0429393491877576E-6</v>
      </c>
      <c r="W3" s="11">
        <f t="shared" si="0"/>
        <v>8.0429393491877576E-6</v>
      </c>
      <c r="X3" s="11">
        <f t="shared" si="0"/>
        <v>8.0429393491877576E-6</v>
      </c>
      <c r="Y3" s="11">
        <f t="shared" si="0"/>
        <v>8.0429393491877576E-6</v>
      </c>
      <c r="Z3" s="11">
        <f t="shared" si="0"/>
        <v>8.0429393491877576E-6</v>
      </c>
      <c r="AA3" s="11">
        <f t="shared" si="0"/>
        <v>8.0429393491877576E-6</v>
      </c>
      <c r="AB3" s="11">
        <f t="shared" si="0"/>
        <v>8.0429393491877576E-6</v>
      </c>
      <c r="AC3" s="11">
        <f t="shared" si="0"/>
        <v>8.0429393491877576E-6</v>
      </c>
      <c r="AD3" s="11">
        <f t="shared" si="0"/>
        <v>8.0429393491877576E-6</v>
      </c>
      <c r="AE3" s="11">
        <f t="shared" si="0"/>
        <v>8.0429393491877576E-6</v>
      </c>
      <c r="AF3" s="11">
        <f t="shared" si="0"/>
        <v>8.0429393491877576E-6</v>
      </c>
      <c r="AG3" s="11">
        <f t="shared" si="0"/>
        <v>8.0429393491877576E-6</v>
      </c>
      <c r="AH3" s="11">
        <f t="shared" si="0"/>
        <v>8.0429393491877576E-6</v>
      </c>
      <c r="AI3" s="11">
        <f t="shared" si="0"/>
        <v>8.0429393491877576E-6</v>
      </c>
    </row>
    <row r="4" spans="1:35" x14ac:dyDescent="0.25">
      <c r="A4" t="s">
        <v>19</v>
      </c>
      <c r="B4" s="11">
        <f>B3*'IEA Data'!$D$10/'IEA Data'!$D$6</f>
        <v>2.3598514354210235E-5</v>
      </c>
      <c r="C4" s="11">
        <f>C3*'IEA Data'!$D$10/'IEA Data'!$D$6</f>
        <v>2.3598514354210235E-5</v>
      </c>
      <c r="D4" s="11">
        <f>D3*'IEA Data'!$D$10/'IEA Data'!$D$6</f>
        <v>2.3598514354210235E-5</v>
      </c>
      <c r="E4" s="11">
        <f>E3*'IEA Data'!$D$10/'IEA Data'!$D$6</f>
        <v>2.3598514354210235E-5</v>
      </c>
      <c r="F4" s="11">
        <f>F3*'IEA Data'!$D$10/'IEA Data'!$D$6</f>
        <v>2.3598514354210235E-5</v>
      </c>
      <c r="G4" s="11">
        <f>G3*'IEA Data'!$D$10/'IEA Data'!$D$6</f>
        <v>2.3598514354210235E-5</v>
      </c>
      <c r="H4" s="11">
        <f>H3*'IEA Data'!$D$10/'IEA Data'!$D$6</f>
        <v>2.3598514354210235E-5</v>
      </c>
      <c r="I4" s="11">
        <f>I3*'IEA Data'!$D$10/'IEA Data'!$D$6</f>
        <v>2.3598514354210235E-5</v>
      </c>
      <c r="J4" s="11">
        <f>J3*'IEA Data'!$D$10/'IEA Data'!$D$6</f>
        <v>2.3598514354210235E-5</v>
      </c>
      <c r="K4" s="11">
        <f>K3*'IEA Data'!$D$10/'IEA Data'!$D$6</f>
        <v>2.3598514354210235E-5</v>
      </c>
      <c r="L4" s="11">
        <f>L3*'IEA Data'!$D$10/'IEA Data'!$D$6</f>
        <v>2.3598514354210235E-5</v>
      </c>
      <c r="M4" s="11">
        <f>M3*'IEA Data'!$D$10/'IEA Data'!$D$6</f>
        <v>2.3598514354210235E-5</v>
      </c>
      <c r="N4" s="11">
        <f>N3*'IEA Data'!$D$10/'IEA Data'!$D$6</f>
        <v>2.3598514354210235E-5</v>
      </c>
      <c r="O4" s="11">
        <f>O3*'IEA Data'!$D$10/'IEA Data'!$D$6</f>
        <v>2.3598514354210235E-5</v>
      </c>
      <c r="P4" s="11">
        <f>P3*'IEA Data'!$D$10/'IEA Data'!$D$6</f>
        <v>2.3598514354210235E-5</v>
      </c>
      <c r="Q4" s="11">
        <f>Q3*'IEA Data'!$D$10/'IEA Data'!$D$6</f>
        <v>2.3598514354210235E-5</v>
      </c>
      <c r="R4" s="11">
        <f>R3*'IEA Data'!$D$10/'IEA Data'!$D$6</f>
        <v>2.3598514354210235E-5</v>
      </c>
      <c r="S4" s="11">
        <f>S3*'IEA Data'!$D$10/'IEA Data'!$D$6</f>
        <v>2.3598514354210235E-5</v>
      </c>
      <c r="T4" s="11">
        <f>T3*'IEA Data'!$D$10/'IEA Data'!$D$6</f>
        <v>2.3598514354210235E-5</v>
      </c>
      <c r="U4" s="11">
        <f>U3*'IEA Data'!$D$10/'IEA Data'!$D$6</f>
        <v>2.3598514354210235E-5</v>
      </c>
      <c r="V4" s="11">
        <f>V3*'IEA Data'!$D$10/'IEA Data'!$D$6</f>
        <v>2.3598514354210235E-5</v>
      </c>
      <c r="W4" s="11">
        <f>W3*'IEA Data'!$D$10/'IEA Data'!$D$6</f>
        <v>2.3598514354210235E-5</v>
      </c>
      <c r="X4" s="11">
        <f>X3*'IEA Data'!$D$10/'IEA Data'!$D$6</f>
        <v>2.3598514354210235E-5</v>
      </c>
      <c r="Y4" s="11">
        <f>Y3*'IEA Data'!$D$10/'IEA Data'!$D$6</f>
        <v>2.3598514354210235E-5</v>
      </c>
      <c r="Z4" s="11">
        <f>Z3*'IEA Data'!$D$10/'IEA Data'!$D$6</f>
        <v>2.3598514354210235E-5</v>
      </c>
      <c r="AA4" s="11">
        <f>AA3*'IEA Data'!$D$10/'IEA Data'!$D$6</f>
        <v>2.3598514354210235E-5</v>
      </c>
      <c r="AB4" s="11">
        <f>AB3*'IEA Data'!$D$10/'IEA Data'!$D$6</f>
        <v>2.3598514354210235E-5</v>
      </c>
      <c r="AC4" s="11">
        <f>AC3*'IEA Data'!$D$10/'IEA Data'!$D$6</f>
        <v>2.3598514354210235E-5</v>
      </c>
      <c r="AD4" s="11">
        <f>AD3*'IEA Data'!$D$10/'IEA Data'!$D$6</f>
        <v>2.3598514354210235E-5</v>
      </c>
      <c r="AE4" s="11">
        <f>AE3*'IEA Data'!$D$10/'IEA Data'!$D$6</f>
        <v>2.3598514354210235E-5</v>
      </c>
      <c r="AF4" s="11">
        <f>AF3*'IEA Data'!$D$10/'IEA Data'!$D$6</f>
        <v>2.3598514354210235E-5</v>
      </c>
      <c r="AG4" s="11">
        <f>AG3*'IEA Data'!$D$10/'IEA Data'!$D$6</f>
        <v>2.3598514354210235E-5</v>
      </c>
      <c r="AH4" s="11">
        <f>AH3*'IEA Data'!$D$10/'IEA Data'!$D$6</f>
        <v>2.3598514354210235E-5</v>
      </c>
      <c r="AI4" s="11">
        <f>AI3*'IEA Data'!$D$10/'IEA Data'!$D$6</f>
        <v>2.3598514354210235E-5</v>
      </c>
    </row>
    <row r="5" spans="1:35" x14ac:dyDescent="0.25">
      <c r="A5" t="s">
        <v>25</v>
      </c>
      <c r="B5" s="11">
        <f>B4</f>
        <v>2.3598514354210235E-5</v>
      </c>
      <c r="C5" s="11">
        <f t="shared" ref="C5:P5" si="1">C4</f>
        <v>2.3598514354210235E-5</v>
      </c>
      <c r="D5" s="11">
        <f t="shared" si="1"/>
        <v>2.3598514354210235E-5</v>
      </c>
      <c r="E5" s="11">
        <f t="shared" si="1"/>
        <v>2.3598514354210235E-5</v>
      </c>
      <c r="F5" s="11">
        <f t="shared" si="1"/>
        <v>2.3598514354210235E-5</v>
      </c>
      <c r="G5" s="11">
        <f t="shared" si="1"/>
        <v>2.3598514354210235E-5</v>
      </c>
      <c r="H5" s="11">
        <f t="shared" si="1"/>
        <v>2.3598514354210235E-5</v>
      </c>
      <c r="I5" s="11">
        <f t="shared" si="1"/>
        <v>2.3598514354210235E-5</v>
      </c>
      <c r="J5" s="11">
        <f t="shared" si="1"/>
        <v>2.3598514354210235E-5</v>
      </c>
      <c r="K5" s="11">
        <f t="shared" si="1"/>
        <v>2.3598514354210235E-5</v>
      </c>
      <c r="L5" s="11">
        <f t="shared" si="1"/>
        <v>2.3598514354210235E-5</v>
      </c>
      <c r="M5" s="11">
        <f t="shared" si="1"/>
        <v>2.3598514354210235E-5</v>
      </c>
      <c r="N5" s="11">
        <f t="shared" si="1"/>
        <v>2.3598514354210235E-5</v>
      </c>
      <c r="O5" s="11">
        <f t="shared" si="1"/>
        <v>2.3598514354210235E-5</v>
      </c>
      <c r="P5" s="11">
        <f t="shared" si="1"/>
        <v>2.3598514354210235E-5</v>
      </c>
      <c r="Q5" s="11">
        <f t="shared" ref="Q5" si="2">Q4</f>
        <v>2.3598514354210235E-5</v>
      </c>
      <c r="R5" s="11">
        <f t="shared" ref="R5" si="3">R4</f>
        <v>2.3598514354210235E-5</v>
      </c>
      <c r="S5" s="11">
        <f t="shared" ref="S5" si="4">S4</f>
        <v>2.3598514354210235E-5</v>
      </c>
      <c r="T5" s="11">
        <f t="shared" ref="T5" si="5">T4</f>
        <v>2.3598514354210235E-5</v>
      </c>
      <c r="U5" s="11">
        <f t="shared" ref="U5" si="6">U4</f>
        <v>2.3598514354210235E-5</v>
      </c>
      <c r="V5" s="11">
        <f t="shared" ref="V5" si="7">V4</f>
        <v>2.3598514354210235E-5</v>
      </c>
      <c r="W5" s="11">
        <f t="shared" ref="W5" si="8">W4</f>
        <v>2.3598514354210235E-5</v>
      </c>
      <c r="X5" s="11">
        <f t="shared" ref="X5" si="9">X4</f>
        <v>2.3598514354210235E-5</v>
      </c>
      <c r="Y5" s="11">
        <f t="shared" ref="Y5" si="10">Y4</f>
        <v>2.3598514354210235E-5</v>
      </c>
      <c r="Z5" s="11">
        <f t="shared" ref="Z5" si="11">Z4</f>
        <v>2.3598514354210235E-5</v>
      </c>
      <c r="AA5" s="11">
        <f t="shared" ref="AA5" si="12">AA4</f>
        <v>2.3598514354210235E-5</v>
      </c>
      <c r="AB5" s="11">
        <f t="shared" ref="AB5" si="13">AB4</f>
        <v>2.3598514354210235E-5</v>
      </c>
      <c r="AC5" s="11">
        <f t="shared" ref="AC5" si="14">AC4</f>
        <v>2.3598514354210235E-5</v>
      </c>
      <c r="AD5" s="11">
        <f t="shared" ref="AD5" si="15">AD4</f>
        <v>2.3598514354210235E-5</v>
      </c>
      <c r="AE5" s="11">
        <f t="shared" ref="AE5" si="16">AE4</f>
        <v>2.3598514354210235E-5</v>
      </c>
      <c r="AF5" s="11">
        <f t="shared" ref="AF5" si="17">AF4</f>
        <v>2.3598514354210235E-5</v>
      </c>
      <c r="AG5" s="11">
        <f t="shared" ref="AG5" si="18">AG4</f>
        <v>2.3598514354210235E-5</v>
      </c>
      <c r="AH5" s="11">
        <f t="shared" ref="AH5" si="19">AH4</f>
        <v>2.3598514354210235E-5</v>
      </c>
      <c r="AI5" s="11">
        <f t="shared" ref="AI5" si="20">AI4</f>
        <v>2.3598514354210235E-5</v>
      </c>
    </row>
    <row r="6" spans="1:35" x14ac:dyDescent="0.25">
      <c r="A6" t="s">
        <v>65</v>
      </c>
      <c r="B6" s="11">
        <f>B3*0.85</f>
        <v>6.8364984468095934E-6</v>
      </c>
      <c r="C6">
        <f t="shared" ref="C6:R6" si="21">$B6</f>
        <v>6.8364984468095934E-6</v>
      </c>
      <c r="D6">
        <f t="shared" si="21"/>
        <v>6.8364984468095934E-6</v>
      </c>
      <c r="E6">
        <f t="shared" si="21"/>
        <v>6.8364984468095934E-6</v>
      </c>
      <c r="F6">
        <f t="shared" si="21"/>
        <v>6.8364984468095934E-6</v>
      </c>
      <c r="G6">
        <f t="shared" si="21"/>
        <v>6.8364984468095934E-6</v>
      </c>
      <c r="H6">
        <f t="shared" si="21"/>
        <v>6.8364984468095934E-6</v>
      </c>
      <c r="I6">
        <f t="shared" si="21"/>
        <v>6.8364984468095934E-6</v>
      </c>
      <c r="J6">
        <f t="shared" si="21"/>
        <v>6.8364984468095934E-6</v>
      </c>
      <c r="K6">
        <f t="shared" si="21"/>
        <v>6.8364984468095934E-6</v>
      </c>
      <c r="L6">
        <f t="shared" si="21"/>
        <v>6.8364984468095934E-6</v>
      </c>
      <c r="M6">
        <f t="shared" si="21"/>
        <v>6.8364984468095934E-6</v>
      </c>
      <c r="N6">
        <f t="shared" si="21"/>
        <v>6.8364984468095934E-6</v>
      </c>
      <c r="O6">
        <f t="shared" si="21"/>
        <v>6.8364984468095934E-6</v>
      </c>
      <c r="P6">
        <f t="shared" si="21"/>
        <v>6.8364984468095934E-6</v>
      </c>
      <c r="Q6">
        <f t="shared" si="21"/>
        <v>6.8364984468095934E-6</v>
      </c>
      <c r="R6">
        <f t="shared" si="21"/>
        <v>6.8364984468095934E-6</v>
      </c>
      <c r="S6">
        <f t="shared" ref="S6:AI6" si="22">$B6</f>
        <v>6.8364984468095934E-6</v>
      </c>
      <c r="T6">
        <f t="shared" si="22"/>
        <v>6.8364984468095934E-6</v>
      </c>
      <c r="U6">
        <f t="shared" si="22"/>
        <v>6.8364984468095934E-6</v>
      </c>
      <c r="V6">
        <f t="shared" si="22"/>
        <v>6.8364984468095934E-6</v>
      </c>
      <c r="W6">
        <f t="shared" si="22"/>
        <v>6.8364984468095934E-6</v>
      </c>
      <c r="X6">
        <f t="shared" si="22"/>
        <v>6.8364984468095934E-6</v>
      </c>
      <c r="Y6">
        <f t="shared" si="22"/>
        <v>6.8364984468095934E-6</v>
      </c>
      <c r="Z6">
        <f t="shared" si="22"/>
        <v>6.8364984468095934E-6</v>
      </c>
      <c r="AA6">
        <f t="shared" si="22"/>
        <v>6.8364984468095934E-6</v>
      </c>
      <c r="AB6">
        <f t="shared" si="22"/>
        <v>6.8364984468095934E-6</v>
      </c>
      <c r="AC6">
        <f t="shared" si="22"/>
        <v>6.8364984468095934E-6</v>
      </c>
      <c r="AD6">
        <f t="shared" si="22"/>
        <v>6.8364984468095934E-6</v>
      </c>
      <c r="AE6">
        <f t="shared" si="22"/>
        <v>6.8364984468095934E-6</v>
      </c>
      <c r="AF6">
        <f t="shared" si="22"/>
        <v>6.8364984468095934E-6</v>
      </c>
      <c r="AG6">
        <f t="shared" si="22"/>
        <v>6.8364984468095934E-6</v>
      </c>
      <c r="AH6">
        <f t="shared" si="22"/>
        <v>6.8364984468095934E-6</v>
      </c>
      <c r="AI6">
        <f t="shared" si="22"/>
        <v>6.8364984468095934E-6</v>
      </c>
    </row>
    <row r="7" spans="1:35" x14ac:dyDescent="0.25">
      <c r="A7" t="s">
        <v>63</v>
      </c>
      <c r="B7" s="11">
        <f>B2</f>
        <v>9.642534218649336E-5</v>
      </c>
      <c r="C7" s="11">
        <f t="shared" ref="C7:AI7" si="23">C2</f>
        <v>9.3589302710419923E-5</v>
      </c>
      <c r="D7" s="11">
        <f t="shared" si="23"/>
        <v>9.0753263234346487E-5</v>
      </c>
      <c r="E7" s="11">
        <f t="shared" si="23"/>
        <v>8.7917223758273051E-5</v>
      </c>
      <c r="F7" s="11">
        <f t="shared" si="23"/>
        <v>8.5081184282199615E-5</v>
      </c>
      <c r="G7" s="11">
        <f t="shared" si="23"/>
        <v>8.2245144806126179E-5</v>
      </c>
      <c r="H7" s="11">
        <f t="shared" si="23"/>
        <v>7.940910533005361E-5</v>
      </c>
      <c r="I7" s="11">
        <f t="shared" si="23"/>
        <v>7.6573065853980174E-5</v>
      </c>
      <c r="J7" s="11">
        <f t="shared" si="23"/>
        <v>7.3737026377906738E-5</v>
      </c>
      <c r="K7" s="11">
        <f t="shared" si="23"/>
        <v>7.0900986901833302E-5</v>
      </c>
      <c r="L7" s="11">
        <f t="shared" si="23"/>
        <v>6.8064947425759866E-5</v>
      </c>
      <c r="M7" s="11">
        <f t="shared" si="23"/>
        <v>6.5228907949686429E-5</v>
      </c>
      <c r="N7" s="11">
        <f t="shared" si="23"/>
        <v>6.2392868473612993E-5</v>
      </c>
      <c r="O7" s="26">
        <f t="shared" si="23"/>
        <v>5.9556828997540424E-5</v>
      </c>
      <c r="P7" s="11">
        <f t="shared" si="23"/>
        <v>5.8493314194012561E-5</v>
      </c>
      <c r="Q7" s="11">
        <f t="shared" si="23"/>
        <v>5.7429799390484697E-5</v>
      </c>
      <c r="R7" s="11">
        <f t="shared" si="23"/>
        <v>5.6366284586957267E-5</v>
      </c>
      <c r="S7" s="11">
        <f t="shared" si="23"/>
        <v>5.5302769783429837E-5</v>
      </c>
      <c r="T7" s="11">
        <f t="shared" si="23"/>
        <v>5.4239254979902406E-5</v>
      </c>
      <c r="U7" s="11">
        <f t="shared" si="23"/>
        <v>5.3175740176374976E-5</v>
      </c>
      <c r="V7" s="11">
        <f t="shared" si="23"/>
        <v>5.2112225372847546E-5</v>
      </c>
      <c r="W7" s="11">
        <f t="shared" si="23"/>
        <v>5.1048710569319682E-5</v>
      </c>
      <c r="X7" s="11">
        <f t="shared" si="23"/>
        <v>4.9985195765792252E-5</v>
      </c>
      <c r="Y7" s="11">
        <f t="shared" si="23"/>
        <v>4.8921680962264822E-5</v>
      </c>
      <c r="Z7" s="11">
        <f t="shared" si="23"/>
        <v>4.7858166158737392E-5</v>
      </c>
      <c r="AA7" s="11">
        <f t="shared" si="23"/>
        <v>4.6794651355209962E-5</v>
      </c>
      <c r="AB7" s="11">
        <f t="shared" si="23"/>
        <v>4.5731136551682532E-5</v>
      </c>
      <c r="AC7" s="11">
        <f t="shared" si="23"/>
        <v>4.4667621748155101E-5</v>
      </c>
      <c r="AD7" s="11">
        <f t="shared" si="23"/>
        <v>4.3604106944627238E-5</v>
      </c>
      <c r="AE7" s="11">
        <f t="shared" si="23"/>
        <v>4.2540592141099808E-5</v>
      </c>
      <c r="AF7" s="11">
        <f t="shared" si="23"/>
        <v>4.1477077337572377E-5</v>
      </c>
      <c r="AG7" s="11">
        <f t="shared" si="23"/>
        <v>4.0413562534044947E-5</v>
      </c>
      <c r="AH7" s="11">
        <f t="shared" si="23"/>
        <v>3.9350047730517517E-5</v>
      </c>
      <c r="AI7" s="11">
        <f t="shared" si="23"/>
        <v>3.8286532926990087E-5</v>
      </c>
    </row>
    <row r="8" spans="1:35" x14ac:dyDescent="0.25">
      <c r="A8" t="s">
        <v>64</v>
      </c>
      <c r="B8" s="11">
        <f>B3</f>
        <v>8.0429393491877576E-6</v>
      </c>
      <c r="C8" s="11">
        <f t="shared" ref="C8:AI8" si="24">C3</f>
        <v>8.0429393491877576E-6</v>
      </c>
      <c r="D8" s="11">
        <f t="shared" si="24"/>
        <v>8.0429393491877576E-6</v>
      </c>
      <c r="E8" s="11">
        <f t="shared" si="24"/>
        <v>8.0429393491877576E-6</v>
      </c>
      <c r="F8" s="11">
        <f t="shared" si="24"/>
        <v>8.0429393491877576E-6</v>
      </c>
      <c r="G8" s="11">
        <f t="shared" si="24"/>
        <v>8.0429393491877576E-6</v>
      </c>
      <c r="H8" s="11">
        <f t="shared" si="24"/>
        <v>8.0429393491877576E-6</v>
      </c>
      <c r="I8" s="11">
        <f t="shared" si="24"/>
        <v>8.0429393491877576E-6</v>
      </c>
      <c r="J8" s="11">
        <f t="shared" si="24"/>
        <v>8.0429393491877576E-6</v>
      </c>
      <c r="K8" s="11">
        <f t="shared" si="24"/>
        <v>8.0429393491877576E-6</v>
      </c>
      <c r="L8" s="11">
        <f t="shared" si="24"/>
        <v>8.0429393491877576E-6</v>
      </c>
      <c r="M8" s="11">
        <f t="shared" si="24"/>
        <v>8.0429393491877576E-6</v>
      </c>
      <c r="N8" s="11">
        <f t="shared" si="24"/>
        <v>8.0429393491877576E-6</v>
      </c>
      <c r="O8" s="11">
        <f t="shared" si="24"/>
        <v>8.0429393491877576E-6</v>
      </c>
      <c r="P8" s="11">
        <f t="shared" si="24"/>
        <v>8.0429393491877576E-6</v>
      </c>
      <c r="Q8" s="11">
        <f t="shared" si="24"/>
        <v>8.0429393491877576E-6</v>
      </c>
      <c r="R8" s="11">
        <f t="shared" si="24"/>
        <v>8.0429393491877576E-6</v>
      </c>
      <c r="S8" s="11">
        <f t="shared" si="24"/>
        <v>8.0429393491877576E-6</v>
      </c>
      <c r="T8" s="11">
        <f t="shared" si="24"/>
        <v>8.0429393491877576E-6</v>
      </c>
      <c r="U8" s="11">
        <f t="shared" si="24"/>
        <v>8.0429393491877576E-6</v>
      </c>
      <c r="V8" s="11">
        <f t="shared" si="24"/>
        <v>8.0429393491877576E-6</v>
      </c>
      <c r="W8" s="11">
        <f t="shared" si="24"/>
        <v>8.0429393491877576E-6</v>
      </c>
      <c r="X8" s="11">
        <f t="shared" si="24"/>
        <v>8.0429393491877576E-6</v>
      </c>
      <c r="Y8" s="11">
        <f t="shared" si="24"/>
        <v>8.0429393491877576E-6</v>
      </c>
      <c r="Z8" s="11">
        <f t="shared" si="24"/>
        <v>8.0429393491877576E-6</v>
      </c>
      <c r="AA8" s="11">
        <f t="shared" si="24"/>
        <v>8.0429393491877576E-6</v>
      </c>
      <c r="AB8" s="11">
        <f t="shared" si="24"/>
        <v>8.0429393491877576E-6</v>
      </c>
      <c r="AC8" s="11">
        <f t="shared" si="24"/>
        <v>8.0429393491877576E-6</v>
      </c>
      <c r="AD8" s="11">
        <f t="shared" si="24"/>
        <v>8.0429393491877576E-6</v>
      </c>
      <c r="AE8" s="11">
        <f t="shared" si="24"/>
        <v>8.0429393491877576E-6</v>
      </c>
      <c r="AF8" s="11">
        <f t="shared" si="24"/>
        <v>8.0429393491877576E-6</v>
      </c>
      <c r="AG8" s="11">
        <f t="shared" si="24"/>
        <v>8.0429393491877576E-6</v>
      </c>
      <c r="AH8" s="11">
        <f t="shared" si="24"/>
        <v>8.0429393491877576E-6</v>
      </c>
      <c r="AI8" s="11">
        <f t="shared" si="24"/>
        <v>8.0429393491877576E-6</v>
      </c>
    </row>
    <row r="10" spans="1:35" x14ac:dyDescent="0.25">
      <c r="B1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17"/>
  <sheetViews>
    <sheetView workbookViewId="0">
      <selection activeCell="B8" sqref="B8"/>
    </sheetView>
  </sheetViews>
  <sheetFormatPr defaultRowHeight="15" x14ac:dyDescent="0.25"/>
  <cols>
    <col min="1" max="1" width="41.5703125" bestFit="1" customWidth="1"/>
  </cols>
  <sheetData>
    <row r="1" spans="1:35" x14ac:dyDescent="0.25">
      <c r="A1" s="1" t="s">
        <v>62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>
        <v>2030</v>
      </c>
      <c r="P1" s="9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</row>
    <row r="2" spans="1:35" x14ac:dyDescent="0.25">
      <c r="A2" t="s">
        <v>7</v>
      </c>
      <c r="B2" s="11">
        <f>HPEC!B2*('OM Split'!$B$20+'OM Split'!$B$21)</f>
        <v>6.6469607059989103E-6</v>
      </c>
      <c r="C2" s="11">
        <f>HPEC!C2*('OM Split'!$B$20+'OM Split'!$B$21)</f>
        <v>6.4514618617048174E-6</v>
      </c>
      <c r="D2" s="11">
        <f>HPEC!D2*('OM Split'!$B$20+'OM Split'!$B$21)</f>
        <v>6.2559630174107245E-6</v>
      </c>
      <c r="E2" s="11">
        <f>HPEC!E2*('OM Split'!$B$20+'OM Split'!$B$21)</f>
        <v>6.0604641731166324E-6</v>
      </c>
      <c r="F2" s="11">
        <f>HPEC!F2*('OM Split'!$B$20+'OM Split'!$B$21)</f>
        <v>5.8649653288225395E-6</v>
      </c>
      <c r="G2" s="11">
        <f>HPEC!G2*('OM Split'!$B$20+'OM Split'!$B$21)</f>
        <v>5.6694664845284466E-6</v>
      </c>
      <c r="H2" s="11">
        <f>HPEC!H2*('OM Split'!$B$20+'OM Split'!$B$21)</f>
        <v>5.4739676402344138E-6</v>
      </c>
      <c r="I2" s="11">
        <f>HPEC!I2*('OM Split'!$B$20+'OM Split'!$B$21)</f>
        <v>5.2784687959403217E-6</v>
      </c>
      <c r="J2" s="11">
        <f>HPEC!J2*('OM Split'!$B$20+'OM Split'!$B$21)</f>
        <v>5.0829699516462288E-6</v>
      </c>
      <c r="K2" s="11">
        <f>HPEC!K2*('OM Split'!$B$20+'OM Split'!$B$21)</f>
        <v>4.8874711073521359E-6</v>
      </c>
      <c r="L2" s="11">
        <f>HPEC!L2*('OM Split'!$B$20+'OM Split'!$B$21)</f>
        <v>4.6919722630580438E-6</v>
      </c>
      <c r="M2" s="11">
        <f>HPEC!M2*('OM Split'!$B$20+'OM Split'!$B$21)</f>
        <v>4.4964734187639509E-6</v>
      </c>
      <c r="N2" s="11">
        <f>HPEC!N2*('OM Split'!$B$20+'OM Split'!$B$21)</f>
        <v>4.3009745744698588E-6</v>
      </c>
      <c r="O2" s="11">
        <f>HPEC!O2*('OM Split'!$B$20+'OM Split'!$B$21)</f>
        <v>4.1054757301758252E-6</v>
      </c>
      <c r="P2" s="11">
        <f>HPEC!P2*('OM Split'!$B$20+'OM Split'!$B$21)</f>
        <v>4.0321636635655183E-6</v>
      </c>
      <c r="Q2" s="11">
        <f>HPEC!Q2*('OM Split'!$B$20+'OM Split'!$B$21)</f>
        <v>3.9588515969552114E-6</v>
      </c>
      <c r="R2" s="11">
        <f>HPEC!R2*('OM Split'!$B$20+'OM Split'!$B$21)</f>
        <v>3.8855395303449342E-6</v>
      </c>
      <c r="S2" s="11">
        <f>HPEC!S2*('OM Split'!$B$20+'OM Split'!$B$21)</f>
        <v>3.8122274637346565E-6</v>
      </c>
      <c r="T2" s="11">
        <f>HPEC!T2*('OM Split'!$B$20+'OM Split'!$B$21)</f>
        <v>3.7389153971243793E-6</v>
      </c>
      <c r="U2" s="11">
        <f>HPEC!U2*('OM Split'!$B$20+'OM Split'!$B$21)</f>
        <v>3.6656033305141021E-6</v>
      </c>
      <c r="V2" s="11">
        <f>HPEC!V2*('OM Split'!$B$20+'OM Split'!$B$21)</f>
        <v>3.5922912639038249E-6</v>
      </c>
      <c r="W2" s="11">
        <f>HPEC!W2*('OM Split'!$B$20+'OM Split'!$B$21)</f>
        <v>3.5189791972935176E-6</v>
      </c>
      <c r="X2" s="11">
        <f>HPEC!X2*('OM Split'!$B$20+'OM Split'!$B$21)</f>
        <v>3.4456671306832404E-6</v>
      </c>
      <c r="Y2" s="11">
        <f>HPEC!Y2*('OM Split'!$B$20+'OM Split'!$B$21)</f>
        <v>3.3723550640729631E-6</v>
      </c>
      <c r="Z2" s="11">
        <f>HPEC!Z2*('OM Split'!$B$20+'OM Split'!$B$21)</f>
        <v>3.2990429974626859E-6</v>
      </c>
      <c r="AA2" s="11">
        <f>HPEC!AA2*('OM Split'!$B$20+'OM Split'!$B$21)</f>
        <v>3.2257309308524087E-6</v>
      </c>
      <c r="AB2" s="11">
        <f>HPEC!AB2*('OM Split'!$B$20+'OM Split'!$B$21)</f>
        <v>3.1524188642421315E-6</v>
      </c>
      <c r="AC2" s="11">
        <f>HPEC!AC2*('OM Split'!$B$20+'OM Split'!$B$21)</f>
        <v>3.0791067976318543E-6</v>
      </c>
      <c r="AD2" s="11">
        <f>HPEC!AD2*('OM Split'!$B$20+'OM Split'!$B$21)</f>
        <v>3.005794731021547E-6</v>
      </c>
      <c r="AE2" s="11">
        <f>HPEC!AE2*('OM Split'!$B$20+'OM Split'!$B$21)</f>
        <v>2.9324826644112697E-6</v>
      </c>
      <c r="AF2" s="11">
        <f>HPEC!AF2*('OM Split'!$B$20+'OM Split'!$B$21)</f>
        <v>2.8591705978009925E-6</v>
      </c>
      <c r="AG2" s="11">
        <f>HPEC!AG2*('OM Split'!$B$20+'OM Split'!$B$21)</f>
        <v>2.7858585311907153E-6</v>
      </c>
      <c r="AH2" s="11">
        <f>HPEC!AH2*('OM Split'!$B$20+'OM Split'!$B$21)</f>
        <v>2.7125464645804381E-6</v>
      </c>
      <c r="AI2" s="11">
        <f>HPEC!AI2*('OM Split'!$B$20+'OM Split'!$B$21)</f>
        <v>2.6392343979701609E-6</v>
      </c>
    </row>
    <row r="3" spans="1:35" x14ac:dyDescent="0.25">
      <c r="A3" t="s">
        <v>16</v>
      </c>
      <c r="B3" s="11">
        <f>'OM Split'!$B$13</f>
        <v>6.9414023552214001E-7</v>
      </c>
      <c r="C3" s="11">
        <f>'OM Split'!$B$13</f>
        <v>6.9414023552214001E-7</v>
      </c>
      <c r="D3" s="11">
        <f>'OM Split'!$B$13</f>
        <v>6.9414023552214001E-7</v>
      </c>
      <c r="E3" s="11">
        <f>'OM Split'!$B$13</f>
        <v>6.9414023552214001E-7</v>
      </c>
      <c r="F3" s="11">
        <f>'OM Split'!$B$13</f>
        <v>6.9414023552214001E-7</v>
      </c>
      <c r="G3" s="11">
        <f>'OM Split'!$B$13</f>
        <v>6.9414023552214001E-7</v>
      </c>
      <c r="H3" s="11">
        <f>'OM Split'!$B$13</f>
        <v>6.9414023552214001E-7</v>
      </c>
      <c r="I3" s="11">
        <f>'OM Split'!$B$13</f>
        <v>6.9414023552214001E-7</v>
      </c>
      <c r="J3" s="11">
        <f>'OM Split'!$B$13</f>
        <v>6.9414023552214001E-7</v>
      </c>
      <c r="K3" s="11">
        <f>'OM Split'!$B$13</f>
        <v>6.9414023552214001E-7</v>
      </c>
      <c r="L3" s="11">
        <f>'OM Split'!$B$13</f>
        <v>6.9414023552214001E-7</v>
      </c>
      <c r="M3" s="11">
        <f>'OM Split'!$B$13</f>
        <v>6.9414023552214001E-7</v>
      </c>
      <c r="N3" s="11">
        <f>'OM Split'!$B$13</f>
        <v>6.9414023552214001E-7</v>
      </c>
      <c r="O3" s="11">
        <f>'OM Split'!$B$13</f>
        <v>6.9414023552214001E-7</v>
      </c>
      <c r="P3" s="11">
        <f>'OM Split'!$B$13</f>
        <v>6.9414023552214001E-7</v>
      </c>
      <c r="Q3" s="11">
        <f>'OM Split'!$B$13</f>
        <v>6.9414023552214001E-7</v>
      </c>
      <c r="R3" s="11">
        <f>'OM Split'!$B$13</f>
        <v>6.9414023552214001E-7</v>
      </c>
      <c r="S3" s="11">
        <f>'OM Split'!$B$13</f>
        <v>6.9414023552214001E-7</v>
      </c>
      <c r="T3" s="11">
        <f>'OM Split'!$B$13</f>
        <v>6.9414023552214001E-7</v>
      </c>
      <c r="U3" s="11">
        <f>'OM Split'!$B$13</f>
        <v>6.9414023552214001E-7</v>
      </c>
      <c r="V3" s="11">
        <f>'OM Split'!$B$13</f>
        <v>6.9414023552214001E-7</v>
      </c>
      <c r="W3" s="11">
        <f>'OM Split'!$B$13</f>
        <v>6.9414023552214001E-7</v>
      </c>
      <c r="X3" s="11">
        <f>'OM Split'!$B$13</f>
        <v>6.9414023552214001E-7</v>
      </c>
      <c r="Y3" s="11">
        <f>'OM Split'!$B$13</f>
        <v>6.9414023552214001E-7</v>
      </c>
      <c r="Z3" s="11">
        <f>'OM Split'!$B$13</f>
        <v>6.9414023552214001E-7</v>
      </c>
      <c r="AA3" s="11">
        <f>'OM Split'!$B$13</f>
        <v>6.9414023552214001E-7</v>
      </c>
      <c r="AB3" s="11">
        <f>'OM Split'!$B$13</f>
        <v>6.9414023552214001E-7</v>
      </c>
      <c r="AC3" s="11">
        <f>'OM Split'!$B$13</f>
        <v>6.9414023552214001E-7</v>
      </c>
      <c r="AD3" s="11">
        <f>'OM Split'!$B$13</f>
        <v>6.9414023552214001E-7</v>
      </c>
      <c r="AE3" s="11">
        <f>'OM Split'!$B$13</f>
        <v>6.9414023552214001E-7</v>
      </c>
      <c r="AF3" s="11">
        <f>'OM Split'!$B$13</f>
        <v>6.9414023552214001E-7</v>
      </c>
      <c r="AG3" s="11">
        <f>'OM Split'!$B$13</f>
        <v>6.9414023552214001E-7</v>
      </c>
      <c r="AH3" s="11">
        <f>'OM Split'!$B$13</f>
        <v>6.9414023552214001E-7</v>
      </c>
      <c r="AI3" s="11">
        <f>'OM Split'!$B$13</f>
        <v>6.9414023552214001E-7</v>
      </c>
    </row>
    <row r="4" spans="1:35" x14ac:dyDescent="0.25">
      <c r="A4" t="s">
        <v>19</v>
      </c>
      <c r="B4" s="11">
        <f>'OM Split'!$C$13</f>
        <v>5.3746768810269592E-6</v>
      </c>
      <c r="C4" s="11">
        <f>'OM Split'!$C$13</f>
        <v>5.3746768810269592E-6</v>
      </c>
      <c r="D4" s="11">
        <f>'OM Split'!$C$13</f>
        <v>5.3746768810269592E-6</v>
      </c>
      <c r="E4" s="11">
        <f>'OM Split'!$C$13</f>
        <v>5.3746768810269592E-6</v>
      </c>
      <c r="F4" s="11">
        <f>'OM Split'!$C$13</f>
        <v>5.3746768810269592E-6</v>
      </c>
      <c r="G4" s="11">
        <f>'OM Split'!$C$13</f>
        <v>5.3746768810269592E-6</v>
      </c>
      <c r="H4" s="11">
        <f>'OM Split'!$C$13</f>
        <v>5.3746768810269592E-6</v>
      </c>
      <c r="I4" s="11">
        <f>'OM Split'!$C$13</f>
        <v>5.3746768810269592E-6</v>
      </c>
      <c r="J4" s="11">
        <f>'OM Split'!$C$13</f>
        <v>5.3746768810269592E-6</v>
      </c>
      <c r="K4" s="11">
        <f>'OM Split'!$C$13</f>
        <v>5.3746768810269592E-6</v>
      </c>
      <c r="L4" s="11">
        <f>'OM Split'!$C$13</f>
        <v>5.3746768810269592E-6</v>
      </c>
      <c r="M4" s="11">
        <f>'OM Split'!$C$13</f>
        <v>5.3746768810269592E-6</v>
      </c>
      <c r="N4" s="11">
        <f>'OM Split'!$C$13</f>
        <v>5.3746768810269592E-6</v>
      </c>
      <c r="O4" s="11">
        <f>'OM Split'!$C$13</f>
        <v>5.3746768810269592E-6</v>
      </c>
      <c r="P4" s="11">
        <f>'OM Split'!$C$13</f>
        <v>5.3746768810269592E-6</v>
      </c>
      <c r="Q4" s="11">
        <f>'OM Split'!$C$13</f>
        <v>5.3746768810269592E-6</v>
      </c>
      <c r="R4" s="11">
        <f>'OM Split'!$C$13</f>
        <v>5.3746768810269592E-6</v>
      </c>
      <c r="S4" s="11">
        <f>'OM Split'!$C$13</f>
        <v>5.3746768810269592E-6</v>
      </c>
      <c r="T4" s="11">
        <f>'OM Split'!$C$13</f>
        <v>5.3746768810269592E-6</v>
      </c>
      <c r="U4" s="11">
        <f>'OM Split'!$C$13</f>
        <v>5.3746768810269592E-6</v>
      </c>
      <c r="V4" s="11">
        <f>'OM Split'!$C$13</f>
        <v>5.3746768810269592E-6</v>
      </c>
      <c r="W4" s="11">
        <f>'OM Split'!$C$13</f>
        <v>5.3746768810269592E-6</v>
      </c>
      <c r="X4" s="11">
        <f>'OM Split'!$C$13</f>
        <v>5.3746768810269592E-6</v>
      </c>
      <c r="Y4" s="11">
        <f>'OM Split'!$C$13</f>
        <v>5.3746768810269592E-6</v>
      </c>
      <c r="Z4" s="11">
        <f>'OM Split'!$C$13</f>
        <v>5.3746768810269592E-6</v>
      </c>
      <c r="AA4" s="11">
        <f>'OM Split'!$C$13</f>
        <v>5.3746768810269592E-6</v>
      </c>
      <c r="AB4" s="11">
        <f>'OM Split'!$C$13</f>
        <v>5.3746768810269592E-6</v>
      </c>
      <c r="AC4" s="11">
        <f>'OM Split'!$C$13</f>
        <v>5.3746768810269592E-6</v>
      </c>
      <c r="AD4" s="11">
        <f>'OM Split'!$C$13</f>
        <v>5.3746768810269592E-6</v>
      </c>
      <c r="AE4" s="11">
        <f>'OM Split'!$C$13</f>
        <v>5.3746768810269592E-6</v>
      </c>
      <c r="AF4" s="11">
        <f>'OM Split'!$C$13</f>
        <v>5.3746768810269592E-6</v>
      </c>
      <c r="AG4" s="11">
        <f>'OM Split'!$C$13</f>
        <v>5.3746768810269592E-6</v>
      </c>
      <c r="AH4" s="11">
        <f>'OM Split'!$C$13</f>
        <v>5.3746768810269592E-6</v>
      </c>
      <c r="AI4" s="11">
        <f>'OM Split'!$C$13</f>
        <v>5.3746768810269592E-6</v>
      </c>
    </row>
    <row r="5" spans="1:35" x14ac:dyDescent="0.25">
      <c r="A5" t="s">
        <v>25</v>
      </c>
      <c r="B5" s="11">
        <f>B4</f>
        <v>5.3746768810269592E-6</v>
      </c>
      <c r="C5" s="11">
        <f>C4</f>
        <v>5.3746768810269592E-6</v>
      </c>
      <c r="D5" s="11">
        <f>D4</f>
        <v>5.3746768810269592E-6</v>
      </c>
      <c r="E5" s="11">
        <f>E4</f>
        <v>5.3746768810269592E-6</v>
      </c>
      <c r="F5" s="11">
        <f>F4</f>
        <v>5.3746768810269592E-6</v>
      </c>
      <c r="G5" s="11">
        <f>G4</f>
        <v>5.3746768810269592E-6</v>
      </c>
      <c r="H5" s="11">
        <f>H4</f>
        <v>5.3746768810269592E-6</v>
      </c>
      <c r="I5" s="11">
        <f>I4</f>
        <v>5.3746768810269592E-6</v>
      </c>
      <c r="J5" s="11">
        <f>J4</f>
        <v>5.3746768810269592E-6</v>
      </c>
      <c r="K5" s="11">
        <f>K4</f>
        <v>5.3746768810269592E-6</v>
      </c>
      <c r="L5" s="11">
        <f>L4</f>
        <v>5.3746768810269592E-6</v>
      </c>
      <c r="M5" s="11">
        <f>M4</f>
        <v>5.3746768810269592E-6</v>
      </c>
      <c r="N5" s="11">
        <f>N4</f>
        <v>5.3746768810269592E-6</v>
      </c>
      <c r="O5" s="11">
        <f>O4</f>
        <v>5.3746768810269592E-6</v>
      </c>
      <c r="P5" s="11">
        <f>P4</f>
        <v>5.3746768810269592E-6</v>
      </c>
      <c r="Q5" s="11">
        <f>Q4</f>
        <v>5.3746768810269592E-6</v>
      </c>
      <c r="R5" s="11">
        <f>R4</f>
        <v>5.3746768810269592E-6</v>
      </c>
      <c r="S5" s="11">
        <f>S4</f>
        <v>5.3746768810269592E-6</v>
      </c>
      <c r="T5" s="11">
        <f>T4</f>
        <v>5.3746768810269592E-6</v>
      </c>
      <c r="U5" s="11">
        <f>U4</f>
        <v>5.3746768810269592E-6</v>
      </c>
      <c r="V5" s="11">
        <f>V4</f>
        <v>5.3746768810269592E-6</v>
      </c>
      <c r="W5" s="11">
        <f>W4</f>
        <v>5.3746768810269592E-6</v>
      </c>
      <c r="X5" s="11">
        <f>X4</f>
        <v>5.3746768810269592E-6</v>
      </c>
      <c r="Y5" s="11">
        <f>Y4</f>
        <v>5.3746768810269592E-6</v>
      </c>
      <c r="Z5" s="11">
        <f>Z4</f>
        <v>5.3746768810269592E-6</v>
      </c>
      <c r="AA5" s="11">
        <f>AA4</f>
        <v>5.3746768810269592E-6</v>
      </c>
      <c r="AB5" s="11">
        <f>AB4</f>
        <v>5.3746768810269592E-6</v>
      </c>
      <c r="AC5" s="11">
        <f>AC4</f>
        <v>5.3746768810269592E-6</v>
      </c>
      <c r="AD5" s="11">
        <f>AD4</f>
        <v>5.3746768810269592E-6</v>
      </c>
      <c r="AE5" s="11">
        <f>AE4</f>
        <v>5.3746768810269592E-6</v>
      </c>
      <c r="AF5" s="11">
        <f>AF4</f>
        <v>5.3746768810269592E-6</v>
      </c>
      <c r="AG5" s="11">
        <f>AG4</f>
        <v>5.3746768810269592E-6</v>
      </c>
      <c r="AH5" s="11">
        <f>AH4</f>
        <v>5.3746768810269592E-6</v>
      </c>
      <c r="AI5" s="11">
        <f>AI4</f>
        <v>5.3746768810269592E-6</v>
      </c>
    </row>
    <row r="6" spans="1:35" x14ac:dyDescent="0.25">
      <c r="A6" t="s">
        <v>65</v>
      </c>
      <c r="B6" s="11">
        <f>B3*0.85</f>
        <v>5.9001920019381897E-7</v>
      </c>
      <c r="C6" s="11">
        <f>C3*0.85</f>
        <v>5.9001920019381897E-7</v>
      </c>
      <c r="D6" s="11">
        <f>D3*0.85</f>
        <v>5.9001920019381897E-7</v>
      </c>
      <c r="E6" s="11">
        <f>E3*0.85</f>
        <v>5.9001920019381897E-7</v>
      </c>
      <c r="F6" s="11">
        <f>F3*0.85</f>
        <v>5.9001920019381897E-7</v>
      </c>
      <c r="G6" s="11">
        <f>G3*0.85</f>
        <v>5.9001920019381897E-7</v>
      </c>
      <c r="H6" s="11">
        <f>H3*0.85</f>
        <v>5.9001920019381897E-7</v>
      </c>
      <c r="I6" s="11">
        <f>I3*0.85</f>
        <v>5.9001920019381897E-7</v>
      </c>
      <c r="J6" s="11">
        <f>J3*0.85</f>
        <v>5.9001920019381897E-7</v>
      </c>
      <c r="K6" s="11">
        <f>K3*0.85</f>
        <v>5.9001920019381897E-7</v>
      </c>
      <c r="L6" s="11">
        <f>L3*0.85</f>
        <v>5.9001920019381897E-7</v>
      </c>
      <c r="M6" s="11">
        <f>M3*0.85</f>
        <v>5.9001920019381897E-7</v>
      </c>
      <c r="N6" s="11">
        <f>N3*0.85</f>
        <v>5.9001920019381897E-7</v>
      </c>
      <c r="O6" s="11">
        <f>O3*0.85</f>
        <v>5.9001920019381897E-7</v>
      </c>
      <c r="P6" s="11">
        <f>P3*0.85</f>
        <v>5.9001920019381897E-7</v>
      </c>
      <c r="Q6" s="11">
        <f>Q3*0.85</f>
        <v>5.9001920019381897E-7</v>
      </c>
      <c r="R6" s="11">
        <f>R3*0.85</f>
        <v>5.9001920019381897E-7</v>
      </c>
      <c r="S6" s="11">
        <f>S3*0.85</f>
        <v>5.9001920019381897E-7</v>
      </c>
      <c r="T6" s="11">
        <f>T3*0.85</f>
        <v>5.9001920019381897E-7</v>
      </c>
      <c r="U6" s="11">
        <f>U3*0.85</f>
        <v>5.9001920019381897E-7</v>
      </c>
      <c r="V6" s="11">
        <f>V3*0.85</f>
        <v>5.9001920019381897E-7</v>
      </c>
      <c r="W6" s="11">
        <f>W3*0.85</f>
        <v>5.9001920019381897E-7</v>
      </c>
      <c r="X6" s="11">
        <f>X3*0.85</f>
        <v>5.9001920019381897E-7</v>
      </c>
      <c r="Y6" s="11">
        <f>Y3*0.85</f>
        <v>5.9001920019381897E-7</v>
      </c>
      <c r="Z6" s="11">
        <f>Z3*0.85</f>
        <v>5.9001920019381897E-7</v>
      </c>
      <c r="AA6" s="11">
        <f>AA3*0.85</f>
        <v>5.9001920019381897E-7</v>
      </c>
      <c r="AB6" s="11">
        <f>AB3*0.85</f>
        <v>5.9001920019381897E-7</v>
      </c>
      <c r="AC6" s="11">
        <f>AC3*0.85</f>
        <v>5.9001920019381897E-7</v>
      </c>
      <c r="AD6" s="11">
        <f>AD3*0.85</f>
        <v>5.9001920019381897E-7</v>
      </c>
      <c r="AE6" s="11">
        <f>AE3*0.85</f>
        <v>5.9001920019381897E-7</v>
      </c>
      <c r="AF6" s="11">
        <f>AF3*0.85</f>
        <v>5.9001920019381897E-7</v>
      </c>
      <c r="AG6" s="11">
        <f>AG3*0.85</f>
        <v>5.9001920019381897E-7</v>
      </c>
      <c r="AH6" s="11">
        <f>AH3*0.85</f>
        <v>5.9001920019381897E-7</v>
      </c>
      <c r="AI6" s="11">
        <f>AI3*0.85</f>
        <v>5.9001920019381897E-7</v>
      </c>
    </row>
    <row r="7" spans="1:35" x14ac:dyDescent="0.25">
      <c r="A7" t="s">
        <v>63</v>
      </c>
      <c r="B7" s="11">
        <f>HPEC!B7*('OM Split'!$C$20+'OM Split'!$C$21)</f>
        <v>6.3550334415641373E-6</v>
      </c>
      <c r="C7" s="11">
        <f>HPEC!C7*('OM Split'!$C$20+'OM Split'!$C$21)</f>
        <v>6.1681206932828326E-6</v>
      </c>
      <c r="D7" s="11">
        <f>HPEC!D7*('OM Split'!$C$20+'OM Split'!$C$21)</f>
        <v>5.981207945001528E-6</v>
      </c>
      <c r="E7" s="11">
        <f>HPEC!E7*('OM Split'!$C$20+'OM Split'!$C$21)</f>
        <v>5.7942951967202225E-6</v>
      </c>
      <c r="F7" s="11">
        <f>HPEC!F7*('OM Split'!$C$20+'OM Split'!$C$21)</f>
        <v>5.6073824484389178E-6</v>
      </c>
      <c r="G7" s="11">
        <f>HPEC!G7*('OM Split'!$C$20+'OM Split'!$C$21)</f>
        <v>5.4204697001576132E-6</v>
      </c>
      <c r="H7" s="11">
        <f>HPEC!H7*('OM Split'!$C$20+'OM Split'!$C$21)</f>
        <v>5.2335569518763652E-6</v>
      </c>
      <c r="I7" s="11">
        <f>HPEC!I7*('OM Split'!$C$20+'OM Split'!$C$21)</f>
        <v>5.0466442035950606E-6</v>
      </c>
      <c r="J7" s="11">
        <f>HPEC!J7*('OM Split'!$C$20+'OM Split'!$C$21)</f>
        <v>4.8597314553137551E-6</v>
      </c>
      <c r="K7" s="11">
        <f>HPEC!K7*('OM Split'!$C$20+'OM Split'!$C$21)</f>
        <v>4.6728187070324504E-6</v>
      </c>
      <c r="L7" s="11">
        <f>HPEC!L7*('OM Split'!$C$20+'OM Split'!$C$21)</f>
        <v>4.4859059587511458E-6</v>
      </c>
      <c r="M7" s="11">
        <f>HPEC!M7*('OM Split'!$C$20+'OM Split'!$C$21)</f>
        <v>4.2989932104698411E-6</v>
      </c>
      <c r="N7" s="11">
        <f>HPEC!N7*('OM Split'!$C$20+'OM Split'!$C$21)</f>
        <v>4.1120804621885356E-6</v>
      </c>
      <c r="O7" s="11">
        <f>HPEC!O7*('OM Split'!$C$20+'OM Split'!$C$21)</f>
        <v>3.9251677139072885E-6</v>
      </c>
      <c r="P7" s="11">
        <f>HPEC!P7*('OM Split'!$C$20+'OM Split'!$C$21)</f>
        <v>3.8550754333017774E-6</v>
      </c>
      <c r="Q7" s="11">
        <f>HPEC!Q7*('OM Split'!$C$20+'OM Split'!$C$21)</f>
        <v>3.7849831526962666E-6</v>
      </c>
      <c r="R7" s="11">
        <f>HPEC!R7*('OM Split'!$C$20+'OM Split'!$C$21)</f>
        <v>3.7148908720907843E-6</v>
      </c>
      <c r="S7" s="11">
        <f>HPEC!S7*('OM Split'!$C$20+'OM Split'!$C$21)</f>
        <v>3.6447985914853023E-6</v>
      </c>
      <c r="T7" s="11">
        <f>HPEC!T7*('OM Split'!$C$20+'OM Split'!$C$21)</f>
        <v>3.57470631087982E-6</v>
      </c>
      <c r="U7" s="11">
        <f>HPEC!U7*('OM Split'!$C$20+'OM Split'!$C$21)</f>
        <v>3.504614030274338E-6</v>
      </c>
      <c r="V7" s="11">
        <f>HPEC!V7*('OM Split'!$C$20+'OM Split'!$C$21)</f>
        <v>3.4345217496688557E-6</v>
      </c>
      <c r="W7" s="11">
        <f>HPEC!W7*('OM Split'!$C$20+'OM Split'!$C$21)</f>
        <v>3.3644294690633449E-6</v>
      </c>
      <c r="X7" s="11">
        <f>HPEC!X7*('OM Split'!$C$20+'OM Split'!$C$21)</f>
        <v>3.294337188457863E-6</v>
      </c>
      <c r="Y7" s="11">
        <f>HPEC!Y7*('OM Split'!$C$20+'OM Split'!$C$21)</f>
        <v>3.2242449078523806E-6</v>
      </c>
      <c r="Z7" s="11">
        <f>HPEC!Z7*('OM Split'!$C$20+'OM Split'!$C$21)</f>
        <v>3.1541526272468983E-6</v>
      </c>
      <c r="AA7" s="11">
        <f>HPEC!AA7*('OM Split'!$C$20+'OM Split'!$C$21)</f>
        <v>3.0840603466414163E-6</v>
      </c>
      <c r="AB7" s="11">
        <f>HPEC!AB7*('OM Split'!$C$20+'OM Split'!$C$21)</f>
        <v>3.013968066035934E-6</v>
      </c>
      <c r="AC7" s="11">
        <f>HPEC!AC7*('OM Split'!$C$20+'OM Split'!$C$21)</f>
        <v>2.943875785430452E-6</v>
      </c>
      <c r="AD7" s="11">
        <f>HPEC!AD7*('OM Split'!$C$20+'OM Split'!$C$21)</f>
        <v>2.8737835048249413E-6</v>
      </c>
      <c r="AE7" s="11">
        <f>HPEC!AE7*('OM Split'!$C$20+'OM Split'!$C$21)</f>
        <v>2.8036912242194589E-6</v>
      </c>
      <c r="AF7" s="11">
        <f>HPEC!AF7*('OM Split'!$C$20+'OM Split'!$C$21)</f>
        <v>2.7335989436139765E-6</v>
      </c>
      <c r="AG7" s="11">
        <f>HPEC!AG7*('OM Split'!$C$20+'OM Split'!$C$21)</f>
        <v>2.6635066630084946E-6</v>
      </c>
      <c r="AH7" s="11">
        <f>HPEC!AH7*('OM Split'!$C$20+'OM Split'!$C$21)</f>
        <v>2.5934143824030122E-6</v>
      </c>
      <c r="AI7" s="11">
        <f>HPEC!AI7*('OM Split'!$C$20+'OM Split'!$C$21)</f>
        <v>2.5233221017975303E-6</v>
      </c>
    </row>
    <row r="8" spans="1:35" x14ac:dyDescent="0.25">
      <c r="A8" t="s">
        <v>64</v>
      </c>
      <c r="B8" s="11">
        <f>B3</f>
        <v>6.9414023552214001E-7</v>
      </c>
      <c r="C8" s="11">
        <f>C3</f>
        <v>6.9414023552214001E-7</v>
      </c>
      <c r="D8" s="11">
        <f>D3</f>
        <v>6.9414023552214001E-7</v>
      </c>
      <c r="E8" s="11">
        <f>E3</f>
        <v>6.9414023552214001E-7</v>
      </c>
      <c r="F8" s="11">
        <f>F3</f>
        <v>6.9414023552214001E-7</v>
      </c>
      <c r="G8" s="11">
        <f>G3</f>
        <v>6.9414023552214001E-7</v>
      </c>
      <c r="H8" s="11">
        <f>H3</f>
        <v>6.9414023552214001E-7</v>
      </c>
      <c r="I8" s="11">
        <f>I3</f>
        <v>6.9414023552214001E-7</v>
      </c>
      <c r="J8" s="11">
        <f>J3</f>
        <v>6.9414023552214001E-7</v>
      </c>
      <c r="K8" s="11">
        <f>K3</f>
        <v>6.9414023552214001E-7</v>
      </c>
      <c r="L8" s="11">
        <f>L3</f>
        <v>6.9414023552214001E-7</v>
      </c>
      <c r="M8" s="11">
        <f>M3</f>
        <v>6.9414023552214001E-7</v>
      </c>
      <c r="N8" s="11">
        <f>N3</f>
        <v>6.9414023552214001E-7</v>
      </c>
      <c r="O8" s="11">
        <f>O3</f>
        <v>6.9414023552214001E-7</v>
      </c>
      <c r="P8" s="11">
        <f>P3</f>
        <v>6.9414023552214001E-7</v>
      </c>
      <c r="Q8" s="11">
        <f>Q3</f>
        <v>6.9414023552214001E-7</v>
      </c>
      <c r="R8" s="11">
        <f>R3</f>
        <v>6.9414023552214001E-7</v>
      </c>
      <c r="S8" s="11">
        <f>S3</f>
        <v>6.9414023552214001E-7</v>
      </c>
      <c r="T8" s="11">
        <f>T3</f>
        <v>6.9414023552214001E-7</v>
      </c>
      <c r="U8" s="11">
        <f>U3</f>
        <v>6.9414023552214001E-7</v>
      </c>
      <c r="V8" s="11">
        <f>V3</f>
        <v>6.9414023552214001E-7</v>
      </c>
      <c r="W8" s="11">
        <f>W3</f>
        <v>6.9414023552214001E-7</v>
      </c>
      <c r="X8" s="11">
        <f>X3</f>
        <v>6.9414023552214001E-7</v>
      </c>
      <c r="Y8" s="11">
        <f>Y3</f>
        <v>6.9414023552214001E-7</v>
      </c>
      <c r="Z8" s="11">
        <f>Z3</f>
        <v>6.9414023552214001E-7</v>
      </c>
      <c r="AA8" s="11">
        <f>AA3</f>
        <v>6.9414023552214001E-7</v>
      </c>
      <c r="AB8" s="11">
        <f>AB3</f>
        <v>6.9414023552214001E-7</v>
      </c>
      <c r="AC8" s="11">
        <f>AC3</f>
        <v>6.9414023552214001E-7</v>
      </c>
      <c r="AD8" s="11">
        <f>AD3</f>
        <v>6.9414023552214001E-7</v>
      </c>
      <c r="AE8" s="11">
        <f>AE3</f>
        <v>6.9414023552214001E-7</v>
      </c>
      <c r="AF8" s="11">
        <f>AF3</f>
        <v>6.9414023552214001E-7</v>
      </c>
      <c r="AG8" s="11">
        <f>AG3</f>
        <v>6.9414023552214001E-7</v>
      </c>
      <c r="AH8" s="11">
        <f>AH3</f>
        <v>6.9414023552214001E-7</v>
      </c>
      <c r="AI8" s="11">
        <f>AI3</f>
        <v>6.9414023552214001E-7</v>
      </c>
    </row>
    <row r="10" spans="1:35" x14ac:dyDescent="0.25">
      <c r="B10" s="11"/>
    </row>
    <row r="11" spans="1:35" x14ac:dyDescent="0.25">
      <c r="B11" s="11"/>
    </row>
    <row r="12" spans="1:35" x14ac:dyDescent="0.25">
      <c r="B12" s="11"/>
    </row>
    <row r="13" spans="1:35" x14ac:dyDescent="0.25">
      <c r="B13" s="11"/>
    </row>
    <row r="14" spans="1:35" x14ac:dyDescent="0.25">
      <c r="B14" s="11"/>
    </row>
    <row r="15" spans="1:35" x14ac:dyDescent="0.25">
      <c r="B15" s="11"/>
    </row>
    <row r="16" spans="1:35" x14ac:dyDescent="0.25">
      <c r="B16" s="11"/>
    </row>
    <row r="17" spans="2:2" x14ac:dyDescent="0.25">
      <c r="B17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37F8-2B00-417E-A96B-7379FC337CBB}">
  <dimension ref="A1:B8"/>
  <sheetViews>
    <sheetView tabSelected="1" workbookViewId="0"/>
  </sheetViews>
  <sheetFormatPr defaultRowHeight="15" x14ac:dyDescent="0.25"/>
  <sheetData>
    <row r="1" spans="1:2" x14ac:dyDescent="0.25">
      <c r="A1" t="s">
        <v>249</v>
      </c>
      <c r="B1" t="s">
        <v>250</v>
      </c>
    </row>
    <row r="2" spans="1:2" x14ac:dyDescent="0.25">
      <c r="A2" t="s">
        <v>7</v>
      </c>
      <c r="B2">
        <f>'OM Split'!$B$22</f>
        <v>0.27466592288209951</v>
      </c>
    </row>
    <row r="3" spans="1:2" x14ac:dyDescent="0.25">
      <c r="A3" t="s">
        <v>16</v>
      </c>
      <c r="B3">
        <f>'OM Split'!$B$14</f>
        <v>0.40951004310489969</v>
      </c>
    </row>
    <row r="4" spans="1:2" x14ac:dyDescent="0.25">
      <c r="A4" t="s">
        <v>19</v>
      </c>
      <c r="B4">
        <f>'OM Split'!$C$14</f>
        <v>0.46469109050688168</v>
      </c>
    </row>
    <row r="5" spans="1:2" x14ac:dyDescent="0.25">
      <c r="A5" t="s">
        <v>25</v>
      </c>
      <c r="B5">
        <f>'OM Split'!$C$14</f>
        <v>0.46469109050688168</v>
      </c>
    </row>
    <row r="6" spans="1:2" x14ac:dyDescent="0.25">
      <c r="A6" t="s">
        <v>65</v>
      </c>
      <c r="B6">
        <f>'OM Split'!$B$14</f>
        <v>0.40951004310489969</v>
      </c>
    </row>
    <row r="7" spans="1:2" x14ac:dyDescent="0.25">
      <c r="A7" t="s">
        <v>63</v>
      </c>
      <c r="B7">
        <f>'OM Split'!$C$22</f>
        <v>0.24134669728220506</v>
      </c>
    </row>
    <row r="8" spans="1:2" x14ac:dyDescent="0.25">
      <c r="A8" t="s">
        <v>64</v>
      </c>
      <c r="B8">
        <f>'OM Split'!$B$14</f>
        <v>0.40951004310489969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About</vt:lpstr>
      <vt:lpstr>IEA Data</vt:lpstr>
      <vt:lpstr>Reformer data</vt:lpstr>
      <vt:lpstr>DoE Data</vt:lpstr>
      <vt:lpstr>OM Split</vt:lpstr>
      <vt:lpstr>Conversion Factors</vt:lpstr>
      <vt:lpstr>HPEC</vt:lpstr>
      <vt:lpstr>HPEO</vt:lpstr>
      <vt:lpstr>HPVOS</vt:lpstr>
      <vt:lpstr>btu_per_kwh</vt:lpstr>
      <vt:lpstr>hours_per_year</vt:lpstr>
      <vt:lpstr>usd_year_conv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2019-07-22T22:27:44Z</dcterms:created>
  <dcterms:modified xsi:type="dcterms:W3CDTF">2026-10-23T17:55:54Z</dcterms:modified>
</cp:coreProperties>
</file>