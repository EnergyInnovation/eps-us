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hydgn\HPEC\"/>
    </mc:Choice>
  </mc:AlternateContent>
  <xr:revisionPtr revIDLastSave="0" documentId="13_ncr:1_{367FBC82-7E96-48E1-B217-997B48B264DB}" xr6:coauthVersionLast="47" xr6:coauthVersionMax="47" xr10:uidLastSave="{00000000-0000-0000-0000-000000000000}"/>
  <bookViews>
    <workbookView xWindow="2880" yWindow="2505" windowWidth="21600" windowHeight="14655" tabRatio="658" activeTab="3" xr2:uid="{00000000-000D-0000-FFFF-FFFF00000000}"/>
  </bookViews>
  <sheets>
    <sheet name="About" sheetId="1" r:id="rId1"/>
    <sheet name="IEA Data" sheetId="2" r:id="rId2"/>
    <sheet name="Reformer data" sheetId="7" r:id="rId3"/>
    <sheet name="DoE Data" sheetId="6" r:id="rId4"/>
    <sheet name="Conversion Factors" sheetId="4" r:id="rId5"/>
    <sheet name="HPEC" sheetId="3" r:id="rId6"/>
    <sheet name="HPEO" sheetId="5" r:id="rId7"/>
    <sheet name="LHPEC" sheetId="8" r:id="rId8"/>
    <sheet name="LHPEO" sheetId="9" r:id="rId9"/>
  </sheets>
  <definedNames>
    <definedName name="btu_per_kwh">'Conversion Factors'!$A$3</definedName>
    <definedName name="hours_per_year">'Conversion Factors'!$A$1</definedName>
    <definedName name="usd_year_conv">'Conversion Factors'!$A$5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3" i="6" l="1"/>
  <c r="I82" i="6"/>
  <c r="I80" i="6"/>
  <c r="K78" i="6"/>
  <c r="L78" i="6" s="1"/>
  <c r="M78" i="6" s="1"/>
  <c r="N78" i="6" s="1"/>
  <c r="O78" i="6" s="1"/>
  <c r="P78" i="6" s="1"/>
  <c r="Q78" i="6" s="1"/>
  <c r="R78" i="6" s="1"/>
  <c r="J78" i="6"/>
  <c r="H68" i="6"/>
  <c r="B74" i="6"/>
  <c r="D26" i="6"/>
  <c r="C26" i="6"/>
  <c r="B26" i="6"/>
  <c r="B29" i="6"/>
  <c r="D29" i="6"/>
  <c r="C29" i="6"/>
  <c r="AD2" i="5"/>
  <c r="B28" i="6"/>
  <c r="B68" i="6"/>
  <c r="G67" i="6"/>
  <c r="B63" i="6"/>
  <c r="A48" i="6"/>
  <c r="B57" i="6"/>
  <c r="B25" i="6"/>
  <c r="B24" i="6"/>
  <c r="B23" i="6"/>
  <c r="F10" i="7"/>
  <c r="AI4" i="9"/>
  <c r="AH4" i="9"/>
  <c r="AG4" i="9"/>
  <c r="AF4" i="9"/>
  <c r="AE4" i="9"/>
  <c r="AD4" i="9"/>
  <c r="AC4" i="9"/>
  <c r="AC5" i="9" s="1"/>
  <c r="AB4" i="9"/>
  <c r="AB5" i="9" s="1"/>
  <c r="AA4" i="9"/>
  <c r="Z4" i="9"/>
  <c r="Y4" i="9"/>
  <c r="X4" i="9"/>
  <c r="W4" i="9"/>
  <c r="V4" i="9"/>
  <c r="U4" i="9"/>
  <c r="T4" i="9"/>
  <c r="S4" i="9"/>
  <c r="R4" i="9"/>
  <c r="Q4" i="9"/>
  <c r="Q5" i="9" s="1"/>
  <c r="P4" i="9"/>
  <c r="P5" i="9" s="1"/>
  <c r="O4" i="9"/>
  <c r="O5" i="9" s="1"/>
  <c r="N4" i="9"/>
  <c r="N5" i="9" s="1"/>
  <c r="M4" i="9"/>
  <c r="L4" i="9"/>
  <c r="L5" i="9" s="1"/>
  <c r="K4" i="9"/>
  <c r="J4" i="9"/>
  <c r="I4" i="9"/>
  <c r="H4" i="9"/>
  <c r="G4" i="9"/>
  <c r="F4" i="9"/>
  <c r="E4" i="9"/>
  <c r="D4" i="9"/>
  <c r="C4" i="9"/>
  <c r="B4" i="9"/>
  <c r="AA5" i="9"/>
  <c r="Z5" i="9"/>
  <c r="Y5" i="9"/>
  <c r="X5" i="9"/>
  <c r="W5" i="9"/>
  <c r="V5" i="9"/>
  <c r="U5" i="9"/>
  <c r="T5" i="9"/>
  <c r="S5" i="9"/>
  <c r="R5" i="9"/>
  <c r="B36" i="7"/>
  <c r="B8" i="5"/>
  <c r="AI2" i="5"/>
  <c r="AH2" i="5"/>
  <c r="AG2" i="5"/>
  <c r="AF2" i="5"/>
  <c r="AE2" i="5"/>
  <c r="AC2" i="5"/>
  <c r="Z2" i="5"/>
  <c r="X2" i="5"/>
  <c r="W2" i="5"/>
  <c r="V2" i="5"/>
  <c r="U2" i="5"/>
  <c r="T2" i="5"/>
  <c r="S2" i="5"/>
  <c r="R2" i="5"/>
  <c r="Q2" i="5"/>
  <c r="P2" i="5"/>
  <c r="M2" i="5"/>
  <c r="D24" i="6"/>
  <c r="C24" i="6"/>
  <c r="D27" i="6"/>
  <c r="D28" i="6" s="1"/>
  <c r="B27" i="6"/>
  <c r="B58" i="6"/>
  <c r="C27" i="6"/>
  <c r="C28" i="6" s="1"/>
  <c r="B6" i="3"/>
  <c r="B4" i="3"/>
  <c r="R2" i="9"/>
  <c r="D79" i="6"/>
  <c r="D80" i="6" s="1"/>
  <c r="C79" i="6"/>
  <c r="C80" i="6" s="1"/>
  <c r="Q2" i="9" s="1"/>
  <c r="B79" i="6"/>
  <c r="B80" i="6" s="1"/>
  <c r="O2" i="9" s="1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G41" i="7"/>
  <c r="G40" i="7"/>
  <c r="D5" i="7"/>
  <c r="Q3" i="8"/>
  <c r="Q8" i="8" s="1"/>
  <c r="O3" i="8"/>
  <c r="O8" i="8" s="1"/>
  <c r="N3" i="8"/>
  <c r="N8" i="8" s="1"/>
  <c r="AB3" i="9"/>
  <c r="AB8" i="9" s="1"/>
  <c r="Z3" i="9"/>
  <c r="Z8" i="9" s="1"/>
  <c r="F12" i="7"/>
  <c r="F11" i="7"/>
  <c r="B35" i="7" s="1"/>
  <c r="G12" i="7"/>
  <c r="G11" i="7"/>
  <c r="G10" i="7"/>
  <c r="AI3" i="8" s="1"/>
  <c r="AI8" i="8" s="1"/>
  <c r="Y3" i="9"/>
  <c r="Y8" i="9" s="1"/>
  <c r="AI5" i="9"/>
  <c r="AH5" i="9"/>
  <c r="AG5" i="9"/>
  <c r="AF5" i="9"/>
  <c r="AE5" i="9"/>
  <c r="AD5" i="9"/>
  <c r="M5" i="9"/>
  <c r="K5" i="9"/>
  <c r="J5" i="9"/>
  <c r="I5" i="9"/>
  <c r="H5" i="9"/>
  <c r="G5" i="9"/>
  <c r="F5" i="9"/>
  <c r="E5" i="9"/>
  <c r="D5" i="9"/>
  <c r="C5" i="9"/>
  <c r="B5" i="9"/>
  <c r="AI5" i="8"/>
  <c r="AH5" i="8"/>
  <c r="AG5" i="8"/>
  <c r="AF5" i="8"/>
  <c r="AE5" i="8"/>
  <c r="AD5" i="8"/>
  <c r="AC5" i="8"/>
  <c r="AB5" i="8"/>
  <c r="Q5" i="8"/>
  <c r="P5" i="8"/>
  <c r="O5" i="8"/>
  <c r="N5" i="8"/>
  <c r="M5" i="8"/>
  <c r="L5" i="8"/>
  <c r="K5" i="8"/>
  <c r="J5" i="8"/>
  <c r="I5" i="8"/>
  <c r="H5" i="8"/>
  <c r="G5" i="8"/>
  <c r="F5" i="8"/>
  <c r="AA5" i="8"/>
  <c r="Z5" i="8"/>
  <c r="Y5" i="8"/>
  <c r="X5" i="8"/>
  <c r="W5" i="8"/>
  <c r="V5" i="8"/>
  <c r="U5" i="8"/>
  <c r="T5" i="8"/>
  <c r="S5" i="8"/>
  <c r="R5" i="8"/>
  <c r="E5" i="8"/>
  <c r="D5" i="8"/>
  <c r="C5" i="8"/>
  <c r="B5" i="8"/>
  <c r="B33" i="7"/>
  <c r="Y2" i="5" l="1"/>
  <c r="AA2" i="5"/>
  <c r="D2" i="5"/>
  <c r="AB2" i="5"/>
  <c r="I2" i="5"/>
  <c r="J2" i="5"/>
  <c r="B2" i="5"/>
  <c r="F2" i="5"/>
  <c r="G2" i="5"/>
  <c r="K2" i="5"/>
  <c r="H2" i="5"/>
  <c r="L2" i="5"/>
  <c r="O2" i="5"/>
  <c r="E2" i="5"/>
  <c r="N2" i="5"/>
  <c r="C2" i="5"/>
  <c r="I2" i="9"/>
  <c r="F2" i="9"/>
  <c r="T2" i="9"/>
  <c r="H2" i="9"/>
  <c r="E2" i="9"/>
  <c r="V2" i="9"/>
  <c r="D2" i="9"/>
  <c r="AC2" i="9"/>
  <c r="G2" i="9"/>
  <c r="U2" i="9"/>
  <c r="S2" i="9"/>
  <c r="W2" i="9"/>
  <c r="X2" i="9"/>
  <c r="Y2" i="9"/>
  <c r="Z2" i="9"/>
  <c r="AA2" i="9"/>
  <c r="AB2" i="9"/>
  <c r="AD2" i="9"/>
  <c r="AE2" i="9"/>
  <c r="B2" i="9"/>
  <c r="C2" i="9"/>
  <c r="AF2" i="9"/>
  <c r="K2" i="9"/>
  <c r="AG2" i="9"/>
  <c r="AH2" i="9"/>
  <c r="L2" i="9"/>
  <c r="M2" i="9"/>
  <c r="AI2" i="9"/>
  <c r="J2" i="9"/>
  <c r="N2" i="9"/>
  <c r="P2" i="9"/>
  <c r="F3" i="9"/>
  <c r="F8" i="9" s="1"/>
  <c r="I3" i="9"/>
  <c r="I8" i="9" s="1"/>
  <c r="M3" i="9"/>
  <c r="M8" i="9" s="1"/>
  <c r="AI3" i="9"/>
  <c r="AI8" i="9" s="1"/>
  <c r="W3" i="8"/>
  <c r="W8" i="8" s="1"/>
  <c r="O3" i="9"/>
  <c r="O8" i="9" s="1"/>
  <c r="AA3" i="9"/>
  <c r="AA8" i="9" s="1"/>
  <c r="G3" i="9"/>
  <c r="G8" i="9" s="1"/>
  <c r="T3" i="8"/>
  <c r="T8" i="8" s="1"/>
  <c r="AH3" i="9"/>
  <c r="AH8" i="9" s="1"/>
  <c r="E3" i="8"/>
  <c r="E8" i="8" s="1"/>
  <c r="AE3" i="9"/>
  <c r="AE8" i="9" s="1"/>
  <c r="L3" i="9"/>
  <c r="L8" i="9" s="1"/>
  <c r="Y3" i="8"/>
  <c r="Y8" i="8" s="1"/>
  <c r="AB3" i="8"/>
  <c r="AB8" i="8" s="1"/>
  <c r="S3" i="9"/>
  <c r="S8" i="9" s="1"/>
  <c r="G3" i="8"/>
  <c r="G8" i="8" s="1"/>
  <c r="AC3" i="8"/>
  <c r="AC8" i="8" s="1"/>
  <c r="H3" i="9"/>
  <c r="H8" i="9" s="1"/>
  <c r="S3" i="8"/>
  <c r="S8" i="8" s="1"/>
  <c r="AA3" i="8"/>
  <c r="AA8" i="8" s="1"/>
  <c r="T3" i="9"/>
  <c r="T8" i="9" s="1"/>
  <c r="H3" i="8"/>
  <c r="H8" i="8" s="1"/>
  <c r="AD3" i="8"/>
  <c r="AD8" i="8" s="1"/>
  <c r="D3" i="9"/>
  <c r="D8" i="9" s="1"/>
  <c r="R3" i="8"/>
  <c r="R8" i="8" s="1"/>
  <c r="AG3" i="9"/>
  <c r="AG8" i="9" s="1"/>
  <c r="P3" i="9"/>
  <c r="P8" i="9" s="1"/>
  <c r="R3" i="9"/>
  <c r="R8" i="9" s="1"/>
  <c r="U3" i="9"/>
  <c r="U8" i="9" s="1"/>
  <c r="I3" i="8"/>
  <c r="I8" i="8" s="1"/>
  <c r="AE3" i="8"/>
  <c r="AE8" i="8" s="1"/>
  <c r="E3" i="9"/>
  <c r="E8" i="9" s="1"/>
  <c r="AC3" i="9"/>
  <c r="AC8" i="9" s="1"/>
  <c r="J3" i="9"/>
  <c r="J8" i="9" s="1"/>
  <c r="K3" i="9"/>
  <c r="K8" i="9" s="1"/>
  <c r="U3" i="8"/>
  <c r="U8" i="8" s="1"/>
  <c r="N3" i="9"/>
  <c r="N8" i="9" s="1"/>
  <c r="X3" i="8"/>
  <c r="X8" i="8" s="1"/>
  <c r="C3" i="8"/>
  <c r="C8" i="8" s="1"/>
  <c r="F3" i="8"/>
  <c r="F8" i="8" s="1"/>
  <c r="V3" i="9"/>
  <c r="V8" i="9" s="1"/>
  <c r="J3" i="8"/>
  <c r="J8" i="8" s="1"/>
  <c r="AF3" i="8"/>
  <c r="AF8" i="8" s="1"/>
  <c r="AD3" i="9"/>
  <c r="AD8" i="9" s="1"/>
  <c r="AF3" i="9"/>
  <c r="AF8" i="9" s="1"/>
  <c r="V3" i="8"/>
  <c r="V8" i="8" s="1"/>
  <c r="B3" i="8"/>
  <c r="W3" i="9"/>
  <c r="W8" i="9" s="1"/>
  <c r="K3" i="8"/>
  <c r="K8" i="8" s="1"/>
  <c r="AG3" i="8"/>
  <c r="AG8" i="8" s="1"/>
  <c r="Z3" i="8"/>
  <c r="Z8" i="8" s="1"/>
  <c r="B3" i="9"/>
  <c r="X3" i="9"/>
  <c r="X8" i="9" s="1"/>
  <c r="L3" i="8"/>
  <c r="L8" i="8" s="1"/>
  <c r="AH3" i="8"/>
  <c r="AH8" i="8" s="1"/>
  <c r="P3" i="8"/>
  <c r="P8" i="8" s="1"/>
  <c r="D3" i="8"/>
  <c r="D8" i="8" s="1"/>
  <c r="Q3" i="9"/>
  <c r="Q8" i="9" s="1"/>
  <c r="C3" i="9"/>
  <c r="C8" i="9" s="1"/>
  <c r="M3" i="8"/>
  <c r="M8" i="8" s="1"/>
  <c r="H8" i="2"/>
  <c r="D73" i="6"/>
  <c r="D74" i="6" s="1"/>
  <c r="C73" i="6"/>
  <c r="C74" i="6" s="1"/>
  <c r="B73" i="6"/>
  <c r="B62" i="6"/>
  <c r="U54" i="6"/>
  <c r="V54" i="6"/>
  <c r="W54" i="6"/>
  <c r="X54" i="6"/>
  <c r="Y54" i="6"/>
  <c r="Z54" i="6"/>
  <c r="AA54" i="6"/>
  <c r="AB54" i="6"/>
  <c r="AC54" i="6"/>
  <c r="AD54" i="6"/>
  <c r="AE54" i="6"/>
  <c r="U64" i="6"/>
  <c r="V64" i="6"/>
  <c r="W64" i="6"/>
  <c r="X64" i="6"/>
  <c r="Y64" i="6"/>
  <c r="Z64" i="6"/>
  <c r="AA64" i="6"/>
  <c r="AB64" i="6"/>
  <c r="AC64" i="6"/>
  <c r="AD64" i="6"/>
  <c r="AE64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B48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B41" i="6"/>
  <c r="B45" i="6" s="1"/>
  <c r="B35" i="6"/>
  <c r="L6" i="2"/>
  <c r="K6" i="2"/>
  <c r="J6" i="2"/>
  <c r="L5" i="2"/>
  <c r="K5" i="2"/>
  <c r="J5" i="2"/>
  <c r="H5" i="2"/>
  <c r="B18" i="2"/>
  <c r="B19" i="2"/>
  <c r="B21" i="2"/>
  <c r="H30" i="2"/>
  <c r="B31" i="2"/>
  <c r="A31" i="2" s="1"/>
  <c r="N31" i="2"/>
  <c r="U53" i="6" l="1"/>
  <c r="I39" i="6"/>
  <c r="W58" i="6"/>
  <c r="W63" i="6" s="1"/>
  <c r="X58" i="6"/>
  <c r="X63" i="6" s="1"/>
  <c r="B2" i="8"/>
  <c r="B7" i="8" s="1"/>
  <c r="N2" i="8"/>
  <c r="N7" i="8" s="1"/>
  <c r="M2" i="8"/>
  <c r="M7" i="8" s="1"/>
  <c r="I7" i="9"/>
  <c r="H7" i="9"/>
  <c r="H2" i="8"/>
  <c r="H7" i="8" s="1"/>
  <c r="M7" i="9"/>
  <c r="K2" i="8"/>
  <c r="K7" i="8" s="1"/>
  <c r="I2" i="8"/>
  <c r="I7" i="8" s="1"/>
  <c r="E7" i="9"/>
  <c r="L2" i="8"/>
  <c r="L7" i="8" s="1"/>
  <c r="C2" i="8"/>
  <c r="C7" i="8" s="1"/>
  <c r="O7" i="9"/>
  <c r="L7" i="9"/>
  <c r="N7" i="9"/>
  <c r="O2" i="8"/>
  <c r="O7" i="8" s="1"/>
  <c r="J7" i="9"/>
  <c r="G2" i="8"/>
  <c r="G7" i="8" s="1"/>
  <c r="E2" i="8"/>
  <c r="E7" i="8" s="1"/>
  <c r="F2" i="8"/>
  <c r="F7" i="8" s="1"/>
  <c r="K7" i="9"/>
  <c r="J2" i="8"/>
  <c r="J7" i="8" s="1"/>
  <c r="F7" i="9"/>
  <c r="D7" i="9"/>
  <c r="C7" i="9"/>
  <c r="B7" i="9"/>
  <c r="D2" i="8"/>
  <c r="D7" i="8" s="1"/>
  <c r="G7" i="9"/>
  <c r="B6" i="9"/>
  <c r="B8" i="9"/>
  <c r="T7" i="9"/>
  <c r="V2" i="8"/>
  <c r="V7" i="8" s="1"/>
  <c r="T2" i="8"/>
  <c r="T7" i="8" s="1"/>
  <c r="AI7" i="9"/>
  <c r="AH7" i="9"/>
  <c r="V7" i="9"/>
  <c r="W2" i="8"/>
  <c r="W7" i="8" s="1"/>
  <c r="S7" i="9"/>
  <c r="U2" i="8"/>
  <c r="U7" i="8" s="1"/>
  <c r="X7" i="9"/>
  <c r="W7" i="9"/>
  <c r="R7" i="9"/>
  <c r="AG7" i="9"/>
  <c r="Z7" i="9"/>
  <c r="Q7" i="9"/>
  <c r="S2" i="8"/>
  <c r="S7" i="8" s="1"/>
  <c r="AI2" i="8"/>
  <c r="AI7" i="8" s="1"/>
  <c r="AE7" i="9"/>
  <c r="AE2" i="8"/>
  <c r="AE7" i="8" s="1"/>
  <c r="AC2" i="8"/>
  <c r="AC7" i="8" s="1"/>
  <c r="AA2" i="8"/>
  <c r="AA7" i="8" s="1"/>
  <c r="P7" i="9"/>
  <c r="R2" i="8"/>
  <c r="R7" i="8" s="1"/>
  <c r="AC7" i="9"/>
  <c r="AB7" i="9"/>
  <c r="AD2" i="8"/>
  <c r="AD7" i="8" s="1"/>
  <c r="Y7" i="9"/>
  <c r="Q2" i="8"/>
  <c r="Q7" i="8" s="1"/>
  <c r="Z2" i="8"/>
  <c r="Z7" i="8" s="1"/>
  <c r="P2" i="8"/>
  <c r="P7" i="8" s="1"/>
  <c r="AF7" i="9"/>
  <c r="AG2" i="8"/>
  <c r="AG7" i="8" s="1"/>
  <c r="AD7" i="9"/>
  <c r="X2" i="8"/>
  <c r="X7" i="8" s="1"/>
  <c r="AF2" i="8"/>
  <c r="AF7" i="8" s="1"/>
  <c r="AH2" i="8"/>
  <c r="AH7" i="8" s="1"/>
  <c r="Y2" i="8"/>
  <c r="Y7" i="8" s="1"/>
  <c r="U7" i="9"/>
  <c r="AA7" i="9"/>
  <c r="AB2" i="8"/>
  <c r="AB7" i="8" s="1"/>
  <c r="B6" i="8"/>
  <c r="B8" i="8"/>
  <c r="B37" i="6"/>
  <c r="B39" i="6" s="1"/>
  <c r="Q53" i="6"/>
  <c r="Q56" i="6" s="1"/>
  <c r="P53" i="6"/>
  <c r="S53" i="6"/>
  <c r="R53" i="6"/>
  <c r="T53" i="6"/>
  <c r="U55" i="6"/>
  <c r="AE53" i="6"/>
  <c r="AE56" i="6" s="1"/>
  <c r="H53" i="6"/>
  <c r="J53" i="6"/>
  <c r="J56" i="6" s="1"/>
  <c r="AD58" i="6"/>
  <c r="AD63" i="6" s="1"/>
  <c r="AD53" i="6"/>
  <c r="AD56" i="6" s="1"/>
  <c r="U56" i="6"/>
  <c r="K53" i="6"/>
  <c r="K56" i="6" s="1"/>
  <c r="AC58" i="6"/>
  <c r="AC63" i="6" s="1"/>
  <c r="AC53" i="6"/>
  <c r="AC56" i="6" s="1"/>
  <c r="AB58" i="6"/>
  <c r="AB63" i="6" s="1"/>
  <c r="AB53" i="6"/>
  <c r="AB56" i="6" s="1"/>
  <c r="M53" i="6"/>
  <c r="AA58" i="6"/>
  <c r="AA63" i="6" s="1"/>
  <c r="AA53" i="6"/>
  <c r="AA56" i="6" s="1"/>
  <c r="I53" i="6"/>
  <c r="N53" i="6"/>
  <c r="Z58" i="6"/>
  <c r="Z63" i="6" s="1"/>
  <c r="Z53" i="6"/>
  <c r="Z56" i="6" s="1"/>
  <c r="L53" i="6"/>
  <c r="L56" i="6" s="1"/>
  <c r="O53" i="6"/>
  <c r="O56" i="6" s="1"/>
  <c r="Y58" i="6"/>
  <c r="Y63" i="6" s="1"/>
  <c r="D53" i="6"/>
  <c r="W53" i="6"/>
  <c r="W56" i="6" s="1"/>
  <c r="B53" i="6"/>
  <c r="B56" i="6" s="1"/>
  <c r="B61" i="6" s="1"/>
  <c r="C53" i="6"/>
  <c r="X53" i="6"/>
  <c r="X56" i="6" s="1"/>
  <c r="E53" i="6"/>
  <c r="V53" i="6"/>
  <c r="V56" i="6" s="1"/>
  <c r="V55" i="6"/>
  <c r="Y53" i="6"/>
  <c r="Y56" i="6" s="1"/>
  <c r="F53" i="6"/>
  <c r="G53" i="6"/>
  <c r="V58" i="6"/>
  <c r="V63" i="6" s="1"/>
  <c r="U58" i="6"/>
  <c r="U63" i="6" s="1"/>
  <c r="AE58" i="6"/>
  <c r="AE63" i="6" s="1"/>
  <c r="AE55" i="6"/>
  <c r="AD55" i="6"/>
  <c r="AC55" i="6"/>
  <c r="AB55" i="6"/>
  <c r="AA55" i="6"/>
  <c r="Z55" i="6"/>
  <c r="Y55" i="6"/>
  <c r="X55" i="6"/>
  <c r="W55" i="6"/>
  <c r="D55" i="6"/>
  <c r="M55" i="6"/>
  <c r="Q55" i="6"/>
  <c r="E55" i="6"/>
  <c r="L55" i="6"/>
  <c r="F55" i="6"/>
  <c r="T55" i="6"/>
  <c r="R55" i="6"/>
  <c r="G55" i="6"/>
  <c r="S55" i="6"/>
  <c r="B55" i="6"/>
  <c r="N55" i="6"/>
  <c r="H55" i="6"/>
  <c r="P55" i="6"/>
  <c r="C55" i="6"/>
  <c r="I55" i="6"/>
  <c r="O55" i="6"/>
  <c r="J55" i="6"/>
  <c r="K55" i="6"/>
  <c r="N58" i="6"/>
  <c r="N63" i="6" s="1"/>
  <c r="O58" i="6"/>
  <c r="O63" i="6" s="1"/>
  <c r="P58" i="6"/>
  <c r="P63" i="6" s="1"/>
  <c r="S58" i="6"/>
  <c r="S63" i="6" s="1"/>
  <c r="R58" i="6"/>
  <c r="R63" i="6" s="1"/>
  <c r="C58" i="6"/>
  <c r="C63" i="6" s="1"/>
  <c r="F58" i="6"/>
  <c r="F63" i="6" s="1"/>
  <c r="H58" i="6"/>
  <c r="H63" i="6" s="1"/>
  <c r="I58" i="6"/>
  <c r="I63" i="6" s="1"/>
  <c r="D58" i="6"/>
  <c r="D63" i="6" s="1"/>
  <c r="T58" i="6"/>
  <c r="T63" i="6" s="1"/>
  <c r="J58" i="6"/>
  <c r="J63" i="6" s="1"/>
  <c r="L58" i="6"/>
  <c r="L63" i="6" s="1"/>
  <c r="Q58" i="6"/>
  <c r="Q63" i="6" s="1"/>
  <c r="E58" i="6"/>
  <c r="E63" i="6" s="1"/>
  <c r="G58" i="6"/>
  <c r="G63" i="6" s="1"/>
  <c r="K58" i="6"/>
  <c r="K63" i="6" s="1"/>
  <c r="M58" i="6"/>
  <c r="M63" i="6" s="1"/>
  <c r="V59" i="6" l="1"/>
  <c r="U59" i="6"/>
  <c r="U62" i="6" s="1"/>
  <c r="O6" i="9"/>
  <c r="L6" i="9"/>
  <c r="AI6" i="9"/>
  <c r="S6" i="9"/>
  <c r="Z6" i="9"/>
  <c r="AA6" i="9"/>
  <c r="G6" i="9"/>
  <c r="AD6" i="9"/>
  <c r="AF6" i="9"/>
  <c r="K6" i="9"/>
  <c r="AG6" i="9"/>
  <c r="AH6" i="9"/>
  <c r="M6" i="9"/>
  <c r="P6" i="9"/>
  <c r="D6" i="9"/>
  <c r="T6" i="9"/>
  <c r="U6" i="9"/>
  <c r="F6" i="9"/>
  <c r="R6" i="9"/>
  <c r="AB6" i="9"/>
  <c r="C6" i="9"/>
  <c r="I6" i="9"/>
  <c r="W6" i="9"/>
  <c r="Y6" i="9"/>
  <c r="V6" i="9"/>
  <c r="E6" i="9"/>
  <c r="Q6" i="9"/>
  <c r="H6" i="9"/>
  <c r="N6" i="9"/>
  <c r="X6" i="9"/>
  <c r="AC6" i="9"/>
  <c r="AE6" i="9"/>
  <c r="J6" i="9"/>
  <c r="O6" i="8"/>
  <c r="T6" i="8"/>
  <c r="AG6" i="8"/>
  <c r="V6" i="8"/>
  <c r="X6" i="8"/>
  <c r="F6" i="8"/>
  <c r="C6" i="8"/>
  <c r="AB6" i="8"/>
  <c r="K6" i="8"/>
  <c r="AC6" i="8"/>
  <c r="M6" i="8"/>
  <c r="AI6" i="8"/>
  <c r="W6" i="8"/>
  <c r="E6" i="8"/>
  <c r="H6" i="8"/>
  <c r="L6" i="8"/>
  <c r="Y6" i="8"/>
  <c r="U6" i="8"/>
  <c r="AA6" i="8"/>
  <c r="G6" i="8"/>
  <c r="AD6" i="8"/>
  <c r="D6" i="8"/>
  <c r="I6" i="8"/>
  <c r="R6" i="8"/>
  <c r="AH6" i="8"/>
  <c r="N6" i="8"/>
  <c r="S6" i="8"/>
  <c r="J6" i="8"/>
  <c r="AF6" i="8"/>
  <c r="Q6" i="8"/>
  <c r="Z6" i="8"/>
  <c r="P6" i="8"/>
  <c r="AE6" i="8"/>
  <c r="W59" i="6"/>
  <c r="H59" i="6"/>
  <c r="H62" i="6" s="1"/>
  <c r="Y59" i="6"/>
  <c r="P59" i="6"/>
  <c r="P62" i="6" s="1"/>
  <c r="X59" i="6"/>
  <c r="Z59" i="6"/>
  <c r="AA59" i="6"/>
  <c r="AB59" i="6"/>
  <c r="AC59" i="6"/>
  <c r="AD59" i="6"/>
  <c r="AE59" i="6"/>
  <c r="N59" i="6"/>
  <c r="N62" i="6" s="1"/>
  <c r="L59" i="6"/>
  <c r="S59" i="6"/>
  <c r="S62" i="6" s="1"/>
  <c r="C59" i="6"/>
  <c r="C62" i="6" s="1"/>
  <c r="G59" i="6"/>
  <c r="G62" i="6" s="1"/>
  <c r="E59" i="6"/>
  <c r="E62" i="6" s="1"/>
  <c r="F59" i="6"/>
  <c r="F62" i="6" s="1"/>
  <c r="N56" i="6"/>
  <c r="I59" i="6"/>
  <c r="I62" i="6" s="1"/>
  <c r="T59" i="6"/>
  <c r="T62" i="6" s="1"/>
  <c r="R59" i="6"/>
  <c r="R62" i="6" s="1"/>
  <c r="Q59" i="6"/>
  <c r="K59" i="6"/>
  <c r="M59" i="6"/>
  <c r="M62" i="6" s="1"/>
  <c r="D59" i="6"/>
  <c r="D62" i="6" s="1"/>
  <c r="O59" i="6"/>
  <c r="G56" i="6"/>
  <c r="J59" i="6"/>
  <c r="R56" i="6"/>
  <c r="D56" i="6"/>
  <c r="S56" i="6"/>
  <c r="F56" i="6"/>
  <c r="C56" i="6"/>
  <c r="T56" i="6"/>
  <c r="E56" i="6"/>
  <c r="P56" i="6"/>
  <c r="P61" i="6" s="1"/>
  <c r="M56" i="6"/>
  <c r="I56" i="6"/>
  <c r="H56" i="6"/>
  <c r="U61" i="6" l="1"/>
  <c r="AC61" i="6"/>
  <c r="AC62" i="6"/>
  <c r="J61" i="6"/>
  <c r="J62" i="6"/>
  <c r="B67" i="6" s="1"/>
  <c r="X61" i="6"/>
  <c r="X62" i="6"/>
  <c r="L61" i="6"/>
  <c r="L62" i="6"/>
  <c r="AE61" i="6"/>
  <c r="AE62" i="6"/>
  <c r="AD61" i="6"/>
  <c r="AD62" i="6"/>
  <c r="AB61" i="6"/>
  <c r="AB62" i="6"/>
  <c r="V61" i="6"/>
  <c r="V62" i="6"/>
  <c r="AA61" i="6"/>
  <c r="AA62" i="6"/>
  <c r="Z61" i="6"/>
  <c r="Z62" i="6"/>
  <c r="K61" i="6"/>
  <c r="K62" i="6"/>
  <c r="Q61" i="6"/>
  <c r="Q62" i="6"/>
  <c r="O61" i="6"/>
  <c r="O62" i="6"/>
  <c r="Y61" i="6"/>
  <c r="Y62" i="6"/>
  <c r="W61" i="6"/>
  <c r="W62" i="6"/>
  <c r="N61" i="6"/>
  <c r="H61" i="6"/>
  <c r="S61" i="6"/>
  <c r="C61" i="6"/>
  <c r="F61" i="6"/>
  <c r="M61" i="6"/>
  <c r="I61" i="6"/>
  <c r="G61" i="6"/>
  <c r="E61" i="6"/>
  <c r="T61" i="6"/>
  <c r="D61" i="6"/>
  <c r="R61" i="6"/>
  <c r="B66" i="6" l="1"/>
  <c r="D23" i="6" l="1"/>
  <c r="D25" i="6" s="1"/>
  <c r="C23" i="6"/>
  <c r="C25" i="6" s="1"/>
  <c r="P2" i="3" l="1"/>
  <c r="AI2" i="3"/>
  <c r="AE2" i="3"/>
  <c r="AG2" i="3"/>
  <c r="AG7" i="3" s="1"/>
  <c r="AD2" i="3"/>
  <c r="AB2" i="3"/>
  <c r="AB7" i="3" s="1"/>
  <c r="AA2" i="3"/>
  <c r="X2" i="3"/>
  <c r="W2" i="3"/>
  <c r="U2" i="3"/>
  <c r="T2" i="3"/>
  <c r="R2" i="3"/>
  <c r="AF2" i="3"/>
  <c r="AF7" i="3" s="1"/>
  <c r="AC2" i="3"/>
  <c r="AC7" i="3" s="1"/>
  <c r="Z2" i="3"/>
  <c r="Y2" i="3"/>
  <c r="V2" i="3"/>
  <c r="S2" i="3"/>
  <c r="Q2" i="3"/>
  <c r="AH2" i="3"/>
  <c r="AH7" i="3" s="1"/>
  <c r="K2" i="3"/>
  <c r="L2" i="3"/>
  <c r="D2" i="3"/>
  <c r="H2" i="3"/>
  <c r="B2" i="3"/>
  <c r="B7" i="3" s="1"/>
  <c r="O2" i="3"/>
  <c r="J2" i="3"/>
  <c r="I2" i="3"/>
  <c r="I7" i="3" s="1"/>
  <c r="G2" i="3"/>
  <c r="N2" i="3"/>
  <c r="E2" i="3"/>
  <c r="C2" i="3"/>
  <c r="F2" i="3"/>
  <c r="M2" i="3"/>
  <c r="AI7" i="3"/>
  <c r="AE7" i="3"/>
  <c r="AD7" i="3"/>
  <c r="M7" i="3" l="1"/>
  <c r="W7" i="3"/>
  <c r="U7" i="3"/>
  <c r="G7" i="3"/>
  <c r="X7" i="3"/>
  <c r="V7" i="3"/>
  <c r="C7" i="3"/>
  <c r="O7" i="3"/>
  <c r="P7" i="3"/>
  <c r="F7" i="3"/>
  <c r="K7" i="3"/>
  <c r="Y7" i="3"/>
  <c r="R7" i="3"/>
  <c r="Q7" i="3"/>
  <c r="D21" i="2"/>
  <c r="H6" i="2"/>
  <c r="N7" i="3"/>
  <c r="L7" i="3"/>
  <c r="Z7" i="3"/>
  <c r="S7" i="3"/>
  <c r="J7" i="3"/>
  <c r="E7" i="3"/>
  <c r="D7" i="3"/>
  <c r="AA7" i="3"/>
  <c r="T7" i="3"/>
  <c r="H7" i="3"/>
  <c r="A1" i="4"/>
  <c r="R7" i="5" l="1"/>
  <c r="Z7" i="5"/>
  <c r="AH7" i="5"/>
  <c r="Q7" i="5"/>
  <c r="G7" i="5"/>
  <c r="O7" i="5"/>
  <c r="N7" i="5"/>
  <c r="S7" i="5"/>
  <c r="AA7" i="5"/>
  <c r="AI7" i="5"/>
  <c r="H7" i="5"/>
  <c r="L7" i="5"/>
  <c r="T7" i="5"/>
  <c r="AB7" i="5"/>
  <c r="I7" i="5"/>
  <c r="U7" i="5"/>
  <c r="AC7" i="5"/>
  <c r="P7" i="5"/>
  <c r="J7" i="5"/>
  <c r="B5" i="3"/>
  <c r="AE7" i="5"/>
  <c r="V7" i="5"/>
  <c r="AD7" i="5"/>
  <c r="C7" i="5"/>
  <c r="K7" i="5"/>
  <c r="B30" i="2"/>
  <c r="A30" i="2" s="1"/>
  <c r="W7" i="5"/>
  <c r="D7" i="5"/>
  <c r="B7" i="5"/>
  <c r="X7" i="5"/>
  <c r="AF7" i="5"/>
  <c r="E7" i="5"/>
  <c r="M7" i="5"/>
  <c r="Y7" i="5"/>
  <c r="AG7" i="5"/>
  <c r="F7" i="5"/>
  <c r="G3" i="5" l="1"/>
  <c r="G8" i="5" s="1"/>
  <c r="G8" i="3"/>
  <c r="B3" i="5"/>
  <c r="B32" i="2" s="1"/>
  <c r="A32" i="2" s="1"/>
  <c r="A33" i="2" s="1"/>
  <c r="B8" i="3"/>
  <c r="Y3" i="5"/>
  <c r="Y8" i="5" s="1"/>
  <c r="Y8" i="3"/>
  <c r="E3" i="5"/>
  <c r="E8" i="5" s="1"/>
  <c r="E8" i="3"/>
  <c r="AA3" i="5"/>
  <c r="AA8" i="5" s="1"/>
  <c r="AA8" i="3"/>
  <c r="H3" i="5"/>
  <c r="H8" i="5" s="1"/>
  <c r="H8" i="3"/>
  <c r="K3" i="5"/>
  <c r="K8" i="5" s="1"/>
  <c r="K8" i="3"/>
  <c r="Z3" i="5"/>
  <c r="Z8" i="5" s="1"/>
  <c r="Z8" i="3"/>
  <c r="AC3" i="5"/>
  <c r="AC8" i="5" s="1"/>
  <c r="AC8" i="3"/>
  <c r="W3" i="5"/>
  <c r="W8" i="5" s="1"/>
  <c r="W8" i="3"/>
  <c r="J3" i="5"/>
  <c r="J8" i="5" s="1"/>
  <c r="J8" i="3"/>
  <c r="O3" i="5"/>
  <c r="O8" i="5" s="1"/>
  <c r="O8" i="3"/>
  <c r="V3" i="5"/>
  <c r="V8" i="5" s="1"/>
  <c r="V8" i="3"/>
  <c r="M3" i="5"/>
  <c r="M8" i="5" s="1"/>
  <c r="M8" i="3"/>
  <c r="C3" i="5"/>
  <c r="C8" i="5" s="1"/>
  <c r="C8" i="3"/>
  <c r="T3" i="5"/>
  <c r="T8" i="5" s="1"/>
  <c r="T8" i="3"/>
  <c r="AF3" i="5"/>
  <c r="AF8" i="5" s="1"/>
  <c r="AF8" i="3"/>
  <c r="N3" i="5"/>
  <c r="N8" i="5" s="1"/>
  <c r="N8" i="3"/>
  <c r="X3" i="5"/>
  <c r="X8" i="5" s="1"/>
  <c r="X8" i="3"/>
  <c r="P3" i="5"/>
  <c r="P8" i="5" s="1"/>
  <c r="P8" i="3"/>
  <c r="AI3" i="5"/>
  <c r="AI8" i="5" s="1"/>
  <c r="AI8" i="3"/>
  <c r="AB3" i="5"/>
  <c r="AB8" i="5" s="1"/>
  <c r="AB8" i="3"/>
  <c r="D3" i="5"/>
  <c r="D8" i="5" s="1"/>
  <c r="D8" i="3"/>
  <c r="Q3" i="5"/>
  <c r="Q8" i="5" s="1"/>
  <c r="Q8" i="3"/>
  <c r="F3" i="5"/>
  <c r="F8" i="5" s="1"/>
  <c r="F8" i="3"/>
  <c r="U3" i="5"/>
  <c r="U8" i="5" s="1"/>
  <c r="U8" i="3"/>
  <c r="AH3" i="5"/>
  <c r="AH8" i="5" s="1"/>
  <c r="AH8" i="3"/>
  <c r="R3" i="5"/>
  <c r="R8" i="5" s="1"/>
  <c r="R8" i="3"/>
  <c r="AE3" i="5"/>
  <c r="AE8" i="5" s="1"/>
  <c r="AE8" i="3"/>
  <c r="I3" i="5"/>
  <c r="I8" i="5" s="1"/>
  <c r="I8" i="3"/>
  <c r="S3" i="5"/>
  <c r="S8" i="5" s="1"/>
  <c r="S8" i="3"/>
  <c r="AD3" i="5"/>
  <c r="AD8" i="5" s="1"/>
  <c r="AD8" i="3"/>
  <c r="L3" i="5"/>
  <c r="L8" i="5" s="1"/>
  <c r="L8" i="3"/>
  <c r="AG3" i="5"/>
  <c r="AG8" i="5" s="1"/>
  <c r="AG8" i="3"/>
  <c r="AG4" i="5"/>
  <c r="AG5" i="5" s="1"/>
  <c r="AG5" i="3"/>
  <c r="P4" i="5"/>
  <c r="P5" i="5" s="1"/>
  <c r="P5" i="3"/>
  <c r="C4" i="5"/>
  <c r="C5" i="5" s="1"/>
  <c r="C5" i="3"/>
  <c r="I4" i="5"/>
  <c r="I5" i="5" s="1"/>
  <c r="I5" i="3"/>
  <c r="W4" i="5"/>
  <c r="W5" i="5" s="1"/>
  <c r="W5" i="3"/>
  <c r="J4" i="5"/>
  <c r="J5" i="5" s="1"/>
  <c r="J5" i="3"/>
  <c r="U4" i="5"/>
  <c r="U5" i="5" s="1"/>
  <c r="U5" i="3"/>
  <c r="T4" i="5"/>
  <c r="T5" i="5" s="1"/>
  <c r="T5" i="3"/>
  <c r="B4" i="5"/>
  <c r="B5" i="5" s="1"/>
  <c r="S4" i="5"/>
  <c r="S5" i="5" s="1"/>
  <c r="S5" i="3"/>
  <c r="X4" i="5"/>
  <c r="X5" i="5" s="1"/>
  <c r="X5" i="3"/>
  <c r="H4" i="5"/>
  <c r="H5" i="5" s="1"/>
  <c r="H5" i="3"/>
  <c r="O4" i="5"/>
  <c r="O5" i="5" s="1"/>
  <c r="O5" i="3"/>
  <c r="N4" i="5"/>
  <c r="N5" i="5" s="1"/>
  <c r="N5" i="3"/>
  <c r="AI4" i="5"/>
  <c r="AI5" i="5" s="1"/>
  <c r="AI5" i="3"/>
  <c r="AD4" i="5"/>
  <c r="AD5" i="5" s="1"/>
  <c r="AD5" i="3"/>
  <c r="D4" i="5"/>
  <c r="D5" i="5" s="1"/>
  <c r="D5" i="3"/>
  <c r="F4" i="5"/>
  <c r="F5" i="5" s="1"/>
  <c r="F5" i="3"/>
  <c r="V4" i="5"/>
  <c r="V5" i="5" s="1"/>
  <c r="V5" i="3"/>
  <c r="AB4" i="5"/>
  <c r="AB5" i="5" s="1"/>
  <c r="AB5" i="3"/>
  <c r="G4" i="5"/>
  <c r="G5" i="5" s="1"/>
  <c r="G5" i="3"/>
  <c r="M4" i="5"/>
  <c r="M5" i="5" s="1"/>
  <c r="M5" i="3"/>
  <c r="AC4" i="5"/>
  <c r="AC5" i="5" s="1"/>
  <c r="AC5" i="3"/>
  <c r="Q4" i="5"/>
  <c r="Q5" i="5" s="1"/>
  <c r="Q5" i="3"/>
  <c r="L4" i="5"/>
  <c r="L5" i="5" s="1"/>
  <c r="L5" i="3"/>
  <c r="E4" i="5"/>
  <c r="E5" i="5" s="1"/>
  <c r="E5" i="3"/>
  <c r="AH4" i="5"/>
  <c r="AH5" i="5" s="1"/>
  <c r="AH5" i="3"/>
  <c r="Z4" i="5"/>
  <c r="Z5" i="5" s="1"/>
  <c r="Z5" i="3"/>
  <c r="K4" i="5"/>
  <c r="K5" i="5" s="1"/>
  <c r="K5" i="3"/>
  <c r="R4" i="5"/>
  <c r="R5" i="5" s="1"/>
  <c r="R5" i="3"/>
  <c r="Y4" i="5"/>
  <c r="Y5" i="5" s="1"/>
  <c r="Y5" i="3"/>
  <c r="AA4" i="5"/>
  <c r="AA5" i="5" s="1"/>
  <c r="AA5" i="3"/>
  <c r="AF4" i="5"/>
  <c r="AF5" i="5" s="1"/>
  <c r="AF5" i="3"/>
  <c r="AE4" i="5"/>
  <c r="AE5" i="5" s="1"/>
  <c r="AE5" i="3"/>
  <c r="X6" i="3" l="1"/>
  <c r="U6" i="3"/>
  <c r="S6" i="3"/>
  <c r="O6" i="3"/>
  <c r="E6" i="3"/>
  <c r="W6" i="3"/>
  <c r="P6" i="3"/>
  <c r="L6" i="3"/>
  <c r="F6" i="3"/>
  <c r="V6" i="3"/>
  <c r="T6" i="3"/>
  <c r="Q6" i="3"/>
  <c r="I6" i="3"/>
  <c r="AA6" i="3"/>
  <c r="AI6" i="3"/>
  <c r="J6" i="3"/>
  <c r="AE6" i="3"/>
  <c r="AD6" i="3"/>
  <c r="G6" i="3"/>
  <c r="AB6" i="3"/>
  <c r="Z6" i="3"/>
  <c r="R6" i="3"/>
  <c r="M6" i="3"/>
  <c r="AG6" i="3"/>
  <c r="H6" i="3"/>
  <c r="D6" i="3"/>
  <c r="Y6" i="3"/>
  <c r="C6" i="3"/>
  <c r="N6" i="3"/>
  <c r="AH6" i="3"/>
  <c r="K6" i="3"/>
  <c r="AF6" i="3"/>
  <c r="AC6" i="3"/>
  <c r="B6" i="5"/>
  <c r="Y6" i="5" l="1"/>
  <c r="AC6" i="5"/>
  <c r="T6" i="5"/>
  <c r="U6" i="5"/>
  <c r="S6" i="5"/>
  <c r="AI6" i="5"/>
  <c r="H6" i="5"/>
  <c r="J6" i="5"/>
  <c r="N6" i="5"/>
  <c r="M6" i="5"/>
  <c r="R6" i="5"/>
  <c r="L6" i="5"/>
  <c r="O6" i="5"/>
  <c r="AA6" i="5"/>
  <c r="AF6" i="5"/>
  <c r="W6" i="5"/>
  <c r="D6" i="5"/>
  <c r="Q6" i="5"/>
  <c r="X6" i="5"/>
  <c r="AE6" i="5"/>
  <c r="E6" i="5"/>
  <c r="AD6" i="5"/>
  <c r="F6" i="5"/>
  <c r="Z6" i="5"/>
  <c r="AB6" i="5"/>
  <c r="G6" i="5"/>
  <c r="C6" i="5"/>
  <c r="I6" i="5"/>
  <c r="V6" i="5"/>
  <c r="AG6" i="5"/>
  <c r="AH6" i="5"/>
  <c r="P6" i="5"/>
  <c r="K6" i="5"/>
</calcChain>
</file>

<file path=xl/sharedStrings.xml><?xml version="1.0" encoding="utf-8"?>
<sst xmlns="http://schemas.openxmlformats.org/spreadsheetml/2006/main" count="311" uniqueCount="205">
  <si>
    <t>HPEC Hydrogen Production Equipment CapEx</t>
  </si>
  <si>
    <t>Source:</t>
  </si>
  <si>
    <t>Technology</t>
  </si>
  <si>
    <t>Parameter</t>
  </si>
  <si>
    <t>Units</t>
  </si>
  <si>
    <t>Today</t>
  </si>
  <si>
    <t>Long Term</t>
  </si>
  <si>
    <t>electrolysis</t>
  </si>
  <si>
    <t>CAPEX</t>
  </si>
  <si>
    <t>USD/kWe</t>
  </si>
  <si>
    <t>Efficiency (LHV)</t>
  </si>
  <si>
    <t>%</t>
  </si>
  <si>
    <t>Annual OPEX</t>
  </si>
  <si>
    <t>% of CAPEX</t>
  </si>
  <si>
    <t>Stack Lifetime</t>
  </si>
  <si>
    <t>operating hours</t>
  </si>
  <si>
    <t>natural gas reforming</t>
  </si>
  <si>
    <t>Emission factor</t>
  </si>
  <si>
    <t>kgCO2/kgH2</t>
  </si>
  <si>
    <t>coal gasification</t>
  </si>
  <si>
    <t>Mapped Year</t>
  </si>
  <si>
    <t>International Energy Agency</t>
  </si>
  <si>
    <t>The Future of Hydrogen</t>
  </si>
  <si>
    <t>https://www.iea.org/media/publications/hydrogen/IEA-The-Future-of-Hydrogen-Assumptions-Annex.pdf</t>
  </si>
  <si>
    <t>Assumptions annex, Page 3</t>
  </si>
  <si>
    <t>biomass gasification</t>
  </si>
  <si>
    <t>hours per year</t>
  </si>
  <si>
    <t>BTU/kWh</t>
  </si>
  <si>
    <t>Notes</t>
  </si>
  <si>
    <t>We average the use of the hydrogen plant out over the</t>
  </si>
  <si>
    <t>course of a year to convert between kW and kWh,</t>
  </si>
  <si>
    <t>necessary to convert BTU/yr of hydrogen production</t>
  </si>
  <si>
    <t>capacity to $ of CapEx using the $/kW conversion factor.</t>
  </si>
  <si>
    <t>Biomass Gassification</t>
  </si>
  <si>
    <t>We don't have data on biomass gasification to hydrogen</t>
  </si>
  <si>
    <t>CapEx from the same source or in the same format as</t>
  </si>
  <si>
    <t>we do for electrolysis, natural gas reforming, and coal</t>
  </si>
  <si>
    <t>gasification.  However, the following source provides</t>
  </si>
  <si>
    <t>an equation that shows biomass gassificaiton to have</t>
  </si>
  <si>
    <t>extremely similar capital costs to coal gasification.</t>
  </si>
  <si>
    <t>Accordingly, we use the coal gasification values</t>
  </si>
  <si>
    <t>for biomass gasification.</t>
  </si>
  <si>
    <t>Acar, Canan and Dincer, Ibrahim</t>
  </si>
  <si>
    <t>Comparative assessment of hydrogen production methods from renewable and non-renewable sources</t>
  </si>
  <si>
    <t>https://doi.org/10.1016/j.ijhydene.2013.10.060</t>
  </si>
  <si>
    <t>Page 7, Table 3</t>
  </si>
  <si>
    <t>2018 USD/2012 USD</t>
  </si>
  <si>
    <t>Currency Year</t>
  </si>
  <si>
    <t>We assume the currency year of the IEA report (published in 2019)</t>
  </si>
  <si>
    <t>is 2018 USD.</t>
  </si>
  <si>
    <t>HPEC Hydrogen Production Equipment OpEx</t>
  </si>
  <si>
    <t>In other words, this variable should contain the CapEx</t>
  </si>
  <si>
    <t>and OpEx costs to produce a certain amount of hydrogen</t>
  </si>
  <si>
    <t>per year, if the production plant were to run constantly</t>
  </si>
  <si>
    <t>at its design capacity.</t>
  </si>
  <si>
    <t>In reality, plants do not run all the time, so they require</t>
  </si>
  <si>
    <t>excess capacity to produce a given amount of hydrogen</t>
  </si>
  <si>
    <t>per year.  This excess capacity is specified in</t>
  </si>
  <si>
    <r>
      <t xml:space="preserve">a different input variable, </t>
    </r>
    <r>
      <rPr>
        <b/>
        <sz val="11"/>
        <color theme="1"/>
        <rFont val="Calibri"/>
        <family val="2"/>
        <scheme val="minor"/>
      </rPr>
      <t>hydgn/HPPECbP</t>
    </r>
    <r>
      <rPr>
        <sz val="11"/>
        <color theme="1"/>
        <rFont val="Calibri"/>
        <family val="2"/>
        <scheme val="minor"/>
      </rPr>
      <t>.</t>
    </r>
  </si>
  <si>
    <t>The costs entered in this variable should be for a 100% capacity factor.</t>
  </si>
  <si>
    <t>The adjustment for actual capacity factor is handled inside Vensim.</t>
  </si>
  <si>
    <t>CapEx Cost ($/BTU)</t>
  </si>
  <si>
    <t>OpEx Cost ($/BTU)</t>
  </si>
  <si>
    <t>electrolysis with guaranteed clean electricity</t>
  </si>
  <si>
    <t>natural gas reforming with CCS</t>
  </si>
  <si>
    <t>hydrocarbon partial oxidation</t>
  </si>
  <si>
    <t>Partial Oxidation of Hydrocarbons</t>
  </si>
  <si>
    <t>According to ICF, POx reactors are essentially equivalent to autothermal</t>
  </si>
  <si>
    <t>reformers (ATRs) but without a catalyst bed. For lack of economic data,</t>
  </si>
  <si>
    <t xml:space="preserve">we assume that the costs mirror those of ATRs, which, per ICF, </t>
  </si>
  <si>
    <t>Robertson, Penshorn, and McCurdy</t>
  </si>
  <si>
    <t>Comparing the costs of industrial hydrogen technologies</t>
  </si>
  <si>
    <t>https://www.icf.com/insights/energy/comparing-costs-of-industrial-hydrogen-technologies</t>
  </si>
  <si>
    <t>have ~15% lower capital costs and ~5% lower production costs than SMRs.</t>
  </si>
  <si>
    <t>Department of Energy</t>
  </si>
  <si>
    <t>Clean Hydrogen Production Cost PEM Electrolyzer</t>
  </si>
  <si>
    <t>https://www.hydrogen.energy.gov/docs/hydrogenprogramlibraries/pdfs/24005-clean-hydrogen-production-cost-pem-electrolyzer.pdf</t>
  </si>
  <si>
    <t>Table 2</t>
  </si>
  <si>
    <t>For DoE data we convert from 2022 to 2012 dollars:</t>
  </si>
  <si>
    <t xml:space="preserve">$/kW </t>
  </si>
  <si>
    <t>2022 USD</t>
  </si>
  <si>
    <t>Cost trends:</t>
  </si>
  <si>
    <t>$/kW</t>
  </si>
  <si>
    <t>BTU/Mt</t>
  </si>
  <si>
    <t>kg/Mt</t>
  </si>
  <si>
    <t>2012/2024USD</t>
  </si>
  <si>
    <t>$/BTU NG</t>
  </si>
  <si>
    <t>intensity NG</t>
  </si>
  <si>
    <t>capital cost</t>
  </si>
  <si>
    <t>fuel cost</t>
  </si>
  <si>
    <t>$/BTU -&gt; 2024$/kg</t>
  </si>
  <si>
    <t>$/BTU elec</t>
  </si>
  <si>
    <t>intensity elec</t>
  </si>
  <si>
    <t>opex cost</t>
  </si>
  <si>
    <t>adder</t>
  </si>
  <si>
    <r>
      <t>USD/kW</t>
    </r>
    <r>
      <rPr>
        <vertAlign val="subscript"/>
        <sz val="11"/>
        <color theme="1"/>
        <rFont val="Calibri"/>
        <family val="2"/>
        <scheme val="minor"/>
      </rPr>
      <t>H2</t>
    </r>
  </si>
  <si>
    <t xml:space="preserve">For electrolyzers, assume 264 kg H2/kW of production. </t>
  </si>
  <si>
    <t>See hydgn/EHPpUC</t>
  </si>
  <si>
    <t>kg H2/kW</t>
  </si>
  <si>
    <t>kg/yr production</t>
  </si>
  <si>
    <t>kg/kW</t>
  </si>
  <si>
    <t>kwh/kg</t>
  </si>
  <si>
    <t>$/kWh</t>
  </si>
  <si>
    <t>renewables assumption</t>
  </si>
  <si>
    <t>system elec consumption</t>
  </si>
  <si>
    <t>$/kg</t>
  </si>
  <si>
    <t>production (kg)</t>
  </si>
  <si>
    <t>WACC</t>
  </si>
  <si>
    <t>fuel costs</t>
  </si>
  <si>
    <t>opex</t>
  </si>
  <si>
    <t>effective operating hours</t>
  </si>
  <si>
    <t>of installed cost for electrolyzer replacement</t>
  </si>
  <si>
    <t>hours</t>
  </si>
  <si>
    <t>replacement timeline</t>
  </si>
  <si>
    <t>hours on this electrolyzer</t>
  </si>
  <si>
    <t>electrolyzer replacement</t>
  </si>
  <si>
    <t>capacity factor</t>
  </si>
  <si>
    <t>kW assumption (106 MW plant)</t>
  </si>
  <si>
    <t xml:space="preserve"> </t>
  </si>
  <si>
    <t>CapEx contribution to LCOH</t>
  </si>
  <si>
    <t>Total LCOH</t>
  </si>
  <si>
    <t>&lt;-- adjust value to match future prices from "Cost trends" section below to get CapEx contribution to LCOH in future years</t>
  </si>
  <si>
    <t>CapEx contribution to LCOH using assumptions from:</t>
  </si>
  <si>
    <t>2024 cost:</t>
  </si>
  <si>
    <t>Value being studied:</t>
  </si>
  <si>
    <t>$/kg (2022 USD)</t>
  </si>
  <si>
    <t>$/kg (2012 USD)</t>
  </si>
  <si>
    <t>$/BTU (2012 USD)</t>
  </si>
  <si>
    <t>Assumes similar rate of decline to IEA data</t>
  </si>
  <si>
    <t>Cleaner Engineering and Technology</t>
  </si>
  <si>
    <t>Analysis of hydrogen production costs in Steam-Methane Reforming considering integration with electrolysis and CO2 capture</t>
  </si>
  <si>
    <t>Table 3</t>
  </si>
  <si>
    <t>https://www.sciencedirect.com/science/article/pii/S2666790822001574</t>
  </si>
  <si>
    <t>From Katebah et al.</t>
  </si>
  <si>
    <r>
      <t>Table 3</t>
    </r>
    <r>
      <rPr>
        <sz val="12"/>
        <color rgb="FF1F1F1F"/>
        <rFont val="Georgia"/>
        <family val="1"/>
      </rPr>
      <t>. Summary of the main results for SMR plant.</t>
    </r>
  </si>
  <si>
    <t>Unit</t>
  </si>
  <si>
    <t>Value</t>
  </si>
  <si>
    <t>Hydrogen Production</t>
  </si>
  <si>
    <t>NG Consumption</t>
  </si>
  <si>
    <t>NG Price</t>
  </si>
  <si>
    <t>$/GJ</t>
  </si>
  <si>
    <t>Water Consumption</t>
  </si>
  <si>
    <t>OPEX</t>
  </si>
  <si>
    <t>Hydrogen Production Cost</t>
  </si>
  <si>
    <t>kg NG/kg H2</t>
  </si>
  <si>
    <t>kg H2O/kg H2</t>
  </si>
  <si>
    <t>Specific CO2 Emissions</t>
  </si>
  <si>
    <t>kg CO2/kg H2</t>
  </si>
  <si>
    <t>$/kg H2</t>
  </si>
  <si>
    <t>*all in 2018 USD</t>
  </si>
  <si>
    <t>For Reformer data we convert from 2018 to 2012 dollars:</t>
  </si>
  <si>
    <t>From Figure 3:</t>
  </si>
  <si>
    <t>OpEx</t>
  </si>
  <si>
    <t>feedstock</t>
  </si>
  <si>
    <t>other</t>
  </si>
  <si>
    <t>Levelized CapEx Cost ($/BTU)</t>
  </si>
  <si>
    <t>Levelized OpEx Cost ($/BTU)</t>
  </si>
  <si>
    <t>kg H2/yr</t>
  </si>
  <si>
    <t>other OpEx / kg</t>
  </si>
  <si>
    <t>other OpEx / BTU</t>
  </si>
  <si>
    <t>Table 2. Design and Economic Assumptions for SMR plant.</t>
  </si>
  <si>
    <t>Property</t>
  </si>
  <si>
    <t>Reference</t>
  </si>
  <si>
    <t>Pre-reformer:</t>
  </si>
  <si>
    <t>Temperature</t>
  </si>
  <si>
    <t>⁰C</t>
  </si>
  <si>
    <t>Salem et al. (2021)</t>
  </si>
  <si>
    <t>Pressure</t>
  </si>
  <si>
    <t>bar</t>
  </si>
  <si>
    <t>IEAGHG (2017)</t>
  </si>
  <si>
    <t>S/C Ratio</t>
  </si>
  <si>
    <t>–</t>
  </si>
  <si>
    <t>Reference capacity</t>
  </si>
  <si>
    <t>MWLHV NG feed</t>
  </si>
  <si>
    <t>Spallina et al. (2016)</t>
  </si>
  <si>
    <t>Reference costa</t>
  </si>
  <si>
    <t>M$b</t>
  </si>
  <si>
    <t>Scaling factor</t>
  </si>
  <si>
    <t>Reformer:</t>
  </si>
  <si>
    <t>Bar</t>
  </si>
  <si>
    <t>Jakobsen and Atland (2016)</t>
  </si>
  <si>
    <t>S/C ratio</t>
  </si>
  <si>
    <t>WGS Reactors</t>
  </si>
  <si>
    <t>High-temperature WGS</t>
  </si>
  <si>
    <t>Liu et al. (2009)</t>
  </si>
  <si>
    <t>Low-temperature WGS</t>
  </si>
  <si>
    <t>PSA Unit</t>
  </si>
  <si>
    <t>H2 Recovery</t>
  </si>
  <si>
    <t>H2 Purity</t>
  </si>
  <si>
    <t>kg/hr inlet flowrate</t>
  </si>
  <si>
    <t>$ capex</t>
  </si>
  <si>
    <t>$/BTU</t>
  </si>
  <si>
    <t>non-levelized CapEx</t>
  </si>
  <si>
    <t>$/annual kg</t>
  </si>
  <si>
    <t>$</t>
  </si>
  <si>
    <t>OpEx contribution to LCOH</t>
  </si>
  <si>
    <t>discounted costs</t>
  </si>
  <si>
    <t>discounted opex costs</t>
  </si>
  <si>
    <t>OpEx contribution to LCOH using assumptions from:</t>
  </si>
  <si>
    <t>discounted capex costs</t>
  </si>
  <si>
    <t>CapEx</t>
  </si>
  <si>
    <t>Annual OpEx</t>
  </si>
  <si>
    <t>&lt;- resulting data</t>
  </si>
  <si>
    <t>2022$/annual kg</t>
  </si>
  <si>
    <t>2012$/BTU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</si>
</sst>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_(&quot;$&quot;* #,##0_);_(&quot;$&quot;* \(#,##0\);_(&quot;$&quot;* &quot;-&quot;??_);_(@_)"/>
    <numFmt numFmtId="166" formatCode="_(&quot;$&quot;* #,##0.000_);_(&quot;$&quot;* \(#,##0.000\);_(&quot;$&quot;* &quot;-&quot;??_);_(@_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1F1F1F"/>
      <name val="Georgia"/>
      <family val="1"/>
    </font>
    <font>
      <sz val="12"/>
      <color rgb="FF1F1F1F"/>
      <name val="Georgia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9" fontId="0" fillId="0" borderId="0" xfId="0" applyNumberFormat="1"/>
    <xf numFmtId="10" fontId="0" fillId="0" borderId="0" xfId="0" applyNumberFormat="1"/>
    <xf numFmtId="0" fontId="0" fillId="0" borderId="1" xfId="0" applyBorder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11" fontId="0" fillId="0" borderId="0" xfId="0" applyNumberFormat="1"/>
    <xf numFmtId="0" fontId="0" fillId="0" borderId="3" xfId="0" applyBorder="1"/>
    <xf numFmtId="11" fontId="0" fillId="0" borderId="2" xfId="0" applyNumberFormat="1" applyBorder="1"/>
    <xf numFmtId="1" fontId="0" fillId="0" borderId="0" xfId="0" applyNumberForma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44" fontId="0" fillId="0" borderId="0" xfId="2" applyFont="1"/>
    <xf numFmtId="44" fontId="0" fillId="0" borderId="0" xfId="0" applyNumberFormat="1"/>
    <xf numFmtId="0" fontId="1" fillId="3" borderId="0" xfId="0" applyFont="1" applyFill="1" applyAlignment="1">
      <alignment horizontal="left"/>
    </xf>
    <xf numFmtId="0" fontId="0" fillId="3" borderId="0" xfId="0" applyFill="1"/>
    <xf numFmtId="164" fontId="0" fillId="0" borderId="0" xfId="0" applyNumberFormat="1"/>
    <xf numFmtId="0" fontId="3" fillId="4" borderId="0" xfId="0" applyFont="1" applyFill="1"/>
    <xf numFmtId="0" fontId="7" fillId="0" borderId="0" xfId="0" applyFont="1"/>
    <xf numFmtId="3" fontId="0" fillId="0" borderId="0" xfId="0" applyNumberFormat="1"/>
    <xf numFmtId="11" fontId="0" fillId="0" borderId="4" xfId="0" applyNumberFormat="1" applyBorder="1"/>
    <xf numFmtId="165" fontId="1" fillId="0" borderId="0" xfId="0" applyNumberFormat="1" applyFont="1"/>
    <xf numFmtId="0" fontId="0" fillId="4" borderId="0" xfId="0" applyFill="1"/>
    <xf numFmtId="166" fontId="0" fillId="0" borderId="0" xfId="0" applyNumberForma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5</xdr:col>
      <xdr:colOff>605117</xdr:colOff>
      <xdr:row>29</xdr:row>
      <xdr:rowOff>38100</xdr:rowOff>
    </xdr:to>
    <xdr:pic>
      <xdr:nvPicPr>
        <xdr:cNvPr id="2" name="Picture 1" descr="Fig. 3">
          <a:extLst>
            <a:ext uri="{FF2B5EF4-FFF2-40B4-BE49-F238E27FC236}">
              <a16:creationId xmlns:a16="http://schemas.microsoft.com/office/drawing/2014/main" id="{6A566391-3CA2-219C-62E2-FB5C0CA0B7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867025"/>
          <a:ext cx="6581775" cy="270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8</xdr:col>
      <xdr:colOff>699200</xdr:colOff>
      <xdr:row>14</xdr:row>
      <xdr:rowOff>92201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1D108D-0B02-CBE6-15FF-B4699646E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5"/>
          <a:ext cx="6369377" cy="24448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cf.com/insights/energy/comparing-costs-of-industrial-hydrogen-technologies" TargetMode="External"/><Relationship Id="rId2" Type="http://schemas.openxmlformats.org/officeDocument/2006/relationships/hyperlink" Target="https://doi.org/10.1016/j.ijhydene.2013.10.060" TargetMode="External"/><Relationship Id="rId1" Type="http://schemas.openxmlformats.org/officeDocument/2006/relationships/hyperlink" Target="https://www.iea.org/media/publications/hydrogen/IEA-The-Future-of-Hydrogen-Assumptions-Annex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hydrogen.energy.gov/docs/hydrogenprogramlibraries/pdfs/24005-clean-hydrogen-production-cost-pem-electrolyzer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5"/>
  <sheetViews>
    <sheetView topLeftCell="A61" workbookViewId="0">
      <selection activeCell="A72" sqref="A72"/>
    </sheetView>
  </sheetViews>
  <sheetFormatPr defaultRowHeight="15" x14ac:dyDescent="0.25"/>
  <cols>
    <col min="2" max="2" width="45.85546875" customWidth="1"/>
  </cols>
  <sheetData>
    <row r="1" spans="1:2" x14ac:dyDescent="0.25">
      <c r="A1" s="1" t="s">
        <v>0</v>
      </c>
    </row>
    <row r="2" spans="1:2" x14ac:dyDescent="0.25">
      <c r="A2" s="1" t="s">
        <v>50</v>
      </c>
    </row>
    <row r="3" spans="1:2" x14ac:dyDescent="0.25">
      <c r="A3" s="1"/>
    </row>
    <row r="4" spans="1:2" x14ac:dyDescent="0.25">
      <c r="A4" s="1"/>
    </row>
    <row r="6" spans="1:2" x14ac:dyDescent="0.25">
      <c r="A6" s="1" t="s">
        <v>1</v>
      </c>
      <c r="B6" t="s">
        <v>21</v>
      </c>
    </row>
    <row r="7" spans="1:2" x14ac:dyDescent="0.25">
      <c r="B7" s="7">
        <v>2019</v>
      </c>
    </row>
    <row r="8" spans="1:2" x14ac:dyDescent="0.25">
      <c r="B8" t="s">
        <v>22</v>
      </c>
    </row>
    <row r="9" spans="1:2" x14ac:dyDescent="0.25">
      <c r="B9" s="8" t="s">
        <v>23</v>
      </c>
    </row>
    <row r="10" spans="1:2" x14ac:dyDescent="0.25">
      <c r="B10" t="s">
        <v>24</v>
      </c>
    </row>
    <row r="12" spans="1:2" x14ac:dyDescent="0.25">
      <c r="B12" t="s">
        <v>74</v>
      </c>
    </row>
    <row r="13" spans="1:2" x14ac:dyDescent="0.25">
      <c r="B13" s="7">
        <v>2024</v>
      </c>
    </row>
    <row r="14" spans="1:2" x14ac:dyDescent="0.25">
      <c r="B14" t="s">
        <v>75</v>
      </c>
    </row>
    <row r="15" spans="1:2" x14ac:dyDescent="0.25">
      <c r="B15" s="8" t="s">
        <v>76</v>
      </c>
    </row>
    <row r="16" spans="1:2" x14ac:dyDescent="0.25">
      <c r="B16" t="s">
        <v>77</v>
      </c>
    </row>
    <row r="18" spans="1:2" x14ac:dyDescent="0.25">
      <c r="B18" t="s">
        <v>129</v>
      </c>
    </row>
    <row r="19" spans="1:2" x14ac:dyDescent="0.25">
      <c r="B19" s="7">
        <v>2022</v>
      </c>
    </row>
    <row r="20" spans="1:2" x14ac:dyDescent="0.25">
      <c r="B20" t="s">
        <v>130</v>
      </c>
    </row>
    <row r="21" spans="1:2" x14ac:dyDescent="0.25">
      <c r="B21" t="s">
        <v>132</v>
      </c>
    </row>
    <row r="22" spans="1:2" x14ac:dyDescent="0.25">
      <c r="B22" t="s">
        <v>131</v>
      </c>
    </row>
    <row r="25" spans="1:2" x14ac:dyDescent="0.25">
      <c r="A25" s="1" t="s">
        <v>28</v>
      </c>
    </row>
    <row r="26" spans="1:2" x14ac:dyDescent="0.25">
      <c r="A26" t="s">
        <v>29</v>
      </c>
    </row>
    <row r="27" spans="1:2" x14ac:dyDescent="0.25">
      <c r="A27" t="s">
        <v>30</v>
      </c>
    </row>
    <row r="28" spans="1:2" x14ac:dyDescent="0.25">
      <c r="A28" t="s">
        <v>31</v>
      </c>
    </row>
    <row r="29" spans="1:2" x14ac:dyDescent="0.25">
      <c r="A29" t="s">
        <v>32</v>
      </c>
    </row>
    <row r="31" spans="1:2" x14ac:dyDescent="0.25">
      <c r="A31" s="1" t="s">
        <v>59</v>
      </c>
    </row>
    <row r="32" spans="1:2" x14ac:dyDescent="0.25">
      <c r="A32" t="s">
        <v>51</v>
      </c>
    </row>
    <row r="33" spans="1:1" x14ac:dyDescent="0.25">
      <c r="A33" t="s">
        <v>52</v>
      </c>
    </row>
    <row r="34" spans="1:1" x14ac:dyDescent="0.25">
      <c r="A34" t="s">
        <v>53</v>
      </c>
    </row>
    <row r="35" spans="1:1" x14ac:dyDescent="0.25">
      <c r="A35" t="s">
        <v>54</v>
      </c>
    </row>
    <row r="36" spans="1:1" x14ac:dyDescent="0.25">
      <c r="A36" t="s">
        <v>55</v>
      </c>
    </row>
    <row r="37" spans="1:1" x14ac:dyDescent="0.25">
      <c r="A37" t="s">
        <v>56</v>
      </c>
    </row>
    <row r="38" spans="1:1" x14ac:dyDescent="0.25">
      <c r="A38" t="s">
        <v>57</v>
      </c>
    </row>
    <row r="39" spans="1:1" x14ac:dyDescent="0.25">
      <c r="A39" t="s">
        <v>58</v>
      </c>
    </row>
    <row r="40" spans="1:1" x14ac:dyDescent="0.25">
      <c r="A40" t="s">
        <v>60</v>
      </c>
    </row>
    <row r="42" spans="1:1" x14ac:dyDescent="0.25">
      <c r="A42" s="1" t="s">
        <v>33</v>
      </c>
    </row>
    <row r="43" spans="1:1" x14ac:dyDescent="0.25">
      <c r="A43" t="s">
        <v>34</v>
      </c>
    </row>
    <row r="44" spans="1:1" x14ac:dyDescent="0.25">
      <c r="A44" t="s">
        <v>35</v>
      </c>
    </row>
    <row r="45" spans="1:1" x14ac:dyDescent="0.25">
      <c r="A45" t="s">
        <v>36</v>
      </c>
    </row>
    <row r="46" spans="1:1" x14ac:dyDescent="0.25">
      <c r="A46" t="s">
        <v>37</v>
      </c>
    </row>
    <row r="47" spans="1:1" x14ac:dyDescent="0.25">
      <c r="A47" t="s">
        <v>38</v>
      </c>
    </row>
    <row r="48" spans="1:1" x14ac:dyDescent="0.25">
      <c r="A48" t="s">
        <v>39</v>
      </c>
    </row>
    <row r="49" spans="1:2" x14ac:dyDescent="0.25">
      <c r="A49" t="s">
        <v>40</v>
      </c>
    </row>
    <row r="50" spans="1:2" x14ac:dyDescent="0.25">
      <c r="A50" t="s">
        <v>41</v>
      </c>
    </row>
    <row r="51" spans="1:2" x14ac:dyDescent="0.25">
      <c r="B51" t="s">
        <v>42</v>
      </c>
    </row>
    <row r="52" spans="1:2" x14ac:dyDescent="0.25">
      <c r="B52" s="7">
        <v>2014</v>
      </c>
    </row>
    <row r="53" spans="1:2" x14ac:dyDescent="0.25">
      <c r="B53" t="s">
        <v>43</v>
      </c>
    </row>
    <row r="54" spans="1:2" x14ac:dyDescent="0.25">
      <c r="B54" s="8" t="s">
        <v>44</v>
      </c>
    </row>
    <row r="55" spans="1:2" x14ac:dyDescent="0.25">
      <c r="B55" t="s">
        <v>45</v>
      </c>
    </row>
    <row r="57" spans="1:2" x14ac:dyDescent="0.25">
      <c r="A57" s="1" t="s">
        <v>66</v>
      </c>
    </row>
    <row r="58" spans="1:2" x14ac:dyDescent="0.25">
      <c r="A58" t="s">
        <v>67</v>
      </c>
    </row>
    <row r="59" spans="1:2" x14ac:dyDescent="0.25">
      <c r="A59" t="s">
        <v>68</v>
      </c>
    </row>
    <row r="60" spans="1:2" x14ac:dyDescent="0.25">
      <c r="A60" t="s">
        <v>69</v>
      </c>
    </row>
    <row r="61" spans="1:2" x14ac:dyDescent="0.25">
      <c r="A61" t="s">
        <v>73</v>
      </c>
    </row>
    <row r="62" spans="1:2" x14ac:dyDescent="0.25">
      <c r="B62" t="s">
        <v>70</v>
      </c>
    </row>
    <row r="63" spans="1:2" x14ac:dyDescent="0.25">
      <c r="B63" s="7">
        <v>2023</v>
      </c>
    </row>
    <row r="64" spans="1:2" x14ac:dyDescent="0.25">
      <c r="B64" t="s">
        <v>71</v>
      </c>
    </row>
    <row r="65" spans="1:2" x14ac:dyDescent="0.25">
      <c r="B65" s="8" t="s">
        <v>72</v>
      </c>
    </row>
    <row r="67" spans="1:2" x14ac:dyDescent="0.25">
      <c r="A67" s="1" t="s">
        <v>47</v>
      </c>
    </row>
    <row r="68" spans="1:2" x14ac:dyDescent="0.25">
      <c r="A68" t="s">
        <v>48</v>
      </c>
    </row>
    <row r="69" spans="1:2" x14ac:dyDescent="0.25">
      <c r="A69" t="s">
        <v>49</v>
      </c>
    </row>
    <row r="71" spans="1:2" x14ac:dyDescent="0.25">
      <c r="A71" t="s">
        <v>78</v>
      </c>
    </row>
    <row r="72" spans="1:2" x14ac:dyDescent="0.25">
      <c r="A72">
        <v>0.78452102304761584</v>
      </c>
    </row>
    <row r="74" spans="1:2" x14ac:dyDescent="0.25">
      <c r="A74" t="s">
        <v>150</v>
      </c>
    </row>
    <row r="75" spans="1:2" x14ac:dyDescent="0.25">
      <c r="A75">
        <v>0.91400000000000003</v>
      </c>
    </row>
  </sheetData>
  <hyperlinks>
    <hyperlink ref="B9" r:id="rId1" xr:uid="{00000000-0004-0000-0000-000000000000}"/>
    <hyperlink ref="B54" r:id="rId2" xr:uid="{00000000-0004-0000-0000-000001000000}"/>
    <hyperlink ref="B65" r:id="rId3" xr:uid="{0EAF8239-1601-435F-A7F3-DCBE0357401E}"/>
    <hyperlink ref="B15" r:id="rId4" xr:uid="{0315EA59-F95F-4000-B10B-ABC8C54DF753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3"/>
  <sheetViews>
    <sheetView zoomScale="115" zoomScaleNormal="115" workbookViewId="0">
      <selection activeCell="B18" sqref="B18:B19"/>
    </sheetView>
  </sheetViews>
  <sheetFormatPr defaultRowHeight="15" x14ac:dyDescent="0.25"/>
  <cols>
    <col min="1" max="3" width="25.42578125" customWidth="1"/>
    <col min="4" max="4" width="11.5703125" customWidth="1"/>
    <col min="5" max="5" width="10.140625" customWidth="1"/>
    <col min="6" max="6" width="14.5703125" customWidth="1"/>
    <col min="10" max="10" width="13.140625" bestFit="1" customWidth="1"/>
  </cols>
  <sheetData>
    <row r="1" spans="1:12" ht="15.75" thickBot="1" x14ac:dyDescent="0.3">
      <c r="A1" s="2" t="s">
        <v>2</v>
      </c>
      <c r="B1" s="2" t="s">
        <v>3</v>
      </c>
      <c r="C1" s="2" t="s">
        <v>4</v>
      </c>
      <c r="D1" s="3" t="s">
        <v>5</v>
      </c>
      <c r="E1" s="3">
        <v>2030</v>
      </c>
      <c r="F1" s="3" t="s">
        <v>6</v>
      </c>
      <c r="H1" s="20" t="s">
        <v>96</v>
      </c>
      <c r="I1" s="21"/>
      <c r="J1" s="21"/>
      <c r="K1" s="21"/>
      <c r="L1" s="21"/>
    </row>
    <row r="2" spans="1:12" ht="15.75" thickTop="1" x14ac:dyDescent="0.25">
      <c r="A2" t="s">
        <v>7</v>
      </c>
      <c r="B2" t="s">
        <v>8</v>
      </c>
      <c r="C2" t="s">
        <v>9</v>
      </c>
      <c r="D2">
        <v>900</v>
      </c>
      <c r="E2">
        <v>700</v>
      </c>
      <c r="F2">
        <v>450</v>
      </c>
      <c r="H2" s="21" t="s">
        <v>97</v>
      </c>
      <c r="I2" s="21"/>
      <c r="J2" s="21"/>
      <c r="K2" s="21"/>
      <c r="L2" s="21"/>
    </row>
    <row r="3" spans="1:12" x14ac:dyDescent="0.25">
      <c r="B3" t="s">
        <v>10</v>
      </c>
      <c r="C3" t="s">
        <v>11</v>
      </c>
      <c r="D3" s="4">
        <v>0.64</v>
      </c>
      <c r="E3" s="4">
        <v>0.69</v>
      </c>
      <c r="F3" s="4">
        <v>0.74</v>
      </c>
      <c r="H3">
        <v>264</v>
      </c>
      <c r="I3" t="s">
        <v>98</v>
      </c>
    </row>
    <row r="4" spans="1:12" x14ac:dyDescent="0.25">
      <c r="B4" t="s">
        <v>12</v>
      </c>
      <c r="C4" t="s">
        <v>13</v>
      </c>
      <c r="D4" s="5">
        <v>1.4999999999999999E-2</v>
      </c>
      <c r="E4" s="5">
        <v>1.4999999999999999E-2</v>
      </c>
      <c r="F4" s="5">
        <v>1.4999999999999999E-2</v>
      </c>
      <c r="J4" s="11"/>
      <c r="K4" s="11"/>
      <c r="L4" s="11"/>
    </row>
    <row r="5" spans="1:12" ht="15.75" thickBot="1" x14ac:dyDescent="0.3">
      <c r="A5" s="6"/>
      <c r="B5" s="6" t="s">
        <v>14</v>
      </c>
      <c r="C5" s="6" t="s">
        <v>15</v>
      </c>
      <c r="D5" s="6">
        <v>95000</v>
      </c>
      <c r="E5" s="6">
        <v>95000</v>
      </c>
      <c r="F5" s="6">
        <v>100000</v>
      </c>
      <c r="H5">
        <f>D2*usd_year_conv/'IEA Data'!B20/H3</f>
        <v>4.2572880050677568</v>
      </c>
      <c r="J5" s="18">
        <f>D2/$H$3</f>
        <v>3.4090909090909092</v>
      </c>
      <c r="K5" s="18">
        <f t="shared" ref="K5:L5" si="0">E2/$H$3</f>
        <v>2.6515151515151514</v>
      </c>
      <c r="L5" s="18">
        <f t="shared" si="0"/>
        <v>1.7045454545454546</v>
      </c>
    </row>
    <row r="6" spans="1:12" ht="18.75" thickTop="1" x14ac:dyDescent="0.35">
      <c r="A6" t="s">
        <v>16</v>
      </c>
      <c r="B6" t="s">
        <v>8</v>
      </c>
      <c r="C6" t="s">
        <v>95</v>
      </c>
      <c r="D6">
        <v>910</v>
      </c>
      <c r="E6">
        <v>910</v>
      </c>
      <c r="F6">
        <v>910</v>
      </c>
      <c r="H6" s="11">
        <f>HPEC!H2*'IEA Data'!B21</f>
        <v>25.319196660549348</v>
      </c>
      <c r="J6" s="18">
        <f>J5*usd_year_conv/'IEA Data'!$B$20</f>
        <v>4.2572880050677568</v>
      </c>
      <c r="K6" s="18">
        <f>K5*usd_year_conv/'IEA Data'!$B$20</f>
        <v>3.3112240039415881</v>
      </c>
      <c r="L6" s="18">
        <f>L5*usd_year_conv/'IEA Data'!$B$20</f>
        <v>2.1286440025338784</v>
      </c>
    </row>
    <row r="7" spans="1:12" x14ac:dyDescent="0.25">
      <c r="B7" t="s">
        <v>10</v>
      </c>
      <c r="C7" t="s">
        <v>11</v>
      </c>
      <c r="D7" s="4">
        <v>0.76</v>
      </c>
      <c r="E7" s="4">
        <v>0.76</v>
      </c>
      <c r="F7" s="4">
        <v>0.76</v>
      </c>
      <c r="J7" s="18"/>
      <c r="K7" s="18"/>
      <c r="L7" s="18"/>
    </row>
    <row r="8" spans="1:12" x14ac:dyDescent="0.25">
      <c r="B8" t="s">
        <v>12</v>
      </c>
      <c r="C8" t="s">
        <v>13</v>
      </c>
      <c r="D8" s="5">
        <v>4.7E-2</v>
      </c>
      <c r="E8" s="5">
        <v>4.7E-2</v>
      </c>
      <c r="F8" s="5">
        <v>4.7E-2</v>
      </c>
      <c r="H8">
        <f>D6/8760</f>
        <v>0.10388127853881278</v>
      </c>
    </row>
    <row r="9" spans="1:12" ht="15.75" thickBot="1" x14ac:dyDescent="0.3">
      <c r="A9" s="6"/>
      <c r="B9" s="6" t="s">
        <v>17</v>
      </c>
      <c r="C9" s="6" t="s">
        <v>18</v>
      </c>
      <c r="D9" s="6">
        <v>8.9</v>
      </c>
      <c r="E9" s="6">
        <v>8.9</v>
      </c>
      <c r="F9" s="6">
        <v>8.9</v>
      </c>
    </row>
    <row r="10" spans="1:12" ht="18.75" thickTop="1" x14ac:dyDescent="0.35">
      <c r="A10" t="s">
        <v>19</v>
      </c>
      <c r="B10" t="s">
        <v>8</v>
      </c>
      <c r="C10" t="s">
        <v>95</v>
      </c>
      <c r="D10">
        <v>2670</v>
      </c>
      <c r="E10">
        <v>2670</v>
      </c>
      <c r="F10">
        <v>2670</v>
      </c>
    </row>
    <row r="11" spans="1:12" x14ac:dyDescent="0.25">
      <c r="B11" t="s">
        <v>10</v>
      </c>
      <c r="C11" t="s">
        <v>11</v>
      </c>
      <c r="D11" s="4">
        <v>0.6</v>
      </c>
      <c r="E11" s="4">
        <v>0.6</v>
      </c>
      <c r="F11" s="4">
        <v>0.6</v>
      </c>
    </row>
    <row r="12" spans="1:12" x14ac:dyDescent="0.25">
      <c r="B12" t="s">
        <v>12</v>
      </c>
      <c r="C12" t="s">
        <v>13</v>
      </c>
      <c r="D12" s="4">
        <v>0.05</v>
      </c>
      <c r="E12" s="4">
        <v>0.05</v>
      </c>
      <c r="F12" s="4">
        <v>0.05</v>
      </c>
    </row>
    <row r="13" spans="1:12" ht="15.75" thickBot="1" x14ac:dyDescent="0.3">
      <c r="A13" s="6"/>
      <c r="B13" s="6" t="s">
        <v>17</v>
      </c>
      <c r="C13" s="6" t="s">
        <v>18</v>
      </c>
      <c r="D13" s="6">
        <v>20.2</v>
      </c>
      <c r="E13" s="6">
        <v>20.2</v>
      </c>
      <c r="F13" s="6">
        <v>20.2</v>
      </c>
    </row>
    <row r="14" spans="1:12" ht="15.75" thickTop="1" x14ac:dyDescent="0.25"/>
    <row r="15" spans="1:12" x14ac:dyDescent="0.25">
      <c r="A15" t="s">
        <v>20</v>
      </c>
      <c r="D15">
        <v>2017</v>
      </c>
      <c r="E15">
        <v>2030</v>
      </c>
      <c r="F15">
        <v>2050</v>
      </c>
    </row>
    <row r="18" spans="1:14" x14ac:dyDescent="0.25">
      <c r="B18">
        <f>134500000000000</f>
        <v>134500000000000</v>
      </c>
      <c r="C18" t="s">
        <v>83</v>
      </c>
    </row>
    <row r="19" spans="1:14" x14ac:dyDescent="0.25">
      <c r="B19" s="11">
        <f>1000000000</f>
        <v>1000000000</v>
      </c>
      <c r="C19" t="s">
        <v>84</v>
      </c>
    </row>
    <row r="20" spans="1:14" x14ac:dyDescent="0.25">
      <c r="B20">
        <v>0.7319</v>
      </c>
      <c r="C20" t="s">
        <v>85</v>
      </c>
    </row>
    <row r="21" spans="1:14" x14ac:dyDescent="0.25">
      <c r="B21">
        <f>B18/B19/B20</f>
        <v>183768.27435441999</v>
      </c>
      <c r="C21" t="s">
        <v>90</v>
      </c>
      <c r="D21" s="18">
        <f>HPEC!I2*'IEA Data'!B21</f>
        <v>24.414939636958092</v>
      </c>
    </row>
    <row r="23" spans="1:14" x14ac:dyDescent="0.25">
      <c r="B23" s="11">
        <v>3.1200000000000002E-6</v>
      </c>
      <c r="C23" t="s">
        <v>86</v>
      </c>
    </row>
    <row r="24" spans="1:14" x14ac:dyDescent="0.25">
      <c r="B24">
        <v>1.3729</v>
      </c>
      <c r="C24" t="s">
        <v>87</v>
      </c>
    </row>
    <row r="25" spans="1:14" x14ac:dyDescent="0.25">
      <c r="B25" s="11">
        <v>1.8600000000000001E-5</v>
      </c>
      <c r="C25" t="s">
        <v>91</v>
      </c>
    </row>
    <row r="26" spans="1:14" x14ac:dyDescent="0.25">
      <c r="B26">
        <v>1.6899999999999998E-2</v>
      </c>
      <c r="C26" t="s">
        <v>92</v>
      </c>
    </row>
    <row r="28" spans="1:14" x14ac:dyDescent="0.25">
      <c r="B28">
        <v>0.25</v>
      </c>
      <c r="C28" t="s">
        <v>94</v>
      </c>
    </row>
    <row r="30" spans="1:14" x14ac:dyDescent="0.25">
      <c r="A30" s="11">
        <f>B30/B21</f>
        <v>1.0053674186484697E-5</v>
      </c>
      <c r="B30" s="18">
        <f>HPEC!B3*B21*(1+B28)</f>
        <v>1.8475463561718699</v>
      </c>
      <c r="C30" t="s">
        <v>88</v>
      </c>
      <c r="H30">
        <f>0.15/B21</f>
        <v>8.1624535315985131E-7</v>
      </c>
    </row>
    <row r="31" spans="1:14" x14ac:dyDescent="0.25">
      <c r="A31" s="11">
        <f>B31/B21</f>
        <v>4.5977879999999999E-6</v>
      </c>
      <c r="B31" s="18">
        <f>B23*B24*B21+B25*B26*B21</f>
        <v>0.84492756660746005</v>
      </c>
      <c r="C31" t="s">
        <v>89</v>
      </c>
      <c r="N31">
        <f>200*8760/20000</f>
        <v>87.6</v>
      </c>
    </row>
    <row r="32" spans="1:14" x14ac:dyDescent="0.25">
      <c r="A32" s="11">
        <f>B32/B21</f>
        <v>4.7252268676478081E-7</v>
      </c>
      <c r="B32" s="19">
        <f>HPEO!B3*B21*(1+B28)</f>
        <v>8.68346787400779E-2</v>
      </c>
      <c r="C32" t="s">
        <v>93</v>
      </c>
    </row>
    <row r="33" spans="1:1" x14ac:dyDescent="0.25">
      <c r="A33" s="11">
        <f>SUM(A30:A32)</f>
        <v>1.5123984873249478E-5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78A5D-74AD-4ED6-BF04-3B635E31E1A5}">
  <dimension ref="B2:H68"/>
  <sheetViews>
    <sheetView topLeftCell="A27" zoomScale="85" zoomScaleNormal="85" workbookViewId="0">
      <selection activeCell="G43" sqref="G43"/>
    </sheetView>
  </sheetViews>
  <sheetFormatPr defaultRowHeight="15" x14ac:dyDescent="0.25"/>
  <cols>
    <col min="2" max="2" width="55.42578125" bestFit="1" customWidth="1"/>
    <col min="3" max="3" width="12.7109375" bestFit="1" customWidth="1"/>
    <col min="4" max="4" width="11.42578125" bestFit="1" customWidth="1"/>
    <col min="5" max="5" width="10" bestFit="1" customWidth="1"/>
    <col min="6" max="6" width="15.28515625" bestFit="1" customWidth="1"/>
    <col min="7" max="7" width="16.7109375" bestFit="1" customWidth="1"/>
  </cols>
  <sheetData>
    <row r="2" spans="2:7" x14ac:dyDescent="0.25">
      <c r="B2" t="s">
        <v>133</v>
      </c>
    </row>
    <row r="3" spans="2:7" ht="15.75" x14ac:dyDescent="0.25">
      <c r="B3" s="24" t="s">
        <v>134</v>
      </c>
    </row>
    <row r="4" spans="2:7" x14ac:dyDescent="0.25">
      <c r="B4" s="1" t="s">
        <v>3</v>
      </c>
      <c r="C4" s="1" t="s">
        <v>135</v>
      </c>
      <c r="D4" s="1" t="s">
        <v>136</v>
      </c>
      <c r="G4" s="1"/>
    </row>
    <row r="5" spans="2:7" x14ac:dyDescent="0.25">
      <c r="B5" t="s">
        <v>137</v>
      </c>
      <c r="C5" t="s">
        <v>157</v>
      </c>
      <c r="D5">
        <f>500000*365</f>
        <v>182500000</v>
      </c>
    </row>
    <row r="6" spans="2:7" x14ac:dyDescent="0.25">
      <c r="B6" t="s">
        <v>138</v>
      </c>
      <c r="C6" t="s">
        <v>144</v>
      </c>
      <c r="D6">
        <v>3.16</v>
      </c>
    </row>
    <row r="7" spans="2:7" x14ac:dyDescent="0.25">
      <c r="B7" t="s">
        <v>139</v>
      </c>
      <c r="C7" t="s">
        <v>140</v>
      </c>
      <c r="D7">
        <v>3.7</v>
      </c>
    </row>
    <row r="8" spans="2:7" x14ac:dyDescent="0.25">
      <c r="B8" t="s">
        <v>141</v>
      </c>
      <c r="C8" t="s">
        <v>145</v>
      </c>
      <c r="D8">
        <v>9.74</v>
      </c>
    </row>
    <row r="9" spans="2:7" x14ac:dyDescent="0.25">
      <c r="B9" t="s">
        <v>146</v>
      </c>
      <c r="C9" t="s">
        <v>147</v>
      </c>
      <c r="D9">
        <v>8.4700000000000006</v>
      </c>
      <c r="F9" s="1" t="s">
        <v>126</v>
      </c>
      <c r="G9" s="1" t="s">
        <v>127</v>
      </c>
    </row>
    <row r="10" spans="2:7" x14ac:dyDescent="0.25">
      <c r="B10" t="s">
        <v>8</v>
      </c>
      <c r="C10" t="s">
        <v>148</v>
      </c>
      <c r="D10">
        <v>0.15</v>
      </c>
      <c r="F10" s="19">
        <f>D10*About!$A$75</f>
        <v>0.1371</v>
      </c>
      <c r="G10" s="11">
        <f>D10*About!$A$75/'IEA Data'!$B$18*'IEA Data'!$B$19</f>
        <v>1.0193308550185872E-6</v>
      </c>
    </row>
    <row r="11" spans="2:7" x14ac:dyDescent="0.25">
      <c r="B11" t="s">
        <v>142</v>
      </c>
      <c r="C11" t="s">
        <v>148</v>
      </c>
      <c r="D11">
        <v>0.81</v>
      </c>
      <c r="F11" s="19">
        <f>D11*About!$A$75</f>
        <v>0.74034000000000011</v>
      </c>
      <c r="G11" s="11">
        <f>D11*About!$A$75/'IEA Data'!$B$18*'IEA Data'!$B$19</f>
        <v>5.5043866171003719E-6</v>
      </c>
    </row>
    <row r="12" spans="2:7" x14ac:dyDescent="0.25">
      <c r="B12" t="s">
        <v>143</v>
      </c>
      <c r="C12" t="s">
        <v>148</v>
      </c>
      <c r="D12">
        <v>0.96</v>
      </c>
      <c r="F12" s="19">
        <f>D12*About!$A$75</f>
        <v>0.87744</v>
      </c>
      <c r="G12" s="11">
        <f>D12*About!$A$75/'IEA Data'!$B$18*'IEA Data'!$B$19</f>
        <v>6.5237174721189588E-6</v>
      </c>
    </row>
    <row r="13" spans="2:7" x14ac:dyDescent="0.25">
      <c r="B13" t="s">
        <v>149</v>
      </c>
    </row>
    <row r="15" spans="2:7" x14ac:dyDescent="0.25">
      <c r="B15" t="s">
        <v>151</v>
      </c>
    </row>
    <row r="31" spans="2:3" x14ac:dyDescent="0.25">
      <c r="B31" t="s">
        <v>152</v>
      </c>
    </row>
    <row r="32" spans="2:3" x14ac:dyDescent="0.25">
      <c r="B32" s="22">
        <v>0.751</v>
      </c>
      <c r="C32" t="s">
        <v>153</v>
      </c>
    </row>
    <row r="33" spans="2:8" x14ac:dyDescent="0.25">
      <c r="B33" s="22">
        <f>1-B32</f>
        <v>0.249</v>
      </c>
      <c r="C33" t="s">
        <v>154</v>
      </c>
    </row>
    <row r="35" spans="2:8" x14ac:dyDescent="0.25">
      <c r="B35" s="19">
        <f>F11*B33</f>
        <v>0.18434466000000002</v>
      </c>
      <c r="C35" t="s">
        <v>158</v>
      </c>
    </row>
    <row r="36" spans="2:8" x14ac:dyDescent="0.25">
      <c r="B36" s="11">
        <f>G11*B33</f>
        <v>1.3705922676579926E-6</v>
      </c>
      <c r="C36" t="s">
        <v>159</v>
      </c>
    </row>
    <row r="38" spans="2:8" x14ac:dyDescent="0.25">
      <c r="B38" t="s">
        <v>160</v>
      </c>
      <c r="G38" s="15" t="s">
        <v>192</v>
      </c>
    </row>
    <row r="39" spans="2:8" x14ac:dyDescent="0.25">
      <c r="B39" t="s">
        <v>161</v>
      </c>
      <c r="C39" t="s">
        <v>135</v>
      </c>
      <c r="D39" t="s">
        <v>136</v>
      </c>
      <c r="E39" t="s">
        <v>162</v>
      </c>
      <c r="G39">
        <v>216000000</v>
      </c>
      <c r="H39" t="s">
        <v>190</v>
      </c>
    </row>
    <row r="40" spans="2:8" x14ac:dyDescent="0.25">
      <c r="B40" t="s">
        <v>163</v>
      </c>
      <c r="G40">
        <f>G39/D5</f>
        <v>1.1835616438356165</v>
      </c>
      <c r="H40" t="s">
        <v>193</v>
      </c>
    </row>
    <row r="41" spans="2:8" x14ac:dyDescent="0.25">
      <c r="B41" t="s">
        <v>164</v>
      </c>
      <c r="C41" t="s">
        <v>165</v>
      </c>
      <c r="D41">
        <v>500</v>
      </c>
      <c r="E41" t="s">
        <v>166</v>
      </c>
      <c r="G41" s="11">
        <f>G40/'IEA Data'!B18*'IEA Data'!B19*About!A75</f>
        <v>8.0429393491877576E-6</v>
      </c>
      <c r="H41" t="s">
        <v>191</v>
      </c>
    </row>
    <row r="42" spans="2:8" x14ac:dyDescent="0.25">
      <c r="B42" t="s">
        <v>167</v>
      </c>
      <c r="C42" t="s">
        <v>168</v>
      </c>
      <c r="D42">
        <v>25</v>
      </c>
      <c r="E42" t="s">
        <v>169</v>
      </c>
    </row>
    <row r="43" spans="2:8" x14ac:dyDescent="0.25">
      <c r="B43" t="s">
        <v>170</v>
      </c>
      <c r="C43" t="s">
        <v>171</v>
      </c>
      <c r="D43">
        <v>2.7</v>
      </c>
      <c r="E43" t="s">
        <v>169</v>
      </c>
    </row>
    <row r="44" spans="2:8" x14ac:dyDescent="0.25">
      <c r="B44" t="s">
        <v>172</v>
      </c>
      <c r="C44" t="s">
        <v>173</v>
      </c>
      <c r="D44" s="25">
        <v>1800</v>
      </c>
      <c r="E44" t="s">
        <v>174</v>
      </c>
    </row>
    <row r="45" spans="2:8" x14ac:dyDescent="0.25">
      <c r="B45" t="s">
        <v>175</v>
      </c>
      <c r="C45" t="s">
        <v>176</v>
      </c>
      <c r="D45">
        <v>24.8</v>
      </c>
      <c r="E45" t="s">
        <v>174</v>
      </c>
    </row>
    <row r="46" spans="2:8" x14ac:dyDescent="0.25">
      <c r="B46" t="s">
        <v>177</v>
      </c>
      <c r="C46" t="s">
        <v>171</v>
      </c>
      <c r="D46">
        <v>0.75</v>
      </c>
      <c r="E46" t="s">
        <v>174</v>
      </c>
    </row>
    <row r="47" spans="2:8" x14ac:dyDescent="0.25">
      <c r="B47" t="s">
        <v>178</v>
      </c>
    </row>
    <row r="48" spans="2:8" x14ac:dyDescent="0.25">
      <c r="B48" t="s">
        <v>164</v>
      </c>
      <c r="C48" t="s">
        <v>165</v>
      </c>
      <c r="D48">
        <v>700</v>
      </c>
      <c r="E48" t="s">
        <v>166</v>
      </c>
    </row>
    <row r="49" spans="2:5" x14ac:dyDescent="0.25">
      <c r="B49" t="s">
        <v>167</v>
      </c>
      <c r="C49" t="s">
        <v>179</v>
      </c>
      <c r="D49">
        <v>24</v>
      </c>
      <c r="E49" t="s">
        <v>180</v>
      </c>
    </row>
    <row r="50" spans="2:5" x14ac:dyDescent="0.25">
      <c r="B50" t="s">
        <v>181</v>
      </c>
      <c r="C50" t="s">
        <v>171</v>
      </c>
      <c r="D50">
        <v>3</v>
      </c>
      <c r="E50" t="s">
        <v>169</v>
      </c>
    </row>
    <row r="51" spans="2:5" x14ac:dyDescent="0.25">
      <c r="B51" t="s">
        <v>172</v>
      </c>
      <c r="C51" t="s">
        <v>173</v>
      </c>
      <c r="D51" s="25">
        <v>1246</v>
      </c>
      <c r="E51" t="s">
        <v>174</v>
      </c>
    </row>
    <row r="52" spans="2:5" x14ac:dyDescent="0.25">
      <c r="B52" t="s">
        <v>175</v>
      </c>
      <c r="C52" t="s">
        <v>176</v>
      </c>
      <c r="D52">
        <v>34.299999999999997</v>
      </c>
      <c r="E52" t="s">
        <v>174</v>
      </c>
    </row>
    <row r="53" spans="2:5" x14ac:dyDescent="0.25">
      <c r="B53" t="s">
        <v>177</v>
      </c>
      <c r="C53" t="s">
        <v>171</v>
      </c>
      <c r="D53">
        <v>0.75</v>
      </c>
      <c r="E53" t="s">
        <v>174</v>
      </c>
    </row>
    <row r="54" spans="2:5" x14ac:dyDescent="0.25">
      <c r="B54" t="s">
        <v>182</v>
      </c>
    </row>
    <row r="55" spans="2:5" x14ac:dyDescent="0.25">
      <c r="B55" t="s">
        <v>183</v>
      </c>
    </row>
    <row r="56" spans="2:5" x14ac:dyDescent="0.25">
      <c r="B56" t="s">
        <v>164</v>
      </c>
      <c r="C56" t="s">
        <v>165</v>
      </c>
      <c r="D56">
        <v>320</v>
      </c>
      <c r="E56" t="s">
        <v>184</v>
      </c>
    </row>
    <row r="57" spans="2:5" x14ac:dyDescent="0.25">
      <c r="B57" t="s">
        <v>167</v>
      </c>
      <c r="C57" t="s">
        <v>179</v>
      </c>
      <c r="D57">
        <v>23</v>
      </c>
      <c r="E57" t="s">
        <v>180</v>
      </c>
    </row>
    <row r="58" spans="2:5" x14ac:dyDescent="0.25">
      <c r="B58" t="s">
        <v>185</v>
      </c>
    </row>
    <row r="59" spans="2:5" x14ac:dyDescent="0.25">
      <c r="B59" t="s">
        <v>164</v>
      </c>
      <c r="C59" t="s">
        <v>165</v>
      </c>
      <c r="D59">
        <v>190</v>
      </c>
      <c r="E59" t="s">
        <v>184</v>
      </c>
    </row>
    <row r="60" spans="2:5" x14ac:dyDescent="0.25">
      <c r="B60" t="s">
        <v>167</v>
      </c>
      <c r="C60" t="s">
        <v>168</v>
      </c>
      <c r="D60">
        <v>22.5</v>
      </c>
      <c r="E60" t="s">
        <v>180</v>
      </c>
    </row>
    <row r="61" spans="2:5" x14ac:dyDescent="0.25">
      <c r="B61" t="s">
        <v>186</v>
      </c>
    </row>
    <row r="62" spans="2:5" x14ac:dyDescent="0.25">
      <c r="B62" t="s">
        <v>164</v>
      </c>
      <c r="C62" t="s">
        <v>165</v>
      </c>
      <c r="D62">
        <v>25</v>
      </c>
      <c r="E62" t="s">
        <v>180</v>
      </c>
    </row>
    <row r="63" spans="2:5" x14ac:dyDescent="0.25">
      <c r="B63" t="s">
        <v>167</v>
      </c>
      <c r="C63" t="s">
        <v>168</v>
      </c>
      <c r="D63">
        <v>23</v>
      </c>
      <c r="E63" t="s">
        <v>180</v>
      </c>
    </row>
    <row r="64" spans="2:5" x14ac:dyDescent="0.25">
      <c r="B64" t="s">
        <v>187</v>
      </c>
      <c r="C64" t="s">
        <v>11</v>
      </c>
      <c r="D64">
        <v>90</v>
      </c>
      <c r="E64" t="s">
        <v>180</v>
      </c>
    </row>
    <row r="65" spans="2:5" x14ac:dyDescent="0.25">
      <c r="B65" t="s">
        <v>188</v>
      </c>
      <c r="C65" t="s">
        <v>11</v>
      </c>
      <c r="D65">
        <v>99.99</v>
      </c>
      <c r="E65" t="s">
        <v>180</v>
      </c>
    </row>
    <row r="66" spans="2:5" x14ac:dyDescent="0.25">
      <c r="B66" t="s">
        <v>172</v>
      </c>
      <c r="C66" t="s">
        <v>189</v>
      </c>
      <c r="D66" s="25">
        <v>17069</v>
      </c>
      <c r="E66" t="s">
        <v>174</v>
      </c>
    </row>
    <row r="67" spans="2:5" x14ac:dyDescent="0.25">
      <c r="B67" t="s">
        <v>175</v>
      </c>
      <c r="C67" t="s">
        <v>176</v>
      </c>
      <c r="D67">
        <v>35.299999999999997</v>
      </c>
      <c r="E67" t="s">
        <v>174</v>
      </c>
    </row>
    <row r="68" spans="2:5" x14ac:dyDescent="0.25">
      <c r="B68" t="s">
        <v>177</v>
      </c>
      <c r="C68" t="s">
        <v>171</v>
      </c>
      <c r="D68">
        <v>0.6</v>
      </c>
      <c r="E68" t="s">
        <v>174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B9B9-450F-45DB-9C6D-28B16550AAC5}">
  <dimension ref="A17:AL83"/>
  <sheetViews>
    <sheetView tabSelected="1" topLeftCell="A29" zoomScale="85" zoomScaleNormal="85" workbookViewId="0">
      <selection activeCell="J40" sqref="A40:J41"/>
    </sheetView>
  </sheetViews>
  <sheetFormatPr defaultRowHeight="15" x14ac:dyDescent="0.25"/>
  <cols>
    <col min="1" max="1" width="24.85546875" bestFit="1" customWidth="1"/>
    <col min="2" max="2" width="14.85546875" customWidth="1"/>
    <col min="3" max="4" width="13.28515625" customWidth="1"/>
    <col min="5" max="31" width="10.7109375" bestFit="1" customWidth="1"/>
  </cols>
  <sheetData>
    <row r="17" spans="2:6" x14ac:dyDescent="0.25">
      <c r="B17" s="15" t="s">
        <v>123</v>
      </c>
    </row>
    <row r="18" spans="2:6" x14ac:dyDescent="0.25">
      <c r="B18">
        <v>2000</v>
      </c>
      <c r="C18" t="s">
        <v>79</v>
      </c>
      <c r="D18" t="s">
        <v>80</v>
      </c>
    </row>
    <row r="20" spans="2:6" x14ac:dyDescent="0.25">
      <c r="B20" s="1" t="s">
        <v>81</v>
      </c>
    </row>
    <row r="21" spans="2:6" x14ac:dyDescent="0.25">
      <c r="B21" s="17" t="s">
        <v>128</v>
      </c>
    </row>
    <row r="22" spans="2:6" x14ac:dyDescent="0.25">
      <c r="B22" s="1">
        <v>2024</v>
      </c>
      <c r="C22" s="1">
        <v>2030</v>
      </c>
      <c r="D22" s="1">
        <v>2050</v>
      </c>
    </row>
    <row r="23" spans="2:6" x14ac:dyDescent="0.25">
      <c r="B23" s="16">
        <f>B18</f>
        <v>2000</v>
      </c>
      <c r="C23" s="16">
        <f>B23*'IEA Data'!E2/'IEA Data'!D2</f>
        <v>1555.5555555555557</v>
      </c>
      <c r="D23" s="16">
        <f>B23*'IEA Data'!F2/'IEA Data'!D2</f>
        <v>1000</v>
      </c>
      <c r="E23" t="s">
        <v>82</v>
      </c>
      <c r="F23" s="1" t="s">
        <v>200</v>
      </c>
    </row>
    <row r="24" spans="2:6" x14ac:dyDescent="0.25">
      <c r="B24" s="27">
        <f>B23*$B$36/$B$43</f>
        <v>415686274.50980389</v>
      </c>
      <c r="C24" s="27">
        <f t="shared" ref="C24:D24" si="0">C23*$B$36/$B$43</f>
        <v>323311546.8409586</v>
      </c>
      <c r="D24" s="27">
        <f t="shared" si="0"/>
        <v>207843137.25490195</v>
      </c>
      <c r="E24" t="s">
        <v>194</v>
      </c>
    </row>
    <row r="25" spans="2:6" x14ac:dyDescent="0.25">
      <c r="B25" s="19">
        <f>B24/$B$35</f>
        <v>22.77733011012624</v>
      </c>
      <c r="C25" s="19">
        <f t="shared" ref="C25:D25" si="1">C24/$B$35</f>
        <v>17.715701196764854</v>
      </c>
      <c r="D25" s="19">
        <f t="shared" si="1"/>
        <v>11.38866505506312</v>
      </c>
      <c r="E25" t="s">
        <v>203</v>
      </c>
    </row>
    <row r="26" spans="2:6" x14ac:dyDescent="0.25">
      <c r="B26" s="11">
        <f>B25/'IEA Data'!$B$18*'IEA Data'!$B$19*About!$A$72</f>
        <v>1.328572068423011E-4</v>
      </c>
      <c r="C26" s="11">
        <f>C25/'IEA Data'!$B$18*'IEA Data'!$B$19*About!$A$72</f>
        <v>1.0333338309956757E-4</v>
      </c>
      <c r="D26" s="11">
        <f>D25/'IEA Data'!$B$18*'IEA Data'!$B$19*About!$A$72</f>
        <v>6.6428603421150552E-5</v>
      </c>
      <c r="E26" t="s">
        <v>204</v>
      </c>
    </row>
    <row r="27" spans="2:6" x14ac:dyDescent="0.25">
      <c r="B27" s="27">
        <f>B24*5%</f>
        <v>20784313.725490198</v>
      </c>
      <c r="C27" s="27">
        <f t="shared" ref="C27:D27" si="2">C24*5%</f>
        <v>16165577.34204793</v>
      </c>
      <c r="D27" s="27">
        <f t="shared" si="2"/>
        <v>10392156.862745099</v>
      </c>
      <c r="E27" t="s">
        <v>194</v>
      </c>
      <c r="F27" s="1" t="s">
        <v>201</v>
      </c>
    </row>
    <row r="28" spans="2:6" x14ac:dyDescent="0.25">
      <c r="B28" s="19">
        <f>B27/$B$35</f>
        <v>1.1388665055063123</v>
      </c>
      <c r="C28" s="19">
        <f t="shared" ref="C28" si="3">C27/$B$35</f>
        <v>0.88578505983824274</v>
      </c>
      <c r="D28" s="19">
        <f t="shared" ref="D28" si="4">D27/$B$35</f>
        <v>0.56943325275315615</v>
      </c>
      <c r="E28" t="s">
        <v>203</v>
      </c>
    </row>
    <row r="29" spans="2:6" x14ac:dyDescent="0.25">
      <c r="B29" s="11">
        <f>B28/'IEA Data'!$B$18*'IEA Data'!$B$19*About!$A$72</f>
        <v>6.6428603421150575E-6</v>
      </c>
      <c r="C29" s="11">
        <f>C28/'IEA Data'!$B$18*'IEA Data'!$B$19*About!$A$72</f>
        <v>5.1666691549783778E-6</v>
      </c>
      <c r="D29" s="11">
        <f>D28/'IEA Data'!$B$18*'IEA Data'!$B$19*About!$A$72</f>
        <v>3.3214301710575287E-6</v>
      </c>
      <c r="E29" t="s">
        <v>204</v>
      </c>
    </row>
    <row r="30" spans="2:6" x14ac:dyDescent="0.25">
      <c r="B30" s="11"/>
      <c r="C30" s="11"/>
      <c r="D30" s="11"/>
    </row>
    <row r="32" spans="2:6" x14ac:dyDescent="0.25">
      <c r="B32" s="15" t="s">
        <v>124</v>
      </c>
    </row>
    <row r="33" spans="1:9" x14ac:dyDescent="0.25">
      <c r="B33" s="23">
        <v>2000</v>
      </c>
      <c r="C33" t="s">
        <v>79</v>
      </c>
      <c r="D33" t="s">
        <v>80</v>
      </c>
      <c r="E33" s="23" t="s">
        <v>121</v>
      </c>
    </row>
    <row r="35" spans="1:9" x14ac:dyDescent="0.25">
      <c r="B35">
        <f>50000*365</f>
        <v>18250000</v>
      </c>
      <c r="C35" t="s">
        <v>99</v>
      </c>
    </row>
    <row r="36" spans="1:9" x14ac:dyDescent="0.25">
      <c r="B36">
        <v>106000</v>
      </c>
      <c r="C36" t="s">
        <v>117</v>
      </c>
    </row>
    <row r="37" spans="1:9" x14ac:dyDescent="0.25">
      <c r="B37">
        <f>B35/B36</f>
        <v>172.16981132075472</v>
      </c>
      <c r="C37" t="s">
        <v>100</v>
      </c>
    </row>
    <row r="39" spans="1:9" x14ac:dyDescent="0.25">
      <c r="B39">
        <f>B18/B37</f>
        <v>11.616438356164384</v>
      </c>
      <c r="I39">
        <f>B18*B36/B35</f>
        <v>11.616438356164384</v>
      </c>
    </row>
    <row r="41" spans="1:9" x14ac:dyDescent="0.25">
      <c r="B41">
        <f>57.5</f>
        <v>57.5</v>
      </c>
      <c r="C41" t="s">
        <v>101</v>
      </c>
      <c r="D41" t="s">
        <v>104</v>
      </c>
    </row>
    <row r="42" spans="1:9" x14ac:dyDescent="0.25">
      <c r="B42">
        <v>3.3000000000000002E-2</v>
      </c>
      <c r="C42" t="s">
        <v>102</v>
      </c>
      <c r="D42" t="s">
        <v>103</v>
      </c>
    </row>
    <row r="43" spans="1:9" x14ac:dyDescent="0.25">
      <c r="B43" s="4">
        <v>0.51</v>
      </c>
      <c r="C43" t="s">
        <v>11</v>
      </c>
      <c r="D43" t="s">
        <v>116</v>
      </c>
    </row>
    <row r="45" spans="1:9" x14ac:dyDescent="0.25">
      <c r="B45">
        <f>B41*B42</f>
        <v>1.8975000000000002</v>
      </c>
      <c r="C45" t="s">
        <v>105</v>
      </c>
      <c r="D45" t="s">
        <v>89</v>
      </c>
    </row>
    <row r="46" spans="1:9" x14ac:dyDescent="0.25">
      <c r="B46" s="4">
        <v>0.1</v>
      </c>
      <c r="D46" t="s">
        <v>107</v>
      </c>
    </row>
    <row r="47" spans="1:9" x14ac:dyDescent="0.25">
      <c r="B47" s="4"/>
    </row>
    <row r="48" spans="1:9" x14ac:dyDescent="0.25">
      <c r="A48" s="19">
        <f>B27/SUM(B64:AE64)/B53</f>
        <v>0.10982736614928527</v>
      </c>
      <c r="B48" s="4">
        <f>0.11</f>
        <v>0.11</v>
      </c>
      <c r="C48" t="s">
        <v>11</v>
      </c>
      <c r="D48" t="s">
        <v>111</v>
      </c>
    </row>
    <row r="49" spans="1:31" x14ac:dyDescent="0.25">
      <c r="B49">
        <v>40000</v>
      </c>
      <c r="C49" t="s">
        <v>112</v>
      </c>
      <c r="D49" t="s">
        <v>113</v>
      </c>
    </row>
    <row r="50" spans="1:31" x14ac:dyDescent="0.25">
      <c r="B50" s="4"/>
    </row>
    <row r="52" spans="1:31" x14ac:dyDescent="0.25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P52">
        <v>15</v>
      </c>
      <c r="Q52">
        <v>16</v>
      </c>
      <c r="R52">
        <v>17</v>
      </c>
      <c r="S52">
        <v>18</v>
      </c>
      <c r="T52">
        <v>19</v>
      </c>
      <c r="U52">
        <v>20</v>
      </c>
      <c r="V52">
        <v>21</v>
      </c>
      <c r="W52">
        <v>22</v>
      </c>
      <c r="X52">
        <v>23</v>
      </c>
      <c r="Y52">
        <v>24</v>
      </c>
      <c r="Z52">
        <v>25</v>
      </c>
      <c r="AA52">
        <v>26</v>
      </c>
      <c r="AB52">
        <v>27</v>
      </c>
      <c r="AC52">
        <v>28</v>
      </c>
      <c r="AD52">
        <v>29</v>
      </c>
      <c r="AE52">
        <v>30</v>
      </c>
    </row>
    <row r="53" spans="1:31" x14ac:dyDescent="0.25">
      <c r="A53" t="s">
        <v>106</v>
      </c>
      <c r="B53">
        <f>$B$35</f>
        <v>18250000</v>
      </c>
      <c r="C53">
        <f t="shared" ref="C53:AE53" si="5">$B$35</f>
        <v>18250000</v>
      </c>
      <c r="D53">
        <f t="shared" si="5"/>
        <v>18250000</v>
      </c>
      <c r="E53">
        <f t="shared" si="5"/>
        <v>18250000</v>
      </c>
      <c r="F53">
        <f t="shared" si="5"/>
        <v>18250000</v>
      </c>
      <c r="G53">
        <f t="shared" si="5"/>
        <v>18250000</v>
      </c>
      <c r="H53">
        <f t="shared" si="5"/>
        <v>18250000</v>
      </c>
      <c r="I53">
        <f t="shared" si="5"/>
        <v>18250000</v>
      </c>
      <c r="J53">
        <f t="shared" si="5"/>
        <v>18250000</v>
      </c>
      <c r="K53">
        <f t="shared" si="5"/>
        <v>18250000</v>
      </c>
      <c r="L53">
        <f t="shared" si="5"/>
        <v>18250000</v>
      </c>
      <c r="M53">
        <f t="shared" si="5"/>
        <v>18250000</v>
      </c>
      <c r="N53">
        <f t="shared" si="5"/>
        <v>18250000</v>
      </c>
      <c r="O53">
        <f t="shared" si="5"/>
        <v>18250000</v>
      </c>
      <c r="P53">
        <f t="shared" si="5"/>
        <v>18250000</v>
      </c>
      <c r="Q53">
        <f t="shared" si="5"/>
        <v>18250000</v>
      </c>
      <c r="R53">
        <f t="shared" si="5"/>
        <v>18250000</v>
      </c>
      <c r="S53">
        <f t="shared" si="5"/>
        <v>18250000</v>
      </c>
      <c r="T53">
        <f t="shared" si="5"/>
        <v>18250000</v>
      </c>
      <c r="U53">
        <f t="shared" si="5"/>
        <v>18250000</v>
      </c>
      <c r="V53">
        <f t="shared" si="5"/>
        <v>18250000</v>
      </c>
      <c r="W53">
        <f t="shared" si="5"/>
        <v>18250000</v>
      </c>
      <c r="X53">
        <f t="shared" si="5"/>
        <v>18250000</v>
      </c>
      <c r="Y53">
        <f t="shared" si="5"/>
        <v>18250000</v>
      </c>
      <c r="Z53">
        <f t="shared" si="5"/>
        <v>18250000</v>
      </c>
      <c r="AA53">
        <f t="shared" si="5"/>
        <v>18250000</v>
      </c>
      <c r="AB53">
        <f t="shared" si="5"/>
        <v>18250000</v>
      </c>
      <c r="AC53">
        <f t="shared" si="5"/>
        <v>18250000</v>
      </c>
      <c r="AD53">
        <f t="shared" si="5"/>
        <v>18250000</v>
      </c>
      <c r="AE53">
        <f t="shared" si="5"/>
        <v>18250000</v>
      </c>
    </row>
    <row r="54" spans="1:31" x14ac:dyDescent="0.25">
      <c r="A54" t="s">
        <v>110</v>
      </c>
      <c r="B54" s="14">
        <f>hours_per_year*'DoE Data'!$B$43</f>
        <v>4467.6000000000004</v>
      </c>
      <c r="C54" s="14">
        <f>hours_per_year*'DoE Data'!$B$43</f>
        <v>4467.6000000000004</v>
      </c>
      <c r="D54" s="14">
        <f>hours_per_year*'DoE Data'!$B$43</f>
        <v>4467.6000000000004</v>
      </c>
      <c r="E54" s="14">
        <f>hours_per_year*'DoE Data'!$B$43</f>
        <v>4467.6000000000004</v>
      </c>
      <c r="F54" s="14">
        <f>hours_per_year*'DoE Data'!$B$43</f>
        <v>4467.6000000000004</v>
      </c>
      <c r="G54" s="14">
        <f>hours_per_year*'DoE Data'!$B$43</f>
        <v>4467.6000000000004</v>
      </c>
      <c r="H54" s="14">
        <f>hours_per_year*'DoE Data'!$B$43</f>
        <v>4467.6000000000004</v>
      </c>
      <c r="I54" s="14">
        <f>hours_per_year*'DoE Data'!$B$43</f>
        <v>4467.6000000000004</v>
      </c>
      <c r="J54" s="14">
        <f>hours_per_year*'DoE Data'!$B$43</f>
        <v>4467.6000000000004</v>
      </c>
      <c r="K54" s="14">
        <f>hours_per_year*'DoE Data'!$B$43</f>
        <v>4467.6000000000004</v>
      </c>
      <c r="L54" s="14">
        <f>hours_per_year*'DoE Data'!$B$43</f>
        <v>4467.6000000000004</v>
      </c>
      <c r="M54" s="14">
        <f>hours_per_year*'DoE Data'!$B$43</f>
        <v>4467.6000000000004</v>
      </c>
      <c r="N54" s="14">
        <f>hours_per_year*'DoE Data'!$B$43</f>
        <v>4467.6000000000004</v>
      </c>
      <c r="O54" s="14">
        <f>hours_per_year*'DoE Data'!$B$43</f>
        <v>4467.6000000000004</v>
      </c>
      <c r="P54" s="14">
        <f>hours_per_year*'DoE Data'!$B$43</f>
        <v>4467.6000000000004</v>
      </c>
      <c r="Q54" s="14">
        <f>hours_per_year*'DoE Data'!$B$43</f>
        <v>4467.6000000000004</v>
      </c>
      <c r="R54" s="14">
        <f>hours_per_year*'DoE Data'!$B$43</f>
        <v>4467.6000000000004</v>
      </c>
      <c r="S54" s="14">
        <f>hours_per_year*'DoE Data'!$B$43</f>
        <v>4467.6000000000004</v>
      </c>
      <c r="T54" s="14">
        <f>hours_per_year*'DoE Data'!$B$43</f>
        <v>4467.6000000000004</v>
      </c>
      <c r="U54" s="14">
        <f>hours_per_year*'DoE Data'!$B$43</f>
        <v>4467.6000000000004</v>
      </c>
      <c r="V54" s="14">
        <f>hours_per_year*'DoE Data'!$B$43</f>
        <v>4467.6000000000004</v>
      </c>
      <c r="W54" s="14">
        <f>hours_per_year*'DoE Data'!$B$43</f>
        <v>4467.6000000000004</v>
      </c>
      <c r="X54" s="14">
        <f>hours_per_year*'DoE Data'!$B$43</f>
        <v>4467.6000000000004</v>
      </c>
      <c r="Y54" s="14">
        <f>hours_per_year*'DoE Data'!$B$43</f>
        <v>4467.6000000000004</v>
      </c>
      <c r="Z54" s="14">
        <f>hours_per_year*'DoE Data'!$B$43</f>
        <v>4467.6000000000004</v>
      </c>
      <c r="AA54" s="14">
        <f>hours_per_year*'DoE Data'!$B$43</f>
        <v>4467.6000000000004</v>
      </c>
      <c r="AB54" s="14">
        <f>hours_per_year*'DoE Data'!$B$43</f>
        <v>4467.6000000000004</v>
      </c>
      <c r="AC54" s="14">
        <f>hours_per_year*'DoE Data'!$B$43</f>
        <v>4467.6000000000004</v>
      </c>
      <c r="AD54" s="14">
        <f>hours_per_year*'DoE Data'!$B$43</f>
        <v>4467.6000000000004</v>
      </c>
      <c r="AE54" s="14">
        <f>hours_per_year*'DoE Data'!$B$43</f>
        <v>4467.6000000000004</v>
      </c>
    </row>
    <row r="55" spans="1:31" x14ac:dyDescent="0.25">
      <c r="A55" t="s">
        <v>114</v>
      </c>
      <c r="B55" s="14">
        <f>MOD(SUM(B54:$B$54),$B$49)</f>
        <v>4467.6000000000004</v>
      </c>
      <c r="C55" s="14">
        <f>MOD(SUM($B54:C$54),$B$49)</f>
        <v>8935.2000000000007</v>
      </c>
      <c r="D55" s="14">
        <f>MOD(SUM($B54:D$54),$B$49)</f>
        <v>13402.800000000001</v>
      </c>
      <c r="E55" s="14">
        <f>MOD(SUM($B54:E$54),$B$49)</f>
        <v>17870.400000000001</v>
      </c>
      <c r="F55" s="14">
        <f>MOD(SUM($B54:F$54),$B$49)</f>
        <v>22338</v>
      </c>
      <c r="G55" s="14">
        <f>MOD(SUM($B54:G$54),$B$49)</f>
        <v>26805.599999999999</v>
      </c>
      <c r="H55" s="14">
        <f>MOD(SUM($B54:H$54),$B$49)</f>
        <v>31273.199999999997</v>
      </c>
      <c r="I55" s="14">
        <f>MOD(SUM($B54:I$54),$B$49)</f>
        <v>35740.799999999996</v>
      </c>
      <c r="J55" s="14">
        <f>MOD(SUM($B54:J$54),$B$49)</f>
        <v>208.39999999999418</v>
      </c>
      <c r="K55" s="14">
        <f>MOD(SUM($B54:K$54),$B$49)</f>
        <v>4675.9999999999927</v>
      </c>
      <c r="L55" s="14">
        <f>MOD(SUM($B54:L$54),$B$49)</f>
        <v>9143.5999999999913</v>
      </c>
      <c r="M55" s="14">
        <f>MOD(SUM($B54:M$54),$B$49)</f>
        <v>13611.19999999999</v>
      </c>
      <c r="N55" s="14">
        <f>MOD(SUM($B54:N$54),$B$49)</f>
        <v>18078.799999999988</v>
      </c>
      <c r="O55" s="14">
        <f>MOD(SUM($B54:O$54),$B$49)</f>
        <v>22546.399999999987</v>
      </c>
      <c r="P55" s="14">
        <f>MOD(SUM($B54:P$54),$B$49)</f>
        <v>27013.999999999985</v>
      </c>
      <c r="Q55" s="14">
        <f>MOD(SUM($B54:Q$54),$B$49)</f>
        <v>31481.599999999991</v>
      </c>
      <c r="R55" s="14">
        <f>MOD(SUM($B54:R$54),$B$49)</f>
        <v>35949.199999999997</v>
      </c>
      <c r="S55" s="14">
        <f>MOD(SUM($B54:S$54),$B$49)</f>
        <v>416.80000000000291</v>
      </c>
      <c r="T55" s="14">
        <f>MOD(SUM($B54:T$54),$B$49)</f>
        <v>4884.4000000000087</v>
      </c>
      <c r="U55" s="14">
        <f>MOD(SUM($B54:U$54),$B$49)</f>
        <v>9352.0000000000146</v>
      </c>
      <c r="V55" s="14">
        <f>MOD(SUM($B54:V$54),$B$49)</f>
        <v>13819.60000000002</v>
      </c>
      <c r="W55" s="14">
        <f>MOD(SUM($B54:W$54),$B$49)</f>
        <v>18287.200000000026</v>
      </c>
      <c r="X55" s="14">
        <f>MOD(SUM($B54:X$54),$B$49)</f>
        <v>22754.800000000032</v>
      </c>
      <c r="Y55" s="14">
        <f>MOD(SUM($B54:Y$54),$B$49)</f>
        <v>27222.400000000038</v>
      </c>
      <c r="Z55" s="14">
        <f>MOD(SUM($B54:Z$54),$B$49)</f>
        <v>31690.000000000044</v>
      </c>
      <c r="AA55" s="14">
        <f>MOD(SUM($B54:AA$54),$B$49)</f>
        <v>36157.600000000049</v>
      </c>
      <c r="AB55" s="14">
        <f>MOD(SUM($B54:AB$54),$B$49)</f>
        <v>625.2000000000553</v>
      </c>
      <c r="AC55" s="14">
        <f>MOD(SUM($B54:AC$54),$B$49)</f>
        <v>5092.8000000000611</v>
      </c>
      <c r="AD55" s="14">
        <f>MOD(SUM($B54:AD$54),$B$49)</f>
        <v>9560.4000000000669</v>
      </c>
      <c r="AE55" s="14">
        <f>MOD(SUM($B54:AE$54),$B$49)</f>
        <v>14028.000000000058</v>
      </c>
    </row>
    <row r="56" spans="1:31" x14ac:dyDescent="0.25">
      <c r="A56" t="s">
        <v>108</v>
      </c>
      <c r="B56">
        <f>$B$45*B53</f>
        <v>34629375</v>
      </c>
      <c r="C56">
        <f t="shared" ref="C56:AE56" si="6">$B$45*C53</f>
        <v>34629375</v>
      </c>
      <c r="D56">
        <f t="shared" si="6"/>
        <v>34629375</v>
      </c>
      <c r="E56">
        <f t="shared" si="6"/>
        <v>34629375</v>
      </c>
      <c r="F56">
        <f t="shared" si="6"/>
        <v>34629375</v>
      </c>
      <c r="G56">
        <f t="shared" si="6"/>
        <v>34629375</v>
      </c>
      <c r="H56">
        <f t="shared" si="6"/>
        <v>34629375</v>
      </c>
      <c r="I56">
        <f t="shared" si="6"/>
        <v>34629375</v>
      </c>
      <c r="J56">
        <f t="shared" si="6"/>
        <v>34629375</v>
      </c>
      <c r="K56">
        <f t="shared" si="6"/>
        <v>34629375</v>
      </c>
      <c r="L56">
        <f t="shared" si="6"/>
        <v>34629375</v>
      </c>
      <c r="M56">
        <f t="shared" si="6"/>
        <v>34629375</v>
      </c>
      <c r="N56">
        <f t="shared" si="6"/>
        <v>34629375</v>
      </c>
      <c r="O56">
        <f t="shared" si="6"/>
        <v>34629375</v>
      </c>
      <c r="P56">
        <f t="shared" si="6"/>
        <v>34629375</v>
      </c>
      <c r="Q56">
        <f t="shared" si="6"/>
        <v>34629375</v>
      </c>
      <c r="R56">
        <f t="shared" si="6"/>
        <v>34629375</v>
      </c>
      <c r="S56">
        <f t="shared" si="6"/>
        <v>34629375</v>
      </c>
      <c r="T56">
        <f t="shared" si="6"/>
        <v>34629375</v>
      </c>
      <c r="U56">
        <f t="shared" si="6"/>
        <v>34629375</v>
      </c>
      <c r="V56">
        <f t="shared" si="6"/>
        <v>34629375</v>
      </c>
      <c r="W56">
        <f t="shared" si="6"/>
        <v>34629375</v>
      </c>
      <c r="X56">
        <f t="shared" si="6"/>
        <v>34629375</v>
      </c>
      <c r="Y56">
        <f t="shared" si="6"/>
        <v>34629375</v>
      </c>
      <c r="Z56">
        <f t="shared" si="6"/>
        <v>34629375</v>
      </c>
      <c r="AA56">
        <f t="shared" si="6"/>
        <v>34629375</v>
      </c>
      <c r="AB56">
        <f t="shared" si="6"/>
        <v>34629375</v>
      </c>
      <c r="AC56">
        <f t="shared" si="6"/>
        <v>34629375</v>
      </c>
      <c r="AD56">
        <f t="shared" si="6"/>
        <v>34629375</v>
      </c>
      <c r="AE56">
        <f t="shared" si="6"/>
        <v>34629375</v>
      </c>
    </row>
    <row r="57" spans="1:31" x14ac:dyDescent="0.25">
      <c r="A57" t="s">
        <v>88</v>
      </c>
      <c r="B57" s="14">
        <f>B36*B33/B43</f>
        <v>415686274.50980389</v>
      </c>
    </row>
    <row r="58" spans="1:31" x14ac:dyDescent="0.25">
      <c r="A58" t="s">
        <v>109</v>
      </c>
      <c r="B58" s="14">
        <f>5%*$B$57</f>
        <v>20784313.725490198</v>
      </c>
      <c r="C58" s="14">
        <f t="shared" ref="C58:AE58" si="7">5%*$B$57</f>
        <v>20784313.725490198</v>
      </c>
      <c r="D58" s="14">
        <f t="shared" si="7"/>
        <v>20784313.725490198</v>
      </c>
      <c r="E58" s="14">
        <f t="shared" si="7"/>
        <v>20784313.725490198</v>
      </c>
      <c r="F58" s="14">
        <f t="shared" si="7"/>
        <v>20784313.725490198</v>
      </c>
      <c r="G58" s="14">
        <f t="shared" si="7"/>
        <v>20784313.725490198</v>
      </c>
      <c r="H58" s="14">
        <f t="shared" si="7"/>
        <v>20784313.725490198</v>
      </c>
      <c r="I58" s="14">
        <f t="shared" si="7"/>
        <v>20784313.725490198</v>
      </c>
      <c r="J58" s="14">
        <f t="shared" si="7"/>
        <v>20784313.725490198</v>
      </c>
      <c r="K58" s="14">
        <f t="shared" si="7"/>
        <v>20784313.725490198</v>
      </c>
      <c r="L58" s="14">
        <f t="shared" si="7"/>
        <v>20784313.725490198</v>
      </c>
      <c r="M58" s="14">
        <f t="shared" si="7"/>
        <v>20784313.725490198</v>
      </c>
      <c r="N58" s="14">
        <f t="shared" si="7"/>
        <v>20784313.725490198</v>
      </c>
      <c r="O58" s="14">
        <f t="shared" si="7"/>
        <v>20784313.725490198</v>
      </c>
      <c r="P58" s="14">
        <f t="shared" si="7"/>
        <v>20784313.725490198</v>
      </c>
      <c r="Q58" s="14">
        <f t="shared" si="7"/>
        <v>20784313.725490198</v>
      </c>
      <c r="R58" s="14">
        <f t="shared" si="7"/>
        <v>20784313.725490198</v>
      </c>
      <c r="S58" s="14">
        <f t="shared" si="7"/>
        <v>20784313.725490198</v>
      </c>
      <c r="T58" s="14">
        <f t="shared" si="7"/>
        <v>20784313.725490198</v>
      </c>
      <c r="U58" s="14">
        <f t="shared" si="7"/>
        <v>20784313.725490198</v>
      </c>
      <c r="V58" s="14">
        <f t="shared" si="7"/>
        <v>20784313.725490198</v>
      </c>
      <c r="W58" s="14">
        <f t="shared" si="7"/>
        <v>20784313.725490198</v>
      </c>
      <c r="X58" s="14">
        <f t="shared" si="7"/>
        <v>20784313.725490198</v>
      </c>
      <c r="Y58" s="14">
        <f t="shared" si="7"/>
        <v>20784313.725490198</v>
      </c>
      <c r="Z58" s="14">
        <f t="shared" si="7"/>
        <v>20784313.725490198</v>
      </c>
      <c r="AA58" s="14">
        <f t="shared" si="7"/>
        <v>20784313.725490198</v>
      </c>
      <c r="AB58" s="14">
        <f t="shared" si="7"/>
        <v>20784313.725490198</v>
      </c>
      <c r="AC58" s="14">
        <f t="shared" si="7"/>
        <v>20784313.725490198</v>
      </c>
      <c r="AD58" s="14">
        <f t="shared" si="7"/>
        <v>20784313.725490198</v>
      </c>
      <c r="AE58" s="14">
        <f t="shared" si="7"/>
        <v>20784313.725490198</v>
      </c>
    </row>
    <row r="59" spans="1:31" x14ac:dyDescent="0.25">
      <c r="A59" t="s">
        <v>115</v>
      </c>
      <c r="B59" s="14"/>
      <c r="C59" s="14">
        <f t="shared" ref="C59:AE59" si="8">IF(C55&lt;B55,$B$57*0.11,0)</f>
        <v>0</v>
      </c>
      <c r="D59" s="14">
        <f t="shared" si="8"/>
        <v>0</v>
      </c>
      <c r="E59" s="14">
        <f t="shared" si="8"/>
        <v>0</v>
      </c>
      <c r="F59" s="14">
        <f t="shared" si="8"/>
        <v>0</v>
      </c>
      <c r="G59" s="14">
        <f t="shared" si="8"/>
        <v>0</v>
      </c>
      <c r="H59" s="14">
        <f t="shared" si="8"/>
        <v>0</v>
      </c>
      <c r="I59" s="14">
        <f t="shared" si="8"/>
        <v>0</v>
      </c>
      <c r="J59" s="14">
        <f t="shared" si="8"/>
        <v>45725490.196078427</v>
      </c>
      <c r="K59" s="14">
        <f t="shared" si="8"/>
        <v>0</v>
      </c>
      <c r="L59" s="14">
        <f t="shared" si="8"/>
        <v>0</v>
      </c>
      <c r="M59" s="14">
        <f t="shared" si="8"/>
        <v>0</v>
      </c>
      <c r="N59" s="14">
        <f t="shared" si="8"/>
        <v>0</v>
      </c>
      <c r="O59" s="14">
        <f t="shared" si="8"/>
        <v>0</v>
      </c>
      <c r="P59" s="14">
        <f t="shared" si="8"/>
        <v>0</v>
      </c>
      <c r="Q59" s="14">
        <f t="shared" si="8"/>
        <v>0</v>
      </c>
      <c r="R59" s="14">
        <f t="shared" si="8"/>
        <v>0</v>
      </c>
      <c r="S59" s="14">
        <f t="shared" si="8"/>
        <v>45725490.196078427</v>
      </c>
      <c r="T59" s="14">
        <f t="shared" si="8"/>
        <v>0</v>
      </c>
      <c r="U59" s="14">
        <f t="shared" si="8"/>
        <v>0</v>
      </c>
      <c r="V59" s="14">
        <f t="shared" si="8"/>
        <v>0</v>
      </c>
      <c r="W59" s="14">
        <f t="shared" si="8"/>
        <v>0</v>
      </c>
      <c r="X59" s="14">
        <f t="shared" si="8"/>
        <v>0</v>
      </c>
      <c r="Y59" s="14">
        <f t="shared" si="8"/>
        <v>0</v>
      </c>
      <c r="Z59" s="14">
        <f t="shared" si="8"/>
        <v>0</v>
      </c>
      <c r="AA59" s="14">
        <f t="shared" si="8"/>
        <v>0</v>
      </c>
      <c r="AB59" s="14">
        <f t="shared" si="8"/>
        <v>45725490.196078427</v>
      </c>
      <c r="AC59" s="14">
        <f t="shared" si="8"/>
        <v>0</v>
      </c>
      <c r="AD59" s="14">
        <f t="shared" si="8"/>
        <v>0</v>
      </c>
      <c r="AE59" s="14">
        <f t="shared" si="8"/>
        <v>0</v>
      </c>
    </row>
    <row r="60" spans="1:31" x14ac:dyDescent="0.25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spans="1:31" x14ac:dyDescent="0.25">
      <c r="A61" t="s">
        <v>196</v>
      </c>
      <c r="B61" s="14">
        <f>SUM(B56:B59)/(1+$B$46)^(B52-1)</f>
        <v>471099963.2352941</v>
      </c>
      <c r="C61" s="14">
        <f t="shared" ref="C61:AE61" si="9">SUM(C56:C59)/(1+$B$46)^(C52-1)</f>
        <v>50376080.659536541</v>
      </c>
      <c r="D61" s="14">
        <f t="shared" si="9"/>
        <v>45796436.963215031</v>
      </c>
      <c r="E61" s="14">
        <f t="shared" si="9"/>
        <v>41633124.512013659</v>
      </c>
      <c r="F61" s="14">
        <f t="shared" si="9"/>
        <v>37848295.010921508</v>
      </c>
      <c r="G61" s="14">
        <f t="shared" si="9"/>
        <v>34407540.91901955</v>
      </c>
      <c r="H61" s="14">
        <f t="shared" si="9"/>
        <v>31279582.653654136</v>
      </c>
      <c r="I61" s="14">
        <f t="shared" si="9"/>
        <v>28435984.230594665</v>
      </c>
      <c r="J61" s="14">
        <f t="shared" si="9"/>
        <v>47182173.395264447</v>
      </c>
      <c r="K61" s="14">
        <f t="shared" si="9"/>
        <v>23500813.413714599</v>
      </c>
      <c r="L61" s="14">
        <f t="shared" si="9"/>
        <v>21364375.830649633</v>
      </c>
      <c r="M61" s="14">
        <f t="shared" si="9"/>
        <v>19422159.846045118</v>
      </c>
      <c r="N61" s="14">
        <f t="shared" si="9"/>
        <v>17656508.950950108</v>
      </c>
      <c r="O61" s="14">
        <f t="shared" si="9"/>
        <v>16051371.773591006</v>
      </c>
      <c r="P61" s="14">
        <f t="shared" si="9"/>
        <v>14592156.157810003</v>
      </c>
      <c r="Q61" s="14">
        <f t="shared" si="9"/>
        <v>13265596.507100003</v>
      </c>
      <c r="R61" s="14">
        <f t="shared" si="9"/>
        <v>12059633.18827273</v>
      </c>
      <c r="S61" s="14">
        <f t="shared" si="9"/>
        <v>20009847.366569262</v>
      </c>
      <c r="T61" s="14">
        <f t="shared" si="9"/>
        <v>9966638.9985725023</v>
      </c>
      <c r="U61" s="14">
        <f t="shared" si="9"/>
        <v>9060580.9077931829</v>
      </c>
      <c r="V61" s="14">
        <f t="shared" si="9"/>
        <v>8236891.734357439</v>
      </c>
      <c r="W61" s="14">
        <f t="shared" si="9"/>
        <v>7488083.3948703976</v>
      </c>
      <c r="X61" s="14">
        <f t="shared" si="9"/>
        <v>6807348.5407912703</v>
      </c>
      <c r="Y61" s="14">
        <f t="shared" si="9"/>
        <v>6188498.6734466087</v>
      </c>
      <c r="Z61" s="14">
        <f t="shared" si="9"/>
        <v>5625907.884951463</v>
      </c>
      <c r="AA61" s="14">
        <f t="shared" si="9"/>
        <v>5114461.7135922378</v>
      </c>
      <c r="AB61" s="14">
        <f t="shared" si="9"/>
        <v>8486128.6121589579</v>
      </c>
      <c r="AC61" s="14">
        <f t="shared" si="9"/>
        <v>4226827.8624729235</v>
      </c>
      <c r="AD61" s="14">
        <f t="shared" si="9"/>
        <v>3842570.7840662939</v>
      </c>
      <c r="AE61" s="14">
        <f t="shared" si="9"/>
        <v>3493246.1673329943</v>
      </c>
    </row>
    <row r="62" spans="1:31" x14ac:dyDescent="0.25">
      <c r="A62" t="s">
        <v>199</v>
      </c>
      <c r="B62" s="14">
        <f>(B57+B59)/(1+$B$46)^(B52-1)</f>
        <v>415686274.50980389</v>
      </c>
      <c r="C62">
        <f t="shared" ref="C62:AE62" si="10">(C57+C59)/(1+$B$46)^(C52-1)</f>
        <v>0</v>
      </c>
      <c r="D62">
        <f t="shared" si="10"/>
        <v>0</v>
      </c>
      <c r="E62">
        <f t="shared" si="10"/>
        <v>0</v>
      </c>
      <c r="F62">
        <f t="shared" si="10"/>
        <v>0</v>
      </c>
      <c r="G62">
        <f t="shared" si="10"/>
        <v>0</v>
      </c>
      <c r="H62">
        <f t="shared" si="10"/>
        <v>0</v>
      </c>
      <c r="I62">
        <f t="shared" si="10"/>
        <v>0</v>
      </c>
      <c r="J62">
        <f t="shared" si="10"/>
        <v>21331278.640178386</v>
      </c>
      <c r="K62">
        <f t="shared" si="10"/>
        <v>0</v>
      </c>
      <c r="L62">
        <f t="shared" si="10"/>
        <v>0</v>
      </c>
      <c r="M62">
        <f t="shared" si="10"/>
        <v>0</v>
      </c>
      <c r="N62">
        <f t="shared" si="10"/>
        <v>0</v>
      </c>
      <c r="O62">
        <f t="shared" si="10"/>
        <v>0</v>
      </c>
      <c r="P62">
        <f t="shared" si="10"/>
        <v>0</v>
      </c>
      <c r="Q62">
        <f t="shared" si="10"/>
        <v>0</v>
      </c>
      <c r="R62">
        <f t="shared" si="10"/>
        <v>0</v>
      </c>
      <c r="S62">
        <f t="shared" si="10"/>
        <v>9046544.4681395069</v>
      </c>
      <c r="T62">
        <f t="shared" si="10"/>
        <v>0</v>
      </c>
      <c r="U62">
        <f t="shared" si="10"/>
        <v>0</v>
      </c>
      <c r="V62">
        <f t="shared" si="10"/>
        <v>0</v>
      </c>
      <c r="W62">
        <f t="shared" si="10"/>
        <v>0</v>
      </c>
      <c r="X62">
        <f t="shared" si="10"/>
        <v>0</v>
      </c>
      <c r="Y62">
        <f t="shared" si="10"/>
        <v>0</v>
      </c>
      <c r="Z62">
        <f t="shared" si="10"/>
        <v>0</v>
      </c>
      <c r="AA62">
        <f t="shared" si="10"/>
        <v>0</v>
      </c>
      <c r="AB62">
        <f t="shared" si="10"/>
        <v>3836617.9634387405</v>
      </c>
      <c r="AC62">
        <f t="shared" si="10"/>
        <v>0</v>
      </c>
      <c r="AD62">
        <f t="shared" si="10"/>
        <v>0</v>
      </c>
      <c r="AE62">
        <f t="shared" si="10"/>
        <v>0</v>
      </c>
    </row>
    <row r="63" spans="1:31" x14ac:dyDescent="0.25">
      <c r="A63" t="s">
        <v>197</v>
      </c>
      <c r="B63">
        <f>B58/(1+$B$46)^(B52-1)</f>
        <v>20784313.725490198</v>
      </c>
      <c r="C63">
        <f t="shared" ref="C63:AE63" si="11">C58/(1+$B$46)^(C52-1)</f>
        <v>18894830.659536541</v>
      </c>
      <c r="D63">
        <f t="shared" si="11"/>
        <v>17177118.781396855</v>
      </c>
      <c r="E63">
        <f t="shared" si="11"/>
        <v>15615562.528542593</v>
      </c>
      <c r="F63">
        <f t="shared" si="11"/>
        <v>14195965.935038721</v>
      </c>
      <c r="G63">
        <f t="shared" si="11"/>
        <v>12905423.577307928</v>
      </c>
      <c r="H63">
        <f t="shared" si="11"/>
        <v>11732203.252098115</v>
      </c>
      <c r="I63">
        <f t="shared" si="11"/>
        <v>10665639.320089193</v>
      </c>
      <c r="J63">
        <f t="shared" si="11"/>
        <v>9696035.7455356307</v>
      </c>
      <c r="K63">
        <f t="shared" si="11"/>
        <v>8814577.9504869375</v>
      </c>
      <c r="L63">
        <f t="shared" si="11"/>
        <v>8013252.6822608504</v>
      </c>
      <c r="M63">
        <f t="shared" si="11"/>
        <v>7284775.1656916812</v>
      </c>
      <c r="N63">
        <f t="shared" si="11"/>
        <v>6622522.877901529</v>
      </c>
      <c r="O63">
        <f t="shared" si="11"/>
        <v>6020475.3435468441</v>
      </c>
      <c r="P63">
        <f t="shared" si="11"/>
        <v>5473159.403224403</v>
      </c>
      <c r="Q63">
        <f t="shared" si="11"/>
        <v>4975599.4574767295</v>
      </c>
      <c r="R63">
        <f t="shared" si="11"/>
        <v>4523272.2340697544</v>
      </c>
      <c r="S63">
        <f t="shared" si="11"/>
        <v>4112065.6673361403</v>
      </c>
      <c r="T63">
        <f t="shared" si="11"/>
        <v>3738241.515760127</v>
      </c>
      <c r="U63">
        <f t="shared" si="11"/>
        <v>3398401.3779637511</v>
      </c>
      <c r="V63">
        <f t="shared" si="11"/>
        <v>3089455.7981488649</v>
      </c>
      <c r="W63">
        <f t="shared" si="11"/>
        <v>2808596.1801353316</v>
      </c>
      <c r="X63">
        <f t="shared" si="11"/>
        <v>2553269.2546684826</v>
      </c>
      <c r="Y63">
        <f t="shared" si="11"/>
        <v>2321153.8678804385</v>
      </c>
      <c r="Z63">
        <f t="shared" si="11"/>
        <v>2110139.879891308</v>
      </c>
      <c r="AA63">
        <f t="shared" si="11"/>
        <v>1918308.9817193707</v>
      </c>
      <c r="AB63">
        <f t="shared" si="11"/>
        <v>1743917.2561085187</v>
      </c>
      <c r="AC63">
        <f t="shared" si="11"/>
        <v>1585379.3237350166</v>
      </c>
      <c r="AD63">
        <f t="shared" si="11"/>
        <v>1441253.9306681971</v>
      </c>
      <c r="AE63">
        <f t="shared" si="11"/>
        <v>1310230.8460619973</v>
      </c>
    </row>
    <row r="64" spans="1:31" x14ac:dyDescent="0.25">
      <c r="B64">
        <f>1/((1+$B$46)^(B52-1))</f>
        <v>1</v>
      </c>
      <c r="C64">
        <f t="shared" ref="C64:AE64" si="12">1/((1+$B$46)^(C52-1))</f>
        <v>0.90909090909090906</v>
      </c>
      <c r="D64">
        <f t="shared" si="12"/>
        <v>0.82644628099173545</v>
      </c>
      <c r="E64">
        <f t="shared" si="12"/>
        <v>0.75131480090157754</v>
      </c>
      <c r="F64">
        <f t="shared" si="12"/>
        <v>0.68301345536507052</v>
      </c>
      <c r="G64">
        <f t="shared" si="12"/>
        <v>0.62092132305915493</v>
      </c>
      <c r="H64">
        <f t="shared" si="12"/>
        <v>0.56447393005377722</v>
      </c>
      <c r="I64">
        <f t="shared" si="12"/>
        <v>0.51315811823070645</v>
      </c>
      <c r="J64">
        <f t="shared" si="12"/>
        <v>0.46650738020973315</v>
      </c>
      <c r="K64">
        <f t="shared" si="12"/>
        <v>0.42409761837248466</v>
      </c>
      <c r="L64">
        <f t="shared" si="12"/>
        <v>0.38554328942953148</v>
      </c>
      <c r="M64">
        <f t="shared" si="12"/>
        <v>0.3504938994813922</v>
      </c>
      <c r="N64">
        <f t="shared" si="12"/>
        <v>0.31863081771035656</v>
      </c>
      <c r="O64">
        <f t="shared" si="12"/>
        <v>0.28966437973668779</v>
      </c>
      <c r="P64">
        <f t="shared" si="12"/>
        <v>0.26333125430607973</v>
      </c>
      <c r="Q64">
        <f t="shared" si="12"/>
        <v>0.23939204936916339</v>
      </c>
      <c r="R64">
        <f t="shared" si="12"/>
        <v>0.21762913579014853</v>
      </c>
      <c r="S64">
        <f t="shared" si="12"/>
        <v>0.19784466890013502</v>
      </c>
      <c r="T64">
        <f t="shared" si="12"/>
        <v>0.17985878990921364</v>
      </c>
      <c r="U64">
        <f t="shared" si="12"/>
        <v>0.16350799082655781</v>
      </c>
      <c r="V64">
        <f t="shared" si="12"/>
        <v>0.14864362802414349</v>
      </c>
      <c r="W64">
        <f t="shared" si="12"/>
        <v>0.13513057093103953</v>
      </c>
      <c r="X64">
        <f t="shared" si="12"/>
        <v>0.12284597357367227</v>
      </c>
      <c r="Y64">
        <f t="shared" si="12"/>
        <v>0.11167815779424752</v>
      </c>
      <c r="Z64">
        <f t="shared" si="12"/>
        <v>0.10152559799477048</v>
      </c>
      <c r="AA64">
        <f t="shared" si="12"/>
        <v>9.2295998177064048E-2</v>
      </c>
      <c r="AB64">
        <f t="shared" si="12"/>
        <v>8.3905452888240042E-2</v>
      </c>
      <c r="AC64">
        <f t="shared" si="12"/>
        <v>7.6277684443854576E-2</v>
      </c>
      <c r="AD64">
        <f t="shared" si="12"/>
        <v>6.9343349494413245E-2</v>
      </c>
      <c r="AE64">
        <f t="shared" si="12"/>
        <v>6.3039408631284766E-2</v>
      </c>
    </row>
    <row r="65" spans="2:38" x14ac:dyDescent="0.25">
      <c r="C65" t="s">
        <v>118</v>
      </c>
    </row>
    <row r="66" spans="2:38" x14ac:dyDescent="0.25">
      <c r="B66">
        <f>SUM(B61:AE61)/SUM(B64:AE64)/B53</f>
        <v>5.4137079599129887</v>
      </c>
      <c r="C66" t="s">
        <v>120</v>
      </c>
    </row>
    <row r="67" spans="2:38" x14ac:dyDescent="0.25">
      <c r="B67" s="28">
        <f>SUM(B62:AE62)/SUM(B64:AE64)/B53</f>
        <v>2.3773414544066762</v>
      </c>
      <c r="C67" t="s">
        <v>119</v>
      </c>
      <c r="E67" s="23" t="s">
        <v>202</v>
      </c>
      <c r="G67">
        <f>SUM(B63:J63)/SUM(B64:J64)</f>
        <v>20784313.72549019</v>
      </c>
    </row>
    <row r="68" spans="2:38" x14ac:dyDescent="0.25">
      <c r="B68" s="28">
        <f>SUM(B63:AE63)/SUM(B64:AE64)/B53</f>
        <v>1.1388665055063121</v>
      </c>
      <c r="C68" t="s">
        <v>195</v>
      </c>
      <c r="E68" s="23" t="s">
        <v>202</v>
      </c>
      <c r="H68">
        <f>SUM(B64:AE64)</f>
        <v>10.369605913687147</v>
      </c>
    </row>
    <row r="70" spans="2:38" x14ac:dyDescent="0.25">
      <c r="B70" s="15" t="s">
        <v>122</v>
      </c>
    </row>
    <row r="71" spans="2:38" x14ac:dyDescent="0.25">
      <c r="B71">
        <v>2024</v>
      </c>
      <c r="C71">
        <v>2030</v>
      </c>
      <c r="D71">
        <v>2050</v>
      </c>
    </row>
    <row r="72" spans="2:38" x14ac:dyDescent="0.25">
      <c r="B72">
        <v>2.19654732298571</v>
      </c>
      <c r="C72">
        <v>1.7089138172828786</v>
      </c>
      <c r="D72">
        <v>1.0982736614928525</v>
      </c>
      <c r="E72" t="s">
        <v>125</v>
      </c>
      <c r="G72" s="29"/>
    </row>
    <row r="73" spans="2:38" x14ac:dyDescent="0.25">
      <c r="B73">
        <f>B72*About!$A$72</f>
        <v>1.7232375530012511</v>
      </c>
      <c r="C73">
        <f>C72*About!$A$72</f>
        <v>1.3406788162349703</v>
      </c>
      <c r="D73">
        <f>D72*About!$A$72</f>
        <v>0.86161877650062357</v>
      </c>
      <c r="E73" t="s">
        <v>126</v>
      </c>
    </row>
    <row r="74" spans="2:38" x14ac:dyDescent="0.25">
      <c r="B74" s="11">
        <f>B73/'IEA Data'!$B$18*'IEA Data'!$B$19</f>
        <v>1.2812175115250939E-5</v>
      </c>
      <c r="C74" s="11">
        <f>C73/'IEA Data'!$B$18*'IEA Data'!$B$19</f>
        <v>9.967872239665206E-6</v>
      </c>
      <c r="D74" s="11">
        <f>D73/'IEA Data'!$B$18*'IEA Data'!$B$19</f>
        <v>6.4060875576254542E-6</v>
      </c>
      <c r="E74" t="s">
        <v>127</v>
      </c>
    </row>
    <row r="76" spans="2:38" x14ac:dyDescent="0.25">
      <c r="B76" s="15" t="s">
        <v>198</v>
      </c>
    </row>
    <row r="77" spans="2:38" x14ac:dyDescent="0.25">
      <c r="B77">
        <v>2024</v>
      </c>
      <c r="C77">
        <v>2030</v>
      </c>
      <c r="D77">
        <v>2050</v>
      </c>
    </row>
    <row r="78" spans="2:38" x14ac:dyDescent="0.25">
      <c r="B78">
        <v>1.1388665055063121</v>
      </c>
      <c r="C78">
        <v>0.88603814128391067</v>
      </c>
      <c r="D78">
        <v>0.56943325275315604</v>
      </c>
      <c r="E78" t="s">
        <v>125</v>
      </c>
      <c r="I78">
        <v>60</v>
      </c>
      <c r="J78">
        <f>I78*J79/I79</f>
        <v>54.545454545454547</v>
      </c>
      <c r="K78">
        <f t="shared" ref="K78:R78" si="13">J78*K79/J79</f>
        <v>49.586776859504127</v>
      </c>
      <c r="L78">
        <f t="shared" si="13"/>
        <v>45.078888054094648</v>
      </c>
      <c r="M78">
        <f t="shared" si="13"/>
        <v>40.98080732190423</v>
      </c>
      <c r="N78">
        <f t="shared" si="13"/>
        <v>37.255279383549293</v>
      </c>
      <c r="O78">
        <f t="shared" si="13"/>
        <v>33.868435803226632</v>
      </c>
      <c r="P78">
        <f t="shared" si="13"/>
        <v>30.789487093842389</v>
      </c>
      <c r="Q78">
        <f t="shared" si="13"/>
        <v>27.990442812583989</v>
      </c>
      <c r="R78">
        <f t="shared" si="13"/>
        <v>25.44585710234908</v>
      </c>
    </row>
    <row r="79" spans="2:38" x14ac:dyDescent="0.25">
      <c r="B79">
        <f>B78*About!$A$72</f>
        <v>0.89346471601447519</v>
      </c>
      <c r="C79">
        <f>C78*About!$A$72</f>
        <v>0.69511554905926154</v>
      </c>
      <c r="D79">
        <f>D78*About!$A$72</f>
        <v>0.4467323580072376</v>
      </c>
      <c r="E79" t="s">
        <v>126</v>
      </c>
      <c r="I79">
        <v>1</v>
      </c>
      <c r="J79">
        <v>0.90909090909090906</v>
      </c>
      <c r="K79">
        <v>0.82644628099173545</v>
      </c>
      <c r="L79">
        <v>0.75131480090157754</v>
      </c>
      <c r="M79">
        <v>0.68301345536507052</v>
      </c>
      <c r="N79">
        <v>0.62092132305915493</v>
      </c>
      <c r="O79">
        <v>0.56447393005377722</v>
      </c>
      <c r="P79">
        <v>0.51315811823070645</v>
      </c>
      <c r="Q79">
        <v>0.46650738020973315</v>
      </c>
      <c r="R79">
        <v>0.42409761837248466</v>
      </c>
      <c r="S79">
        <v>0.38554328942953148</v>
      </c>
      <c r="T79">
        <v>0.3504938994813922</v>
      </c>
      <c r="U79">
        <v>0.31863081771035656</v>
      </c>
      <c r="V79">
        <v>0.28966437973668779</v>
      </c>
      <c r="W79">
        <v>0.26333125430607973</v>
      </c>
      <c r="X79">
        <v>0.23939204936916339</v>
      </c>
      <c r="Y79">
        <v>0.21762913579014853</v>
      </c>
      <c r="Z79">
        <v>0.19784466890013502</v>
      </c>
      <c r="AA79">
        <v>0.17985878990921364</v>
      </c>
      <c r="AB79">
        <v>0.16350799082655781</v>
      </c>
      <c r="AC79">
        <v>0.14864362802414349</v>
      </c>
      <c r="AD79">
        <v>0.13513057093103953</v>
      </c>
      <c r="AE79">
        <v>0.12284597357367227</v>
      </c>
      <c r="AF79">
        <v>0.11167815779424752</v>
      </c>
      <c r="AG79">
        <v>0.10152559799477048</v>
      </c>
      <c r="AH79">
        <v>9.2295998177064048E-2</v>
      </c>
      <c r="AI79">
        <v>8.3905452888240042E-2</v>
      </c>
      <c r="AJ79">
        <v>7.6277684443854576E-2</v>
      </c>
      <c r="AK79">
        <v>6.9343349494413245E-2</v>
      </c>
      <c r="AL79">
        <v>6.3039408631284766E-2</v>
      </c>
    </row>
    <row r="80" spans="2:38" x14ac:dyDescent="0.25">
      <c r="B80" s="11">
        <f>B79/'IEA Data'!$B$18*'IEA Data'!$B$19</f>
        <v>6.6428603421150575E-6</v>
      </c>
      <c r="C80" s="11">
        <f>C79/'IEA Data'!$B$18*'IEA Data'!$B$19</f>
        <v>5.1681453461655133E-6</v>
      </c>
      <c r="D80" s="11">
        <f>D79/'IEA Data'!$B$18*'IEA Data'!$B$19</f>
        <v>3.3214301710575287E-6</v>
      </c>
      <c r="E80" t="s">
        <v>127</v>
      </c>
      <c r="I80">
        <f>SUM(I78:R78)/SUM(I79:AL79)</f>
        <v>39.108663564660922</v>
      </c>
    </row>
    <row r="82" spans="9:9" x14ac:dyDescent="0.25">
      <c r="I82">
        <f>SUM(I79:R79)/SUM(I79:AL79)</f>
        <v>0.65181105941101536</v>
      </c>
    </row>
    <row r="83" spans="9:9" x14ac:dyDescent="0.25">
      <c r="I83">
        <f>I82*I78</f>
        <v>39.108663564660922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A5" sqref="A5:B5"/>
    </sheetView>
  </sheetViews>
  <sheetFormatPr defaultRowHeight="15" x14ac:dyDescent="0.25"/>
  <sheetData>
    <row r="1" spans="1:2" x14ac:dyDescent="0.25">
      <c r="A1">
        <f>24*365</f>
        <v>8760</v>
      </c>
      <c r="B1" t="s">
        <v>26</v>
      </c>
    </row>
    <row r="3" spans="1:2" x14ac:dyDescent="0.25">
      <c r="A3">
        <v>3412.14</v>
      </c>
      <c r="B3" t="s">
        <v>27</v>
      </c>
    </row>
    <row r="5" spans="1:2" x14ac:dyDescent="0.25">
      <c r="A5">
        <v>0.91400000000000003</v>
      </c>
      <c r="B5" t="s">
        <v>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I10"/>
  <sheetViews>
    <sheetView workbookViewId="0">
      <selection activeCell="I2" sqref="I2"/>
    </sheetView>
  </sheetViews>
  <sheetFormatPr defaultRowHeight="15" x14ac:dyDescent="0.25"/>
  <cols>
    <col min="1" max="1" width="30.140625" customWidth="1"/>
    <col min="2" max="2" width="12" bestFit="1" customWidth="1"/>
    <col min="8" max="8" width="12" bestFit="1" customWidth="1"/>
  </cols>
  <sheetData>
    <row r="1" spans="1:35" x14ac:dyDescent="0.25">
      <c r="A1" s="1" t="s">
        <v>61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Data'!$B$26:$C$26,'DoE Data'!$B$22:$C$22,B$1)</f>
        <v>1.6730166787549267E-4</v>
      </c>
      <c r="C2" s="11">
        <f>TREND('DoE Data'!$B$26:$C$26,'DoE Data'!$B$22:$C$22,C$1)</f>
        <v>1.6238103058503588E-4</v>
      </c>
      <c r="D2" s="11">
        <f>TREND('DoE Data'!$B$26:$C$26,'DoE Data'!$B$22:$C$22,D$1)</f>
        <v>1.5746039329458082E-4</v>
      </c>
      <c r="E2" s="11">
        <f>TREND('DoE Data'!$B$26:$C$26,'DoE Data'!$B$22:$C$22,E$1)</f>
        <v>1.5253975600412577E-4</v>
      </c>
      <c r="F2" s="11">
        <f>TREND('DoE Data'!$B$26:$C$26,'DoE Data'!$B$22:$C$22,F$1)</f>
        <v>1.4761911871366898E-4</v>
      </c>
      <c r="G2" s="11">
        <f>TREND('DoE Data'!$B$26:$C$26,'DoE Data'!$B$22:$C$22,G$1)</f>
        <v>1.4269848142321392E-4</v>
      </c>
      <c r="H2" s="11">
        <f>TREND('DoE Data'!$B$26:$C$26,'DoE Data'!$B$22:$C$22,H$1)</f>
        <v>1.3777784413275887E-4</v>
      </c>
      <c r="I2" s="11">
        <f>TREND('DoE Data'!$B$26:$C$26,'DoE Data'!$B$22:$C$22,I$1)</f>
        <v>1.3285720684230208E-4</v>
      </c>
      <c r="J2" s="11">
        <f>TREND('DoE Data'!$B$26:$C$26,'DoE Data'!$B$22:$C$22,J$1)</f>
        <v>1.2793656955184703E-4</v>
      </c>
      <c r="K2" s="11">
        <f>TREND('DoE Data'!$B$26:$C$26,'DoE Data'!$B$22:$C$22,K$1)</f>
        <v>1.2301593226139197E-4</v>
      </c>
      <c r="L2" s="11">
        <f>TREND('DoE Data'!$B$26:$C$26,'DoE Data'!$B$22:$C$22,L$1)</f>
        <v>1.1809529497093518E-4</v>
      </c>
      <c r="M2" s="11">
        <f>TREND('DoE Data'!$B$26:$C$26,'DoE Data'!$B$22:$C$22,M$1)</f>
        <v>1.1317465768048013E-4</v>
      </c>
      <c r="N2" s="11">
        <f>TREND('DoE Data'!$B$26:$C$26,'DoE Data'!$B$22:$C$22,N$1)</f>
        <v>1.0825402039002507E-4</v>
      </c>
      <c r="O2" s="11">
        <f>TREND('DoE Data'!$B$26:$C$26,'DoE Data'!$B$22:$C$22,O$1)</f>
        <v>1.0333338309957002E-4</v>
      </c>
      <c r="P2" s="13">
        <f>TREND('DoE Data'!$C$26:$D$26,'DoE Data'!$C$22:$D$22,P$1)</f>
        <v>1.0148814411564677E-4</v>
      </c>
      <c r="Q2" s="11">
        <f>TREND('DoE Data'!$C$26:$D$26,'DoE Data'!$C$22:$D$22,Q$1)</f>
        <v>9.9642905131726127E-5</v>
      </c>
      <c r="R2" s="11">
        <f>TREND('DoE Data'!$C$26:$D$26,'DoE Data'!$C$22:$D$22,R$1)</f>
        <v>9.7797666147805048E-5</v>
      </c>
      <c r="S2" s="11">
        <f>TREND('DoE Data'!$C$26:$D$26,'DoE Data'!$C$22:$D$22,S$1)</f>
        <v>9.5952427163884402E-5</v>
      </c>
      <c r="T2" s="11">
        <f>TREND('DoE Data'!$C$26:$D$26,'DoE Data'!$C$22:$D$22,T$1)</f>
        <v>9.4107188179963323E-5</v>
      </c>
      <c r="U2" s="11">
        <f>TREND('DoE Data'!$C$26:$D$26,'DoE Data'!$C$22:$D$22,U$1)</f>
        <v>9.2261949196042678E-5</v>
      </c>
      <c r="V2" s="11">
        <f>TREND('DoE Data'!$C$26:$D$26,'DoE Data'!$C$22:$D$22,V$1)</f>
        <v>9.0416710212121599E-5</v>
      </c>
      <c r="W2" s="11">
        <f>TREND('DoE Data'!$C$26:$D$26,'DoE Data'!$C$22:$D$22,W$1)</f>
        <v>8.8571471228200954E-5</v>
      </c>
      <c r="X2" s="11">
        <f>TREND('DoE Data'!$C$26:$D$26,'DoE Data'!$C$22:$D$22,X$1)</f>
        <v>8.6726232244279874E-5</v>
      </c>
      <c r="Y2" s="11">
        <f>TREND('DoE Data'!$C$26:$D$26,'DoE Data'!$C$22:$D$22,Y$1)</f>
        <v>8.4880993260359229E-5</v>
      </c>
      <c r="Z2" s="11">
        <f>TREND('DoE Data'!$C$26:$D$26,'DoE Data'!$C$22:$D$22,Z$1)</f>
        <v>8.303575427643815E-5</v>
      </c>
      <c r="AA2" s="11">
        <f>TREND('DoE Data'!$C$26:$D$26,'DoE Data'!$C$22:$D$22,AA$1)</f>
        <v>8.1190515292517505E-5</v>
      </c>
      <c r="AB2" s="11">
        <f>TREND('DoE Data'!$C$26:$D$26,'DoE Data'!$C$22:$D$22,AB$1)</f>
        <v>7.9345276308596425E-5</v>
      </c>
      <c r="AC2" s="11">
        <f>TREND('DoE Data'!$C$26:$D$26,'DoE Data'!$C$22:$D$22,AC$1)</f>
        <v>7.750003732467578E-5</v>
      </c>
      <c r="AD2" s="11">
        <f>TREND('DoE Data'!$C$26:$D$26,'DoE Data'!$C$22:$D$22,AD$1)</f>
        <v>7.5654798340754701E-5</v>
      </c>
      <c r="AE2" s="11">
        <f>TREND('DoE Data'!$C$26:$D$26,'DoE Data'!$C$22:$D$22,AE$1)</f>
        <v>7.3809559356834056E-5</v>
      </c>
      <c r="AF2" s="11">
        <f>TREND('DoE Data'!$C$26:$D$26,'DoE Data'!$C$22:$D$22,AF$1)</f>
        <v>7.1964320372912977E-5</v>
      </c>
      <c r="AG2" s="11">
        <f>TREND('DoE Data'!$C$26:$D$26,'DoE Data'!$C$22:$D$22,AG$1)</f>
        <v>7.0119081388992331E-5</v>
      </c>
      <c r="AH2" s="11">
        <f>TREND('DoE Data'!$C$26:$D$26,'DoE Data'!$C$22:$D$22,AH$1)</f>
        <v>6.8273842405071686E-5</v>
      </c>
      <c r="AI2" s="11">
        <f>TREND('DoE Data'!$C$26:$D$26,'DoE Data'!$C$22:$D$22,AI$1)</f>
        <v>6.6428603421150607E-5</v>
      </c>
    </row>
    <row r="3" spans="1:35" x14ac:dyDescent="0.25">
      <c r="A3" t="s">
        <v>16</v>
      </c>
      <c r="B3" s="11">
        <f>'Reformer data'!G41</f>
        <v>8.0429393491877576E-6</v>
      </c>
      <c r="C3" s="11">
        <f>$B$3</f>
        <v>8.0429393491877576E-6</v>
      </c>
      <c r="D3" s="11">
        <f t="shared" ref="D3:AI3" si="0">$B$3</f>
        <v>8.0429393491877576E-6</v>
      </c>
      <c r="E3" s="11">
        <f t="shared" si="0"/>
        <v>8.0429393491877576E-6</v>
      </c>
      <c r="F3" s="11">
        <f t="shared" si="0"/>
        <v>8.0429393491877576E-6</v>
      </c>
      <c r="G3" s="11">
        <f t="shared" si="0"/>
        <v>8.0429393491877576E-6</v>
      </c>
      <c r="H3" s="11">
        <f t="shared" si="0"/>
        <v>8.0429393491877576E-6</v>
      </c>
      <c r="I3" s="11">
        <f t="shared" si="0"/>
        <v>8.0429393491877576E-6</v>
      </c>
      <c r="J3" s="11">
        <f t="shared" si="0"/>
        <v>8.0429393491877576E-6</v>
      </c>
      <c r="K3" s="11">
        <f t="shared" si="0"/>
        <v>8.0429393491877576E-6</v>
      </c>
      <c r="L3" s="11">
        <f t="shared" si="0"/>
        <v>8.0429393491877576E-6</v>
      </c>
      <c r="M3" s="11">
        <f t="shared" si="0"/>
        <v>8.0429393491877576E-6</v>
      </c>
      <c r="N3" s="11">
        <f t="shared" si="0"/>
        <v>8.0429393491877576E-6</v>
      </c>
      <c r="O3" s="11">
        <f t="shared" si="0"/>
        <v>8.0429393491877576E-6</v>
      </c>
      <c r="P3" s="11">
        <f t="shared" si="0"/>
        <v>8.0429393491877576E-6</v>
      </c>
      <c r="Q3" s="11">
        <f t="shared" si="0"/>
        <v>8.0429393491877576E-6</v>
      </c>
      <c r="R3" s="11">
        <f t="shared" si="0"/>
        <v>8.0429393491877576E-6</v>
      </c>
      <c r="S3" s="11">
        <f t="shared" si="0"/>
        <v>8.0429393491877576E-6</v>
      </c>
      <c r="T3" s="11">
        <f t="shared" si="0"/>
        <v>8.0429393491877576E-6</v>
      </c>
      <c r="U3" s="11">
        <f t="shared" si="0"/>
        <v>8.0429393491877576E-6</v>
      </c>
      <c r="V3" s="11">
        <f t="shared" si="0"/>
        <v>8.0429393491877576E-6</v>
      </c>
      <c r="W3" s="11">
        <f t="shared" si="0"/>
        <v>8.0429393491877576E-6</v>
      </c>
      <c r="X3" s="11">
        <f t="shared" si="0"/>
        <v>8.0429393491877576E-6</v>
      </c>
      <c r="Y3" s="11">
        <f t="shared" si="0"/>
        <v>8.0429393491877576E-6</v>
      </c>
      <c r="Z3" s="11">
        <f t="shared" si="0"/>
        <v>8.0429393491877576E-6</v>
      </c>
      <c r="AA3" s="11">
        <f t="shared" si="0"/>
        <v>8.0429393491877576E-6</v>
      </c>
      <c r="AB3" s="11">
        <f t="shared" si="0"/>
        <v>8.0429393491877576E-6</v>
      </c>
      <c r="AC3" s="11">
        <f t="shared" si="0"/>
        <v>8.0429393491877576E-6</v>
      </c>
      <c r="AD3" s="11">
        <f t="shared" si="0"/>
        <v>8.0429393491877576E-6</v>
      </c>
      <c r="AE3" s="11">
        <f t="shared" si="0"/>
        <v>8.0429393491877576E-6</v>
      </c>
      <c r="AF3" s="11">
        <f t="shared" si="0"/>
        <v>8.0429393491877576E-6</v>
      </c>
      <c r="AG3" s="11">
        <f t="shared" si="0"/>
        <v>8.0429393491877576E-6</v>
      </c>
      <c r="AH3" s="11">
        <f t="shared" si="0"/>
        <v>8.0429393491877576E-6</v>
      </c>
      <c r="AI3" s="11">
        <f t="shared" si="0"/>
        <v>8.0429393491877576E-6</v>
      </c>
    </row>
    <row r="4" spans="1:35" x14ac:dyDescent="0.25">
      <c r="A4" t="s">
        <v>19</v>
      </c>
      <c r="B4" s="11">
        <f>B3*'IEA Data'!$D$10/'IEA Data'!$D$6</f>
        <v>2.3598514354210235E-5</v>
      </c>
      <c r="C4" s="11">
        <f>C3*'IEA Data'!$D$10/'IEA Data'!$D$6</f>
        <v>2.3598514354210235E-5</v>
      </c>
      <c r="D4" s="11">
        <f>D3*'IEA Data'!$D$10/'IEA Data'!$D$6</f>
        <v>2.3598514354210235E-5</v>
      </c>
      <c r="E4" s="11">
        <f>E3*'IEA Data'!$D$10/'IEA Data'!$D$6</f>
        <v>2.3598514354210235E-5</v>
      </c>
      <c r="F4" s="11">
        <f>F3*'IEA Data'!$D$10/'IEA Data'!$D$6</f>
        <v>2.3598514354210235E-5</v>
      </c>
      <c r="G4" s="11">
        <f>G3*'IEA Data'!$D$10/'IEA Data'!$D$6</f>
        <v>2.3598514354210235E-5</v>
      </c>
      <c r="H4" s="11">
        <f>H3*'IEA Data'!$D$10/'IEA Data'!$D$6</f>
        <v>2.3598514354210235E-5</v>
      </c>
      <c r="I4" s="11">
        <f>I3*'IEA Data'!$D$10/'IEA Data'!$D$6</f>
        <v>2.3598514354210235E-5</v>
      </c>
      <c r="J4" s="11">
        <f>J3*'IEA Data'!$D$10/'IEA Data'!$D$6</f>
        <v>2.3598514354210235E-5</v>
      </c>
      <c r="K4" s="11">
        <f>K3*'IEA Data'!$D$10/'IEA Data'!$D$6</f>
        <v>2.3598514354210235E-5</v>
      </c>
      <c r="L4" s="11">
        <f>L3*'IEA Data'!$D$10/'IEA Data'!$D$6</f>
        <v>2.3598514354210235E-5</v>
      </c>
      <c r="M4" s="11">
        <f>M3*'IEA Data'!$D$10/'IEA Data'!$D$6</f>
        <v>2.3598514354210235E-5</v>
      </c>
      <c r="N4" s="11">
        <f>N3*'IEA Data'!$D$10/'IEA Data'!$D$6</f>
        <v>2.3598514354210235E-5</v>
      </c>
      <c r="O4" s="11">
        <f>O3*'IEA Data'!$D$10/'IEA Data'!$D$6</f>
        <v>2.3598514354210235E-5</v>
      </c>
      <c r="P4" s="11">
        <f>P3*'IEA Data'!$D$10/'IEA Data'!$D$6</f>
        <v>2.3598514354210235E-5</v>
      </c>
      <c r="Q4" s="11">
        <f>Q3*'IEA Data'!$D$10/'IEA Data'!$D$6</f>
        <v>2.3598514354210235E-5</v>
      </c>
      <c r="R4" s="11">
        <f>R3*'IEA Data'!$D$10/'IEA Data'!$D$6</f>
        <v>2.3598514354210235E-5</v>
      </c>
      <c r="S4" s="11">
        <f>S3*'IEA Data'!$D$10/'IEA Data'!$D$6</f>
        <v>2.3598514354210235E-5</v>
      </c>
      <c r="T4" s="11">
        <f>T3*'IEA Data'!$D$10/'IEA Data'!$D$6</f>
        <v>2.3598514354210235E-5</v>
      </c>
      <c r="U4" s="11">
        <f>U3*'IEA Data'!$D$10/'IEA Data'!$D$6</f>
        <v>2.3598514354210235E-5</v>
      </c>
      <c r="V4" s="11">
        <f>V3*'IEA Data'!$D$10/'IEA Data'!$D$6</f>
        <v>2.3598514354210235E-5</v>
      </c>
      <c r="W4" s="11">
        <f>W3*'IEA Data'!$D$10/'IEA Data'!$D$6</f>
        <v>2.3598514354210235E-5</v>
      </c>
      <c r="X4" s="11">
        <f>X3*'IEA Data'!$D$10/'IEA Data'!$D$6</f>
        <v>2.3598514354210235E-5</v>
      </c>
      <c r="Y4" s="11">
        <f>Y3*'IEA Data'!$D$10/'IEA Data'!$D$6</f>
        <v>2.3598514354210235E-5</v>
      </c>
      <c r="Z4" s="11">
        <f>Z3*'IEA Data'!$D$10/'IEA Data'!$D$6</f>
        <v>2.3598514354210235E-5</v>
      </c>
      <c r="AA4" s="11">
        <f>AA3*'IEA Data'!$D$10/'IEA Data'!$D$6</f>
        <v>2.3598514354210235E-5</v>
      </c>
      <c r="AB4" s="11">
        <f>AB3*'IEA Data'!$D$10/'IEA Data'!$D$6</f>
        <v>2.3598514354210235E-5</v>
      </c>
      <c r="AC4" s="11">
        <f>AC3*'IEA Data'!$D$10/'IEA Data'!$D$6</f>
        <v>2.3598514354210235E-5</v>
      </c>
      <c r="AD4" s="11">
        <f>AD3*'IEA Data'!$D$10/'IEA Data'!$D$6</f>
        <v>2.3598514354210235E-5</v>
      </c>
      <c r="AE4" s="11">
        <f>AE3*'IEA Data'!$D$10/'IEA Data'!$D$6</f>
        <v>2.3598514354210235E-5</v>
      </c>
      <c r="AF4" s="11">
        <f>AF3*'IEA Data'!$D$10/'IEA Data'!$D$6</f>
        <v>2.3598514354210235E-5</v>
      </c>
      <c r="AG4" s="11">
        <f>AG3*'IEA Data'!$D$10/'IEA Data'!$D$6</f>
        <v>2.3598514354210235E-5</v>
      </c>
      <c r="AH4" s="11">
        <f>AH3*'IEA Data'!$D$10/'IEA Data'!$D$6</f>
        <v>2.3598514354210235E-5</v>
      </c>
      <c r="AI4" s="11">
        <f>AI3*'IEA Data'!$D$10/'IEA Data'!$D$6</f>
        <v>2.3598514354210235E-5</v>
      </c>
    </row>
    <row r="5" spans="1:35" x14ac:dyDescent="0.25">
      <c r="A5" t="s">
        <v>25</v>
      </c>
      <c r="B5" s="11">
        <f>B4</f>
        <v>2.3598514354210235E-5</v>
      </c>
      <c r="C5" s="11">
        <f t="shared" ref="C5:P5" si="1">C4</f>
        <v>2.3598514354210235E-5</v>
      </c>
      <c r="D5" s="11">
        <f t="shared" si="1"/>
        <v>2.3598514354210235E-5</v>
      </c>
      <c r="E5" s="11">
        <f t="shared" si="1"/>
        <v>2.3598514354210235E-5</v>
      </c>
      <c r="F5" s="11">
        <f t="shared" si="1"/>
        <v>2.3598514354210235E-5</v>
      </c>
      <c r="G5" s="11">
        <f t="shared" si="1"/>
        <v>2.3598514354210235E-5</v>
      </c>
      <c r="H5" s="11">
        <f t="shared" si="1"/>
        <v>2.3598514354210235E-5</v>
      </c>
      <c r="I5" s="11">
        <f t="shared" si="1"/>
        <v>2.3598514354210235E-5</v>
      </c>
      <c r="J5" s="11">
        <f t="shared" si="1"/>
        <v>2.3598514354210235E-5</v>
      </c>
      <c r="K5" s="11">
        <f t="shared" si="1"/>
        <v>2.3598514354210235E-5</v>
      </c>
      <c r="L5" s="11">
        <f t="shared" si="1"/>
        <v>2.3598514354210235E-5</v>
      </c>
      <c r="M5" s="11">
        <f t="shared" si="1"/>
        <v>2.3598514354210235E-5</v>
      </c>
      <c r="N5" s="11">
        <f t="shared" si="1"/>
        <v>2.3598514354210235E-5</v>
      </c>
      <c r="O5" s="11">
        <f t="shared" si="1"/>
        <v>2.3598514354210235E-5</v>
      </c>
      <c r="P5" s="11">
        <f t="shared" si="1"/>
        <v>2.3598514354210235E-5</v>
      </c>
      <c r="Q5" s="11">
        <f t="shared" ref="Q5" si="2">Q4</f>
        <v>2.3598514354210235E-5</v>
      </c>
      <c r="R5" s="11">
        <f t="shared" ref="R5" si="3">R4</f>
        <v>2.3598514354210235E-5</v>
      </c>
      <c r="S5" s="11">
        <f t="shared" ref="S5" si="4">S4</f>
        <v>2.3598514354210235E-5</v>
      </c>
      <c r="T5" s="11">
        <f t="shared" ref="T5" si="5">T4</f>
        <v>2.3598514354210235E-5</v>
      </c>
      <c r="U5" s="11">
        <f t="shared" ref="U5" si="6">U4</f>
        <v>2.3598514354210235E-5</v>
      </c>
      <c r="V5" s="11">
        <f t="shared" ref="V5" si="7">V4</f>
        <v>2.3598514354210235E-5</v>
      </c>
      <c r="W5" s="11">
        <f t="shared" ref="W5" si="8">W4</f>
        <v>2.3598514354210235E-5</v>
      </c>
      <c r="X5" s="11">
        <f t="shared" ref="X5" si="9">X4</f>
        <v>2.3598514354210235E-5</v>
      </c>
      <c r="Y5" s="11">
        <f t="shared" ref="Y5" si="10">Y4</f>
        <v>2.3598514354210235E-5</v>
      </c>
      <c r="Z5" s="11">
        <f t="shared" ref="Z5" si="11">Z4</f>
        <v>2.3598514354210235E-5</v>
      </c>
      <c r="AA5" s="11">
        <f t="shared" ref="AA5" si="12">AA4</f>
        <v>2.3598514354210235E-5</v>
      </c>
      <c r="AB5" s="11">
        <f t="shared" ref="AB5" si="13">AB4</f>
        <v>2.3598514354210235E-5</v>
      </c>
      <c r="AC5" s="11">
        <f t="shared" ref="AC5" si="14">AC4</f>
        <v>2.3598514354210235E-5</v>
      </c>
      <c r="AD5" s="11">
        <f t="shared" ref="AD5" si="15">AD4</f>
        <v>2.3598514354210235E-5</v>
      </c>
      <c r="AE5" s="11">
        <f t="shared" ref="AE5" si="16">AE4</f>
        <v>2.3598514354210235E-5</v>
      </c>
      <c r="AF5" s="11">
        <f t="shared" ref="AF5" si="17">AF4</f>
        <v>2.3598514354210235E-5</v>
      </c>
      <c r="AG5" s="11">
        <f t="shared" ref="AG5" si="18">AG4</f>
        <v>2.3598514354210235E-5</v>
      </c>
      <c r="AH5" s="11">
        <f t="shared" ref="AH5" si="19">AH4</f>
        <v>2.3598514354210235E-5</v>
      </c>
      <c r="AI5" s="11">
        <f t="shared" ref="AI5" si="20">AI4</f>
        <v>2.3598514354210235E-5</v>
      </c>
    </row>
    <row r="6" spans="1:35" x14ac:dyDescent="0.25">
      <c r="A6" t="s">
        <v>65</v>
      </c>
      <c r="B6" s="11">
        <f>B3*0.85</f>
        <v>6.8364984468095934E-6</v>
      </c>
      <c r="C6">
        <f t="shared" ref="C6:R6" si="21">$B6</f>
        <v>6.8364984468095934E-6</v>
      </c>
      <c r="D6">
        <f t="shared" si="21"/>
        <v>6.8364984468095934E-6</v>
      </c>
      <c r="E6">
        <f t="shared" si="21"/>
        <v>6.8364984468095934E-6</v>
      </c>
      <c r="F6">
        <f t="shared" si="21"/>
        <v>6.8364984468095934E-6</v>
      </c>
      <c r="G6">
        <f t="shared" si="21"/>
        <v>6.8364984468095934E-6</v>
      </c>
      <c r="H6">
        <f t="shared" si="21"/>
        <v>6.8364984468095934E-6</v>
      </c>
      <c r="I6">
        <f t="shared" si="21"/>
        <v>6.8364984468095934E-6</v>
      </c>
      <c r="J6">
        <f t="shared" si="21"/>
        <v>6.8364984468095934E-6</v>
      </c>
      <c r="K6">
        <f t="shared" si="21"/>
        <v>6.8364984468095934E-6</v>
      </c>
      <c r="L6">
        <f t="shared" si="21"/>
        <v>6.8364984468095934E-6</v>
      </c>
      <c r="M6">
        <f t="shared" si="21"/>
        <v>6.8364984468095934E-6</v>
      </c>
      <c r="N6">
        <f t="shared" si="21"/>
        <v>6.8364984468095934E-6</v>
      </c>
      <c r="O6">
        <f t="shared" si="21"/>
        <v>6.8364984468095934E-6</v>
      </c>
      <c r="P6">
        <f t="shared" si="21"/>
        <v>6.8364984468095934E-6</v>
      </c>
      <c r="Q6">
        <f t="shared" si="21"/>
        <v>6.8364984468095934E-6</v>
      </c>
      <c r="R6">
        <f t="shared" si="21"/>
        <v>6.8364984468095934E-6</v>
      </c>
      <c r="S6">
        <f t="shared" ref="S6:AI6" si="22">$B6</f>
        <v>6.8364984468095934E-6</v>
      </c>
      <c r="T6">
        <f t="shared" si="22"/>
        <v>6.8364984468095934E-6</v>
      </c>
      <c r="U6">
        <f t="shared" si="22"/>
        <v>6.8364984468095934E-6</v>
      </c>
      <c r="V6">
        <f t="shared" si="22"/>
        <v>6.8364984468095934E-6</v>
      </c>
      <c r="W6">
        <f t="shared" si="22"/>
        <v>6.8364984468095934E-6</v>
      </c>
      <c r="X6">
        <f t="shared" si="22"/>
        <v>6.8364984468095934E-6</v>
      </c>
      <c r="Y6">
        <f t="shared" si="22"/>
        <v>6.8364984468095934E-6</v>
      </c>
      <c r="Z6">
        <f t="shared" si="22"/>
        <v>6.8364984468095934E-6</v>
      </c>
      <c r="AA6">
        <f t="shared" si="22"/>
        <v>6.8364984468095934E-6</v>
      </c>
      <c r="AB6">
        <f t="shared" si="22"/>
        <v>6.8364984468095934E-6</v>
      </c>
      <c r="AC6">
        <f t="shared" si="22"/>
        <v>6.8364984468095934E-6</v>
      </c>
      <c r="AD6">
        <f t="shared" si="22"/>
        <v>6.8364984468095934E-6</v>
      </c>
      <c r="AE6">
        <f t="shared" si="22"/>
        <v>6.8364984468095934E-6</v>
      </c>
      <c r="AF6">
        <f t="shared" si="22"/>
        <v>6.8364984468095934E-6</v>
      </c>
      <c r="AG6">
        <f t="shared" si="22"/>
        <v>6.8364984468095934E-6</v>
      </c>
      <c r="AH6">
        <f t="shared" si="22"/>
        <v>6.8364984468095934E-6</v>
      </c>
      <c r="AI6">
        <f t="shared" si="22"/>
        <v>6.8364984468095934E-6</v>
      </c>
    </row>
    <row r="7" spans="1:35" x14ac:dyDescent="0.25">
      <c r="A7" t="s">
        <v>63</v>
      </c>
      <c r="B7" s="11">
        <f>B2</f>
        <v>1.6730166787549267E-4</v>
      </c>
      <c r="C7" s="11">
        <f t="shared" ref="C7:AI7" si="23">C2</f>
        <v>1.6238103058503588E-4</v>
      </c>
      <c r="D7" s="11">
        <f t="shared" si="23"/>
        <v>1.5746039329458082E-4</v>
      </c>
      <c r="E7" s="11">
        <f t="shared" si="23"/>
        <v>1.5253975600412577E-4</v>
      </c>
      <c r="F7" s="11">
        <f t="shared" si="23"/>
        <v>1.4761911871366898E-4</v>
      </c>
      <c r="G7" s="11">
        <f t="shared" si="23"/>
        <v>1.4269848142321392E-4</v>
      </c>
      <c r="H7" s="11">
        <f t="shared" si="23"/>
        <v>1.3777784413275887E-4</v>
      </c>
      <c r="I7" s="11">
        <f t="shared" si="23"/>
        <v>1.3285720684230208E-4</v>
      </c>
      <c r="J7" s="11">
        <f t="shared" si="23"/>
        <v>1.2793656955184703E-4</v>
      </c>
      <c r="K7" s="11">
        <f t="shared" si="23"/>
        <v>1.2301593226139197E-4</v>
      </c>
      <c r="L7" s="11">
        <f t="shared" si="23"/>
        <v>1.1809529497093518E-4</v>
      </c>
      <c r="M7" s="11">
        <f t="shared" si="23"/>
        <v>1.1317465768048013E-4</v>
      </c>
      <c r="N7" s="11">
        <f t="shared" si="23"/>
        <v>1.0825402039002507E-4</v>
      </c>
      <c r="O7" s="26">
        <f t="shared" si="23"/>
        <v>1.0333338309957002E-4</v>
      </c>
      <c r="P7" s="11">
        <f t="shared" si="23"/>
        <v>1.0148814411564677E-4</v>
      </c>
      <c r="Q7" s="11">
        <f t="shared" si="23"/>
        <v>9.9642905131726127E-5</v>
      </c>
      <c r="R7" s="11">
        <f t="shared" si="23"/>
        <v>9.7797666147805048E-5</v>
      </c>
      <c r="S7" s="11">
        <f t="shared" si="23"/>
        <v>9.5952427163884402E-5</v>
      </c>
      <c r="T7" s="11">
        <f t="shared" si="23"/>
        <v>9.4107188179963323E-5</v>
      </c>
      <c r="U7" s="11">
        <f t="shared" si="23"/>
        <v>9.2261949196042678E-5</v>
      </c>
      <c r="V7" s="11">
        <f t="shared" si="23"/>
        <v>9.0416710212121599E-5</v>
      </c>
      <c r="W7" s="11">
        <f t="shared" si="23"/>
        <v>8.8571471228200954E-5</v>
      </c>
      <c r="X7" s="11">
        <f t="shared" si="23"/>
        <v>8.6726232244279874E-5</v>
      </c>
      <c r="Y7" s="11">
        <f t="shared" si="23"/>
        <v>8.4880993260359229E-5</v>
      </c>
      <c r="Z7" s="11">
        <f t="shared" si="23"/>
        <v>8.303575427643815E-5</v>
      </c>
      <c r="AA7" s="11">
        <f t="shared" si="23"/>
        <v>8.1190515292517505E-5</v>
      </c>
      <c r="AB7" s="11">
        <f t="shared" si="23"/>
        <v>7.9345276308596425E-5</v>
      </c>
      <c r="AC7" s="11">
        <f t="shared" si="23"/>
        <v>7.750003732467578E-5</v>
      </c>
      <c r="AD7" s="11">
        <f t="shared" si="23"/>
        <v>7.5654798340754701E-5</v>
      </c>
      <c r="AE7" s="11">
        <f t="shared" si="23"/>
        <v>7.3809559356834056E-5</v>
      </c>
      <c r="AF7" s="11">
        <f t="shared" si="23"/>
        <v>7.1964320372912977E-5</v>
      </c>
      <c r="AG7" s="11">
        <f t="shared" si="23"/>
        <v>7.0119081388992331E-5</v>
      </c>
      <c r="AH7" s="11">
        <f t="shared" si="23"/>
        <v>6.8273842405071686E-5</v>
      </c>
      <c r="AI7" s="11">
        <f t="shared" si="23"/>
        <v>6.6428603421150607E-5</v>
      </c>
    </row>
    <row r="8" spans="1:35" x14ac:dyDescent="0.25">
      <c r="A8" t="s">
        <v>64</v>
      </c>
      <c r="B8" s="11">
        <f>B3</f>
        <v>8.0429393491877576E-6</v>
      </c>
      <c r="C8" s="11">
        <f t="shared" ref="C8:AI8" si="24">C3</f>
        <v>8.0429393491877576E-6</v>
      </c>
      <c r="D8" s="11">
        <f t="shared" si="24"/>
        <v>8.0429393491877576E-6</v>
      </c>
      <c r="E8" s="11">
        <f t="shared" si="24"/>
        <v>8.0429393491877576E-6</v>
      </c>
      <c r="F8" s="11">
        <f t="shared" si="24"/>
        <v>8.0429393491877576E-6</v>
      </c>
      <c r="G8" s="11">
        <f t="shared" si="24"/>
        <v>8.0429393491877576E-6</v>
      </c>
      <c r="H8" s="11">
        <f t="shared" si="24"/>
        <v>8.0429393491877576E-6</v>
      </c>
      <c r="I8" s="11">
        <f t="shared" si="24"/>
        <v>8.0429393491877576E-6</v>
      </c>
      <c r="J8" s="11">
        <f t="shared" si="24"/>
        <v>8.0429393491877576E-6</v>
      </c>
      <c r="K8" s="11">
        <f t="shared" si="24"/>
        <v>8.0429393491877576E-6</v>
      </c>
      <c r="L8" s="11">
        <f t="shared" si="24"/>
        <v>8.0429393491877576E-6</v>
      </c>
      <c r="M8" s="11">
        <f t="shared" si="24"/>
        <v>8.0429393491877576E-6</v>
      </c>
      <c r="N8" s="11">
        <f t="shared" si="24"/>
        <v>8.0429393491877576E-6</v>
      </c>
      <c r="O8" s="11">
        <f t="shared" si="24"/>
        <v>8.0429393491877576E-6</v>
      </c>
      <c r="P8" s="11">
        <f t="shared" si="24"/>
        <v>8.0429393491877576E-6</v>
      </c>
      <c r="Q8" s="11">
        <f t="shared" si="24"/>
        <v>8.0429393491877576E-6</v>
      </c>
      <c r="R8" s="11">
        <f t="shared" si="24"/>
        <v>8.0429393491877576E-6</v>
      </c>
      <c r="S8" s="11">
        <f t="shared" si="24"/>
        <v>8.0429393491877576E-6</v>
      </c>
      <c r="T8" s="11">
        <f t="shared" si="24"/>
        <v>8.0429393491877576E-6</v>
      </c>
      <c r="U8" s="11">
        <f t="shared" si="24"/>
        <v>8.0429393491877576E-6</v>
      </c>
      <c r="V8" s="11">
        <f t="shared" si="24"/>
        <v>8.0429393491877576E-6</v>
      </c>
      <c r="W8" s="11">
        <f t="shared" si="24"/>
        <v>8.0429393491877576E-6</v>
      </c>
      <c r="X8" s="11">
        <f t="shared" si="24"/>
        <v>8.0429393491877576E-6</v>
      </c>
      <c r="Y8" s="11">
        <f t="shared" si="24"/>
        <v>8.0429393491877576E-6</v>
      </c>
      <c r="Z8" s="11">
        <f t="shared" si="24"/>
        <v>8.0429393491877576E-6</v>
      </c>
      <c r="AA8" s="11">
        <f t="shared" si="24"/>
        <v>8.0429393491877576E-6</v>
      </c>
      <c r="AB8" s="11">
        <f t="shared" si="24"/>
        <v>8.0429393491877576E-6</v>
      </c>
      <c r="AC8" s="11">
        <f t="shared" si="24"/>
        <v>8.0429393491877576E-6</v>
      </c>
      <c r="AD8" s="11">
        <f t="shared" si="24"/>
        <v>8.0429393491877576E-6</v>
      </c>
      <c r="AE8" s="11">
        <f t="shared" si="24"/>
        <v>8.0429393491877576E-6</v>
      </c>
      <c r="AF8" s="11">
        <f t="shared" si="24"/>
        <v>8.0429393491877576E-6</v>
      </c>
      <c r="AG8" s="11">
        <f t="shared" si="24"/>
        <v>8.0429393491877576E-6</v>
      </c>
      <c r="AH8" s="11">
        <f t="shared" si="24"/>
        <v>8.0429393491877576E-6</v>
      </c>
      <c r="AI8" s="11">
        <f t="shared" si="24"/>
        <v>8.0429393491877576E-6</v>
      </c>
    </row>
    <row r="10" spans="1:35" x14ac:dyDescent="0.25">
      <c r="B10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I17"/>
  <sheetViews>
    <sheetView workbookViewId="0">
      <selection activeCell="B10" sqref="B10:B15"/>
    </sheetView>
  </sheetViews>
  <sheetFormatPr defaultRowHeight="15" x14ac:dyDescent="0.25"/>
  <cols>
    <col min="1" max="1" width="30.140625" customWidth="1"/>
  </cols>
  <sheetData>
    <row r="1" spans="1:35" x14ac:dyDescent="0.25">
      <c r="A1" s="1" t="s">
        <v>62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>
        <v>2030</v>
      </c>
      <c r="P1" s="9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Data'!$B$29:$C$29,'DoE Data'!$B$22:$C$22,B$1)</f>
        <v>8.3650833937745032E-6</v>
      </c>
      <c r="C2" s="11">
        <f>TREND('DoE Data'!$B$29:$C$29,'DoE Data'!$B$22:$C$22,C$1)</f>
        <v>8.1190515292517938E-6</v>
      </c>
      <c r="D2" s="11">
        <f>TREND('DoE Data'!$B$29:$C$29,'DoE Data'!$B$22:$C$22,D$1)</f>
        <v>7.8730196647289761E-6</v>
      </c>
      <c r="E2" s="11">
        <f>TREND('DoE Data'!$B$29:$C$29,'DoE Data'!$B$22:$C$22,E$1)</f>
        <v>7.6269878002061583E-6</v>
      </c>
      <c r="F2" s="11">
        <f>TREND('DoE Data'!$B$29:$C$29,'DoE Data'!$B$22:$C$22,F$1)</f>
        <v>7.3809559356834489E-6</v>
      </c>
      <c r="G2" s="11">
        <f>TREND('DoE Data'!$B$29:$C$29,'DoE Data'!$B$22:$C$22,G$1)</f>
        <v>7.1349240711606312E-6</v>
      </c>
      <c r="H2" s="11">
        <f>TREND('DoE Data'!$B$29:$C$29,'DoE Data'!$B$22:$C$22,H$1)</f>
        <v>6.8888922066378134E-6</v>
      </c>
      <c r="I2" s="11">
        <f>TREND('DoE Data'!$B$29:$C$29,'DoE Data'!$B$22:$C$22,I$1)</f>
        <v>6.642860342115104E-6</v>
      </c>
      <c r="J2" s="11">
        <f>TREND('DoE Data'!$B$29:$C$29,'DoE Data'!$B$22:$C$22,J$1)</f>
        <v>6.3968284775922863E-6</v>
      </c>
      <c r="K2" s="11">
        <f>TREND('DoE Data'!$B$29:$C$29,'DoE Data'!$B$22:$C$22,K$1)</f>
        <v>6.1507966130694685E-6</v>
      </c>
      <c r="L2" s="11">
        <f>TREND('DoE Data'!$B$29:$C$29,'DoE Data'!$B$22:$C$22,L$1)</f>
        <v>5.9047647485467591E-6</v>
      </c>
      <c r="M2" s="11">
        <f>TREND('DoE Data'!$B$29:$C$29,'DoE Data'!$B$22:$C$22,M$1)</f>
        <v>5.6587328840239414E-6</v>
      </c>
      <c r="N2" s="11">
        <f>TREND('DoE Data'!$B$29:$C$29,'DoE Data'!$B$22:$C$22,N$1)</f>
        <v>5.4127010195011236E-6</v>
      </c>
      <c r="O2" s="11">
        <f>TREND('DoE Data'!$B$29:$C$29,'DoE Data'!$B$22:$C$22,O$1)</f>
        <v>5.1666691549784143E-6</v>
      </c>
      <c r="P2" s="11">
        <f>TREND('DoE Data'!$C$29:$D$29,'DoE Data'!$C$22:$D$22,P$1)</f>
        <v>5.074407205782344E-6</v>
      </c>
      <c r="Q2" s="11">
        <f>TREND('DoE Data'!$C$29:$D$29,'DoE Data'!$C$22:$D$22,Q$1)</f>
        <v>4.9821452565863009E-6</v>
      </c>
      <c r="R2" s="11">
        <f>TREND('DoE Data'!$C$29:$D$29,'DoE Data'!$C$22:$D$22,R$1)</f>
        <v>4.8898833073902578E-6</v>
      </c>
      <c r="S2" s="11">
        <f>TREND('DoE Data'!$C$29:$D$29,'DoE Data'!$C$22:$D$22,S$1)</f>
        <v>4.7976213581942147E-6</v>
      </c>
      <c r="T2" s="11">
        <f>TREND('DoE Data'!$C$29:$D$29,'DoE Data'!$C$22:$D$22,T$1)</f>
        <v>4.7053594089981716E-6</v>
      </c>
      <c r="U2" s="11">
        <f>TREND('DoE Data'!$C$29:$D$29,'DoE Data'!$C$22:$D$22,U$1)</f>
        <v>4.6130974598021285E-6</v>
      </c>
      <c r="V2" s="11">
        <f>TREND('DoE Data'!$C$29:$D$29,'DoE Data'!$C$22:$D$22,V$1)</f>
        <v>4.5208355106060854E-6</v>
      </c>
      <c r="W2" s="11">
        <f>TREND('DoE Data'!$C$29:$D$29,'DoE Data'!$C$22:$D$22,W$1)</f>
        <v>4.4285735614100423E-6</v>
      </c>
      <c r="X2" s="11">
        <f>TREND('DoE Data'!$C$29:$D$29,'DoE Data'!$C$22:$D$22,X$1)</f>
        <v>4.3363116122139991E-6</v>
      </c>
      <c r="Y2" s="11">
        <f>TREND('DoE Data'!$C$29:$D$29,'DoE Data'!$C$22:$D$22,Y$1)</f>
        <v>4.244049663017956E-6</v>
      </c>
      <c r="Z2" s="11">
        <f>TREND('DoE Data'!$C$29:$D$29,'DoE Data'!$C$22:$D$22,Z$1)</f>
        <v>4.1517877138219129E-6</v>
      </c>
      <c r="AA2" s="11">
        <f>TREND('DoE Data'!$C$29:$D$29,'DoE Data'!$C$22:$D$22,AA$1)</f>
        <v>4.0595257646258698E-6</v>
      </c>
      <c r="AB2" s="11">
        <f>TREND('DoE Data'!$C$29:$D$29,'DoE Data'!$C$22:$D$22,AB$1)</f>
        <v>3.9672638154298267E-6</v>
      </c>
      <c r="AC2" s="11">
        <f>TREND('DoE Data'!$C$29:$D$29,'DoE Data'!$C$22:$D$22,AC$1)</f>
        <v>3.8750018662337836E-6</v>
      </c>
      <c r="AD2" s="11">
        <f>TREND('DoE Data'!$C$29:$D$29,'DoE Data'!$C$22:$D$22,AD$1)</f>
        <v>3.7827399170377405E-6</v>
      </c>
      <c r="AE2" s="11">
        <f>TREND('DoE Data'!$C$29:$D$29,'DoE Data'!$C$22:$D$22,AE$1)</f>
        <v>3.6904779678416974E-6</v>
      </c>
      <c r="AF2" s="11">
        <f>TREND('DoE Data'!$C$29:$D$29,'DoE Data'!$C$22:$D$22,AF$1)</f>
        <v>3.5982160186456542E-6</v>
      </c>
      <c r="AG2" s="11">
        <f>TREND('DoE Data'!$C$29:$D$29,'DoE Data'!$C$22:$D$22,AG$1)</f>
        <v>3.5059540694496111E-6</v>
      </c>
      <c r="AH2" s="11">
        <f>TREND('DoE Data'!$C$29:$D$29,'DoE Data'!$C$22:$D$22,AH$1)</f>
        <v>3.413692120253568E-6</v>
      </c>
      <c r="AI2" s="11">
        <f>TREND('DoE Data'!$C$29:$D$29,'DoE Data'!$C$22:$D$22,AI$1)</f>
        <v>3.3214301710575249E-6</v>
      </c>
    </row>
    <row r="3" spans="1:35" x14ac:dyDescent="0.25">
      <c r="A3" t="s">
        <v>16</v>
      </c>
      <c r="B3" s="11">
        <f>HPEC!B3*'IEA Data'!$D$8</f>
        <v>3.7801814941182461E-7</v>
      </c>
      <c r="C3" s="11">
        <f>HPEC!C3*'IEA Data'!$D$8</f>
        <v>3.7801814941182461E-7</v>
      </c>
      <c r="D3" s="11">
        <f>HPEC!D3*'IEA Data'!$D$8</f>
        <v>3.7801814941182461E-7</v>
      </c>
      <c r="E3" s="11">
        <f>HPEC!E3*'IEA Data'!$D$8</f>
        <v>3.7801814941182461E-7</v>
      </c>
      <c r="F3" s="11">
        <f>HPEC!F3*'IEA Data'!$D$8</f>
        <v>3.7801814941182461E-7</v>
      </c>
      <c r="G3" s="11">
        <f>HPEC!G3*'IEA Data'!$D$8</f>
        <v>3.7801814941182461E-7</v>
      </c>
      <c r="H3" s="11">
        <f>HPEC!H3*'IEA Data'!$D$8</f>
        <v>3.7801814941182461E-7</v>
      </c>
      <c r="I3" s="11">
        <f>HPEC!I3*'IEA Data'!$D$8</f>
        <v>3.7801814941182461E-7</v>
      </c>
      <c r="J3" s="11">
        <f>HPEC!J3*'IEA Data'!$D$8</f>
        <v>3.7801814941182461E-7</v>
      </c>
      <c r="K3" s="11">
        <f>HPEC!K3*'IEA Data'!$D$8</f>
        <v>3.7801814941182461E-7</v>
      </c>
      <c r="L3" s="11">
        <f>HPEC!L3*'IEA Data'!$D$8</f>
        <v>3.7801814941182461E-7</v>
      </c>
      <c r="M3" s="11">
        <f>HPEC!M3*'IEA Data'!$D$8</f>
        <v>3.7801814941182461E-7</v>
      </c>
      <c r="N3" s="11">
        <f>HPEC!N3*'IEA Data'!$D$8</f>
        <v>3.7801814941182461E-7</v>
      </c>
      <c r="O3" s="11">
        <f>HPEC!O3*'IEA Data'!$D$8</f>
        <v>3.7801814941182461E-7</v>
      </c>
      <c r="P3" s="11">
        <f>HPEC!P3*'IEA Data'!$D$8</f>
        <v>3.7801814941182461E-7</v>
      </c>
      <c r="Q3" s="11">
        <f>HPEC!Q3*'IEA Data'!$D$8</f>
        <v>3.7801814941182461E-7</v>
      </c>
      <c r="R3" s="11">
        <f>HPEC!R3*'IEA Data'!$D$8</f>
        <v>3.7801814941182461E-7</v>
      </c>
      <c r="S3" s="11">
        <f>HPEC!S3*'IEA Data'!$D$8</f>
        <v>3.7801814941182461E-7</v>
      </c>
      <c r="T3" s="11">
        <f>HPEC!T3*'IEA Data'!$D$8</f>
        <v>3.7801814941182461E-7</v>
      </c>
      <c r="U3" s="11">
        <f>HPEC!U3*'IEA Data'!$D$8</f>
        <v>3.7801814941182461E-7</v>
      </c>
      <c r="V3" s="11">
        <f>HPEC!V3*'IEA Data'!$D$8</f>
        <v>3.7801814941182461E-7</v>
      </c>
      <c r="W3" s="11">
        <f>HPEC!W3*'IEA Data'!$D$8</f>
        <v>3.7801814941182461E-7</v>
      </c>
      <c r="X3" s="11">
        <f>HPEC!X3*'IEA Data'!$D$8</f>
        <v>3.7801814941182461E-7</v>
      </c>
      <c r="Y3" s="11">
        <f>HPEC!Y3*'IEA Data'!$D$8</f>
        <v>3.7801814941182461E-7</v>
      </c>
      <c r="Z3" s="11">
        <f>HPEC!Z3*'IEA Data'!$D$8</f>
        <v>3.7801814941182461E-7</v>
      </c>
      <c r="AA3" s="11">
        <f>HPEC!AA3*'IEA Data'!$D$8</f>
        <v>3.7801814941182461E-7</v>
      </c>
      <c r="AB3" s="11">
        <f>HPEC!AB3*'IEA Data'!$D$8</f>
        <v>3.7801814941182461E-7</v>
      </c>
      <c r="AC3" s="11">
        <f>HPEC!AC3*'IEA Data'!$D$8</f>
        <v>3.7801814941182461E-7</v>
      </c>
      <c r="AD3" s="11">
        <f>HPEC!AD3*'IEA Data'!$D$8</f>
        <v>3.7801814941182461E-7</v>
      </c>
      <c r="AE3" s="11">
        <f>HPEC!AE3*'IEA Data'!$D$8</f>
        <v>3.7801814941182461E-7</v>
      </c>
      <c r="AF3" s="11">
        <f>HPEC!AF3*'IEA Data'!$D$8</f>
        <v>3.7801814941182461E-7</v>
      </c>
      <c r="AG3" s="11">
        <f>HPEC!AG3*'IEA Data'!$D$8</f>
        <v>3.7801814941182461E-7</v>
      </c>
      <c r="AH3" s="11">
        <f>HPEC!AH3*'IEA Data'!$D$8</f>
        <v>3.7801814941182461E-7</v>
      </c>
      <c r="AI3" s="11">
        <f>HPEC!AI3*'IEA Data'!$D$8</f>
        <v>3.7801814941182461E-7</v>
      </c>
    </row>
    <row r="4" spans="1:35" x14ac:dyDescent="0.25">
      <c r="A4" t="s">
        <v>19</v>
      </c>
      <c r="B4" s="11">
        <f>HPEC!B4*'IEA Data'!$D$12</f>
        <v>1.1799257177105119E-6</v>
      </c>
      <c r="C4" s="11">
        <f>HPEC!C4*'IEA Data'!$D$12</f>
        <v>1.1799257177105119E-6</v>
      </c>
      <c r="D4" s="11">
        <f>HPEC!D4*'IEA Data'!$D$12</f>
        <v>1.1799257177105119E-6</v>
      </c>
      <c r="E4" s="11">
        <f>HPEC!E4*'IEA Data'!$D$12</f>
        <v>1.1799257177105119E-6</v>
      </c>
      <c r="F4" s="11">
        <f>HPEC!F4*'IEA Data'!$D$12</f>
        <v>1.1799257177105119E-6</v>
      </c>
      <c r="G4" s="11">
        <f>HPEC!G4*'IEA Data'!$D$12</f>
        <v>1.1799257177105119E-6</v>
      </c>
      <c r="H4" s="11">
        <f>HPEC!H4*'IEA Data'!$D$12</f>
        <v>1.1799257177105119E-6</v>
      </c>
      <c r="I4" s="11">
        <f>HPEC!I4*'IEA Data'!$D$12</f>
        <v>1.1799257177105119E-6</v>
      </c>
      <c r="J4" s="11">
        <f>HPEC!J4*'IEA Data'!$D$12</f>
        <v>1.1799257177105119E-6</v>
      </c>
      <c r="K4" s="11">
        <f>HPEC!K4*'IEA Data'!$D$12</f>
        <v>1.1799257177105119E-6</v>
      </c>
      <c r="L4" s="11">
        <f>HPEC!L4*'IEA Data'!$D$12</f>
        <v>1.1799257177105119E-6</v>
      </c>
      <c r="M4" s="11">
        <f>HPEC!M4*'IEA Data'!$D$12</f>
        <v>1.1799257177105119E-6</v>
      </c>
      <c r="N4" s="11">
        <f>HPEC!N4*'IEA Data'!$D$12</f>
        <v>1.1799257177105119E-6</v>
      </c>
      <c r="O4" s="11">
        <f>HPEC!O4*'IEA Data'!$D$12</f>
        <v>1.1799257177105119E-6</v>
      </c>
      <c r="P4" s="11">
        <f>HPEC!P4*'IEA Data'!$D$12</f>
        <v>1.1799257177105119E-6</v>
      </c>
      <c r="Q4" s="11">
        <f>HPEC!Q4*'IEA Data'!$D$12</f>
        <v>1.1799257177105119E-6</v>
      </c>
      <c r="R4" s="11">
        <f>HPEC!R4*'IEA Data'!$D$12</f>
        <v>1.1799257177105119E-6</v>
      </c>
      <c r="S4" s="11">
        <f>HPEC!S4*'IEA Data'!$D$12</f>
        <v>1.1799257177105119E-6</v>
      </c>
      <c r="T4" s="11">
        <f>HPEC!T4*'IEA Data'!$D$12</f>
        <v>1.1799257177105119E-6</v>
      </c>
      <c r="U4" s="11">
        <f>HPEC!U4*'IEA Data'!$D$12</f>
        <v>1.1799257177105119E-6</v>
      </c>
      <c r="V4" s="11">
        <f>HPEC!V4*'IEA Data'!$D$12</f>
        <v>1.1799257177105119E-6</v>
      </c>
      <c r="W4" s="11">
        <f>HPEC!W4*'IEA Data'!$D$12</f>
        <v>1.1799257177105119E-6</v>
      </c>
      <c r="X4" s="11">
        <f>HPEC!X4*'IEA Data'!$D$12</f>
        <v>1.1799257177105119E-6</v>
      </c>
      <c r="Y4" s="11">
        <f>HPEC!Y4*'IEA Data'!$D$12</f>
        <v>1.1799257177105119E-6</v>
      </c>
      <c r="Z4" s="11">
        <f>HPEC!Z4*'IEA Data'!$D$12</f>
        <v>1.1799257177105119E-6</v>
      </c>
      <c r="AA4" s="11">
        <f>HPEC!AA4*'IEA Data'!$D$12</f>
        <v>1.1799257177105119E-6</v>
      </c>
      <c r="AB4" s="11">
        <f>HPEC!AB4*'IEA Data'!$D$12</f>
        <v>1.1799257177105119E-6</v>
      </c>
      <c r="AC4" s="11">
        <f>HPEC!AC4*'IEA Data'!$D$12</f>
        <v>1.1799257177105119E-6</v>
      </c>
      <c r="AD4" s="11">
        <f>HPEC!AD4*'IEA Data'!$D$12</f>
        <v>1.1799257177105119E-6</v>
      </c>
      <c r="AE4" s="11">
        <f>HPEC!AE4*'IEA Data'!$D$12</f>
        <v>1.1799257177105119E-6</v>
      </c>
      <c r="AF4" s="11">
        <f>HPEC!AF4*'IEA Data'!$D$12</f>
        <v>1.1799257177105119E-6</v>
      </c>
      <c r="AG4" s="11">
        <f>HPEC!AG4*'IEA Data'!$D$12</f>
        <v>1.1799257177105119E-6</v>
      </c>
      <c r="AH4" s="11">
        <f>HPEC!AH4*'IEA Data'!$D$12</f>
        <v>1.1799257177105119E-6</v>
      </c>
      <c r="AI4" s="11">
        <f>HPEC!AI4*'IEA Data'!$D$12</f>
        <v>1.1799257177105119E-6</v>
      </c>
    </row>
    <row r="5" spans="1:35" x14ac:dyDescent="0.25">
      <c r="A5" t="s">
        <v>25</v>
      </c>
      <c r="B5" s="11">
        <f>B4</f>
        <v>1.1799257177105119E-6</v>
      </c>
      <c r="C5" s="11">
        <f t="shared" ref="C5:AI5" si="0">C4</f>
        <v>1.1799257177105119E-6</v>
      </c>
      <c r="D5" s="11">
        <f t="shared" si="0"/>
        <v>1.1799257177105119E-6</v>
      </c>
      <c r="E5" s="11">
        <f t="shared" si="0"/>
        <v>1.1799257177105119E-6</v>
      </c>
      <c r="F5" s="11">
        <f t="shared" si="0"/>
        <v>1.1799257177105119E-6</v>
      </c>
      <c r="G5" s="11">
        <f t="shared" si="0"/>
        <v>1.1799257177105119E-6</v>
      </c>
      <c r="H5" s="11">
        <f t="shared" si="0"/>
        <v>1.1799257177105119E-6</v>
      </c>
      <c r="I5" s="11">
        <f t="shared" si="0"/>
        <v>1.1799257177105119E-6</v>
      </c>
      <c r="J5" s="11">
        <f t="shared" si="0"/>
        <v>1.1799257177105119E-6</v>
      </c>
      <c r="K5" s="11">
        <f t="shared" si="0"/>
        <v>1.1799257177105119E-6</v>
      </c>
      <c r="L5" s="11">
        <f t="shared" si="0"/>
        <v>1.1799257177105119E-6</v>
      </c>
      <c r="M5" s="11">
        <f t="shared" si="0"/>
        <v>1.1799257177105119E-6</v>
      </c>
      <c r="N5" s="11">
        <f t="shared" si="0"/>
        <v>1.1799257177105119E-6</v>
      </c>
      <c r="O5" s="11">
        <f t="shared" si="0"/>
        <v>1.1799257177105119E-6</v>
      </c>
      <c r="P5" s="11">
        <f t="shared" si="0"/>
        <v>1.1799257177105119E-6</v>
      </c>
      <c r="Q5" s="11">
        <f t="shared" si="0"/>
        <v>1.1799257177105119E-6</v>
      </c>
      <c r="R5" s="11">
        <f t="shared" si="0"/>
        <v>1.1799257177105119E-6</v>
      </c>
      <c r="S5" s="11">
        <f t="shared" si="0"/>
        <v>1.1799257177105119E-6</v>
      </c>
      <c r="T5" s="11">
        <f t="shared" si="0"/>
        <v>1.1799257177105119E-6</v>
      </c>
      <c r="U5" s="11">
        <f t="shared" si="0"/>
        <v>1.1799257177105119E-6</v>
      </c>
      <c r="V5" s="11">
        <f t="shared" si="0"/>
        <v>1.1799257177105119E-6</v>
      </c>
      <c r="W5" s="11">
        <f t="shared" si="0"/>
        <v>1.1799257177105119E-6</v>
      </c>
      <c r="X5" s="11">
        <f t="shared" si="0"/>
        <v>1.1799257177105119E-6</v>
      </c>
      <c r="Y5" s="11">
        <f t="shared" si="0"/>
        <v>1.1799257177105119E-6</v>
      </c>
      <c r="Z5" s="11">
        <f t="shared" si="0"/>
        <v>1.1799257177105119E-6</v>
      </c>
      <c r="AA5" s="11">
        <f t="shared" si="0"/>
        <v>1.1799257177105119E-6</v>
      </c>
      <c r="AB5" s="11">
        <f t="shared" si="0"/>
        <v>1.1799257177105119E-6</v>
      </c>
      <c r="AC5" s="11">
        <f t="shared" si="0"/>
        <v>1.1799257177105119E-6</v>
      </c>
      <c r="AD5" s="11">
        <f t="shared" si="0"/>
        <v>1.1799257177105119E-6</v>
      </c>
      <c r="AE5" s="11">
        <f t="shared" si="0"/>
        <v>1.1799257177105119E-6</v>
      </c>
      <c r="AF5" s="11">
        <f t="shared" si="0"/>
        <v>1.1799257177105119E-6</v>
      </c>
      <c r="AG5" s="11">
        <f t="shared" si="0"/>
        <v>1.1799257177105119E-6</v>
      </c>
      <c r="AH5" s="11">
        <f t="shared" si="0"/>
        <v>1.1799257177105119E-6</v>
      </c>
      <c r="AI5" s="11">
        <f t="shared" si="0"/>
        <v>1.1799257177105119E-6</v>
      </c>
    </row>
    <row r="6" spans="1:35" x14ac:dyDescent="0.25">
      <c r="A6" t="s">
        <v>65</v>
      </c>
      <c r="B6" s="11">
        <f>B3*0.95</f>
        <v>3.5911724194123339E-7</v>
      </c>
      <c r="C6">
        <f t="shared" ref="C6:AI6" si="1">$B6</f>
        <v>3.5911724194123339E-7</v>
      </c>
      <c r="D6">
        <f t="shared" si="1"/>
        <v>3.5911724194123339E-7</v>
      </c>
      <c r="E6">
        <f t="shared" si="1"/>
        <v>3.5911724194123339E-7</v>
      </c>
      <c r="F6">
        <f t="shared" si="1"/>
        <v>3.5911724194123339E-7</v>
      </c>
      <c r="G6">
        <f t="shared" si="1"/>
        <v>3.5911724194123339E-7</v>
      </c>
      <c r="H6">
        <f t="shared" si="1"/>
        <v>3.5911724194123339E-7</v>
      </c>
      <c r="I6">
        <f t="shared" si="1"/>
        <v>3.5911724194123339E-7</v>
      </c>
      <c r="J6">
        <f t="shared" si="1"/>
        <v>3.5911724194123339E-7</v>
      </c>
      <c r="K6">
        <f t="shared" si="1"/>
        <v>3.5911724194123339E-7</v>
      </c>
      <c r="L6">
        <f t="shared" si="1"/>
        <v>3.5911724194123339E-7</v>
      </c>
      <c r="M6">
        <f t="shared" si="1"/>
        <v>3.5911724194123339E-7</v>
      </c>
      <c r="N6">
        <f t="shared" si="1"/>
        <v>3.5911724194123339E-7</v>
      </c>
      <c r="O6">
        <f t="shared" si="1"/>
        <v>3.5911724194123339E-7</v>
      </c>
      <c r="P6">
        <f t="shared" si="1"/>
        <v>3.5911724194123339E-7</v>
      </c>
      <c r="Q6">
        <f t="shared" si="1"/>
        <v>3.5911724194123339E-7</v>
      </c>
      <c r="R6">
        <f t="shared" si="1"/>
        <v>3.5911724194123339E-7</v>
      </c>
      <c r="S6">
        <f t="shared" si="1"/>
        <v>3.5911724194123339E-7</v>
      </c>
      <c r="T6">
        <f t="shared" si="1"/>
        <v>3.5911724194123339E-7</v>
      </c>
      <c r="U6">
        <f t="shared" si="1"/>
        <v>3.5911724194123339E-7</v>
      </c>
      <c r="V6">
        <f t="shared" si="1"/>
        <v>3.5911724194123339E-7</v>
      </c>
      <c r="W6">
        <f t="shared" si="1"/>
        <v>3.5911724194123339E-7</v>
      </c>
      <c r="X6">
        <f t="shared" si="1"/>
        <v>3.5911724194123339E-7</v>
      </c>
      <c r="Y6">
        <f t="shared" si="1"/>
        <v>3.5911724194123339E-7</v>
      </c>
      <c r="Z6">
        <f t="shared" si="1"/>
        <v>3.5911724194123339E-7</v>
      </c>
      <c r="AA6">
        <f t="shared" si="1"/>
        <v>3.5911724194123339E-7</v>
      </c>
      <c r="AB6">
        <f t="shared" si="1"/>
        <v>3.5911724194123339E-7</v>
      </c>
      <c r="AC6">
        <f t="shared" si="1"/>
        <v>3.5911724194123339E-7</v>
      </c>
      <c r="AD6">
        <f t="shared" si="1"/>
        <v>3.5911724194123339E-7</v>
      </c>
      <c r="AE6">
        <f t="shared" si="1"/>
        <v>3.5911724194123339E-7</v>
      </c>
      <c r="AF6">
        <f t="shared" si="1"/>
        <v>3.5911724194123339E-7</v>
      </c>
      <c r="AG6">
        <f t="shared" si="1"/>
        <v>3.5911724194123339E-7</v>
      </c>
      <c r="AH6">
        <f t="shared" si="1"/>
        <v>3.5911724194123339E-7</v>
      </c>
      <c r="AI6">
        <f t="shared" si="1"/>
        <v>3.5911724194123339E-7</v>
      </c>
    </row>
    <row r="7" spans="1:35" x14ac:dyDescent="0.25">
      <c r="A7" t="s">
        <v>63</v>
      </c>
      <c r="B7" s="11">
        <f>B2</f>
        <v>8.3650833937745032E-6</v>
      </c>
      <c r="C7" s="11">
        <f t="shared" ref="C7:AI7" si="2">C2</f>
        <v>8.1190515292517938E-6</v>
      </c>
      <c r="D7" s="11">
        <f t="shared" si="2"/>
        <v>7.8730196647289761E-6</v>
      </c>
      <c r="E7" s="11">
        <f t="shared" si="2"/>
        <v>7.6269878002061583E-6</v>
      </c>
      <c r="F7" s="11">
        <f t="shared" si="2"/>
        <v>7.3809559356834489E-6</v>
      </c>
      <c r="G7" s="11">
        <f t="shared" si="2"/>
        <v>7.1349240711606312E-6</v>
      </c>
      <c r="H7" s="11">
        <f t="shared" si="2"/>
        <v>6.8888922066378134E-6</v>
      </c>
      <c r="I7" s="11">
        <f t="shared" si="2"/>
        <v>6.642860342115104E-6</v>
      </c>
      <c r="J7" s="11">
        <f t="shared" si="2"/>
        <v>6.3968284775922863E-6</v>
      </c>
      <c r="K7" s="11">
        <f t="shared" si="2"/>
        <v>6.1507966130694685E-6</v>
      </c>
      <c r="L7" s="11">
        <f t="shared" si="2"/>
        <v>5.9047647485467591E-6</v>
      </c>
      <c r="M7" s="11">
        <f t="shared" si="2"/>
        <v>5.6587328840239414E-6</v>
      </c>
      <c r="N7" s="11">
        <f t="shared" si="2"/>
        <v>5.4127010195011236E-6</v>
      </c>
      <c r="O7" s="11">
        <f t="shared" si="2"/>
        <v>5.1666691549784143E-6</v>
      </c>
      <c r="P7" s="11">
        <f t="shared" si="2"/>
        <v>5.074407205782344E-6</v>
      </c>
      <c r="Q7" s="11">
        <f t="shared" si="2"/>
        <v>4.9821452565863009E-6</v>
      </c>
      <c r="R7" s="11">
        <f t="shared" si="2"/>
        <v>4.8898833073902578E-6</v>
      </c>
      <c r="S7" s="11">
        <f t="shared" si="2"/>
        <v>4.7976213581942147E-6</v>
      </c>
      <c r="T7" s="11">
        <f t="shared" si="2"/>
        <v>4.7053594089981716E-6</v>
      </c>
      <c r="U7" s="11">
        <f t="shared" si="2"/>
        <v>4.6130974598021285E-6</v>
      </c>
      <c r="V7" s="11">
        <f t="shared" si="2"/>
        <v>4.5208355106060854E-6</v>
      </c>
      <c r="W7" s="11">
        <f t="shared" si="2"/>
        <v>4.4285735614100423E-6</v>
      </c>
      <c r="X7" s="11">
        <f t="shared" si="2"/>
        <v>4.3363116122139991E-6</v>
      </c>
      <c r="Y7" s="11">
        <f t="shared" si="2"/>
        <v>4.244049663017956E-6</v>
      </c>
      <c r="Z7" s="11">
        <f t="shared" si="2"/>
        <v>4.1517877138219129E-6</v>
      </c>
      <c r="AA7" s="11">
        <f t="shared" si="2"/>
        <v>4.0595257646258698E-6</v>
      </c>
      <c r="AB7" s="11">
        <f t="shared" si="2"/>
        <v>3.9672638154298267E-6</v>
      </c>
      <c r="AC7" s="11">
        <f t="shared" si="2"/>
        <v>3.8750018662337836E-6</v>
      </c>
      <c r="AD7" s="11">
        <f t="shared" si="2"/>
        <v>3.7827399170377405E-6</v>
      </c>
      <c r="AE7" s="11">
        <f t="shared" si="2"/>
        <v>3.6904779678416974E-6</v>
      </c>
      <c r="AF7" s="11">
        <f t="shared" si="2"/>
        <v>3.5982160186456542E-6</v>
      </c>
      <c r="AG7" s="11">
        <f t="shared" si="2"/>
        <v>3.5059540694496111E-6</v>
      </c>
      <c r="AH7" s="11">
        <f t="shared" si="2"/>
        <v>3.413692120253568E-6</v>
      </c>
      <c r="AI7" s="11">
        <f t="shared" si="2"/>
        <v>3.3214301710575249E-6</v>
      </c>
    </row>
    <row r="8" spans="1:35" x14ac:dyDescent="0.25">
      <c r="A8" t="s">
        <v>64</v>
      </c>
      <c r="B8" s="11">
        <f>B3</f>
        <v>3.7801814941182461E-7</v>
      </c>
      <c r="C8" s="11">
        <f t="shared" ref="C8:AI8" si="3">C3</f>
        <v>3.7801814941182461E-7</v>
      </c>
      <c r="D8" s="11">
        <f t="shared" si="3"/>
        <v>3.7801814941182461E-7</v>
      </c>
      <c r="E8" s="11">
        <f t="shared" si="3"/>
        <v>3.7801814941182461E-7</v>
      </c>
      <c r="F8" s="11">
        <f t="shared" si="3"/>
        <v>3.7801814941182461E-7</v>
      </c>
      <c r="G8" s="11">
        <f t="shared" si="3"/>
        <v>3.7801814941182461E-7</v>
      </c>
      <c r="H8" s="11">
        <f t="shared" si="3"/>
        <v>3.7801814941182461E-7</v>
      </c>
      <c r="I8" s="11">
        <f t="shared" si="3"/>
        <v>3.7801814941182461E-7</v>
      </c>
      <c r="J8" s="11">
        <f t="shared" si="3"/>
        <v>3.7801814941182461E-7</v>
      </c>
      <c r="K8" s="11">
        <f t="shared" si="3"/>
        <v>3.7801814941182461E-7</v>
      </c>
      <c r="L8" s="11">
        <f t="shared" si="3"/>
        <v>3.7801814941182461E-7</v>
      </c>
      <c r="M8" s="11">
        <f t="shared" si="3"/>
        <v>3.7801814941182461E-7</v>
      </c>
      <c r="N8" s="11">
        <f t="shared" si="3"/>
        <v>3.7801814941182461E-7</v>
      </c>
      <c r="O8" s="11">
        <f t="shared" si="3"/>
        <v>3.7801814941182461E-7</v>
      </c>
      <c r="P8" s="11">
        <f t="shared" si="3"/>
        <v>3.7801814941182461E-7</v>
      </c>
      <c r="Q8" s="11">
        <f t="shared" si="3"/>
        <v>3.7801814941182461E-7</v>
      </c>
      <c r="R8" s="11">
        <f t="shared" si="3"/>
        <v>3.7801814941182461E-7</v>
      </c>
      <c r="S8" s="11">
        <f t="shared" si="3"/>
        <v>3.7801814941182461E-7</v>
      </c>
      <c r="T8" s="11">
        <f t="shared" si="3"/>
        <v>3.7801814941182461E-7</v>
      </c>
      <c r="U8" s="11">
        <f t="shared" si="3"/>
        <v>3.7801814941182461E-7</v>
      </c>
      <c r="V8" s="11">
        <f t="shared" si="3"/>
        <v>3.7801814941182461E-7</v>
      </c>
      <c r="W8" s="11">
        <f t="shared" si="3"/>
        <v>3.7801814941182461E-7</v>
      </c>
      <c r="X8" s="11">
        <f t="shared" si="3"/>
        <v>3.7801814941182461E-7</v>
      </c>
      <c r="Y8" s="11">
        <f t="shared" si="3"/>
        <v>3.7801814941182461E-7</v>
      </c>
      <c r="Z8" s="11">
        <f t="shared" si="3"/>
        <v>3.7801814941182461E-7</v>
      </c>
      <c r="AA8" s="11">
        <f t="shared" si="3"/>
        <v>3.7801814941182461E-7</v>
      </c>
      <c r="AB8" s="11">
        <f t="shared" si="3"/>
        <v>3.7801814941182461E-7</v>
      </c>
      <c r="AC8" s="11">
        <f t="shared" si="3"/>
        <v>3.7801814941182461E-7</v>
      </c>
      <c r="AD8" s="11">
        <f t="shared" si="3"/>
        <v>3.7801814941182461E-7</v>
      </c>
      <c r="AE8" s="11">
        <f t="shared" si="3"/>
        <v>3.7801814941182461E-7</v>
      </c>
      <c r="AF8" s="11">
        <f t="shared" si="3"/>
        <v>3.7801814941182461E-7</v>
      </c>
      <c r="AG8" s="11">
        <f t="shared" si="3"/>
        <v>3.7801814941182461E-7</v>
      </c>
      <c r="AH8" s="11">
        <f t="shared" si="3"/>
        <v>3.7801814941182461E-7</v>
      </c>
      <c r="AI8" s="11">
        <f t="shared" si="3"/>
        <v>3.7801814941182461E-7</v>
      </c>
    </row>
    <row r="10" spans="1:35" x14ac:dyDescent="0.25">
      <c r="B10" s="11"/>
    </row>
    <row r="11" spans="1:35" x14ac:dyDescent="0.25">
      <c r="B11" s="11"/>
    </row>
    <row r="12" spans="1:35" x14ac:dyDescent="0.25">
      <c r="B12" s="11"/>
    </row>
    <row r="13" spans="1:35" x14ac:dyDescent="0.25">
      <c r="B13" s="11"/>
    </row>
    <row r="14" spans="1:35" x14ac:dyDescent="0.25">
      <c r="B14" s="11"/>
    </row>
    <row r="15" spans="1:35" x14ac:dyDescent="0.25">
      <c r="B15" s="11"/>
    </row>
    <row r="16" spans="1:35" x14ac:dyDescent="0.25">
      <c r="B16" s="11"/>
    </row>
    <row r="17" spans="2:2" x14ac:dyDescent="0.25">
      <c r="B17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C499-E3B9-41CD-9477-496757FA6389}">
  <sheetPr>
    <tabColor theme="8" tint="-0.249977111117893"/>
  </sheetPr>
  <dimension ref="A1:AI8"/>
  <sheetViews>
    <sheetView workbookViewId="0">
      <selection activeCell="B2" sqref="B2"/>
    </sheetView>
  </sheetViews>
  <sheetFormatPr defaultRowHeight="15" x14ac:dyDescent="0.25"/>
  <cols>
    <col min="1" max="1" width="41.5703125" bestFit="1" customWidth="1"/>
  </cols>
  <sheetData>
    <row r="1" spans="1:35" x14ac:dyDescent="0.25">
      <c r="A1" s="1" t="s">
        <v>155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Data'!$B$74:$C$74,'DoE Data'!$B$22:$C$22,B$1)</f>
        <v>1.6130528470100955E-5</v>
      </c>
      <c r="C2" s="11">
        <f>TREND('DoE Data'!$B$74:$C$74,'DoE Data'!$B$22:$C$22,C$1)</f>
        <v>1.565647799083665E-5</v>
      </c>
      <c r="D2" s="11">
        <f>TREND('DoE Data'!$B$74:$C$74,'DoE Data'!$B$22:$C$22,D$1)</f>
        <v>1.5182427511572453E-5</v>
      </c>
      <c r="E2" s="11">
        <f>TREND('DoE Data'!$B$74:$C$74,'DoE Data'!$B$22:$C$22,E$1)</f>
        <v>1.4708377032308147E-5</v>
      </c>
      <c r="F2" s="11">
        <f>TREND('DoE Data'!$B$74:$C$74,'DoE Data'!$B$22:$C$22,F$1)</f>
        <v>1.4234326553043842E-5</v>
      </c>
      <c r="G2" s="11">
        <f>TREND('DoE Data'!$B$74:$C$74,'DoE Data'!$B$22:$C$22,G$1)</f>
        <v>1.3760276073779536E-5</v>
      </c>
      <c r="H2" s="11">
        <f>TREND('DoE Data'!$B$74:$C$74,'DoE Data'!$B$22:$C$22,H$1)</f>
        <v>1.3286225594515231E-5</v>
      </c>
      <c r="I2" s="11">
        <f>TREND('DoE Data'!$B$74:$C$74,'DoE Data'!$B$22:$C$22,I$1)</f>
        <v>1.2812175115250925E-5</v>
      </c>
      <c r="J2" s="11">
        <f>TREND('DoE Data'!$B$74:$C$74,'DoE Data'!$B$22:$C$22,J$1)</f>
        <v>1.233812463598662E-5</v>
      </c>
      <c r="K2" s="11">
        <f>TREND('DoE Data'!$B$74:$C$74,'DoE Data'!$B$22:$C$22,K$1)</f>
        <v>1.1864074156722423E-5</v>
      </c>
      <c r="L2" s="11">
        <f>TREND('DoE Data'!$B$74:$C$74,'DoE Data'!$B$22:$C$22,L$1)</f>
        <v>1.1390023677458117E-5</v>
      </c>
      <c r="M2" s="11">
        <f>TREND('DoE Data'!$B$74:$C$74,'DoE Data'!$B$22:$C$22,M$1)</f>
        <v>1.0915973198193812E-5</v>
      </c>
      <c r="N2" s="11">
        <f>TREND('DoE Data'!$B$74:$C$74,'DoE Data'!$B$22:$C$22,N$1)</f>
        <v>1.0441922718929506E-5</v>
      </c>
      <c r="O2" s="11">
        <f>TREND('DoE Data'!$B$74:$C$74,'DoE Data'!$B$22:$C$22,O$1)</f>
        <v>9.9678722396652009E-6</v>
      </c>
      <c r="P2" s="13">
        <f>TREND('DoE Data'!$C$74:$D$74,'DoE Data'!$C$22:$D$22,P$1)</f>
        <v>9.7897830055632303E-6</v>
      </c>
      <c r="Q2" s="11">
        <f>TREND('DoE Data'!$C$74:$D$74,'DoE Data'!$C$22:$D$22,Q$1)</f>
        <v>9.6116937714612596E-6</v>
      </c>
      <c r="R2" s="11">
        <f>TREND('DoE Data'!$C$74:$D$74,'DoE Data'!$C$22:$D$22,R$1)</f>
        <v>9.433604537359289E-6</v>
      </c>
      <c r="S2" s="11">
        <f>TREND('DoE Data'!$C$74:$D$74,'DoE Data'!$C$22:$D$22,S$1)</f>
        <v>9.2555153032572641E-6</v>
      </c>
      <c r="T2" s="11">
        <f>TREND('DoE Data'!$C$74:$D$74,'DoE Data'!$C$22:$D$22,T$1)</f>
        <v>9.0774260691552935E-6</v>
      </c>
      <c r="U2" s="11">
        <f>TREND('DoE Data'!$C$74:$D$74,'DoE Data'!$C$22:$D$22,U$1)</f>
        <v>8.8993368350533228E-6</v>
      </c>
      <c r="V2" s="11">
        <f>TREND('DoE Data'!$C$74:$D$74,'DoE Data'!$C$22:$D$22,V$1)</f>
        <v>8.721247600951298E-6</v>
      </c>
      <c r="W2" s="11">
        <f>TREND('DoE Data'!$C$74:$D$74,'DoE Data'!$C$22:$D$22,W$1)</f>
        <v>8.5431583668493273E-6</v>
      </c>
      <c r="X2" s="11">
        <f>TREND('DoE Data'!$C$74:$D$74,'DoE Data'!$C$22:$D$22,X$1)</f>
        <v>8.3650691327473567E-6</v>
      </c>
      <c r="Y2" s="11">
        <f>TREND('DoE Data'!$C$74:$D$74,'DoE Data'!$C$22:$D$22,Y$1)</f>
        <v>8.1869798986453318E-6</v>
      </c>
      <c r="Z2" s="11">
        <f>TREND('DoE Data'!$C$74:$D$74,'DoE Data'!$C$22:$D$22,Z$1)</f>
        <v>8.0088906645433612E-6</v>
      </c>
      <c r="AA2" s="11">
        <f>TREND('DoE Data'!$C$74:$D$74,'DoE Data'!$C$22:$D$22,AA$1)</f>
        <v>7.8308014304413905E-6</v>
      </c>
      <c r="AB2" s="11">
        <f>TREND('DoE Data'!$C$74:$D$74,'DoE Data'!$C$22:$D$22,AB$1)</f>
        <v>7.6527121963394199E-6</v>
      </c>
      <c r="AC2" s="11">
        <f>TREND('DoE Data'!$C$74:$D$74,'DoE Data'!$C$22:$D$22,AC$1)</f>
        <v>7.474622962237395E-6</v>
      </c>
      <c r="AD2" s="11">
        <f>TREND('DoE Data'!$C$74:$D$74,'DoE Data'!$C$22:$D$22,AD$1)</f>
        <v>7.2965337281354244E-6</v>
      </c>
      <c r="AE2" s="11">
        <f>TREND('DoE Data'!$C$74:$D$74,'DoE Data'!$C$22:$D$22,AE$1)</f>
        <v>7.1184444940334537E-6</v>
      </c>
      <c r="AF2" s="11">
        <f>TREND('DoE Data'!$C$74:$D$74,'DoE Data'!$C$22:$D$22,AF$1)</f>
        <v>6.9403552599314289E-6</v>
      </c>
      <c r="AG2" s="11">
        <f>TREND('DoE Data'!$C$74:$D$74,'DoE Data'!$C$22:$D$22,AG$1)</f>
        <v>6.7622660258294582E-6</v>
      </c>
      <c r="AH2" s="11">
        <f>TREND('DoE Data'!$C$74:$D$74,'DoE Data'!$C$22:$D$22,AH$1)</f>
        <v>6.5841767917274876E-6</v>
      </c>
      <c r="AI2" s="11">
        <f>TREND('DoE Data'!$C$74:$D$74,'DoE Data'!$C$22:$D$22,AI$1)</f>
        <v>6.4060875576254627E-6</v>
      </c>
    </row>
    <row r="3" spans="1:35" x14ac:dyDescent="0.25">
      <c r="A3" t="s">
        <v>16</v>
      </c>
      <c r="B3" s="11">
        <f>'Reformer data'!$G$10</f>
        <v>1.0193308550185872E-6</v>
      </c>
      <c r="C3" s="11">
        <f>'Reformer data'!$G$10</f>
        <v>1.0193308550185872E-6</v>
      </c>
      <c r="D3" s="11">
        <f>'Reformer data'!$G$10</f>
        <v>1.0193308550185872E-6</v>
      </c>
      <c r="E3" s="11">
        <f>'Reformer data'!$G$10</f>
        <v>1.0193308550185872E-6</v>
      </c>
      <c r="F3" s="11">
        <f>'Reformer data'!$G$10</f>
        <v>1.0193308550185872E-6</v>
      </c>
      <c r="G3" s="11">
        <f>'Reformer data'!$G$10</f>
        <v>1.0193308550185872E-6</v>
      </c>
      <c r="H3" s="11">
        <f>'Reformer data'!$G$10</f>
        <v>1.0193308550185872E-6</v>
      </c>
      <c r="I3" s="11">
        <f>'Reformer data'!$G$10</f>
        <v>1.0193308550185872E-6</v>
      </c>
      <c r="J3" s="11">
        <f>'Reformer data'!$G$10</f>
        <v>1.0193308550185872E-6</v>
      </c>
      <c r="K3" s="11">
        <f>'Reformer data'!$G$10</f>
        <v>1.0193308550185872E-6</v>
      </c>
      <c r="L3" s="11">
        <f>'Reformer data'!$G$10</f>
        <v>1.0193308550185872E-6</v>
      </c>
      <c r="M3" s="11">
        <f>'Reformer data'!$G$10</f>
        <v>1.0193308550185872E-6</v>
      </c>
      <c r="N3" s="11">
        <f>'Reformer data'!$G$10</f>
        <v>1.0193308550185872E-6</v>
      </c>
      <c r="O3" s="11">
        <f>'Reformer data'!$G$10</f>
        <v>1.0193308550185872E-6</v>
      </c>
      <c r="P3" s="11">
        <f>'Reformer data'!$G$10</f>
        <v>1.0193308550185872E-6</v>
      </c>
      <c r="Q3" s="11">
        <f>'Reformer data'!$G$10</f>
        <v>1.0193308550185872E-6</v>
      </c>
      <c r="R3" s="11">
        <f>'Reformer data'!$G$10</f>
        <v>1.0193308550185872E-6</v>
      </c>
      <c r="S3" s="11">
        <f>'Reformer data'!$G$10</f>
        <v>1.0193308550185872E-6</v>
      </c>
      <c r="T3" s="11">
        <f>'Reformer data'!$G$10</f>
        <v>1.0193308550185872E-6</v>
      </c>
      <c r="U3" s="11">
        <f>'Reformer data'!$G$10</f>
        <v>1.0193308550185872E-6</v>
      </c>
      <c r="V3" s="11">
        <f>'Reformer data'!$G$10</f>
        <v>1.0193308550185872E-6</v>
      </c>
      <c r="W3" s="11">
        <f>'Reformer data'!$G$10</f>
        <v>1.0193308550185872E-6</v>
      </c>
      <c r="X3" s="11">
        <f>'Reformer data'!$G$10</f>
        <v>1.0193308550185872E-6</v>
      </c>
      <c r="Y3" s="11">
        <f>'Reformer data'!$G$10</f>
        <v>1.0193308550185872E-6</v>
      </c>
      <c r="Z3" s="11">
        <f>'Reformer data'!$G$10</f>
        <v>1.0193308550185872E-6</v>
      </c>
      <c r="AA3" s="11">
        <f>'Reformer data'!$G$10</f>
        <v>1.0193308550185872E-6</v>
      </c>
      <c r="AB3" s="11">
        <f>'Reformer data'!$G$10</f>
        <v>1.0193308550185872E-6</v>
      </c>
      <c r="AC3" s="11">
        <f>'Reformer data'!$G$10</f>
        <v>1.0193308550185872E-6</v>
      </c>
      <c r="AD3" s="11">
        <f>'Reformer data'!$G$10</f>
        <v>1.0193308550185872E-6</v>
      </c>
      <c r="AE3" s="11">
        <f>'Reformer data'!$G$10</f>
        <v>1.0193308550185872E-6</v>
      </c>
      <c r="AF3" s="11">
        <f>'Reformer data'!$G$10</f>
        <v>1.0193308550185872E-6</v>
      </c>
      <c r="AG3" s="11">
        <f>'Reformer data'!$G$10</f>
        <v>1.0193308550185872E-6</v>
      </c>
      <c r="AH3" s="11">
        <f>'Reformer data'!$G$10</f>
        <v>1.0193308550185872E-6</v>
      </c>
      <c r="AI3" s="11">
        <f>'Reformer data'!$G$10</f>
        <v>1.0193308550185872E-6</v>
      </c>
    </row>
    <row r="4" spans="1:35" x14ac:dyDescent="0.25">
      <c r="A4" t="s">
        <v>19</v>
      </c>
      <c r="B4" s="11">
        <f>B3*'IEA Data'!$D$10/'IEA Data'!$D$6</f>
        <v>2.9907839372523382E-6</v>
      </c>
      <c r="C4" s="11">
        <f>C3*'IEA Data'!$D$10/'IEA Data'!$D$6</f>
        <v>2.9907839372523382E-6</v>
      </c>
      <c r="D4" s="11">
        <f>D3*'IEA Data'!$D$10/'IEA Data'!$D$6</f>
        <v>2.9907839372523382E-6</v>
      </c>
      <c r="E4" s="11">
        <f>E3*'IEA Data'!$D$10/'IEA Data'!$D$6</f>
        <v>2.9907839372523382E-6</v>
      </c>
      <c r="F4" s="11">
        <f>F3*'IEA Data'!$D$10/'IEA Data'!$D$6</f>
        <v>2.9907839372523382E-6</v>
      </c>
      <c r="G4" s="11">
        <f>G3*'IEA Data'!$D$10/'IEA Data'!$D$6</f>
        <v>2.9907839372523382E-6</v>
      </c>
      <c r="H4" s="11">
        <f>H3*'IEA Data'!$D$10/'IEA Data'!$D$6</f>
        <v>2.9907839372523382E-6</v>
      </c>
      <c r="I4" s="11">
        <f>I3*'IEA Data'!$D$10/'IEA Data'!$D$6</f>
        <v>2.9907839372523382E-6</v>
      </c>
      <c r="J4" s="11">
        <f>J3*'IEA Data'!$D$10/'IEA Data'!$D$6</f>
        <v>2.9907839372523382E-6</v>
      </c>
      <c r="K4" s="11">
        <f>K3*'IEA Data'!$D$10/'IEA Data'!$D$6</f>
        <v>2.9907839372523382E-6</v>
      </c>
      <c r="L4" s="11">
        <f>L3*'IEA Data'!$D$10/'IEA Data'!$D$6</f>
        <v>2.9907839372523382E-6</v>
      </c>
      <c r="M4" s="11">
        <f>M3*'IEA Data'!$D$10/'IEA Data'!$D$6</f>
        <v>2.9907839372523382E-6</v>
      </c>
      <c r="N4" s="11">
        <f>N3*'IEA Data'!$D$10/'IEA Data'!$D$6</f>
        <v>2.9907839372523382E-6</v>
      </c>
      <c r="O4" s="11">
        <f>O3*'IEA Data'!$D$10/'IEA Data'!$D$6</f>
        <v>2.9907839372523382E-6</v>
      </c>
      <c r="P4" s="11">
        <f>P3*'IEA Data'!$D$10/'IEA Data'!$D$6</f>
        <v>2.9907839372523382E-6</v>
      </c>
      <c r="Q4" s="11">
        <f>Q3*'IEA Data'!$D$10/'IEA Data'!$D$6</f>
        <v>2.9907839372523382E-6</v>
      </c>
      <c r="R4" s="11">
        <f>R3*'IEA Data'!$D$10/'IEA Data'!$D$6</f>
        <v>2.9907839372523382E-6</v>
      </c>
      <c r="S4" s="11">
        <f>S3*'IEA Data'!$D$10/'IEA Data'!$D$6</f>
        <v>2.9907839372523382E-6</v>
      </c>
      <c r="T4" s="11">
        <f>T3*'IEA Data'!$D$10/'IEA Data'!$D$6</f>
        <v>2.9907839372523382E-6</v>
      </c>
      <c r="U4" s="11">
        <f>U3*'IEA Data'!$D$10/'IEA Data'!$D$6</f>
        <v>2.9907839372523382E-6</v>
      </c>
      <c r="V4" s="11">
        <f>V3*'IEA Data'!$D$10/'IEA Data'!$D$6</f>
        <v>2.9907839372523382E-6</v>
      </c>
      <c r="W4" s="11">
        <f>W3*'IEA Data'!$D$10/'IEA Data'!$D$6</f>
        <v>2.9907839372523382E-6</v>
      </c>
      <c r="X4" s="11">
        <f>X3*'IEA Data'!$D$10/'IEA Data'!$D$6</f>
        <v>2.9907839372523382E-6</v>
      </c>
      <c r="Y4" s="11">
        <f>Y3*'IEA Data'!$D$10/'IEA Data'!$D$6</f>
        <v>2.9907839372523382E-6</v>
      </c>
      <c r="Z4" s="11">
        <f>Z3*'IEA Data'!$D$10/'IEA Data'!$D$6</f>
        <v>2.9907839372523382E-6</v>
      </c>
      <c r="AA4" s="11">
        <f>AA3*'IEA Data'!$D$10/'IEA Data'!$D$6</f>
        <v>2.9907839372523382E-6</v>
      </c>
      <c r="AB4" s="11">
        <f>AB3*'IEA Data'!$D$10/'IEA Data'!$D$6</f>
        <v>2.9907839372523382E-6</v>
      </c>
      <c r="AC4" s="11">
        <f>AC3*'IEA Data'!$D$10/'IEA Data'!$D$6</f>
        <v>2.9907839372523382E-6</v>
      </c>
      <c r="AD4" s="11">
        <f>AD3*'IEA Data'!$D$10/'IEA Data'!$D$6</f>
        <v>2.9907839372523382E-6</v>
      </c>
      <c r="AE4" s="11">
        <f>AE3*'IEA Data'!$D$10/'IEA Data'!$D$6</f>
        <v>2.9907839372523382E-6</v>
      </c>
      <c r="AF4" s="11">
        <f>AF3*'IEA Data'!$D$10/'IEA Data'!$D$6</f>
        <v>2.9907839372523382E-6</v>
      </c>
      <c r="AG4" s="11">
        <f>AG3*'IEA Data'!$D$10/'IEA Data'!$D$6</f>
        <v>2.9907839372523382E-6</v>
      </c>
      <c r="AH4" s="11">
        <f>AH3*'IEA Data'!$D$10/'IEA Data'!$D$6</f>
        <v>2.9907839372523382E-6</v>
      </c>
      <c r="AI4" s="11">
        <f>AI3*'IEA Data'!$D$10/'IEA Data'!$D$6</f>
        <v>2.9907839372523382E-6</v>
      </c>
    </row>
    <row r="5" spans="1:35" x14ac:dyDescent="0.25">
      <c r="A5" t="s">
        <v>25</v>
      </c>
      <c r="B5" s="11">
        <f>B4</f>
        <v>2.9907839372523382E-6</v>
      </c>
      <c r="C5" s="11">
        <f t="shared" ref="C5:AI5" si="0">C4</f>
        <v>2.9907839372523382E-6</v>
      </c>
      <c r="D5" s="11">
        <f t="shared" si="0"/>
        <v>2.9907839372523382E-6</v>
      </c>
      <c r="E5" s="11">
        <f t="shared" si="0"/>
        <v>2.9907839372523382E-6</v>
      </c>
      <c r="F5" s="11">
        <f t="shared" si="0"/>
        <v>2.9907839372523382E-6</v>
      </c>
      <c r="G5" s="11">
        <f t="shared" si="0"/>
        <v>2.9907839372523382E-6</v>
      </c>
      <c r="H5" s="11">
        <f t="shared" si="0"/>
        <v>2.9907839372523382E-6</v>
      </c>
      <c r="I5" s="11">
        <f t="shared" si="0"/>
        <v>2.9907839372523382E-6</v>
      </c>
      <c r="J5" s="11">
        <f t="shared" si="0"/>
        <v>2.9907839372523382E-6</v>
      </c>
      <c r="K5" s="11">
        <f t="shared" si="0"/>
        <v>2.9907839372523382E-6</v>
      </c>
      <c r="L5" s="11">
        <f t="shared" si="0"/>
        <v>2.9907839372523382E-6</v>
      </c>
      <c r="M5" s="11">
        <f t="shared" si="0"/>
        <v>2.9907839372523382E-6</v>
      </c>
      <c r="N5" s="11">
        <f t="shared" si="0"/>
        <v>2.9907839372523382E-6</v>
      </c>
      <c r="O5" s="11">
        <f t="shared" si="0"/>
        <v>2.9907839372523382E-6</v>
      </c>
      <c r="P5" s="11">
        <f t="shared" si="0"/>
        <v>2.9907839372523382E-6</v>
      </c>
      <c r="Q5" s="11">
        <f t="shared" si="0"/>
        <v>2.9907839372523382E-6</v>
      </c>
      <c r="R5" s="11">
        <f t="shared" si="0"/>
        <v>2.9907839372523382E-6</v>
      </c>
      <c r="S5" s="11">
        <f t="shared" si="0"/>
        <v>2.9907839372523382E-6</v>
      </c>
      <c r="T5" s="11">
        <f t="shared" si="0"/>
        <v>2.9907839372523382E-6</v>
      </c>
      <c r="U5" s="11">
        <f t="shared" si="0"/>
        <v>2.9907839372523382E-6</v>
      </c>
      <c r="V5" s="11">
        <f t="shared" si="0"/>
        <v>2.9907839372523382E-6</v>
      </c>
      <c r="W5" s="11">
        <f t="shared" si="0"/>
        <v>2.9907839372523382E-6</v>
      </c>
      <c r="X5" s="11">
        <f t="shared" si="0"/>
        <v>2.9907839372523382E-6</v>
      </c>
      <c r="Y5" s="11">
        <f t="shared" si="0"/>
        <v>2.9907839372523382E-6</v>
      </c>
      <c r="Z5" s="11">
        <f t="shared" si="0"/>
        <v>2.9907839372523382E-6</v>
      </c>
      <c r="AA5" s="11">
        <f t="shared" si="0"/>
        <v>2.9907839372523382E-6</v>
      </c>
      <c r="AB5" s="11">
        <f t="shared" si="0"/>
        <v>2.9907839372523382E-6</v>
      </c>
      <c r="AC5" s="11">
        <f t="shared" si="0"/>
        <v>2.9907839372523382E-6</v>
      </c>
      <c r="AD5" s="11">
        <f t="shared" si="0"/>
        <v>2.9907839372523382E-6</v>
      </c>
      <c r="AE5" s="11">
        <f t="shared" si="0"/>
        <v>2.9907839372523382E-6</v>
      </c>
      <c r="AF5" s="11">
        <f t="shared" si="0"/>
        <v>2.9907839372523382E-6</v>
      </c>
      <c r="AG5" s="11">
        <f t="shared" si="0"/>
        <v>2.9907839372523382E-6</v>
      </c>
      <c r="AH5" s="11">
        <f t="shared" si="0"/>
        <v>2.9907839372523382E-6</v>
      </c>
      <c r="AI5" s="11">
        <f t="shared" si="0"/>
        <v>2.9907839372523382E-6</v>
      </c>
    </row>
    <row r="6" spans="1:35" x14ac:dyDescent="0.25">
      <c r="A6" t="s">
        <v>65</v>
      </c>
      <c r="B6" s="11">
        <f>B3*0.85</f>
        <v>8.6643122676579916E-7</v>
      </c>
      <c r="C6">
        <f t="shared" ref="C6:AI6" si="1">$B6</f>
        <v>8.6643122676579916E-7</v>
      </c>
      <c r="D6">
        <f t="shared" si="1"/>
        <v>8.6643122676579916E-7</v>
      </c>
      <c r="E6">
        <f t="shared" si="1"/>
        <v>8.6643122676579916E-7</v>
      </c>
      <c r="F6">
        <f t="shared" si="1"/>
        <v>8.6643122676579916E-7</v>
      </c>
      <c r="G6">
        <f t="shared" si="1"/>
        <v>8.6643122676579916E-7</v>
      </c>
      <c r="H6">
        <f t="shared" si="1"/>
        <v>8.6643122676579916E-7</v>
      </c>
      <c r="I6">
        <f t="shared" si="1"/>
        <v>8.6643122676579916E-7</v>
      </c>
      <c r="J6">
        <f t="shared" si="1"/>
        <v>8.6643122676579916E-7</v>
      </c>
      <c r="K6">
        <f t="shared" si="1"/>
        <v>8.6643122676579916E-7</v>
      </c>
      <c r="L6">
        <f t="shared" si="1"/>
        <v>8.6643122676579916E-7</v>
      </c>
      <c r="M6">
        <f t="shared" si="1"/>
        <v>8.6643122676579916E-7</v>
      </c>
      <c r="N6">
        <f t="shared" si="1"/>
        <v>8.6643122676579916E-7</v>
      </c>
      <c r="O6">
        <f t="shared" si="1"/>
        <v>8.6643122676579916E-7</v>
      </c>
      <c r="P6">
        <f t="shared" si="1"/>
        <v>8.6643122676579916E-7</v>
      </c>
      <c r="Q6">
        <f t="shared" si="1"/>
        <v>8.6643122676579916E-7</v>
      </c>
      <c r="R6">
        <f t="shared" si="1"/>
        <v>8.6643122676579916E-7</v>
      </c>
      <c r="S6">
        <f t="shared" si="1"/>
        <v>8.6643122676579916E-7</v>
      </c>
      <c r="T6">
        <f t="shared" si="1"/>
        <v>8.6643122676579916E-7</v>
      </c>
      <c r="U6">
        <f t="shared" si="1"/>
        <v>8.6643122676579916E-7</v>
      </c>
      <c r="V6">
        <f t="shared" si="1"/>
        <v>8.6643122676579916E-7</v>
      </c>
      <c r="W6">
        <f t="shared" si="1"/>
        <v>8.6643122676579916E-7</v>
      </c>
      <c r="X6">
        <f t="shared" si="1"/>
        <v>8.6643122676579916E-7</v>
      </c>
      <c r="Y6">
        <f t="shared" si="1"/>
        <v>8.6643122676579916E-7</v>
      </c>
      <c r="Z6">
        <f t="shared" si="1"/>
        <v>8.6643122676579916E-7</v>
      </c>
      <c r="AA6">
        <f t="shared" si="1"/>
        <v>8.6643122676579916E-7</v>
      </c>
      <c r="AB6">
        <f t="shared" si="1"/>
        <v>8.6643122676579916E-7</v>
      </c>
      <c r="AC6">
        <f t="shared" si="1"/>
        <v>8.6643122676579916E-7</v>
      </c>
      <c r="AD6">
        <f t="shared" si="1"/>
        <v>8.6643122676579916E-7</v>
      </c>
      <c r="AE6">
        <f t="shared" si="1"/>
        <v>8.6643122676579916E-7</v>
      </c>
      <c r="AF6">
        <f t="shared" si="1"/>
        <v>8.6643122676579916E-7</v>
      </c>
      <c r="AG6">
        <f t="shared" si="1"/>
        <v>8.6643122676579916E-7</v>
      </c>
      <c r="AH6">
        <f t="shared" si="1"/>
        <v>8.6643122676579916E-7</v>
      </c>
      <c r="AI6">
        <f t="shared" si="1"/>
        <v>8.6643122676579916E-7</v>
      </c>
    </row>
    <row r="7" spans="1:35" x14ac:dyDescent="0.25">
      <c r="A7" t="s">
        <v>63</v>
      </c>
      <c r="B7" s="11">
        <f>B2</f>
        <v>1.6130528470100955E-5</v>
      </c>
      <c r="C7" s="11">
        <f t="shared" ref="C7:AI8" si="2">C2</f>
        <v>1.565647799083665E-5</v>
      </c>
      <c r="D7" s="11">
        <f t="shared" si="2"/>
        <v>1.5182427511572453E-5</v>
      </c>
      <c r="E7" s="11">
        <f t="shared" si="2"/>
        <v>1.4708377032308147E-5</v>
      </c>
      <c r="F7" s="11">
        <f t="shared" si="2"/>
        <v>1.4234326553043842E-5</v>
      </c>
      <c r="G7" s="11">
        <f t="shared" si="2"/>
        <v>1.3760276073779536E-5</v>
      </c>
      <c r="H7" s="11">
        <f t="shared" si="2"/>
        <v>1.3286225594515231E-5</v>
      </c>
      <c r="I7" s="11">
        <f t="shared" si="2"/>
        <v>1.2812175115250925E-5</v>
      </c>
      <c r="J7" s="11">
        <f t="shared" si="2"/>
        <v>1.233812463598662E-5</v>
      </c>
      <c r="K7" s="11">
        <f t="shared" si="2"/>
        <v>1.1864074156722423E-5</v>
      </c>
      <c r="L7" s="11">
        <f t="shared" si="2"/>
        <v>1.1390023677458117E-5</v>
      </c>
      <c r="M7" s="11">
        <f t="shared" si="2"/>
        <v>1.0915973198193812E-5</v>
      </c>
      <c r="N7" s="11">
        <f t="shared" si="2"/>
        <v>1.0441922718929506E-5</v>
      </c>
      <c r="O7" s="11">
        <f t="shared" si="2"/>
        <v>9.9678722396652009E-6</v>
      </c>
      <c r="P7" s="11">
        <f t="shared" si="2"/>
        <v>9.7897830055632303E-6</v>
      </c>
      <c r="Q7" s="11">
        <f t="shared" si="2"/>
        <v>9.6116937714612596E-6</v>
      </c>
      <c r="R7" s="11">
        <f t="shared" si="2"/>
        <v>9.433604537359289E-6</v>
      </c>
      <c r="S7" s="11">
        <f t="shared" si="2"/>
        <v>9.2555153032572641E-6</v>
      </c>
      <c r="T7" s="11">
        <f t="shared" si="2"/>
        <v>9.0774260691552935E-6</v>
      </c>
      <c r="U7" s="11">
        <f t="shared" si="2"/>
        <v>8.8993368350533228E-6</v>
      </c>
      <c r="V7" s="11">
        <f t="shared" si="2"/>
        <v>8.721247600951298E-6</v>
      </c>
      <c r="W7" s="11">
        <f t="shared" si="2"/>
        <v>8.5431583668493273E-6</v>
      </c>
      <c r="X7" s="11">
        <f t="shared" si="2"/>
        <v>8.3650691327473567E-6</v>
      </c>
      <c r="Y7" s="11">
        <f t="shared" si="2"/>
        <v>8.1869798986453318E-6</v>
      </c>
      <c r="Z7" s="11">
        <f t="shared" si="2"/>
        <v>8.0088906645433612E-6</v>
      </c>
      <c r="AA7" s="11">
        <f t="shared" si="2"/>
        <v>7.8308014304413905E-6</v>
      </c>
      <c r="AB7" s="11">
        <f t="shared" si="2"/>
        <v>7.6527121963394199E-6</v>
      </c>
      <c r="AC7" s="11">
        <f t="shared" si="2"/>
        <v>7.474622962237395E-6</v>
      </c>
      <c r="AD7" s="11">
        <f t="shared" si="2"/>
        <v>7.2965337281354244E-6</v>
      </c>
      <c r="AE7" s="11">
        <f t="shared" si="2"/>
        <v>7.1184444940334537E-6</v>
      </c>
      <c r="AF7" s="11">
        <f t="shared" si="2"/>
        <v>6.9403552599314289E-6</v>
      </c>
      <c r="AG7" s="11">
        <f t="shared" si="2"/>
        <v>6.7622660258294582E-6</v>
      </c>
      <c r="AH7" s="11">
        <f t="shared" si="2"/>
        <v>6.5841767917274876E-6</v>
      </c>
      <c r="AI7" s="11">
        <f t="shared" si="2"/>
        <v>6.4060875576254627E-6</v>
      </c>
    </row>
    <row r="8" spans="1:35" x14ac:dyDescent="0.25">
      <c r="A8" t="s">
        <v>64</v>
      </c>
      <c r="B8" s="11">
        <f>B3</f>
        <v>1.0193308550185872E-6</v>
      </c>
      <c r="C8" s="11">
        <f t="shared" si="2"/>
        <v>1.0193308550185872E-6</v>
      </c>
      <c r="D8" s="11">
        <f t="shared" si="2"/>
        <v>1.0193308550185872E-6</v>
      </c>
      <c r="E8" s="11">
        <f t="shared" si="2"/>
        <v>1.0193308550185872E-6</v>
      </c>
      <c r="F8" s="11">
        <f t="shared" si="2"/>
        <v>1.0193308550185872E-6</v>
      </c>
      <c r="G8" s="11">
        <f t="shared" si="2"/>
        <v>1.0193308550185872E-6</v>
      </c>
      <c r="H8" s="11">
        <f t="shared" si="2"/>
        <v>1.0193308550185872E-6</v>
      </c>
      <c r="I8" s="11">
        <f t="shared" si="2"/>
        <v>1.0193308550185872E-6</v>
      </c>
      <c r="J8" s="11">
        <f t="shared" si="2"/>
        <v>1.0193308550185872E-6</v>
      </c>
      <c r="K8" s="11">
        <f t="shared" si="2"/>
        <v>1.0193308550185872E-6</v>
      </c>
      <c r="L8" s="11">
        <f t="shared" si="2"/>
        <v>1.0193308550185872E-6</v>
      </c>
      <c r="M8" s="11">
        <f t="shared" si="2"/>
        <v>1.0193308550185872E-6</v>
      </c>
      <c r="N8" s="11">
        <f t="shared" si="2"/>
        <v>1.0193308550185872E-6</v>
      </c>
      <c r="O8" s="11">
        <f t="shared" si="2"/>
        <v>1.0193308550185872E-6</v>
      </c>
      <c r="P8" s="11">
        <f t="shared" si="2"/>
        <v>1.0193308550185872E-6</v>
      </c>
      <c r="Q8" s="11">
        <f t="shared" si="2"/>
        <v>1.0193308550185872E-6</v>
      </c>
      <c r="R8" s="11">
        <f t="shared" si="2"/>
        <v>1.0193308550185872E-6</v>
      </c>
      <c r="S8" s="11">
        <f t="shared" si="2"/>
        <v>1.0193308550185872E-6</v>
      </c>
      <c r="T8" s="11">
        <f t="shared" si="2"/>
        <v>1.0193308550185872E-6</v>
      </c>
      <c r="U8" s="11">
        <f t="shared" si="2"/>
        <v>1.0193308550185872E-6</v>
      </c>
      <c r="V8" s="11">
        <f t="shared" si="2"/>
        <v>1.0193308550185872E-6</v>
      </c>
      <c r="W8" s="11">
        <f t="shared" si="2"/>
        <v>1.0193308550185872E-6</v>
      </c>
      <c r="X8" s="11">
        <f t="shared" si="2"/>
        <v>1.0193308550185872E-6</v>
      </c>
      <c r="Y8" s="11">
        <f t="shared" si="2"/>
        <v>1.0193308550185872E-6</v>
      </c>
      <c r="Z8" s="11">
        <f t="shared" si="2"/>
        <v>1.0193308550185872E-6</v>
      </c>
      <c r="AA8" s="11">
        <f t="shared" si="2"/>
        <v>1.0193308550185872E-6</v>
      </c>
      <c r="AB8" s="11">
        <f t="shared" si="2"/>
        <v>1.0193308550185872E-6</v>
      </c>
      <c r="AC8" s="11">
        <f t="shared" si="2"/>
        <v>1.0193308550185872E-6</v>
      </c>
      <c r="AD8" s="11">
        <f t="shared" si="2"/>
        <v>1.0193308550185872E-6</v>
      </c>
      <c r="AE8" s="11">
        <f t="shared" si="2"/>
        <v>1.0193308550185872E-6</v>
      </c>
      <c r="AF8" s="11">
        <f t="shared" si="2"/>
        <v>1.0193308550185872E-6</v>
      </c>
      <c r="AG8" s="11">
        <f t="shared" si="2"/>
        <v>1.0193308550185872E-6</v>
      </c>
      <c r="AH8" s="11">
        <f t="shared" si="2"/>
        <v>1.0193308550185872E-6</v>
      </c>
      <c r="AI8" s="11">
        <f t="shared" si="2"/>
        <v>1.0193308550185872E-6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00E6-6C48-4F0B-9F72-909A60878C43}">
  <sheetPr>
    <tabColor theme="8" tint="-0.249977111117893"/>
  </sheetPr>
  <dimension ref="A1:AI8"/>
  <sheetViews>
    <sheetView workbookViewId="0">
      <selection activeCell="B2" sqref="B2"/>
    </sheetView>
  </sheetViews>
  <sheetFormatPr defaultRowHeight="15" x14ac:dyDescent="0.25"/>
  <cols>
    <col min="1" max="1" width="41.5703125" bestFit="1" customWidth="1"/>
  </cols>
  <sheetData>
    <row r="1" spans="1:35" x14ac:dyDescent="0.25">
      <c r="A1" s="1" t="s">
        <v>156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Data'!$B$80:$C$80,'DoE Data'!$B$22:$C$22,B$1)</f>
        <v>8.3633611707228332E-6</v>
      </c>
      <c r="C2" s="11">
        <f>TREND('DoE Data'!$B$80:$C$80,'DoE Data'!$B$22:$C$22,C$1)</f>
        <v>8.1175753380646016E-6</v>
      </c>
      <c r="D2" s="11">
        <f>TREND('DoE Data'!$B$80:$C$80,'DoE Data'!$B$22:$C$22,D$1)</f>
        <v>7.8717895054063701E-6</v>
      </c>
      <c r="E2" s="11">
        <f>TREND('DoE Data'!$B$80:$C$80,'DoE Data'!$B$22:$C$22,E$1)</f>
        <v>7.6260036727481386E-6</v>
      </c>
      <c r="F2" s="11">
        <f>TREND('DoE Data'!$B$80:$C$80,'DoE Data'!$B$22:$C$22,F$1)</f>
        <v>7.3802178400897986E-6</v>
      </c>
      <c r="G2" s="11">
        <f>TREND('DoE Data'!$B$80:$C$80,'DoE Data'!$B$22:$C$22,G$1)</f>
        <v>7.1344320074315671E-6</v>
      </c>
      <c r="H2" s="11">
        <f>TREND('DoE Data'!$B$80:$C$80,'DoE Data'!$B$22:$C$22,H$1)</f>
        <v>6.8886461747733356E-6</v>
      </c>
      <c r="I2" s="11">
        <f>TREND('DoE Data'!$B$80:$C$80,'DoE Data'!$B$22:$C$22,I$1)</f>
        <v>6.642860342115104E-6</v>
      </c>
      <c r="J2" s="11">
        <f>TREND('DoE Data'!$B$80:$C$80,'DoE Data'!$B$22:$C$22,J$1)</f>
        <v>6.3970745094567641E-6</v>
      </c>
      <c r="K2" s="11">
        <f>TREND('DoE Data'!$B$80:$C$80,'DoE Data'!$B$22:$C$22,K$1)</f>
        <v>6.1512886767985326E-6</v>
      </c>
      <c r="L2" s="11">
        <f>TREND('DoE Data'!$B$80:$C$80,'DoE Data'!$B$22:$C$22,L$1)</f>
        <v>5.905502844140301E-6</v>
      </c>
      <c r="M2" s="11">
        <f>TREND('DoE Data'!$B$80:$C$80,'DoE Data'!$B$22:$C$22,M$1)</f>
        <v>5.6597170114820695E-6</v>
      </c>
      <c r="N2" s="11">
        <f>TREND('DoE Data'!$B$80:$C$80,'DoE Data'!$B$22:$C$22,N$1)</f>
        <v>5.413931178823838E-6</v>
      </c>
      <c r="O2" s="11">
        <f>TREND('DoE Data'!$B$80:$C$80,'DoE Data'!$B$22:$C$22,O$1)</f>
        <v>5.168145346165498E-6</v>
      </c>
      <c r="P2" s="13">
        <f>TREND('DoE Data'!$C$80:$D$80,'DoE Data'!$C$22:$D$22,P$1)</f>
        <v>5.0758095874101333E-6</v>
      </c>
      <c r="Q2" s="11">
        <f>TREND('DoE Data'!$C$80:$D$80,'DoE Data'!$C$22:$D$22,Q$1)</f>
        <v>4.9834738286547143E-6</v>
      </c>
      <c r="R2" s="11">
        <f>TREND('DoE Data'!$C$80:$D$80,'DoE Data'!$C$22:$D$22,R$1)</f>
        <v>4.8911380698993224E-6</v>
      </c>
      <c r="S2" s="11">
        <f>TREND('DoE Data'!$C$80:$D$80,'DoE Data'!$C$22:$D$22,S$1)</f>
        <v>4.7988023111439305E-6</v>
      </c>
      <c r="T2" s="11">
        <f>TREND('DoE Data'!$C$80:$D$80,'DoE Data'!$C$22:$D$22,T$1)</f>
        <v>4.7064665523885386E-6</v>
      </c>
      <c r="U2" s="11">
        <f>TREND('DoE Data'!$C$80:$D$80,'DoE Data'!$C$22:$D$22,U$1)</f>
        <v>4.6141307936331196E-6</v>
      </c>
      <c r="V2" s="11">
        <f>TREND('DoE Data'!$C$80:$D$80,'DoE Data'!$C$22:$D$22,V$1)</f>
        <v>4.5217950348777278E-6</v>
      </c>
      <c r="W2" s="11">
        <f>TREND('DoE Data'!$C$80:$D$80,'DoE Data'!$C$22:$D$22,W$1)</f>
        <v>4.4294592761223359E-6</v>
      </c>
      <c r="X2" s="11">
        <f>TREND('DoE Data'!$C$80:$D$80,'DoE Data'!$C$22:$D$22,X$1)</f>
        <v>4.3371235173669169E-6</v>
      </c>
      <c r="Y2" s="11">
        <f>TREND('DoE Data'!$C$80:$D$80,'DoE Data'!$C$22:$D$22,Y$1)</f>
        <v>4.244787758611525E-6</v>
      </c>
      <c r="Z2" s="11">
        <f>TREND('DoE Data'!$C$80:$D$80,'DoE Data'!$C$22:$D$22,Z$1)</f>
        <v>4.1524519998561331E-6</v>
      </c>
      <c r="AA2" s="11">
        <f>TREND('DoE Data'!$C$80:$D$80,'DoE Data'!$C$22:$D$22,AA$1)</f>
        <v>4.0601162411007413E-6</v>
      </c>
      <c r="AB2" s="11">
        <f>TREND('DoE Data'!$C$80:$D$80,'DoE Data'!$C$22:$D$22,AB$1)</f>
        <v>3.9677804823453223E-6</v>
      </c>
      <c r="AC2" s="11">
        <f>TREND('DoE Data'!$C$80:$D$80,'DoE Data'!$C$22:$D$22,AC$1)</f>
        <v>3.8754447235899304E-6</v>
      </c>
      <c r="AD2" s="11">
        <f>TREND('DoE Data'!$C$80:$D$80,'DoE Data'!$C$22:$D$22,AD$1)</f>
        <v>3.7831089648345385E-6</v>
      </c>
      <c r="AE2" s="11">
        <f>TREND('DoE Data'!$C$80:$D$80,'DoE Data'!$C$22:$D$22,AE$1)</f>
        <v>3.6907732060791466E-6</v>
      </c>
      <c r="AF2" s="11">
        <f>TREND('DoE Data'!$C$80:$D$80,'DoE Data'!$C$22:$D$22,AF$1)</f>
        <v>3.5984374473237277E-6</v>
      </c>
      <c r="AG2" s="11">
        <f>TREND('DoE Data'!$C$80:$D$80,'DoE Data'!$C$22:$D$22,AG$1)</f>
        <v>3.5061016885683358E-6</v>
      </c>
      <c r="AH2" s="11">
        <f>TREND('DoE Data'!$C$80:$D$80,'DoE Data'!$C$22:$D$22,AH$1)</f>
        <v>3.4137659298129439E-6</v>
      </c>
      <c r="AI2" s="11">
        <f>TREND('DoE Data'!$C$80:$D$80,'DoE Data'!$C$22:$D$22,AI$1)</f>
        <v>3.3214301710575249E-6</v>
      </c>
    </row>
    <row r="3" spans="1:35" x14ac:dyDescent="0.25">
      <c r="A3" t="s">
        <v>16</v>
      </c>
      <c r="B3" s="11">
        <f>'Reformer data'!$B$36</f>
        <v>1.3705922676579926E-6</v>
      </c>
      <c r="C3" s="11">
        <f>'Reformer data'!$B$36</f>
        <v>1.3705922676579926E-6</v>
      </c>
      <c r="D3" s="11">
        <f>'Reformer data'!$B$36</f>
        <v>1.3705922676579926E-6</v>
      </c>
      <c r="E3" s="11">
        <f>'Reformer data'!$B$36</f>
        <v>1.3705922676579926E-6</v>
      </c>
      <c r="F3" s="11">
        <f>'Reformer data'!$B$36</f>
        <v>1.3705922676579926E-6</v>
      </c>
      <c r="G3" s="11">
        <f>'Reformer data'!$B$36</f>
        <v>1.3705922676579926E-6</v>
      </c>
      <c r="H3" s="11">
        <f>'Reformer data'!$B$36</f>
        <v>1.3705922676579926E-6</v>
      </c>
      <c r="I3" s="11">
        <f>'Reformer data'!$B$36</f>
        <v>1.3705922676579926E-6</v>
      </c>
      <c r="J3" s="11">
        <f>'Reformer data'!$B$36</f>
        <v>1.3705922676579926E-6</v>
      </c>
      <c r="K3" s="11">
        <f>'Reformer data'!$B$36</f>
        <v>1.3705922676579926E-6</v>
      </c>
      <c r="L3" s="11">
        <f>'Reformer data'!$B$36</f>
        <v>1.3705922676579926E-6</v>
      </c>
      <c r="M3" s="11">
        <f>'Reformer data'!$B$36</f>
        <v>1.3705922676579926E-6</v>
      </c>
      <c r="N3" s="11">
        <f>'Reformer data'!$B$36</f>
        <v>1.3705922676579926E-6</v>
      </c>
      <c r="O3" s="11">
        <f>'Reformer data'!$B$36</f>
        <v>1.3705922676579926E-6</v>
      </c>
      <c r="P3" s="11">
        <f>'Reformer data'!$B$36</f>
        <v>1.3705922676579926E-6</v>
      </c>
      <c r="Q3" s="11">
        <f>'Reformer data'!$B$36</f>
        <v>1.3705922676579926E-6</v>
      </c>
      <c r="R3" s="11">
        <f>'Reformer data'!$B$36</f>
        <v>1.3705922676579926E-6</v>
      </c>
      <c r="S3" s="11">
        <f>'Reformer data'!$B$36</f>
        <v>1.3705922676579926E-6</v>
      </c>
      <c r="T3" s="11">
        <f>'Reformer data'!$B$36</f>
        <v>1.3705922676579926E-6</v>
      </c>
      <c r="U3" s="11">
        <f>'Reformer data'!$B$36</f>
        <v>1.3705922676579926E-6</v>
      </c>
      <c r="V3" s="11">
        <f>'Reformer data'!$B$36</f>
        <v>1.3705922676579926E-6</v>
      </c>
      <c r="W3" s="11">
        <f>'Reformer data'!$B$36</f>
        <v>1.3705922676579926E-6</v>
      </c>
      <c r="X3" s="11">
        <f>'Reformer data'!$B$36</f>
        <v>1.3705922676579926E-6</v>
      </c>
      <c r="Y3" s="11">
        <f>'Reformer data'!$B$36</f>
        <v>1.3705922676579926E-6</v>
      </c>
      <c r="Z3" s="11">
        <f>'Reformer data'!$B$36</f>
        <v>1.3705922676579926E-6</v>
      </c>
      <c r="AA3" s="11">
        <f>'Reformer data'!$B$36</f>
        <v>1.3705922676579926E-6</v>
      </c>
      <c r="AB3" s="11">
        <f>'Reformer data'!$B$36</f>
        <v>1.3705922676579926E-6</v>
      </c>
      <c r="AC3" s="11">
        <f>'Reformer data'!$B$36</f>
        <v>1.3705922676579926E-6</v>
      </c>
      <c r="AD3" s="11">
        <f>'Reformer data'!$B$36</f>
        <v>1.3705922676579926E-6</v>
      </c>
      <c r="AE3" s="11">
        <f>'Reformer data'!$B$36</f>
        <v>1.3705922676579926E-6</v>
      </c>
      <c r="AF3" s="11">
        <f>'Reformer data'!$B$36</f>
        <v>1.3705922676579926E-6</v>
      </c>
      <c r="AG3" s="11">
        <f>'Reformer data'!$B$36</f>
        <v>1.3705922676579926E-6</v>
      </c>
      <c r="AH3" s="11">
        <f>'Reformer data'!$B$36</f>
        <v>1.3705922676579926E-6</v>
      </c>
      <c r="AI3" s="11">
        <f>'Reformer data'!$B$36</f>
        <v>1.3705922676579926E-6</v>
      </c>
    </row>
    <row r="4" spans="1:35" x14ac:dyDescent="0.25">
      <c r="A4" t="s">
        <v>19</v>
      </c>
      <c r="B4" s="11">
        <f>B3*'IEA Data'!$D$10/'IEA Data'!$D$6</f>
        <v>4.021408082029495E-6</v>
      </c>
      <c r="C4" s="11">
        <f>C3*'IEA Data'!$D$10/'IEA Data'!$D$6</f>
        <v>4.021408082029495E-6</v>
      </c>
      <c r="D4" s="11">
        <f>D3*'IEA Data'!$D$10/'IEA Data'!$D$6</f>
        <v>4.021408082029495E-6</v>
      </c>
      <c r="E4" s="11">
        <f>E3*'IEA Data'!$D$10/'IEA Data'!$D$6</f>
        <v>4.021408082029495E-6</v>
      </c>
      <c r="F4" s="11">
        <f>F3*'IEA Data'!$D$10/'IEA Data'!$D$6</f>
        <v>4.021408082029495E-6</v>
      </c>
      <c r="G4" s="11">
        <f>G3*'IEA Data'!$D$10/'IEA Data'!$D$6</f>
        <v>4.021408082029495E-6</v>
      </c>
      <c r="H4" s="11">
        <f>H3*'IEA Data'!$D$10/'IEA Data'!$D$6</f>
        <v>4.021408082029495E-6</v>
      </c>
      <c r="I4" s="11">
        <f>I3*'IEA Data'!$D$10/'IEA Data'!$D$6</f>
        <v>4.021408082029495E-6</v>
      </c>
      <c r="J4" s="11">
        <f>J3*'IEA Data'!$D$10/'IEA Data'!$D$6</f>
        <v>4.021408082029495E-6</v>
      </c>
      <c r="K4" s="11">
        <f>K3*'IEA Data'!$D$10/'IEA Data'!$D$6</f>
        <v>4.021408082029495E-6</v>
      </c>
      <c r="L4" s="11">
        <f>L3*'IEA Data'!$D$10/'IEA Data'!$D$6</f>
        <v>4.021408082029495E-6</v>
      </c>
      <c r="M4" s="11">
        <f>M3*'IEA Data'!$D$10/'IEA Data'!$D$6</f>
        <v>4.021408082029495E-6</v>
      </c>
      <c r="N4" s="11">
        <f>N3*'IEA Data'!$D$10/'IEA Data'!$D$6</f>
        <v>4.021408082029495E-6</v>
      </c>
      <c r="O4" s="11">
        <f>O3*'IEA Data'!$D$10/'IEA Data'!$D$6</f>
        <v>4.021408082029495E-6</v>
      </c>
      <c r="P4" s="11">
        <f>P3*'IEA Data'!$D$10/'IEA Data'!$D$6</f>
        <v>4.021408082029495E-6</v>
      </c>
      <c r="Q4" s="11">
        <f>Q3*'IEA Data'!$D$10/'IEA Data'!$D$6</f>
        <v>4.021408082029495E-6</v>
      </c>
      <c r="R4" s="11">
        <f>R3*'IEA Data'!$D$10/'IEA Data'!$D$6</f>
        <v>4.021408082029495E-6</v>
      </c>
      <c r="S4" s="11">
        <f>S3*'IEA Data'!$D$10/'IEA Data'!$D$6</f>
        <v>4.021408082029495E-6</v>
      </c>
      <c r="T4" s="11">
        <f>T3*'IEA Data'!$D$10/'IEA Data'!$D$6</f>
        <v>4.021408082029495E-6</v>
      </c>
      <c r="U4" s="11">
        <f>U3*'IEA Data'!$D$10/'IEA Data'!$D$6</f>
        <v>4.021408082029495E-6</v>
      </c>
      <c r="V4" s="11">
        <f>V3*'IEA Data'!$D$10/'IEA Data'!$D$6</f>
        <v>4.021408082029495E-6</v>
      </c>
      <c r="W4" s="11">
        <f>W3*'IEA Data'!$D$10/'IEA Data'!$D$6</f>
        <v>4.021408082029495E-6</v>
      </c>
      <c r="X4" s="11">
        <f>X3*'IEA Data'!$D$10/'IEA Data'!$D$6</f>
        <v>4.021408082029495E-6</v>
      </c>
      <c r="Y4" s="11">
        <f>Y3*'IEA Data'!$D$10/'IEA Data'!$D$6</f>
        <v>4.021408082029495E-6</v>
      </c>
      <c r="Z4" s="11">
        <f>Z3*'IEA Data'!$D$10/'IEA Data'!$D$6</f>
        <v>4.021408082029495E-6</v>
      </c>
      <c r="AA4" s="11">
        <f>AA3*'IEA Data'!$D$10/'IEA Data'!$D$6</f>
        <v>4.021408082029495E-6</v>
      </c>
      <c r="AB4" s="11">
        <f>AB3*'IEA Data'!$D$10/'IEA Data'!$D$6</f>
        <v>4.021408082029495E-6</v>
      </c>
      <c r="AC4" s="11">
        <f>AC3*'IEA Data'!$D$10/'IEA Data'!$D$6</f>
        <v>4.021408082029495E-6</v>
      </c>
      <c r="AD4" s="11">
        <f>AD3*'IEA Data'!$D$10/'IEA Data'!$D$6</f>
        <v>4.021408082029495E-6</v>
      </c>
      <c r="AE4" s="11">
        <f>AE3*'IEA Data'!$D$10/'IEA Data'!$D$6</f>
        <v>4.021408082029495E-6</v>
      </c>
      <c r="AF4" s="11">
        <f>AF3*'IEA Data'!$D$10/'IEA Data'!$D$6</f>
        <v>4.021408082029495E-6</v>
      </c>
      <c r="AG4" s="11">
        <f>AG3*'IEA Data'!$D$10/'IEA Data'!$D$6</f>
        <v>4.021408082029495E-6</v>
      </c>
      <c r="AH4" s="11">
        <f>AH3*'IEA Data'!$D$10/'IEA Data'!$D$6</f>
        <v>4.021408082029495E-6</v>
      </c>
      <c r="AI4" s="11">
        <f>AI3*'IEA Data'!$D$10/'IEA Data'!$D$6</f>
        <v>4.021408082029495E-6</v>
      </c>
    </row>
    <row r="5" spans="1:35" x14ac:dyDescent="0.25">
      <c r="A5" t="s">
        <v>25</v>
      </c>
      <c r="B5" s="11">
        <f>B4</f>
        <v>4.021408082029495E-6</v>
      </c>
      <c r="C5" s="11">
        <f t="shared" ref="C5:AI5" si="0">C4</f>
        <v>4.021408082029495E-6</v>
      </c>
      <c r="D5" s="11">
        <f t="shared" si="0"/>
        <v>4.021408082029495E-6</v>
      </c>
      <c r="E5" s="11">
        <f t="shared" si="0"/>
        <v>4.021408082029495E-6</v>
      </c>
      <c r="F5" s="11">
        <f t="shared" si="0"/>
        <v>4.021408082029495E-6</v>
      </c>
      <c r="G5" s="11">
        <f t="shared" si="0"/>
        <v>4.021408082029495E-6</v>
      </c>
      <c r="H5" s="11">
        <f t="shared" si="0"/>
        <v>4.021408082029495E-6</v>
      </c>
      <c r="I5" s="11">
        <f t="shared" si="0"/>
        <v>4.021408082029495E-6</v>
      </c>
      <c r="J5" s="11">
        <f t="shared" si="0"/>
        <v>4.021408082029495E-6</v>
      </c>
      <c r="K5" s="11">
        <f t="shared" si="0"/>
        <v>4.021408082029495E-6</v>
      </c>
      <c r="L5" s="11">
        <f t="shared" si="0"/>
        <v>4.021408082029495E-6</v>
      </c>
      <c r="M5" s="11">
        <f t="shared" si="0"/>
        <v>4.021408082029495E-6</v>
      </c>
      <c r="N5" s="11">
        <f t="shared" si="0"/>
        <v>4.021408082029495E-6</v>
      </c>
      <c r="O5" s="11">
        <f t="shared" si="0"/>
        <v>4.021408082029495E-6</v>
      </c>
      <c r="P5" s="11">
        <f t="shared" si="0"/>
        <v>4.021408082029495E-6</v>
      </c>
      <c r="Q5" s="11">
        <f t="shared" si="0"/>
        <v>4.021408082029495E-6</v>
      </c>
      <c r="R5" s="11">
        <f t="shared" si="0"/>
        <v>4.021408082029495E-6</v>
      </c>
      <c r="S5" s="11">
        <f t="shared" si="0"/>
        <v>4.021408082029495E-6</v>
      </c>
      <c r="T5" s="11">
        <f t="shared" si="0"/>
        <v>4.021408082029495E-6</v>
      </c>
      <c r="U5" s="11">
        <f t="shared" si="0"/>
        <v>4.021408082029495E-6</v>
      </c>
      <c r="V5" s="11">
        <f t="shared" si="0"/>
        <v>4.021408082029495E-6</v>
      </c>
      <c r="W5" s="11">
        <f t="shared" si="0"/>
        <v>4.021408082029495E-6</v>
      </c>
      <c r="X5" s="11">
        <f t="shared" si="0"/>
        <v>4.021408082029495E-6</v>
      </c>
      <c r="Y5" s="11">
        <f t="shared" si="0"/>
        <v>4.021408082029495E-6</v>
      </c>
      <c r="Z5" s="11">
        <f t="shared" si="0"/>
        <v>4.021408082029495E-6</v>
      </c>
      <c r="AA5" s="11">
        <f t="shared" si="0"/>
        <v>4.021408082029495E-6</v>
      </c>
      <c r="AB5" s="11">
        <f t="shared" si="0"/>
        <v>4.021408082029495E-6</v>
      </c>
      <c r="AC5" s="11">
        <f t="shared" si="0"/>
        <v>4.021408082029495E-6</v>
      </c>
      <c r="AD5" s="11">
        <f t="shared" si="0"/>
        <v>4.021408082029495E-6</v>
      </c>
      <c r="AE5" s="11">
        <f t="shared" si="0"/>
        <v>4.021408082029495E-6</v>
      </c>
      <c r="AF5" s="11">
        <f t="shared" si="0"/>
        <v>4.021408082029495E-6</v>
      </c>
      <c r="AG5" s="11">
        <f t="shared" si="0"/>
        <v>4.021408082029495E-6</v>
      </c>
      <c r="AH5" s="11">
        <f t="shared" si="0"/>
        <v>4.021408082029495E-6</v>
      </c>
      <c r="AI5" s="11">
        <f t="shared" si="0"/>
        <v>4.021408082029495E-6</v>
      </c>
    </row>
    <row r="6" spans="1:35" x14ac:dyDescent="0.25">
      <c r="A6" t="s">
        <v>65</v>
      </c>
      <c r="B6" s="11">
        <f>B3*0.85</f>
        <v>1.1650034275092937E-6</v>
      </c>
      <c r="C6">
        <f t="shared" ref="C6:AI6" si="1">$B6</f>
        <v>1.1650034275092937E-6</v>
      </c>
      <c r="D6">
        <f t="shared" si="1"/>
        <v>1.1650034275092937E-6</v>
      </c>
      <c r="E6">
        <f t="shared" si="1"/>
        <v>1.1650034275092937E-6</v>
      </c>
      <c r="F6">
        <f t="shared" si="1"/>
        <v>1.1650034275092937E-6</v>
      </c>
      <c r="G6">
        <f t="shared" si="1"/>
        <v>1.1650034275092937E-6</v>
      </c>
      <c r="H6">
        <f t="shared" si="1"/>
        <v>1.1650034275092937E-6</v>
      </c>
      <c r="I6">
        <f t="shared" si="1"/>
        <v>1.1650034275092937E-6</v>
      </c>
      <c r="J6">
        <f t="shared" si="1"/>
        <v>1.1650034275092937E-6</v>
      </c>
      <c r="K6">
        <f t="shared" si="1"/>
        <v>1.1650034275092937E-6</v>
      </c>
      <c r="L6">
        <f t="shared" si="1"/>
        <v>1.1650034275092937E-6</v>
      </c>
      <c r="M6">
        <f t="shared" si="1"/>
        <v>1.1650034275092937E-6</v>
      </c>
      <c r="N6">
        <f t="shared" si="1"/>
        <v>1.1650034275092937E-6</v>
      </c>
      <c r="O6">
        <f t="shared" si="1"/>
        <v>1.1650034275092937E-6</v>
      </c>
      <c r="P6">
        <f t="shared" si="1"/>
        <v>1.1650034275092937E-6</v>
      </c>
      <c r="Q6">
        <f t="shared" si="1"/>
        <v>1.1650034275092937E-6</v>
      </c>
      <c r="R6">
        <f t="shared" si="1"/>
        <v>1.1650034275092937E-6</v>
      </c>
      <c r="S6">
        <f t="shared" si="1"/>
        <v>1.1650034275092937E-6</v>
      </c>
      <c r="T6">
        <f t="shared" si="1"/>
        <v>1.1650034275092937E-6</v>
      </c>
      <c r="U6">
        <f t="shared" si="1"/>
        <v>1.1650034275092937E-6</v>
      </c>
      <c r="V6">
        <f t="shared" si="1"/>
        <v>1.1650034275092937E-6</v>
      </c>
      <c r="W6">
        <f t="shared" si="1"/>
        <v>1.1650034275092937E-6</v>
      </c>
      <c r="X6">
        <f t="shared" si="1"/>
        <v>1.1650034275092937E-6</v>
      </c>
      <c r="Y6">
        <f t="shared" si="1"/>
        <v>1.1650034275092937E-6</v>
      </c>
      <c r="Z6">
        <f t="shared" si="1"/>
        <v>1.1650034275092937E-6</v>
      </c>
      <c r="AA6">
        <f t="shared" si="1"/>
        <v>1.1650034275092937E-6</v>
      </c>
      <c r="AB6">
        <f t="shared" si="1"/>
        <v>1.1650034275092937E-6</v>
      </c>
      <c r="AC6">
        <f t="shared" si="1"/>
        <v>1.1650034275092937E-6</v>
      </c>
      <c r="AD6">
        <f t="shared" si="1"/>
        <v>1.1650034275092937E-6</v>
      </c>
      <c r="AE6">
        <f t="shared" si="1"/>
        <v>1.1650034275092937E-6</v>
      </c>
      <c r="AF6">
        <f t="shared" si="1"/>
        <v>1.1650034275092937E-6</v>
      </c>
      <c r="AG6">
        <f t="shared" si="1"/>
        <v>1.1650034275092937E-6</v>
      </c>
      <c r="AH6">
        <f t="shared" si="1"/>
        <v>1.1650034275092937E-6</v>
      </c>
      <c r="AI6">
        <f t="shared" si="1"/>
        <v>1.1650034275092937E-6</v>
      </c>
    </row>
    <row r="7" spans="1:35" x14ac:dyDescent="0.25">
      <c r="A7" t="s">
        <v>63</v>
      </c>
      <c r="B7" s="11">
        <f>B2</f>
        <v>8.3633611707228332E-6</v>
      </c>
      <c r="C7" s="11">
        <f t="shared" ref="C7:AI8" si="2">C2</f>
        <v>8.1175753380646016E-6</v>
      </c>
      <c r="D7" s="11">
        <f t="shared" si="2"/>
        <v>7.8717895054063701E-6</v>
      </c>
      <c r="E7" s="11">
        <f t="shared" si="2"/>
        <v>7.6260036727481386E-6</v>
      </c>
      <c r="F7" s="11">
        <f t="shared" si="2"/>
        <v>7.3802178400897986E-6</v>
      </c>
      <c r="G7" s="11">
        <f t="shared" si="2"/>
        <v>7.1344320074315671E-6</v>
      </c>
      <c r="H7" s="11">
        <f t="shared" si="2"/>
        <v>6.8886461747733356E-6</v>
      </c>
      <c r="I7" s="11">
        <f t="shared" si="2"/>
        <v>6.642860342115104E-6</v>
      </c>
      <c r="J7" s="11">
        <f t="shared" si="2"/>
        <v>6.3970745094567641E-6</v>
      </c>
      <c r="K7" s="11">
        <f t="shared" si="2"/>
        <v>6.1512886767985326E-6</v>
      </c>
      <c r="L7" s="11">
        <f t="shared" si="2"/>
        <v>5.905502844140301E-6</v>
      </c>
      <c r="M7" s="11">
        <f t="shared" si="2"/>
        <v>5.6597170114820695E-6</v>
      </c>
      <c r="N7" s="11">
        <f t="shared" si="2"/>
        <v>5.413931178823838E-6</v>
      </c>
      <c r="O7" s="11">
        <f t="shared" si="2"/>
        <v>5.168145346165498E-6</v>
      </c>
      <c r="P7" s="11">
        <f t="shared" si="2"/>
        <v>5.0758095874101333E-6</v>
      </c>
      <c r="Q7" s="11">
        <f t="shared" si="2"/>
        <v>4.9834738286547143E-6</v>
      </c>
      <c r="R7" s="11">
        <f t="shared" si="2"/>
        <v>4.8911380698993224E-6</v>
      </c>
      <c r="S7" s="11">
        <f t="shared" si="2"/>
        <v>4.7988023111439305E-6</v>
      </c>
      <c r="T7" s="11">
        <f t="shared" si="2"/>
        <v>4.7064665523885386E-6</v>
      </c>
      <c r="U7" s="11">
        <f t="shared" si="2"/>
        <v>4.6141307936331196E-6</v>
      </c>
      <c r="V7" s="11">
        <f t="shared" si="2"/>
        <v>4.5217950348777278E-6</v>
      </c>
      <c r="W7" s="11">
        <f t="shared" si="2"/>
        <v>4.4294592761223359E-6</v>
      </c>
      <c r="X7" s="11">
        <f t="shared" si="2"/>
        <v>4.3371235173669169E-6</v>
      </c>
      <c r="Y7" s="11">
        <f t="shared" si="2"/>
        <v>4.244787758611525E-6</v>
      </c>
      <c r="Z7" s="11">
        <f t="shared" si="2"/>
        <v>4.1524519998561331E-6</v>
      </c>
      <c r="AA7" s="11">
        <f t="shared" si="2"/>
        <v>4.0601162411007413E-6</v>
      </c>
      <c r="AB7" s="11">
        <f t="shared" si="2"/>
        <v>3.9677804823453223E-6</v>
      </c>
      <c r="AC7" s="11">
        <f t="shared" si="2"/>
        <v>3.8754447235899304E-6</v>
      </c>
      <c r="AD7" s="11">
        <f t="shared" si="2"/>
        <v>3.7831089648345385E-6</v>
      </c>
      <c r="AE7" s="11">
        <f t="shared" si="2"/>
        <v>3.6907732060791466E-6</v>
      </c>
      <c r="AF7" s="11">
        <f t="shared" si="2"/>
        <v>3.5984374473237277E-6</v>
      </c>
      <c r="AG7" s="11">
        <f t="shared" si="2"/>
        <v>3.5061016885683358E-6</v>
      </c>
      <c r="AH7" s="11">
        <f t="shared" si="2"/>
        <v>3.4137659298129439E-6</v>
      </c>
      <c r="AI7" s="11">
        <f t="shared" si="2"/>
        <v>3.3214301710575249E-6</v>
      </c>
    </row>
    <row r="8" spans="1:35" x14ac:dyDescent="0.25">
      <c r="A8" t="s">
        <v>64</v>
      </c>
      <c r="B8" s="11">
        <f>B3</f>
        <v>1.3705922676579926E-6</v>
      </c>
      <c r="C8" s="11">
        <f t="shared" si="2"/>
        <v>1.3705922676579926E-6</v>
      </c>
      <c r="D8" s="11">
        <f t="shared" si="2"/>
        <v>1.3705922676579926E-6</v>
      </c>
      <c r="E8" s="11">
        <f t="shared" si="2"/>
        <v>1.3705922676579926E-6</v>
      </c>
      <c r="F8" s="11">
        <f t="shared" si="2"/>
        <v>1.3705922676579926E-6</v>
      </c>
      <c r="G8" s="11">
        <f t="shared" si="2"/>
        <v>1.3705922676579926E-6</v>
      </c>
      <c r="H8" s="11">
        <f t="shared" si="2"/>
        <v>1.3705922676579926E-6</v>
      </c>
      <c r="I8" s="11">
        <f t="shared" si="2"/>
        <v>1.3705922676579926E-6</v>
      </c>
      <c r="J8" s="11">
        <f t="shared" si="2"/>
        <v>1.3705922676579926E-6</v>
      </c>
      <c r="K8" s="11">
        <f t="shared" si="2"/>
        <v>1.3705922676579926E-6</v>
      </c>
      <c r="L8" s="11">
        <f t="shared" si="2"/>
        <v>1.3705922676579926E-6</v>
      </c>
      <c r="M8" s="11">
        <f t="shared" si="2"/>
        <v>1.3705922676579926E-6</v>
      </c>
      <c r="N8" s="11">
        <f t="shared" si="2"/>
        <v>1.3705922676579926E-6</v>
      </c>
      <c r="O8" s="11">
        <f t="shared" si="2"/>
        <v>1.3705922676579926E-6</v>
      </c>
      <c r="P8" s="11">
        <f t="shared" si="2"/>
        <v>1.3705922676579926E-6</v>
      </c>
      <c r="Q8" s="11">
        <f t="shared" si="2"/>
        <v>1.3705922676579926E-6</v>
      </c>
      <c r="R8" s="11">
        <f t="shared" si="2"/>
        <v>1.3705922676579926E-6</v>
      </c>
      <c r="S8" s="11">
        <f t="shared" si="2"/>
        <v>1.3705922676579926E-6</v>
      </c>
      <c r="T8" s="11">
        <f t="shared" si="2"/>
        <v>1.3705922676579926E-6</v>
      </c>
      <c r="U8" s="11">
        <f t="shared" si="2"/>
        <v>1.3705922676579926E-6</v>
      </c>
      <c r="V8" s="11">
        <f t="shared" si="2"/>
        <v>1.3705922676579926E-6</v>
      </c>
      <c r="W8" s="11">
        <f t="shared" si="2"/>
        <v>1.3705922676579926E-6</v>
      </c>
      <c r="X8" s="11">
        <f t="shared" si="2"/>
        <v>1.3705922676579926E-6</v>
      </c>
      <c r="Y8" s="11">
        <f t="shared" si="2"/>
        <v>1.3705922676579926E-6</v>
      </c>
      <c r="Z8" s="11">
        <f t="shared" si="2"/>
        <v>1.3705922676579926E-6</v>
      </c>
      <c r="AA8" s="11">
        <f t="shared" si="2"/>
        <v>1.3705922676579926E-6</v>
      </c>
      <c r="AB8" s="11">
        <f t="shared" si="2"/>
        <v>1.3705922676579926E-6</v>
      </c>
      <c r="AC8" s="11">
        <f t="shared" si="2"/>
        <v>1.3705922676579926E-6</v>
      </c>
      <c r="AD8" s="11">
        <f t="shared" si="2"/>
        <v>1.3705922676579926E-6</v>
      </c>
      <c r="AE8" s="11">
        <f t="shared" si="2"/>
        <v>1.3705922676579926E-6</v>
      </c>
      <c r="AF8" s="11">
        <f t="shared" si="2"/>
        <v>1.3705922676579926E-6</v>
      </c>
      <c r="AG8" s="11">
        <f t="shared" si="2"/>
        <v>1.3705922676579926E-6</v>
      </c>
      <c r="AH8" s="11">
        <f t="shared" si="2"/>
        <v>1.3705922676579926E-6</v>
      </c>
      <c r="AI8" s="11">
        <f t="shared" si="2"/>
        <v>1.3705922676579926E-6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About</vt:lpstr>
      <vt:lpstr>IEA Data</vt:lpstr>
      <vt:lpstr>Reformer data</vt:lpstr>
      <vt:lpstr>DoE Data</vt:lpstr>
      <vt:lpstr>Conversion Factors</vt:lpstr>
      <vt:lpstr>HPEC</vt:lpstr>
      <vt:lpstr>HPEO</vt:lpstr>
      <vt:lpstr>LHPEC</vt:lpstr>
      <vt:lpstr>LHPEO</vt:lpstr>
      <vt:lpstr>btu_per_kwh</vt:lpstr>
      <vt:lpstr>hours_per_year</vt:lpstr>
      <vt:lpstr>usd_year_conv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2019-07-22T22:27:44Z</dcterms:created>
  <dcterms:modified xsi:type="dcterms:W3CDTF">2025-12-01T14:09:30Z</dcterms:modified>
</cp:coreProperties>
</file>