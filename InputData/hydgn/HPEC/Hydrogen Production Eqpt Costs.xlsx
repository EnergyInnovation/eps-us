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hydgn\HPEC\"/>
    </mc:Choice>
  </mc:AlternateContent>
  <xr:revisionPtr revIDLastSave="0" documentId="13_ncr:1_{6C0CA885-5B69-4DE6-A0C9-AA7D40979DE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About" sheetId="1" r:id="rId1"/>
    <sheet name="IEA Data" sheetId="2" r:id="rId2"/>
    <sheet name="DoE Data" sheetId="6" r:id="rId3"/>
    <sheet name="Conversion Factors" sheetId="4" r:id="rId4"/>
    <sheet name="HPEC" sheetId="3" r:id="rId5"/>
    <sheet name="HPEO" sheetId="5" r:id="rId6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3" l="1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D24" i="6"/>
  <c r="C24" i="6"/>
  <c r="B24" i="6"/>
  <c r="B19" i="6"/>
  <c r="H2" i="2" l="1"/>
  <c r="B6" i="3"/>
  <c r="B6" i="5"/>
  <c r="Y6" i="5" s="1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B8" i="5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B8" i="3"/>
  <c r="B7" i="3"/>
  <c r="AC6" i="5" l="1"/>
  <c r="N6" i="5"/>
  <c r="AF6" i="5"/>
  <c r="R6" i="5"/>
  <c r="AB6" i="5"/>
  <c r="C6" i="5"/>
  <c r="S6" i="5"/>
  <c r="D6" i="5"/>
  <c r="L6" i="5"/>
  <c r="E6" i="5"/>
  <c r="AD6" i="5"/>
  <c r="F6" i="5"/>
  <c r="V6" i="5"/>
  <c r="O6" i="5"/>
  <c r="H6" i="5"/>
  <c r="P6" i="5"/>
  <c r="X6" i="5"/>
  <c r="AG6" i="5"/>
  <c r="J6" i="5"/>
  <c r="Z6" i="5"/>
  <c r="K6" i="5"/>
  <c r="AA6" i="5"/>
  <c r="T6" i="5"/>
  <c r="M6" i="5"/>
  <c r="U6" i="5"/>
  <c r="AE6" i="5"/>
  <c r="G6" i="5"/>
  <c r="W6" i="5"/>
  <c r="I6" i="5"/>
  <c r="Q6" i="5"/>
  <c r="AH6" i="5"/>
  <c r="AI6" i="5"/>
  <c r="A1" i="4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R2" i="5" l="1"/>
  <c r="R7" i="5" s="1"/>
  <c r="Z2" i="5"/>
  <c r="Z7" i="5" s="1"/>
  <c r="AH2" i="5"/>
  <c r="AH7" i="5" s="1"/>
  <c r="X3" i="3"/>
  <c r="X3" i="5" s="1"/>
  <c r="AF3" i="3"/>
  <c r="AF3" i="5" s="1"/>
  <c r="V4" i="3"/>
  <c r="AD4" i="3"/>
  <c r="Q2" i="5"/>
  <c r="Q7" i="5" s="1"/>
  <c r="G2" i="5"/>
  <c r="G7" i="5" s="1"/>
  <c r="O2" i="5"/>
  <c r="O7" i="5" s="1"/>
  <c r="J3" i="3"/>
  <c r="J3" i="5" s="1"/>
  <c r="E4" i="3"/>
  <c r="M4" i="3"/>
  <c r="AC3" i="3"/>
  <c r="AC3" i="5" s="1"/>
  <c r="AI4" i="3"/>
  <c r="J4" i="3"/>
  <c r="N2" i="5"/>
  <c r="N7" i="5" s="1"/>
  <c r="D4" i="3"/>
  <c r="S2" i="5"/>
  <c r="S7" i="5" s="1"/>
  <c r="AA2" i="5"/>
  <c r="AA7" i="5" s="1"/>
  <c r="AI2" i="5"/>
  <c r="AI7" i="5" s="1"/>
  <c r="Y3" i="3"/>
  <c r="Y3" i="5" s="1"/>
  <c r="AG3" i="3"/>
  <c r="AG3" i="5" s="1"/>
  <c r="W4" i="3"/>
  <c r="AE4" i="3"/>
  <c r="P4" i="3"/>
  <c r="H2" i="5"/>
  <c r="H7" i="5" s="1"/>
  <c r="C3" i="3"/>
  <c r="C3" i="5" s="1"/>
  <c r="K3" i="3"/>
  <c r="K3" i="5" s="1"/>
  <c r="F4" i="3"/>
  <c r="N4" i="3"/>
  <c r="U3" i="3"/>
  <c r="U3" i="5" s="1"/>
  <c r="L2" i="5"/>
  <c r="L7" i="5" s="1"/>
  <c r="I3" i="3"/>
  <c r="I3" i="5" s="1"/>
  <c r="T2" i="5"/>
  <c r="T7" i="5" s="1"/>
  <c r="AB2" i="5"/>
  <c r="AB7" i="5" s="1"/>
  <c r="R3" i="3"/>
  <c r="R3" i="5" s="1"/>
  <c r="Z3" i="3"/>
  <c r="Z3" i="5" s="1"/>
  <c r="AH3" i="3"/>
  <c r="AH3" i="5" s="1"/>
  <c r="X4" i="3"/>
  <c r="AF4" i="3"/>
  <c r="P3" i="3"/>
  <c r="P3" i="5" s="1"/>
  <c r="I2" i="5"/>
  <c r="I7" i="5" s="1"/>
  <c r="D3" i="3"/>
  <c r="D3" i="5" s="1"/>
  <c r="L3" i="3"/>
  <c r="L3" i="5" s="1"/>
  <c r="G4" i="3"/>
  <c r="O4" i="3"/>
  <c r="S4" i="3"/>
  <c r="AA4" i="3"/>
  <c r="O3" i="3"/>
  <c r="O3" i="5" s="1"/>
  <c r="U4" i="3"/>
  <c r="U2" i="5"/>
  <c r="U7" i="5" s="1"/>
  <c r="AC2" i="5"/>
  <c r="AC7" i="5" s="1"/>
  <c r="S3" i="3"/>
  <c r="S3" i="5" s="1"/>
  <c r="AA3" i="3"/>
  <c r="AA3" i="5" s="1"/>
  <c r="AI3" i="3"/>
  <c r="AI3" i="5" s="1"/>
  <c r="Y4" i="3"/>
  <c r="AG4" i="3"/>
  <c r="P2" i="5"/>
  <c r="P7" i="5" s="1"/>
  <c r="J2" i="5"/>
  <c r="J7" i="5" s="1"/>
  <c r="E3" i="3"/>
  <c r="E3" i="5" s="1"/>
  <c r="M3" i="3"/>
  <c r="M3" i="5" s="1"/>
  <c r="H4" i="3"/>
  <c r="B4" i="3"/>
  <c r="AE2" i="5"/>
  <c r="AE7" i="5" s="1"/>
  <c r="G3" i="3"/>
  <c r="G3" i="5" s="1"/>
  <c r="AC4" i="3"/>
  <c r="L4" i="3"/>
  <c r="V2" i="5"/>
  <c r="V7" i="5" s="1"/>
  <c r="AD2" i="5"/>
  <c r="AD7" i="5" s="1"/>
  <c r="T3" i="3"/>
  <c r="T3" i="5" s="1"/>
  <c r="AB3" i="3"/>
  <c r="AB3" i="5" s="1"/>
  <c r="R4" i="3"/>
  <c r="Z4" i="3"/>
  <c r="AH4" i="3"/>
  <c r="C2" i="5"/>
  <c r="C7" i="5" s="1"/>
  <c r="K2" i="5"/>
  <c r="K7" i="5" s="1"/>
  <c r="F3" i="3"/>
  <c r="F3" i="5" s="1"/>
  <c r="N3" i="3"/>
  <c r="N3" i="5" s="1"/>
  <c r="I4" i="3"/>
  <c r="B3" i="3"/>
  <c r="B3" i="5" s="1"/>
  <c r="W2" i="5"/>
  <c r="W7" i="5" s="1"/>
  <c r="D2" i="5"/>
  <c r="D7" i="5" s="1"/>
  <c r="B2" i="5"/>
  <c r="B7" i="5" s="1"/>
  <c r="Q3" i="3"/>
  <c r="Q3" i="5" s="1"/>
  <c r="X2" i="5"/>
  <c r="X7" i="5" s="1"/>
  <c r="AF2" i="5"/>
  <c r="AF7" i="5" s="1"/>
  <c r="V3" i="3"/>
  <c r="V3" i="5" s="1"/>
  <c r="AD3" i="3"/>
  <c r="AD3" i="5" s="1"/>
  <c r="T4" i="3"/>
  <c r="AB4" i="3"/>
  <c r="Q4" i="3"/>
  <c r="E2" i="5"/>
  <c r="E7" i="5" s="1"/>
  <c r="M2" i="5"/>
  <c r="M7" i="5" s="1"/>
  <c r="H3" i="3"/>
  <c r="H3" i="5" s="1"/>
  <c r="C4" i="3"/>
  <c r="K4" i="3"/>
  <c r="Y2" i="5"/>
  <c r="Y7" i="5" s="1"/>
  <c r="AG2" i="5"/>
  <c r="AG7" i="5" s="1"/>
  <c r="W3" i="3"/>
  <c r="W3" i="5" s="1"/>
  <c r="AE3" i="3"/>
  <c r="AE3" i="5" s="1"/>
  <c r="F2" i="5"/>
  <c r="F7" i="5" s="1"/>
  <c r="AG4" i="5" l="1"/>
  <c r="AG5" i="5" s="1"/>
  <c r="AG5" i="3"/>
  <c r="P4" i="5"/>
  <c r="P5" i="5" s="1"/>
  <c r="P5" i="3"/>
  <c r="C4" i="5"/>
  <c r="C5" i="5" s="1"/>
  <c r="C5" i="3"/>
  <c r="I4" i="5"/>
  <c r="I5" i="5" s="1"/>
  <c r="I5" i="3"/>
  <c r="W4" i="5"/>
  <c r="W5" i="5" s="1"/>
  <c r="W5" i="3"/>
  <c r="J4" i="5"/>
  <c r="J5" i="5" s="1"/>
  <c r="J5" i="3"/>
  <c r="U4" i="5"/>
  <c r="U5" i="5" s="1"/>
  <c r="U5" i="3"/>
  <c r="T4" i="5"/>
  <c r="T5" i="5" s="1"/>
  <c r="T5" i="3"/>
  <c r="B4" i="5"/>
  <c r="B5" i="5" s="1"/>
  <c r="B5" i="3"/>
  <c r="S4" i="5"/>
  <c r="S5" i="5" s="1"/>
  <c r="S5" i="3"/>
  <c r="X4" i="5"/>
  <c r="X5" i="5" s="1"/>
  <c r="X5" i="3"/>
  <c r="H4" i="5"/>
  <c r="H5" i="5" s="1"/>
  <c r="H5" i="3"/>
  <c r="O4" i="5"/>
  <c r="O5" i="5" s="1"/>
  <c r="O5" i="3"/>
  <c r="N4" i="5"/>
  <c r="N5" i="5" s="1"/>
  <c r="N5" i="3"/>
  <c r="AI4" i="5"/>
  <c r="AI5" i="5" s="1"/>
  <c r="AI5" i="3"/>
  <c r="AD4" i="5"/>
  <c r="AD5" i="5" s="1"/>
  <c r="AD5" i="3"/>
  <c r="D4" i="5"/>
  <c r="D5" i="5" s="1"/>
  <c r="D5" i="3"/>
  <c r="F4" i="5"/>
  <c r="F5" i="5" s="1"/>
  <c r="F5" i="3"/>
  <c r="V4" i="5"/>
  <c r="V5" i="5" s="1"/>
  <c r="V5" i="3"/>
  <c r="AB4" i="5"/>
  <c r="AB5" i="5" s="1"/>
  <c r="AB5" i="3"/>
  <c r="G4" i="5"/>
  <c r="G5" i="5" s="1"/>
  <c r="G5" i="3"/>
  <c r="M4" i="5"/>
  <c r="M5" i="5" s="1"/>
  <c r="M5" i="3"/>
  <c r="AC4" i="5"/>
  <c r="AC5" i="5" s="1"/>
  <c r="AC5" i="3"/>
  <c r="Q4" i="5"/>
  <c r="Q5" i="5" s="1"/>
  <c r="Q5" i="3"/>
  <c r="L4" i="5"/>
  <c r="L5" i="5" s="1"/>
  <c r="L5" i="3"/>
  <c r="E4" i="5"/>
  <c r="E5" i="5" s="1"/>
  <c r="E5" i="3"/>
  <c r="AH4" i="5"/>
  <c r="AH5" i="5" s="1"/>
  <c r="AH5" i="3"/>
  <c r="Z4" i="5"/>
  <c r="Z5" i="5" s="1"/>
  <c r="Z5" i="3"/>
  <c r="K4" i="5"/>
  <c r="K5" i="5" s="1"/>
  <c r="K5" i="3"/>
  <c r="R4" i="5"/>
  <c r="R5" i="5" s="1"/>
  <c r="R5" i="3"/>
  <c r="Y4" i="5"/>
  <c r="Y5" i="5" s="1"/>
  <c r="Y5" i="3"/>
  <c r="AA4" i="5"/>
  <c r="AA5" i="5" s="1"/>
  <c r="AA5" i="3"/>
  <c r="AF4" i="5"/>
  <c r="AF5" i="5" s="1"/>
  <c r="AF5" i="3"/>
  <c r="AE4" i="5"/>
  <c r="AE5" i="5" s="1"/>
  <c r="AE5" i="3"/>
</calcChain>
</file>

<file path=xl/sharedStrings.xml><?xml version="1.0" encoding="utf-8"?>
<sst xmlns="http://schemas.openxmlformats.org/spreadsheetml/2006/main" count="112" uniqueCount="86">
  <si>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</si>
  <si>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</si>
  <si>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</si>
  <si>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</si>
  <si>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</si>
  <si>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</si>
  <si>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</si>
  <si>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</si>
  <si>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</si>
  <si>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</si>
  <si>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</si>
  <si>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</si>
  <si>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</si>
  <si>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</si>
  <si>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</si>
  <si>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</si>
  <si>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</si>
  <si>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</si>
  <si>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</si>
  <si>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</si>
  <si>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</si>
  <si>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</si>
  <si>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</si>
  <si>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</si>
  <si>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</si>
  <si>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</si>
  <si>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</si>
  <si>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</si>
  <si>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</si>
  <si>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</si>
  <si>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</si>
  <si>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</si>
  <si>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</si>
  <si>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</si>
  <si>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</si>
  <si>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</si>
  <si>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</si>
  <si>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</si>
  <si>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</si>
  <si>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</si>
  <si>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</si>
  <si>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</si>
  <si>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</si>
  <si>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</si>
  <si>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</si>
  <si>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</si>
  <si>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</si>
  <si>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</si>
  <si>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</si>
  <si>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</si>
  <si>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</si>
  <si>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</si>
  <si>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</si>
  <si>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</si>
  <si>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</si>
  <si>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</si>
  <si>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</si>
  <si>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</si>
  <si>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</si>
  <si>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</si>
  <si>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</si>
  <si>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</si>
  <si>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</si>
  <si>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</si>
  <si>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</si>
  <si>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</si>
  <si>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</si>
  <si>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</si>
  <si>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</si>
  <si>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</si>
  <si>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</si>
  <si>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</si>
  <si>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</si>
  <si>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</si>
  <si>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Department of Energy</t>
  </si>
  <si>
    <t>Clean Hydrogen Production Cost PEM Electrolyzer</t>
  </si>
  <si>
    <t>https://www.hydrogen.energy.gov/docs/hydrogenprogramlibraries/pdfs/24005-clean-hydrogen-production-cost-pem-electrolyzer.pdf</t>
  </si>
  <si>
    <t>Table 2</t>
  </si>
  <si>
    <t>For DoE data we convert from 2022 to 2012 dollars:</t>
  </si>
  <si>
    <t xml:space="preserve">$/kW </t>
  </si>
  <si>
    <t>2022 USD</t>
  </si>
  <si>
    <t>2012 USD</t>
  </si>
  <si>
    <t>2024 cost</t>
  </si>
  <si>
    <t>Cost trends:</t>
  </si>
  <si>
    <t>Assumes same rate of decline as IEA data</t>
  </si>
  <si>
    <t>$/kW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</si>
</sst>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  <xf numFmtId="11" fontId="0" fillId="0" borderId="2" xfId="0" applyNumberFormat="1" applyBorder="1"/>
    <xf numFmtId="1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273377</xdr:colOff>
      <xdr:row>14</xdr:row>
      <xdr:rowOff>92201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1D108D-0B02-CBE6-15FF-B4699646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369377" cy="2444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hydrogen.energy.gov/docs/hydrogenprogramlibraries/pdfs/24005-clean-hydrogen-production-cost-pem-electrolyzer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3"/>
  <sheetViews>
    <sheetView topLeftCell="A34" workbookViewId="0">
      <selection activeCell="B63" sqref="B63"/>
    </sheetView>
  </sheetViews>
  <sheetFormatPr defaultRowHeight="14.5" x14ac:dyDescent="0.35"/>
  <cols>
    <col min="2" max="2" width="45.81640625" customWidth="1"/>
  </cols>
  <sheetData>
    <row r="1" spans="1:2" x14ac:dyDescent="0.35">
      <c r="A1" s="1" t="s">
        <v>0</v>
      </c>
    </row>
    <row r="2" spans="1:2" x14ac:dyDescent="0.35">
      <c r="A2" s="1" t="s">
        <v>50</v>
      </c>
    </row>
    <row r="4" spans="1:2" x14ac:dyDescent="0.35">
      <c r="A4" s="1" t="s">
        <v>1</v>
      </c>
      <c r="B4" t="s">
        <v>21</v>
      </c>
    </row>
    <row r="5" spans="1:2" x14ac:dyDescent="0.35">
      <c r="B5" s="7">
        <v>2019</v>
      </c>
    </row>
    <row r="6" spans="1:2" x14ac:dyDescent="0.35">
      <c r="B6" t="s">
        <v>22</v>
      </c>
    </row>
    <row r="7" spans="1:2" x14ac:dyDescent="0.35">
      <c r="B7" s="8" t="s">
        <v>23</v>
      </c>
    </row>
    <row r="8" spans="1:2" x14ac:dyDescent="0.35">
      <c r="B8" t="s">
        <v>24</v>
      </c>
    </row>
    <row r="10" spans="1:2" x14ac:dyDescent="0.35">
      <c r="B10" t="s">
        <v>74</v>
      </c>
    </row>
    <row r="11" spans="1:2" x14ac:dyDescent="0.35">
      <c r="B11" s="7">
        <v>2024</v>
      </c>
    </row>
    <row r="12" spans="1:2" x14ac:dyDescent="0.35">
      <c r="B12" t="s">
        <v>75</v>
      </c>
    </row>
    <row r="13" spans="1:2" x14ac:dyDescent="0.35">
      <c r="B13" s="8" t="s">
        <v>76</v>
      </c>
    </row>
    <row r="14" spans="1:2" x14ac:dyDescent="0.35">
      <c r="B14" t="s">
        <v>77</v>
      </c>
    </row>
    <row r="16" spans="1:2" x14ac:dyDescent="0.35">
      <c r="A16" s="1" t="s">
        <v>28</v>
      </c>
    </row>
    <row r="17" spans="1:1" x14ac:dyDescent="0.35">
      <c r="A17" t="s">
        <v>29</v>
      </c>
    </row>
    <row r="18" spans="1:1" x14ac:dyDescent="0.35">
      <c r="A18" t="s">
        <v>30</v>
      </c>
    </row>
    <row r="19" spans="1:1" x14ac:dyDescent="0.35">
      <c r="A19" t="s">
        <v>31</v>
      </c>
    </row>
    <row r="20" spans="1:1" x14ac:dyDescent="0.35">
      <c r="A20" t="s">
        <v>32</v>
      </c>
    </row>
    <row r="22" spans="1:1" x14ac:dyDescent="0.35">
      <c r="A22" s="1" t="s">
        <v>59</v>
      </c>
    </row>
    <row r="23" spans="1:1" x14ac:dyDescent="0.35">
      <c r="A23" t="s">
        <v>51</v>
      </c>
    </row>
    <row r="24" spans="1:1" x14ac:dyDescent="0.35">
      <c r="A24" t="s">
        <v>52</v>
      </c>
    </row>
    <row r="25" spans="1:1" x14ac:dyDescent="0.35">
      <c r="A25" t="s">
        <v>53</v>
      </c>
    </row>
    <row r="26" spans="1:1" x14ac:dyDescent="0.35">
      <c r="A26" t="s">
        <v>54</v>
      </c>
    </row>
    <row r="27" spans="1:1" x14ac:dyDescent="0.35">
      <c r="A27" t="s">
        <v>55</v>
      </c>
    </row>
    <row r="28" spans="1:1" x14ac:dyDescent="0.35">
      <c r="A28" t="s">
        <v>56</v>
      </c>
    </row>
    <row r="29" spans="1:1" x14ac:dyDescent="0.35">
      <c r="A29" t="s">
        <v>57</v>
      </c>
    </row>
    <row r="30" spans="1:1" x14ac:dyDescent="0.35">
      <c r="A30" t="s">
        <v>58</v>
      </c>
    </row>
    <row r="31" spans="1:1" x14ac:dyDescent="0.35">
      <c r="A31" t="s">
        <v>60</v>
      </c>
    </row>
    <row r="33" spans="1:2" x14ac:dyDescent="0.35">
      <c r="A33" s="1" t="s">
        <v>33</v>
      </c>
    </row>
    <row r="34" spans="1:2" x14ac:dyDescent="0.35">
      <c r="A34" t="s">
        <v>34</v>
      </c>
    </row>
    <row r="35" spans="1:2" x14ac:dyDescent="0.35">
      <c r="A35" t="s">
        <v>35</v>
      </c>
    </row>
    <row r="36" spans="1:2" x14ac:dyDescent="0.35">
      <c r="A36" t="s">
        <v>36</v>
      </c>
    </row>
    <row r="37" spans="1:2" x14ac:dyDescent="0.35">
      <c r="A37" t="s">
        <v>37</v>
      </c>
    </row>
    <row r="38" spans="1:2" x14ac:dyDescent="0.35">
      <c r="A38" t="s">
        <v>38</v>
      </c>
    </row>
    <row r="39" spans="1:2" x14ac:dyDescent="0.35">
      <c r="A39" t="s">
        <v>39</v>
      </c>
    </row>
    <row r="40" spans="1:2" x14ac:dyDescent="0.35">
      <c r="A40" t="s">
        <v>40</v>
      </c>
    </row>
    <row r="41" spans="1:2" x14ac:dyDescent="0.35">
      <c r="A41" t="s">
        <v>41</v>
      </c>
    </row>
    <row r="42" spans="1:2" x14ac:dyDescent="0.35">
      <c r="B42" t="s">
        <v>42</v>
      </c>
    </row>
    <row r="43" spans="1:2" x14ac:dyDescent="0.35">
      <c r="B43" s="7">
        <v>2014</v>
      </c>
    </row>
    <row r="44" spans="1:2" x14ac:dyDescent="0.35">
      <c r="B44" t="s">
        <v>43</v>
      </c>
    </row>
    <row r="45" spans="1:2" x14ac:dyDescent="0.35">
      <c r="B45" s="8" t="s">
        <v>44</v>
      </c>
    </row>
    <row r="46" spans="1:2" x14ac:dyDescent="0.35">
      <c r="B46" t="s">
        <v>45</v>
      </c>
    </row>
    <row r="48" spans="1:2" x14ac:dyDescent="0.35">
      <c r="A48" s="1" t="s">
        <v>66</v>
      </c>
    </row>
    <row r="49" spans="1:2" x14ac:dyDescent="0.35">
      <c r="A49" t="s">
        <v>67</v>
      </c>
    </row>
    <row r="50" spans="1:2" x14ac:dyDescent="0.35">
      <c r="A50" t="s">
        <v>68</v>
      </c>
    </row>
    <row r="51" spans="1:2" x14ac:dyDescent="0.35">
      <c r="A51" t="s">
        <v>69</v>
      </c>
    </row>
    <row r="52" spans="1:2" x14ac:dyDescent="0.35">
      <c r="A52" t="s">
        <v>73</v>
      </c>
    </row>
    <row r="53" spans="1:2" x14ac:dyDescent="0.35">
      <c r="B53" t="s">
        <v>70</v>
      </c>
    </row>
    <row r="54" spans="1:2" x14ac:dyDescent="0.35">
      <c r="B54" s="7">
        <v>2023</v>
      </c>
    </row>
    <row r="55" spans="1:2" x14ac:dyDescent="0.35">
      <c r="B55" t="s">
        <v>71</v>
      </c>
    </row>
    <row r="56" spans="1:2" x14ac:dyDescent="0.35">
      <c r="B56" s="8" t="s">
        <v>72</v>
      </c>
    </row>
    <row r="58" spans="1:2" x14ac:dyDescent="0.35">
      <c r="A58" s="1" t="s">
        <v>47</v>
      </c>
    </row>
    <row r="59" spans="1:2" x14ac:dyDescent="0.35">
      <c r="A59" t="s">
        <v>48</v>
      </c>
    </row>
    <row r="60" spans="1:2" x14ac:dyDescent="0.35">
      <c r="A60" t="s">
        <v>49</v>
      </c>
    </row>
    <row r="62" spans="1:2" x14ac:dyDescent="0.35">
      <c r="A62" t="s">
        <v>78</v>
      </c>
    </row>
    <row r="63" spans="1:2" x14ac:dyDescent="0.35">
      <c r="A63">
        <v>0.78452102304761584</v>
      </c>
    </row>
  </sheetData>
  <hyperlinks>
    <hyperlink ref="B7" r:id="rId1" xr:uid="{00000000-0004-0000-0000-000000000000}"/>
    <hyperlink ref="B45" r:id="rId2" xr:uid="{00000000-0004-0000-0000-000001000000}"/>
    <hyperlink ref="B56" r:id="rId3" xr:uid="{0EAF8239-1601-435F-A7F3-DCBE0357401E}"/>
    <hyperlink ref="B13" r:id="rId4" xr:uid="{0315EA59-F95F-4000-B10B-ABC8C54DF753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zoomScale="115" zoomScaleNormal="115" workbookViewId="0">
      <selection activeCell="D2" sqref="D2"/>
    </sheetView>
  </sheetViews>
  <sheetFormatPr defaultRowHeight="14.5" x14ac:dyDescent="0.35"/>
  <cols>
    <col min="1" max="3" width="25.453125" customWidth="1"/>
    <col min="4" max="4" width="11.54296875" customWidth="1"/>
    <col min="5" max="5" width="10.1796875" customWidth="1"/>
    <col min="6" max="6" width="14.54296875" customWidth="1"/>
  </cols>
  <sheetData>
    <row r="1" spans="1:8" ht="15" thickBot="1" x14ac:dyDescent="0.4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</row>
    <row r="2" spans="1:8" ht="15" thickTop="1" x14ac:dyDescent="0.3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  <c r="H2">
        <f>D2*1.3</f>
        <v>1170</v>
      </c>
    </row>
    <row r="3" spans="1:8" x14ac:dyDescent="0.35">
      <c r="B3" t="s">
        <v>10</v>
      </c>
      <c r="C3" t="s">
        <v>11</v>
      </c>
      <c r="D3" s="4">
        <v>0.64</v>
      </c>
      <c r="E3" s="4">
        <v>0.69</v>
      </c>
      <c r="F3" s="4">
        <v>0.74</v>
      </c>
    </row>
    <row r="4" spans="1:8" x14ac:dyDescent="0.3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</row>
    <row r="5" spans="1:8" ht="15" thickBot="1" x14ac:dyDescent="0.4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</row>
    <row r="6" spans="1:8" ht="15" thickTop="1" x14ac:dyDescent="0.35">
      <c r="A6" t="s">
        <v>16</v>
      </c>
      <c r="B6" t="s">
        <v>8</v>
      </c>
      <c r="C6" t="s">
        <v>9</v>
      </c>
      <c r="D6">
        <v>910</v>
      </c>
      <c r="E6">
        <v>910</v>
      </c>
      <c r="F6">
        <v>910</v>
      </c>
    </row>
    <row r="7" spans="1:8" x14ac:dyDescent="0.35">
      <c r="B7" t="s">
        <v>10</v>
      </c>
      <c r="C7" t="s">
        <v>11</v>
      </c>
      <c r="D7" s="4">
        <v>0.76</v>
      </c>
      <c r="E7" s="4">
        <v>0.76</v>
      </c>
      <c r="F7" s="4">
        <v>0.76</v>
      </c>
    </row>
    <row r="8" spans="1:8" x14ac:dyDescent="0.3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</row>
    <row r="9" spans="1:8" ht="15" thickBot="1" x14ac:dyDescent="0.4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8" ht="15" thickTop="1" x14ac:dyDescent="0.35">
      <c r="A10" t="s">
        <v>19</v>
      </c>
      <c r="B10" t="s">
        <v>8</v>
      </c>
      <c r="C10" t="s">
        <v>9</v>
      </c>
      <c r="D10">
        <v>2670</v>
      </c>
      <c r="E10">
        <v>2670</v>
      </c>
      <c r="F10">
        <v>2670</v>
      </c>
    </row>
    <row r="11" spans="1:8" x14ac:dyDescent="0.3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8" x14ac:dyDescent="0.3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8" ht="15" thickBot="1" x14ac:dyDescent="0.4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8" ht="15" thickTop="1" x14ac:dyDescent="0.35"/>
    <row r="15" spans="1:8" x14ac:dyDescent="0.35">
      <c r="A15" t="s">
        <v>20</v>
      </c>
      <c r="D15">
        <v>2017</v>
      </c>
      <c r="E15">
        <v>2030</v>
      </c>
      <c r="F15"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B9B9-450F-45DB-9C6D-28B16550AAC5}">
  <dimension ref="B17:F24"/>
  <sheetViews>
    <sheetView workbookViewId="0">
      <selection activeCell="B25" sqref="B25"/>
    </sheetView>
  </sheetViews>
  <sheetFormatPr defaultRowHeight="14.5" x14ac:dyDescent="0.35"/>
  <sheetData>
    <row r="17" spans="2:6" x14ac:dyDescent="0.35">
      <c r="B17" s="15" t="s">
        <v>82</v>
      </c>
    </row>
    <row r="18" spans="2:6" x14ac:dyDescent="0.35">
      <c r="B18">
        <v>2000</v>
      </c>
      <c r="C18" t="s">
        <v>79</v>
      </c>
      <c r="D18" t="s">
        <v>80</v>
      </c>
    </row>
    <row r="19" spans="2:6" x14ac:dyDescent="0.35">
      <c r="B19" s="14">
        <f>B18*About!A63</f>
        <v>1569.0420460952316</v>
      </c>
      <c r="C19" t="s">
        <v>79</v>
      </c>
      <c r="D19" t="s">
        <v>81</v>
      </c>
    </row>
    <row r="21" spans="2:6" x14ac:dyDescent="0.35">
      <c r="B21" s="1" t="s">
        <v>83</v>
      </c>
    </row>
    <row r="22" spans="2:6" x14ac:dyDescent="0.35">
      <c r="B22" s="17" t="s">
        <v>84</v>
      </c>
    </row>
    <row r="23" spans="2:6" x14ac:dyDescent="0.35">
      <c r="B23" s="1">
        <v>2024</v>
      </c>
      <c r="C23" s="1">
        <v>2030</v>
      </c>
      <c r="D23" s="1">
        <v>2050</v>
      </c>
    </row>
    <row r="24" spans="2:6" x14ac:dyDescent="0.35">
      <c r="B24" s="16">
        <f>B19</f>
        <v>1569.0420460952316</v>
      </c>
      <c r="C24" s="16">
        <f>B24*'IEA Data'!E2/'IEA Data'!D2</f>
        <v>1220.3660358518468</v>
      </c>
      <c r="D24" s="16">
        <f>B24*'IEA Data'!F2/'IEA Data'!D2</f>
        <v>784.52102304761581</v>
      </c>
      <c r="E24" t="s">
        <v>85</v>
      </c>
      <c r="F24" t="s">
        <v>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6" sqref="C26"/>
    </sheetView>
  </sheetViews>
  <sheetFormatPr defaultRowHeight="14.5" x14ac:dyDescent="0.35"/>
  <sheetData>
    <row r="1" spans="1:2" x14ac:dyDescent="0.35">
      <c r="A1">
        <f>24*365</f>
        <v>8760</v>
      </c>
      <c r="B1" t="s">
        <v>26</v>
      </c>
    </row>
    <row r="3" spans="1:2" x14ac:dyDescent="0.35">
      <c r="A3">
        <v>3412.14</v>
      </c>
      <c r="B3" t="s">
        <v>27</v>
      </c>
    </row>
    <row r="5" spans="1:2" x14ac:dyDescent="0.3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8"/>
  <sheetViews>
    <sheetView tabSelected="1" topLeftCell="L1" workbookViewId="0">
      <selection activeCell="AB10" sqref="AB10"/>
    </sheetView>
  </sheetViews>
  <sheetFormatPr defaultRowHeight="14.5" x14ac:dyDescent="0.35"/>
  <cols>
    <col min="1" max="1" width="30.1796875" customWidth="1"/>
  </cols>
  <sheetData>
    <row r="1" spans="1:35" x14ac:dyDescent="0.3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TREND('DoE Data'!$B$24:$C$24,'DoE Data'!$B$23:$C$23,B$1)/hours_per_year/btu_per_kwh</f>
        <v>6.6102637228470022E-5</v>
      </c>
      <c r="C2" s="11">
        <f>TREND('DoE Data'!$B$24:$C$24,'DoE Data'!$B$23:$C$23,C$1)/hours_per_year/btu_per_kwh</f>
        <v>6.4158442015867923E-5</v>
      </c>
      <c r="D2" s="11">
        <f>TREND('DoE Data'!$B$24:$C$24,'DoE Data'!$B$23:$C$23,D$1)/hours_per_year/btu_per_kwh</f>
        <v>6.2214246803265824E-5</v>
      </c>
      <c r="E2" s="11">
        <f>TREND('DoE Data'!$B$24:$C$24,'DoE Data'!$B$23:$C$23,E$1)/hours_per_year/btu_per_kwh</f>
        <v>6.0270051590663718E-5</v>
      </c>
      <c r="F2" s="11">
        <f>TREND('DoE Data'!$B$24:$C$24,'DoE Data'!$B$23:$C$23,F$1)/hours_per_year/btu_per_kwh</f>
        <v>5.8325856378061612E-5</v>
      </c>
      <c r="G2" s="11">
        <f>TREND('DoE Data'!$B$24:$C$24,'DoE Data'!$B$23:$C$23,G$1)/hours_per_year/btu_per_kwh</f>
        <v>5.6381661165459513E-5</v>
      </c>
      <c r="H2" s="11">
        <f>TREND('DoE Data'!$B$24:$C$24,'DoE Data'!$B$23:$C$23,H$1)/hours_per_year/btu_per_kwh</f>
        <v>5.4437465952857408E-5</v>
      </c>
      <c r="I2" s="11">
        <f>TREND('DoE Data'!$B$24:$C$24,'DoE Data'!$B$23:$C$23,I$1)/hours_per_year/btu_per_kwh</f>
        <v>5.2493270740255309E-5</v>
      </c>
      <c r="J2" s="11">
        <f>TREND('DoE Data'!$B$24:$C$24,'DoE Data'!$B$23:$C$23,J$1)/hours_per_year/btu_per_kwh</f>
        <v>5.054907552765321E-5</v>
      </c>
      <c r="K2" s="11">
        <f>TREND('DoE Data'!$B$24:$C$24,'DoE Data'!$B$23:$C$23,K$1)/hours_per_year/btu_per_kwh</f>
        <v>4.8604880315051097E-5</v>
      </c>
      <c r="L2" s="11">
        <f>TREND('DoE Data'!$B$24:$C$24,'DoE Data'!$B$23:$C$23,L$1)/hours_per_year/btu_per_kwh</f>
        <v>4.6660685102449486E-5</v>
      </c>
      <c r="M2" s="11">
        <f>TREND('DoE Data'!$B$24:$C$24,'DoE Data'!$B$23:$C$23,M$1)/hours_per_year/btu_per_kwh</f>
        <v>4.4716489889847387E-5</v>
      </c>
      <c r="N2" s="11">
        <f>TREND('DoE Data'!$B$24:$C$24,'DoE Data'!$B$23:$C$23,N$1)/hours_per_year/btu_per_kwh</f>
        <v>4.2772294677245282E-5</v>
      </c>
      <c r="O2" s="11">
        <f>TREND('DoE Data'!$B$24:$C$24,'DoE Data'!$B$23:$C$23,O$1)/hours_per_year/btu_per_kwh</f>
        <v>4.0828099464643176E-5</v>
      </c>
      <c r="P2" s="13">
        <f>TREND('DoE Data'!$C$24:$D$24,'DoE Data'!$C$23:$D$23,P$1)/hours_per_year/btu_per_kwh</f>
        <v>4.0099026259917448E-5</v>
      </c>
      <c r="Q2" s="11">
        <f>TREND('DoE Data'!$C$24:$D$24,'DoE Data'!$C$23:$D$23,Q$1)/hours_per_year/btu_per_kwh</f>
        <v>3.9369953055191727E-5</v>
      </c>
      <c r="R2" s="11">
        <f>TREND('DoE Data'!$C$24:$D$24,'DoE Data'!$C$23:$D$23,R$1)/hours_per_year/btu_per_kwh</f>
        <v>3.8640879850465999E-5</v>
      </c>
      <c r="S2" s="11">
        <f>TREND('DoE Data'!$C$24:$D$24,'DoE Data'!$C$23:$D$23,S$1)/hours_per_year/btu_per_kwh</f>
        <v>3.7911806645740272E-5</v>
      </c>
      <c r="T2" s="11">
        <f>TREND('DoE Data'!$C$24:$D$24,'DoE Data'!$C$23:$D$23,T$1)/hours_per_year/btu_per_kwh</f>
        <v>3.7182733441014544E-5</v>
      </c>
      <c r="U2" s="11">
        <f>TREND('DoE Data'!$C$24:$D$24,'DoE Data'!$C$23:$D$23,U$1)/hours_per_year/btu_per_kwh</f>
        <v>3.6453660236288565E-5</v>
      </c>
      <c r="V2" s="11">
        <f>TREND('DoE Data'!$C$24:$D$24,'DoE Data'!$C$23:$D$23,V$1)/hours_per_year/btu_per_kwh</f>
        <v>3.5724587031562844E-5</v>
      </c>
      <c r="W2" s="11">
        <f>TREND('DoE Data'!$C$24:$D$24,'DoE Data'!$C$23:$D$23,W$1)/hours_per_year/btu_per_kwh</f>
        <v>3.4995513826837116E-5</v>
      </c>
      <c r="X2" s="11">
        <f>TREND('DoE Data'!$C$24:$D$24,'DoE Data'!$C$23:$D$23,X$1)/hours_per_year/btu_per_kwh</f>
        <v>3.4266440622111389E-5</v>
      </c>
      <c r="Y2" s="11">
        <f>TREND('DoE Data'!$C$24:$D$24,'DoE Data'!$C$23:$D$23,Y$1)/hours_per_year/btu_per_kwh</f>
        <v>3.3537367417385661E-5</v>
      </c>
      <c r="Z2" s="11">
        <f>TREND('DoE Data'!$C$24:$D$24,'DoE Data'!$C$23:$D$23,Z$1)/hours_per_year/btu_per_kwh</f>
        <v>3.2808294212659689E-5</v>
      </c>
      <c r="AA2" s="11">
        <f>TREND('DoE Data'!$C$24:$D$24,'DoE Data'!$C$23:$D$23,AA$1)/hours_per_year/btu_per_kwh</f>
        <v>3.2079221007933961E-5</v>
      </c>
      <c r="AB2" s="11">
        <f>TREND('DoE Data'!$C$24:$D$24,'DoE Data'!$C$23:$D$23,AB$1)/hours_per_year/btu_per_kwh</f>
        <v>3.1350147803208234E-5</v>
      </c>
      <c r="AC2" s="11">
        <f>TREND('DoE Data'!$C$24:$D$24,'DoE Data'!$C$23:$D$23,AC$1)/hours_per_year/btu_per_kwh</f>
        <v>3.0621074598482506E-5</v>
      </c>
      <c r="AD2" s="11">
        <f>TREND('DoE Data'!$C$24:$D$24,'DoE Data'!$C$23:$D$23,AD$1)/hours_per_year/btu_per_kwh</f>
        <v>2.9892001393756778E-5</v>
      </c>
      <c r="AE2" s="11">
        <f>TREND('DoE Data'!$C$24:$D$24,'DoE Data'!$C$23:$D$23,AE$1)/hours_per_year/btu_per_kwh</f>
        <v>2.9162928189030806E-5</v>
      </c>
      <c r="AF2" s="11">
        <f>TREND('DoE Data'!$C$24:$D$24,'DoE Data'!$C$23:$D$23,AF$1)/hours_per_year/btu_per_kwh</f>
        <v>2.8433854984305078E-5</v>
      </c>
      <c r="AG2" s="11">
        <f>TREND('DoE Data'!$C$24:$D$24,'DoE Data'!$C$23:$D$23,AG$1)/hours_per_year/btu_per_kwh</f>
        <v>2.7704781779579354E-5</v>
      </c>
      <c r="AH2" s="11">
        <f>TREND('DoE Data'!$C$24:$D$24,'DoE Data'!$C$23:$D$23,AH$1)/hours_per_year/btu_per_kwh</f>
        <v>2.6975708574853626E-5</v>
      </c>
      <c r="AI2" s="11">
        <f>TREND('DoE Data'!$C$24:$D$24,'DoE Data'!$C$23:$D$23,AI$1)/hours_per_year/btu_per_kwh</f>
        <v>2.6246635370127898E-5</v>
      </c>
    </row>
    <row r="3" spans="1:35" x14ac:dyDescent="0.35">
      <c r="A3" t="s">
        <v>16</v>
      </c>
      <c r="B3" s="11">
        <f>TREND('IEA Data'!$D6:$E6,'IEA Data'!$D$15:$E$15,B$1)/hours_per_year/btu_per_kwh*usd_year_conv</f>
        <v>2.7826375407947768E-5</v>
      </c>
      <c r="C3" s="11">
        <f>TREND('IEA Data'!$D6:$E6,'IEA Data'!$D$15:$E$15,C$1)/hours_per_year/btu_per_kwh*usd_year_conv</f>
        <v>2.7826375407947768E-5</v>
      </c>
      <c r="D3" s="11">
        <f>TREND('IEA Data'!$D6:$E6,'IEA Data'!$D$15:$E$15,D$1)/hours_per_year/btu_per_kwh*usd_year_conv</f>
        <v>2.7826375407947768E-5</v>
      </c>
      <c r="E3" s="11">
        <f>TREND('IEA Data'!$D6:$E6,'IEA Data'!$D$15:$E$15,E$1)/hours_per_year/btu_per_kwh*usd_year_conv</f>
        <v>2.7826375407947768E-5</v>
      </c>
      <c r="F3" s="11">
        <f>TREND('IEA Data'!$D6:$E6,'IEA Data'!$D$15:$E$15,F$1)/hours_per_year/btu_per_kwh*usd_year_conv</f>
        <v>2.7826375407947768E-5</v>
      </c>
      <c r="G3" s="11">
        <f>TREND('IEA Data'!$D6:$E6,'IEA Data'!$D$15:$E$15,G$1)/hours_per_year/btu_per_kwh*usd_year_conv</f>
        <v>2.7826375407947768E-5</v>
      </c>
      <c r="H3" s="11">
        <f>TREND('IEA Data'!$D6:$E6,'IEA Data'!$D$15:$E$15,H$1)/hours_per_year/btu_per_kwh*usd_year_conv</f>
        <v>2.7826375407947768E-5</v>
      </c>
      <c r="I3" s="11">
        <f>TREND('IEA Data'!$D6:$E6,'IEA Data'!$D$15:$E$15,I$1)/hours_per_year/btu_per_kwh*usd_year_conv</f>
        <v>2.7826375407947768E-5</v>
      </c>
      <c r="J3" s="11">
        <f>TREND('IEA Data'!$D6:$E6,'IEA Data'!$D$15:$E$15,J$1)/hours_per_year/btu_per_kwh*usd_year_conv</f>
        <v>2.7826375407947768E-5</v>
      </c>
      <c r="K3" s="11">
        <f>TREND('IEA Data'!$D6:$E6,'IEA Data'!$D$15:$E$15,K$1)/hours_per_year/btu_per_kwh*usd_year_conv</f>
        <v>2.7826375407947768E-5</v>
      </c>
      <c r="L3" s="11">
        <f>TREND('IEA Data'!$D6:$E6,'IEA Data'!$D$15:$E$15,L$1)/hours_per_year/btu_per_kwh*usd_year_conv</f>
        <v>2.7826375407947768E-5</v>
      </c>
      <c r="M3" s="11">
        <f>TREND('IEA Data'!$D6:$E6,'IEA Data'!$D$15:$E$15,M$1)/hours_per_year/btu_per_kwh*usd_year_conv</f>
        <v>2.7826375407947768E-5</v>
      </c>
      <c r="N3" s="11">
        <f>TREND('IEA Data'!$D6:$E6,'IEA Data'!$D$15:$E$15,N$1)/hours_per_year/btu_per_kwh*usd_year_conv</f>
        <v>2.7826375407947768E-5</v>
      </c>
      <c r="O3" s="11">
        <f>TREND('IEA Data'!$D6:$E6,'IEA Data'!$D$15:$E$15,O$1)/hours_per_year/btu_per_kwh*usd_year_conv</f>
        <v>2.7826375407947768E-5</v>
      </c>
      <c r="P3" s="13">
        <f>TREND('IEA Data'!$E6:$F6,'IEA Data'!$E$15:$F$15,P$1)/hours_per_year/btu_per_kwh*usd_year_conv</f>
        <v>2.7826375407947768E-5</v>
      </c>
      <c r="Q3" s="11">
        <f>TREND('IEA Data'!$E6:$F6,'IEA Data'!$E$15:$F$15,Q$1)/hours_per_year/btu_per_kwh*usd_year_conv</f>
        <v>2.7826375407947768E-5</v>
      </c>
      <c r="R3" s="11">
        <f>TREND('IEA Data'!$E6:$F6,'IEA Data'!$E$15:$F$15,R$1)/hours_per_year/btu_per_kwh*usd_year_conv</f>
        <v>2.7826375407947768E-5</v>
      </c>
      <c r="S3" s="11">
        <f>TREND('IEA Data'!$E6:$F6,'IEA Data'!$E$15:$F$15,S$1)/hours_per_year/btu_per_kwh*usd_year_conv</f>
        <v>2.7826375407947768E-5</v>
      </c>
      <c r="T3" s="11">
        <f>TREND('IEA Data'!$E6:$F6,'IEA Data'!$E$15:$F$15,T$1)/hours_per_year/btu_per_kwh*usd_year_conv</f>
        <v>2.7826375407947768E-5</v>
      </c>
      <c r="U3" s="11">
        <f>TREND('IEA Data'!$E6:$F6,'IEA Data'!$E$15:$F$15,U$1)/hours_per_year/btu_per_kwh*usd_year_conv</f>
        <v>2.7826375407947768E-5</v>
      </c>
      <c r="V3" s="11">
        <f>TREND('IEA Data'!$E6:$F6,'IEA Data'!$E$15:$F$15,V$1)/hours_per_year/btu_per_kwh*usd_year_conv</f>
        <v>2.7826375407947768E-5</v>
      </c>
      <c r="W3" s="11">
        <f>TREND('IEA Data'!$E6:$F6,'IEA Data'!$E$15:$F$15,W$1)/hours_per_year/btu_per_kwh*usd_year_conv</f>
        <v>2.7826375407947768E-5</v>
      </c>
      <c r="X3" s="11">
        <f>TREND('IEA Data'!$E6:$F6,'IEA Data'!$E$15:$F$15,X$1)/hours_per_year/btu_per_kwh*usd_year_conv</f>
        <v>2.7826375407947768E-5</v>
      </c>
      <c r="Y3" s="11">
        <f>TREND('IEA Data'!$E6:$F6,'IEA Data'!$E$15:$F$15,Y$1)/hours_per_year/btu_per_kwh*usd_year_conv</f>
        <v>2.7826375407947768E-5</v>
      </c>
      <c r="Z3" s="11">
        <f>TREND('IEA Data'!$E6:$F6,'IEA Data'!$E$15:$F$15,Z$1)/hours_per_year/btu_per_kwh*usd_year_conv</f>
        <v>2.7826375407947768E-5</v>
      </c>
      <c r="AA3" s="11">
        <f>TREND('IEA Data'!$E6:$F6,'IEA Data'!$E$15:$F$15,AA$1)/hours_per_year/btu_per_kwh*usd_year_conv</f>
        <v>2.7826375407947768E-5</v>
      </c>
      <c r="AB3" s="11">
        <f>TREND('IEA Data'!$E6:$F6,'IEA Data'!$E$15:$F$15,AB$1)/hours_per_year/btu_per_kwh*usd_year_conv</f>
        <v>2.7826375407947768E-5</v>
      </c>
      <c r="AC3" s="11">
        <f>TREND('IEA Data'!$E6:$F6,'IEA Data'!$E$15:$F$15,AC$1)/hours_per_year/btu_per_kwh*usd_year_conv</f>
        <v>2.7826375407947768E-5</v>
      </c>
      <c r="AD3" s="11">
        <f>TREND('IEA Data'!$E6:$F6,'IEA Data'!$E$15:$F$15,AD$1)/hours_per_year/btu_per_kwh*usd_year_conv</f>
        <v>2.7826375407947768E-5</v>
      </c>
      <c r="AE3" s="11">
        <f>TREND('IEA Data'!$E6:$F6,'IEA Data'!$E$15:$F$15,AE$1)/hours_per_year/btu_per_kwh*usd_year_conv</f>
        <v>2.7826375407947768E-5</v>
      </c>
      <c r="AF3" s="11">
        <f>TREND('IEA Data'!$E6:$F6,'IEA Data'!$E$15:$F$15,AF$1)/hours_per_year/btu_per_kwh*usd_year_conv</f>
        <v>2.7826375407947768E-5</v>
      </c>
      <c r="AG3" s="11">
        <f>TREND('IEA Data'!$E6:$F6,'IEA Data'!$E$15:$F$15,AG$1)/hours_per_year/btu_per_kwh*usd_year_conv</f>
        <v>2.7826375407947768E-5</v>
      </c>
      <c r="AH3" s="11">
        <f>TREND('IEA Data'!$E6:$F6,'IEA Data'!$E$15:$F$15,AH$1)/hours_per_year/btu_per_kwh*usd_year_conv</f>
        <v>2.7826375407947768E-5</v>
      </c>
      <c r="AI3" s="11">
        <f>TREND('IEA Data'!$E6:$F6,'IEA Data'!$E$15:$F$15,AI$1)/hours_per_year/btu_per_kwh*usd_year_conv</f>
        <v>2.7826375407947768E-5</v>
      </c>
    </row>
    <row r="4" spans="1:35" x14ac:dyDescent="0.35">
      <c r="A4" t="s">
        <v>19</v>
      </c>
      <c r="B4" s="11">
        <f>TREND('IEA Data'!$D10:$E10,'IEA Data'!$D$15:$E$15,B$1)/hours_per_year/btu_per_kwh*usd_year_conv</f>
        <v>8.1644420152989595E-5</v>
      </c>
      <c r="C4" s="11">
        <f>TREND('IEA Data'!$D10:$E10,'IEA Data'!$D$15:$E$15,C$1)/hours_per_year/btu_per_kwh*usd_year_conv</f>
        <v>8.1644420152989595E-5</v>
      </c>
      <c r="D4" s="11">
        <f>TREND('IEA Data'!$D10:$E10,'IEA Data'!$D$15:$E$15,D$1)/hours_per_year/btu_per_kwh*usd_year_conv</f>
        <v>8.1644420152989595E-5</v>
      </c>
      <c r="E4" s="11">
        <f>TREND('IEA Data'!$D10:$E10,'IEA Data'!$D$15:$E$15,E$1)/hours_per_year/btu_per_kwh*usd_year_conv</f>
        <v>8.1644420152989595E-5</v>
      </c>
      <c r="F4" s="11">
        <f>TREND('IEA Data'!$D10:$E10,'IEA Data'!$D$15:$E$15,F$1)/hours_per_year/btu_per_kwh*usd_year_conv</f>
        <v>8.1644420152989595E-5</v>
      </c>
      <c r="G4" s="11">
        <f>TREND('IEA Data'!$D10:$E10,'IEA Data'!$D$15:$E$15,G$1)/hours_per_year/btu_per_kwh*usd_year_conv</f>
        <v>8.1644420152989595E-5</v>
      </c>
      <c r="H4" s="11">
        <f>TREND('IEA Data'!$D10:$E10,'IEA Data'!$D$15:$E$15,H$1)/hours_per_year/btu_per_kwh*usd_year_conv</f>
        <v>8.1644420152989595E-5</v>
      </c>
      <c r="I4" s="11">
        <f>TREND('IEA Data'!$D10:$E10,'IEA Data'!$D$15:$E$15,I$1)/hours_per_year/btu_per_kwh*usd_year_conv</f>
        <v>8.1644420152989595E-5</v>
      </c>
      <c r="J4" s="11">
        <f>TREND('IEA Data'!$D10:$E10,'IEA Data'!$D$15:$E$15,J$1)/hours_per_year/btu_per_kwh*usd_year_conv</f>
        <v>8.1644420152989595E-5</v>
      </c>
      <c r="K4" s="11">
        <f>TREND('IEA Data'!$D10:$E10,'IEA Data'!$D$15:$E$15,K$1)/hours_per_year/btu_per_kwh*usd_year_conv</f>
        <v>8.1644420152989595E-5</v>
      </c>
      <c r="L4" s="11">
        <f>TREND('IEA Data'!$D10:$E10,'IEA Data'!$D$15:$E$15,L$1)/hours_per_year/btu_per_kwh*usd_year_conv</f>
        <v>8.1644420152989595E-5</v>
      </c>
      <c r="M4" s="11">
        <f>TREND('IEA Data'!$D10:$E10,'IEA Data'!$D$15:$E$15,M$1)/hours_per_year/btu_per_kwh*usd_year_conv</f>
        <v>8.1644420152989595E-5</v>
      </c>
      <c r="N4" s="11">
        <f>TREND('IEA Data'!$D10:$E10,'IEA Data'!$D$15:$E$15,N$1)/hours_per_year/btu_per_kwh*usd_year_conv</f>
        <v>8.1644420152989595E-5</v>
      </c>
      <c r="O4" s="11">
        <f>TREND('IEA Data'!$D10:$E10,'IEA Data'!$D$15:$E$15,O$1)/hours_per_year/btu_per_kwh*usd_year_conv</f>
        <v>8.1644420152989595E-5</v>
      </c>
      <c r="P4" s="13">
        <f>TREND('IEA Data'!$E10:$F10,'IEA Data'!$E$15:$F$15,P$1)/hours_per_year/btu_per_kwh*usd_year_conv</f>
        <v>8.1644420152989595E-5</v>
      </c>
      <c r="Q4" s="11">
        <f>TREND('IEA Data'!$E10:$F10,'IEA Data'!$E$15:$F$15,Q$1)/hours_per_year/btu_per_kwh*usd_year_conv</f>
        <v>8.1644420152989595E-5</v>
      </c>
      <c r="R4" s="11">
        <f>TREND('IEA Data'!$E10:$F10,'IEA Data'!$E$15:$F$15,R$1)/hours_per_year/btu_per_kwh*usd_year_conv</f>
        <v>8.1644420152989595E-5</v>
      </c>
      <c r="S4" s="11">
        <f>TREND('IEA Data'!$E10:$F10,'IEA Data'!$E$15:$F$15,S$1)/hours_per_year/btu_per_kwh*usd_year_conv</f>
        <v>8.1644420152989595E-5</v>
      </c>
      <c r="T4" s="11">
        <f>TREND('IEA Data'!$E10:$F10,'IEA Data'!$E$15:$F$15,T$1)/hours_per_year/btu_per_kwh*usd_year_conv</f>
        <v>8.1644420152989595E-5</v>
      </c>
      <c r="U4" s="11">
        <f>TREND('IEA Data'!$E10:$F10,'IEA Data'!$E$15:$F$15,U$1)/hours_per_year/btu_per_kwh*usd_year_conv</f>
        <v>8.1644420152989595E-5</v>
      </c>
      <c r="V4" s="11">
        <f>TREND('IEA Data'!$E10:$F10,'IEA Data'!$E$15:$F$15,V$1)/hours_per_year/btu_per_kwh*usd_year_conv</f>
        <v>8.1644420152989595E-5</v>
      </c>
      <c r="W4" s="11">
        <f>TREND('IEA Data'!$E10:$F10,'IEA Data'!$E$15:$F$15,W$1)/hours_per_year/btu_per_kwh*usd_year_conv</f>
        <v>8.1644420152989595E-5</v>
      </c>
      <c r="X4" s="11">
        <f>TREND('IEA Data'!$E10:$F10,'IEA Data'!$E$15:$F$15,X$1)/hours_per_year/btu_per_kwh*usd_year_conv</f>
        <v>8.1644420152989595E-5</v>
      </c>
      <c r="Y4" s="11">
        <f>TREND('IEA Data'!$E10:$F10,'IEA Data'!$E$15:$F$15,Y$1)/hours_per_year/btu_per_kwh*usd_year_conv</f>
        <v>8.1644420152989595E-5</v>
      </c>
      <c r="Z4" s="11">
        <f>TREND('IEA Data'!$E10:$F10,'IEA Data'!$E$15:$F$15,Z$1)/hours_per_year/btu_per_kwh*usd_year_conv</f>
        <v>8.1644420152989595E-5</v>
      </c>
      <c r="AA4" s="11">
        <f>TREND('IEA Data'!$E10:$F10,'IEA Data'!$E$15:$F$15,AA$1)/hours_per_year/btu_per_kwh*usd_year_conv</f>
        <v>8.1644420152989595E-5</v>
      </c>
      <c r="AB4" s="11">
        <f>TREND('IEA Data'!$E10:$F10,'IEA Data'!$E$15:$F$15,AB$1)/hours_per_year/btu_per_kwh*usd_year_conv</f>
        <v>8.1644420152989595E-5</v>
      </c>
      <c r="AC4" s="11">
        <f>TREND('IEA Data'!$E10:$F10,'IEA Data'!$E$15:$F$15,AC$1)/hours_per_year/btu_per_kwh*usd_year_conv</f>
        <v>8.1644420152989595E-5</v>
      </c>
      <c r="AD4" s="11">
        <f>TREND('IEA Data'!$E10:$F10,'IEA Data'!$E$15:$F$15,AD$1)/hours_per_year/btu_per_kwh*usd_year_conv</f>
        <v>8.1644420152989595E-5</v>
      </c>
      <c r="AE4" s="11">
        <f>TREND('IEA Data'!$E10:$F10,'IEA Data'!$E$15:$F$15,AE$1)/hours_per_year/btu_per_kwh*usd_year_conv</f>
        <v>8.1644420152989595E-5</v>
      </c>
      <c r="AF4" s="11">
        <f>TREND('IEA Data'!$E10:$F10,'IEA Data'!$E$15:$F$15,AF$1)/hours_per_year/btu_per_kwh*usd_year_conv</f>
        <v>8.1644420152989595E-5</v>
      </c>
      <c r="AG4" s="11">
        <f>TREND('IEA Data'!$E10:$F10,'IEA Data'!$E$15:$F$15,AG$1)/hours_per_year/btu_per_kwh*usd_year_conv</f>
        <v>8.1644420152989595E-5</v>
      </c>
      <c r="AH4" s="11">
        <f>TREND('IEA Data'!$E10:$F10,'IEA Data'!$E$15:$F$15,AH$1)/hours_per_year/btu_per_kwh*usd_year_conv</f>
        <v>8.1644420152989595E-5</v>
      </c>
      <c r="AI4" s="11">
        <f>TREND('IEA Data'!$E10:$F10,'IEA Data'!$E$15:$F$15,AI$1)/hours_per_year/btu_per_kwh*usd_year_conv</f>
        <v>8.1644420152989595E-5</v>
      </c>
    </row>
    <row r="5" spans="1:35" x14ac:dyDescent="0.35">
      <c r="A5" t="s">
        <v>25</v>
      </c>
      <c r="B5" s="11">
        <f>B4</f>
        <v>8.1644420152989595E-5</v>
      </c>
      <c r="C5" s="11">
        <f t="shared" ref="C5:P5" si="0">C4</f>
        <v>8.1644420152989595E-5</v>
      </c>
      <c r="D5" s="11">
        <f t="shared" si="0"/>
        <v>8.1644420152989595E-5</v>
      </c>
      <c r="E5" s="11">
        <f t="shared" si="0"/>
        <v>8.1644420152989595E-5</v>
      </c>
      <c r="F5" s="11">
        <f t="shared" si="0"/>
        <v>8.1644420152989595E-5</v>
      </c>
      <c r="G5" s="11">
        <f t="shared" si="0"/>
        <v>8.1644420152989595E-5</v>
      </c>
      <c r="H5" s="11">
        <f t="shared" si="0"/>
        <v>8.1644420152989595E-5</v>
      </c>
      <c r="I5" s="11">
        <f t="shared" si="0"/>
        <v>8.1644420152989595E-5</v>
      </c>
      <c r="J5" s="11">
        <f t="shared" si="0"/>
        <v>8.1644420152989595E-5</v>
      </c>
      <c r="K5" s="11">
        <f t="shared" si="0"/>
        <v>8.1644420152989595E-5</v>
      </c>
      <c r="L5" s="11">
        <f t="shared" si="0"/>
        <v>8.1644420152989595E-5</v>
      </c>
      <c r="M5" s="11">
        <f t="shared" si="0"/>
        <v>8.1644420152989595E-5</v>
      </c>
      <c r="N5" s="11">
        <f t="shared" si="0"/>
        <v>8.1644420152989595E-5</v>
      </c>
      <c r="O5" s="11">
        <f t="shared" si="0"/>
        <v>8.1644420152989595E-5</v>
      </c>
      <c r="P5" s="11">
        <f t="shared" si="0"/>
        <v>8.1644420152989595E-5</v>
      </c>
      <c r="Q5" s="11">
        <f t="shared" ref="Q5" si="1">Q4</f>
        <v>8.1644420152989595E-5</v>
      </c>
      <c r="R5" s="11">
        <f t="shared" ref="R5" si="2">R4</f>
        <v>8.1644420152989595E-5</v>
      </c>
      <c r="S5" s="11">
        <f t="shared" ref="S5" si="3">S4</f>
        <v>8.1644420152989595E-5</v>
      </c>
      <c r="T5" s="11">
        <f t="shared" ref="T5" si="4">T4</f>
        <v>8.1644420152989595E-5</v>
      </c>
      <c r="U5" s="11">
        <f t="shared" ref="U5" si="5">U4</f>
        <v>8.1644420152989595E-5</v>
      </c>
      <c r="V5" s="11">
        <f t="shared" ref="V5" si="6">V4</f>
        <v>8.1644420152989595E-5</v>
      </c>
      <c r="W5" s="11">
        <f t="shared" ref="W5" si="7">W4</f>
        <v>8.1644420152989595E-5</v>
      </c>
      <c r="X5" s="11">
        <f t="shared" ref="X5" si="8">X4</f>
        <v>8.1644420152989595E-5</v>
      </c>
      <c r="Y5" s="11">
        <f t="shared" ref="Y5" si="9">Y4</f>
        <v>8.1644420152989595E-5</v>
      </c>
      <c r="Z5" s="11">
        <f t="shared" ref="Z5" si="10">Z4</f>
        <v>8.1644420152989595E-5</v>
      </c>
      <c r="AA5" s="11">
        <f t="shared" ref="AA5" si="11">AA4</f>
        <v>8.1644420152989595E-5</v>
      </c>
      <c r="AB5" s="11">
        <f t="shared" ref="AB5" si="12">AB4</f>
        <v>8.1644420152989595E-5</v>
      </c>
      <c r="AC5" s="11">
        <f t="shared" ref="AC5" si="13">AC4</f>
        <v>8.1644420152989595E-5</v>
      </c>
      <c r="AD5" s="11">
        <f t="shared" ref="AD5" si="14">AD4</f>
        <v>8.1644420152989595E-5</v>
      </c>
      <c r="AE5" s="11">
        <f t="shared" ref="AE5" si="15">AE4</f>
        <v>8.1644420152989595E-5</v>
      </c>
      <c r="AF5" s="11">
        <f t="shared" ref="AF5" si="16">AF4</f>
        <v>8.1644420152989595E-5</v>
      </c>
      <c r="AG5" s="11">
        <f t="shared" ref="AG5" si="17">AG4</f>
        <v>8.1644420152989595E-5</v>
      </c>
      <c r="AH5" s="11">
        <f t="shared" ref="AH5" si="18">AH4</f>
        <v>8.1644420152989595E-5</v>
      </c>
      <c r="AI5" s="11">
        <f t="shared" ref="AI5" si="19">AI4</f>
        <v>8.1644420152989595E-5</v>
      </c>
    </row>
    <row r="6" spans="1:35" x14ac:dyDescent="0.35">
      <c r="A6" t="s">
        <v>65</v>
      </c>
      <c r="B6" s="11">
        <f>B3*0.85</f>
        <v>2.3652419096755601E-5</v>
      </c>
      <c r="C6">
        <f t="shared" ref="C6:R6" si="20">$B6</f>
        <v>2.3652419096755601E-5</v>
      </c>
      <c r="D6">
        <f t="shared" si="20"/>
        <v>2.3652419096755601E-5</v>
      </c>
      <c r="E6">
        <f t="shared" si="20"/>
        <v>2.3652419096755601E-5</v>
      </c>
      <c r="F6">
        <f t="shared" si="20"/>
        <v>2.3652419096755601E-5</v>
      </c>
      <c r="G6">
        <f t="shared" si="20"/>
        <v>2.3652419096755601E-5</v>
      </c>
      <c r="H6">
        <f t="shared" si="20"/>
        <v>2.3652419096755601E-5</v>
      </c>
      <c r="I6">
        <f t="shared" si="20"/>
        <v>2.3652419096755601E-5</v>
      </c>
      <c r="J6">
        <f t="shared" si="20"/>
        <v>2.3652419096755601E-5</v>
      </c>
      <c r="K6">
        <f t="shared" si="20"/>
        <v>2.3652419096755601E-5</v>
      </c>
      <c r="L6">
        <f t="shared" si="20"/>
        <v>2.3652419096755601E-5</v>
      </c>
      <c r="M6">
        <f t="shared" si="20"/>
        <v>2.3652419096755601E-5</v>
      </c>
      <c r="N6">
        <f t="shared" si="20"/>
        <v>2.3652419096755601E-5</v>
      </c>
      <c r="O6">
        <f t="shared" si="20"/>
        <v>2.3652419096755601E-5</v>
      </c>
      <c r="P6">
        <f t="shared" si="20"/>
        <v>2.3652419096755601E-5</v>
      </c>
      <c r="Q6">
        <f t="shared" si="20"/>
        <v>2.3652419096755601E-5</v>
      </c>
      <c r="R6">
        <f t="shared" si="20"/>
        <v>2.3652419096755601E-5</v>
      </c>
      <c r="S6">
        <f t="shared" ref="S6:AI6" si="21">$B6</f>
        <v>2.3652419096755601E-5</v>
      </c>
      <c r="T6">
        <f t="shared" si="21"/>
        <v>2.3652419096755601E-5</v>
      </c>
      <c r="U6">
        <f t="shared" si="21"/>
        <v>2.3652419096755601E-5</v>
      </c>
      <c r="V6">
        <f t="shared" si="21"/>
        <v>2.3652419096755601E-5</v>
      </c>
      <c r="W6">
        <f t="shared" si="21"/>
        <v>2.3652419096755601E-5</v>
      </c>
      <c r="X6">
        <f t="shared" si="21"/>
        <v>2.3652419096755601E-5</v>
      </c>
      <c r="Y6">
        <f t="shared" si="21"/>
        <v>2.3652419096755601E-5</v>
      </c>
      <c r="Z6">
        <f t="shared" si="21"/>
        <v>2.3652419096755601E-5</v>
      </c>
      <c r="AA6">
        <f t="shared" si="21"/>
        <v>2.3652419096755601E-5</v>
      </c>
      <c r="AB6">
        <f t="shared" si="21"/>
        <v>2.3652419096755601E-5</v>
      </c>
      <c r="AC6">
        <f t="shared" si="21"/>
        <v>2.3652419096755601E-5</v>
      </c>
      <c r="AD6">
        <f t="shared" si="21"/>
        <v>2.3652419096755601E-5</v>
      </c>
      <c r="AE6">
        <f t="shared" si="21"/>
        <v>2.3652419096755601E-5</v>
      </c>
      <c r="AF6">
        <f t="shared" si="21"/>
        <v>2.3652419096755601E-5</v>
      </c>
      <c r="AG6">
        <f t="shared" si="21"/>
        <v>2.3652419096755601E-5</v>
      </c>
      <c r="AH6">
        <f t="shared" si="21"/>
        <v>2.3652419096755601E-5</v>
      </c>
      <c r="AI6">
        <f t="shared" si="21"/>
        <v>2.3652419096755601E-5</v>
      </c>
    </row>
    <row r="7" spans="1:35" x14ac:dyDescent="0.35">
      <c r="A7" t="s">
        <v>63</v>
      </c>
      <c r="B7" s="11">
        <f>B2</f>
        <v>6.6102637228470022E-5</v>
      </c>
      <c r="C7" s="11">
        <f t="shared" ref="C7:AI7" si="22">C2</f>
        <v>6.4158442015867923E-5</v>
      </c>
      <c r="D7" s="11">
        <f t="shared" si="22"/>
        <v>6.2214246803265824E-5</v>
      </c>
      <c r="E7" s="11">
        <f t="shared" si="22"/>
        <v>6.0270051590663718E-5</v>
      </c>
      <c r="F7" s="11">
        <f t="shared" si="22"/>
        <v>5.8325856378061612E-5</v>
      </c>
      <c r="G7" s="11">
        <f t="shared" si="22"/>
        <v>5.6381661165459513E-5</v>
      </c>
      <c r="H7" s="11">
        <f t="shared" si="22"/>
        <v>5.4437465952857408E-5</v>
      </c>
      <c r="I7" s="11">
        <f t="shared" si="22"/>
        <v>5.2493270740255309E-5</v>
      </c>
      <c r="J7" s="11">
        <f t="shared" si="22"/>
        <v>5.054907552765321E-5</v>
      </c>
      <c r="K7" s="11">
        <f t="shared" si="22"/>
        <v>4.8604880315051097E-5</v>
      </c>
      <c r="L7" s="11">
        <f t="shared" si="22"/>
        <v>4.6660685102449486E-5</v>
      </c>
      <c r="M7" s="11">
        <f t="shared" si="22"/>
        <v>4.4716489889847387E-5</v>
      </c>
      <c r="N7" s="11">
        <f t="shared" si="22"/>
        <v>4.2772294677245282E-5</v>
      </c>
      <c r="O7" s="11">
        <f t="shared" si="22"/>
        <v>4.0828099464643176E-5</v>
      </c>
      <c r="P7" s="11">
        <f t="shared" si="22"/>
        <v>4.0099026259917448E-5</v>
      </c>
      <c r="Q7" s="11">
        <f t="shared" si="22"/>
        <v>3.9369953055191727E-5</v>
      </c>
      <c r="R7" s="11">
        <f t="shared" si="22"/>
        <v>3.8640879850465999E-5</v>
      </c>
      <c r="S7" s="11">
        <f t="shared" si="22"/>
        <v>3.7911806645740272E-5</v>
      </c>
      <c r="T7" s="11">
        <f t="shared" si="22"/>
        <v>3.7182733441014544E-5</v>
      </c>
      <c r="U7" s="11">
        <f t="shared" si="22"/>
        <v>3.6453660236288565E-5</v>
      </c>
      <c r="V7" s="11">
        <f t="shared" si="22"/>
        <v>3.5724587031562844E-5</v>
      </c>
      <c r="W7" s="11">
        <f t="shared" si="22"/>
        <v>3.4995513826837116E-5</v>
      </c>
      <c r="X7" s="11">
        <f t="shared" si="22"/>
        <v>3.4266440622111389E-5</v>
      </c>
      <c r="Y7" s="11">
        <f t="shared" si="22"/>
        <v>3.3537367417385661E-5</v>
      </c>
      <c r="Z7" s="11">
        <f t="shared" si="22"/>
        <v>3.2808294212659689E-5</v>
      </c>
      <c r="AA7" s="11">
        <f t="shared" si="22"/>
        <v>3.2079221007933961E-5</v>
      </c>
      <c r="AB7" s="11">
        <f t="shared" si="22"/>
        <v>3.1350147803208234E-5</v>
      </c>
      <c r="AC7" s="11">
        <f t="shared" si="22"/>
        <v>3.0621074598482506E-5</v>
      </c>
      <c r="AD7" s="11">
        <f t="shared" si="22"/>
        <v>2.9892001393756778E-5</v>
      </c>
      <c r="AE7" s="11">
        <f t="shared" si="22"/>
        <v>2.9162928189030806E-5</v>
      </c>
      <c r="AF7" s="11">
        <f t="shared" si="22"/>
        <v>2.8433854984305078E-5</v>
      </c>
      <c r="AG7" s="11">
        <f t="shared" si="22"/>
        <v>2.7704781779579354E-5</v>
      </c>
      <c r="AH7" s="11">
        <f t="shared" si="22"/>
        <v>2.6975708574853626E-5</v>
      </c>
      <c r="AI7" s="11">
        <f t="shared" si="22"/>
        <v>2.6246635370127898E-5</v>
      </c>
    </row>
    <row r="8" spans="1:35" x14ac:dyDescent="0.35">
      <c r="A8" t="s">
        <v>64</v>
      </c>
      <c r="B8" s="11">
        <f>B3</f>
        <v>2.7826375407947768E-5</v>
      </c>
      <c r="C8" s="11">
        <f t="shared" ref="C8:AI8" si="23">C3</f>
        <v>2.7826375407947768E-5</v>
      </c>
      <c r="D8" s="11">
        <f t="shared" si="23"/>
        <v>2.7826375407947768E-5</v>
      </c>
      <c r="E8" s="11">
        <f t="shared" si="23"/>
        <v>2.7826375407947768E-5</v>
      </c>
      <c r="F8" s="11">
        <f t="shared" si="23"/>
        <v>2.7826375407947768E-5</v>
      </c>
      <c r="G8" s="11">
        <f t="shared" si="23"/>
        <v>2.7826375407947768E-5</v>
      </c>
      <c r="H8" s="11">
        <f t="shared" si="23"/>
        <v>2.7826375407947768E-5</v>
      </c>
      <c r="I8" s="11">
        <f t="shared" si="23"/>
        <v>2.7826375407947768E-5</v>
      </c>
      <c r="J8" s="11">
        <f t="shared" si="23"/>
        <v>2.7826375407947768E-5</v>
      </c>
      <c r="K8" s="11">
        <f t="shared" si="23"/>
        <v>2.7826375407947768E-5</v>
      </c>
      <c r="L8" s="11">
        <f t="shared" si="23"/>
        <v>2.7826375407947768E-5</v>
      </c>
      <c r="M8" s="11">
        <f t="shared" si="23"/>
        <v>2.7826375407947768E-5</v>
      </c>
      <c r="N8" s="11">
        <f t="shared" si="23"/>
        <v>2.7826375407947768E-5</v>
      </c>
      <c r="O8" s="11">
        <f t="shared" si="23"/>
        <v>2.7826375407947768E-5</v>
      </c>
      <c r="P8" s="11">
        <f t="shared" si="23"/>
        <v>2.7826375407947768E-5</v>
      </c>
      <c r="Q8" s="11">
        <f t="shared" si="23"/>
        <v>2.7826375407947768E-5</v>
      </c>
      <c r="R8" s="11">
        <f t="shared" si="23"/>
        <v>2.7826375407947768E-5</v>
      </c>
      <c r="S8" s="11">
        <f t="shared" si="23"/>
        <v>2.7826375407947768E-5</v>
      </c>
      <c r="T8" s="11">
        <f t="shared" si="23"/>
        <v>2.7826375407947768E-5</v>
      </c>
      <c r="U8" s="11">
        <f t="shared" si="23"/>
        <v>2.7826375407947768E-5</v>
      </c>
      <c r="V8" s="11">
        <f t="shared" si="23"/>
        <v>2.7826375407947768E-5</v>
      </c>
      <c r="W8" s="11">
        <f t="shared" si="23"/>
        <v>2.7826375407947768E-5</v>
      </c>
      <c r="X8" s="11">
        <f t="shared" si="23"/>
        <v>2.7826375407947768E-5</v>
      </c>
      <c r="Y8" s="11">
        <f t="shared" si="23"/>
        <v>2.7826375407947768E-5</v>
      </c>
      <c r="Z8" s="11">
        <f t="shared" si="23"/>
        <v>2.7826375407947768E-5</v>
      </c>
      <c r="AA8" s="11">
        <f t="shared" si="23"/>
        <v>2.7826375407947768E-5</v>
      </c>
      <c r="AB8" s="11">
        <f t="shared" si="23"/>
        <v>2.7826375407947768E-5</v>
      </c>
      <c r="AC8" s="11">
        <f t="shared" si="23"/>
        <v>2.7826375407947768E-5</v>
      </c>
      <c r="AD8" s="11">
        <f t="shared" si="23"/>
        <v>2.7826375407947768E-5</v>
      </c>
      <c r="AE8" s="11">
        <f t="shared" si="23"/>
        <v>2.7826375407947768E-5</v>
      </c>
      <c r="AF8" s="11">
        <f t="shared" si="23"/>
        <v>2.7826375407947768E-5</v>
      </c>
      <c r="AG8" s="11">
        <f t="shared" si="23"/>
        <v>2.7826375407947768E-5</v>
      </c>
      <c r="AH8" s="11">
        <f t="shared" si="23"/>
        <v>2.7826375407947768E-5</v>
      </c>
      <c r="AI8" s="11">
        <f t="shared" si="23"/>
        <v>2.7826375407947768E-5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8"/>
  <sheetViews>
    <sheetView workbookViewId="0">
      <selection activeCell="A6" sqref="A6"/>
    </sheetView>
  </sheetViews>
  <sheetFormatPr defaultRowHeight="14.5" x14ac:dyDescent="0.35"/>
  <cols>
    <col min="1" max="1" width="30.1796875" customWidth="1"/>
  </cols>
  <sheetData>
    <row r="1" spans="1:35" x14ac:dyDescent="0.3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35">
      <c r="A2" t="s">
        <v>7</v>
      </c>
      <c r="B2" s="11">
        <f>HPEC!B2*'IEA Data'!$D$4</f>
        <v>9.9153955842705038E-7</v>
      </c>
      <c r="C2" s="11">
        <f>HPEC!C2*'IEA Data'!$D$4</f>
        <v>9.6237663023801882E-7</v>
      </c>
      <c r="D2" s="11">
        <f>HPEC!D2*'IEA Data'!$D$4</f>
        <v>9.3321370204898737E-7</v>
      </c>
      <c r="E2" s="11">
        <f>HPEC!E2*'IEA Data'!$D$4</f>
        <v>9.040507738599557E-7</v>
      </c>
      <c r="F2" s="11">
        <f>HPEC!F2*'IEA Data'!$D$4</f>
        <v>8.7488784567092414E-7</v>
      </c>
      <c r="G2" s="11">
        <f>HPEC!G2*'IEA Data'!$D$4</f>
        <v>8.4572491748189269E-7</v>
      </c>
      <c r="H2" s="11">
        <f>HPEC!H2*'IEA Data'!$D$4</f>
        <v>8.1656198929286113E-7</v>
      </c>
      <c r="I2" s="11">
        <f>HPEC!I2*'IEA Data'!$D$4</f>
        <v>7.8739906110382957E-7</v>
      </c>
      <c r="J2" s="11">
        <f>HPEC!J2*'IEA Data'!$D$4</f>
        <v>7.5823613291479811E-7</v>
      </c>
      <c r="K2" s="11">
        <f>HPEC!K2*'IEA Data'!$D$4</f>
        <v>7.2907320472576645E-7</v>
      </c>
      <c r="L2" s="11">
        <f>HPEC!L2*'IEA Data'!$D$4</f>
        <v>6.999102765367423E-7</v>
      </c>
      <c r="M2" s="11">
        <f>HPEC!M2*'IEA Data'!$D$4</f>
        <v>6.7074734834771074E-7</v>
      </c>
      <c r="N2" s="11">
        <f>HPEC!N2*'IEA Data'!$D$4</f>
        <v>6.4158442015867918E-7</v>
      </c>
      <c r="O2" s="11">
        <f>HPEC!O2*'IEA Data'!$D$4</f>
        <v>6.1242149196964762E-7</v>
      </c>
      <c r="P2" s="11">
        <f>HPEC!P2*'IEA Data'!$D$4</f>
        <v>6.0148539389876171E-7</v>
      </c>
      <c r="Q2" s="11">
        <f>HPEC!Q2*'IEA Data'!$D$4</f>
        <v>5.9054929582787591E-7</v>
      </c>
      <c r="R2" s="11">
        <f>HPEC!R2*'IEA Data'!$D$4</f>
        <v>5.7961319775699E-7</v>
      </c>
      <c r="S2" s="11">
        <f>HPEC!S2*'IEA Data'!$D$4</f>
        <v>5.6867709968610409E-7</v>
      </c>
      <c r="T2" s="11">
        <f>HPEC!T2*'IEA Data'!$D$4</f>
        <v>5.5774100161521818E-7</v>
      </c>
      <c r="U2" s="11">
        <f>HPEC!U2*'IEA Data'!$D$4</f>
        <v>5.4680490354432846E-7</v>
      </c>
      <c r="V2" s="11">
        <f>HPEC!V2*'IEA Data'!$D$4</f>
        <v>5.3586880547344266E-7</v>
      </c>
      <c r="W2" s="11">
        <f>HPEC!W2*'IEA Data'!$D$4</f>
        <v>5.2493270740255675E-7</v>
      </c>
      <c r="X2" s="11">
        <f>HPEC!X2*'IEA Data'!$D$4</f>
        <v>5.1399660933167084E-7</v>
      </c>
      <c r="Y2" s="11">
        <f>HPEC!Y2*'IEA Data'!$D$4</f>
        <v>5.0306051126078493E-7</v>
      </c>
      <c r="Z2" s="11">
        <f>HPEC!Z2*'IEA Data'!$D$4</f>
        <v>4.9212441318989532E-7</v>
      </c>
      <c r="AA2" s="11">
        <f>HPEC!AA2*'IEA Data'!$D$4</f>
        <v>4.8118831511900941E-7</v>
      </c>
      <c r="AB2" s="11">
        <f>HPEC!AB2*'IEA Data'!$D$4</f>
        <v>4.702522170481235E-7</v>
      </c>
      <c r="AC2" s="11">
        <f>HPEC!AC2*'IEA Data'!$D$4</f>
        <v>4.5931611897723759E-7</v>
      </c>
      <c r="AD2" s="11">
        <f>HPEC!AD2*'IEA Data'!$D$4</f>
        <v>4.4838002090635163E-7</v>
      </c>
      <c r="AE2" s="11">
        <f>HPEC!AE2*'IEA Data'!$D$4</f>
        <v>4.3744392283546207E-7</v>
      </c>
      <c r="AF2" s="11">
        <f>HPEC!AF2*'IEA Data'!$D$4</f>
        <v>4.2650782476457616E-7</v>
      </c>
      <c r="AG2" s="11">
        <f>HPEC!AG2*'IEA Data'!$D$4</f>
        <v>4.1557172669369031E-7</v>
      </c>
      <c r="AH2" s="11">
        <f>HPEC!AH2*'IEA Data'!$D$4</f>
        <v>4.046356286228044E-7</v>
      </c>
      <c r="AI2" s="11">
        <f>HPEC!AI2*'IEA Data'!$D$4</f>
        <v>3.9369953055191844E-7</v>
      </c>
    </row>
    <row r="3" spans="1:35" x14ac:dyDescent="0.35">
      <c r="A3" t="s">
        <v>16</v>
      </c>
      <c r="B3" s="11">
        <f>HPEC!B3*'IEA Data'!$D$8</f>
        <v>1.307839644173545E-6</v>
      </c>
      <c r="C3" s="11">
        <f>HPEC!C3*'IEA Data'!$D$8</f>
        <v>1.307839644173545E-6</v>
      </c>
      <c r="D3" s="11">
        <f>HPEC!D3*'IEA Data'!$D$8</f>
        <v>1.307839644173545E-6</v>
      </c>
      <c r="E3" s="11">
        <f>HPEC!E3*'IEA Data'!$D$8</f>
        <v>1.307839644173545E-6</v>
      </c>
      <c r="F3" s="11">
        <f>HPEC!F3*'IEA Data'!$D$8</f>
        <v>1.307839644173545E-6</v>
      </c>
      <c r="G3" s="11">
        <f>HPEC!G3*'IEA Data'!$D$8</f>
        <v>1.307839644173545E-6</v>
      </c>
      <c r="H3" s="11">
        <f>HPEC!H3*'IEA Data'!$D$8</f>
        <v>1.307839644173545E-6</v>
      </c>
      <c r="I3" s="11">
        <f>HPEC!I3*'IEA Data'!$D$8</f>
        <v>1.307839644173545E-6</v>
      </c>
      <c r="J3" s="11">
        <f>HPEC!J3*'IEA Data'!$D$8</f>
        <v>1.307839644173545E-6</v>
      </c>
      <c r="K3" s="11">
        <f>HPEC!K3*'IEA Data'!$D$8</f>
        <v>1.307839644173545E-6</v>
      </c>
      <c r="L3" s="11">
        <f>HPEC!L3*'IEA Data'!$D$8</f>
        <v>1.307839644173545E-6</v>
      </c>
      <c r="M3" s="11">
        <f>HPEC!M3*'IEA Data'!$D$8</f>
        <v>1.307839644173545E-6</v>
      </c>
      <c r="N3" s="11">
        <f>HPEC!N3*'IEA Data'!$D$8</f>
        <v>1.307839644173545E-6</v>
      </c>
      <c r="O3" s="11">
        <f>HPEC!O3*'IEA Data'!$D$8</f>
        <v>1.307839644173545E-6</v>
      </c>
      <c r="P3" s="11">
        <f>HPEC!P3*'IEA Data'!$D$8</f>
        <v>1.307839644173545E-6</v>
      </c>
      <c r="Q3" s="11">
        <f>HPEC!Q3*'IEA Data'!$D$8</f>
        <v>1.307839644173545E-6</v>
      </c>
      <c r="R3" s="11">
        <f>HPEC!R3*'IEA Data'!$D$8</f>
        <v>1.307839644173545E-6</v>
      </c>
      <c r="S3" s="11">
        <f>HPEC!S3*'IEA Data'!$D$8</f>
        <v>1.307839644173545E-6</v>
      </c>
      <c r="T3" s="11">
        <f>HPEC!T3*'IEA Data'!$D$8</f>
        <v>1.307839644173545E-6</v>
      </c>
      <c r="U3" s="11">
        <f>HPEC!U3*'IEA Data'!$D$8</f>
        <v>1.307839644173545E-6</v>
      </c>
      <c r="V3" s="11">
        <f>HPEC!V3*'IEA Data'!$D$8</f>
        <v>1.307839644173545E-6</v>
      </c>
      <c r="W3" s="11">
        <f>HPEC!W3*'IEA Data'!$D$8</f>
        <v>1.307839644173545E-6</v>
      </c>
      <c r="X3" s="11">
        <f>HPEC!X3*'IEA Data'!$D$8</f>
        <v>1.307839644173545E-6</v>
      </c>
      <c r="Y3" s="11">
        <f>HPEC!Y3*'IEA Data'!$D$8</f>
        <v>1.307839644173545E-6</v>
      </c>
      <c r="Z3" s="11">
        <f>HPEC!Z3*'IEA Data'!$D$8</f>
        <v>1.307839644173545E-6</v>
      </c>
      <c r="AA3" s="11">
        <f>HPEC!AA3*'IEA Data'!$D$8</f>
        <v>1.307839644173545E-6</v>
      </c>
      <c r="AB3" s="11">
        <f>HPEC!AB3*'IEA Data'!$D$8</f>
        <v>1.307839644173545E-6</v>
      </c>
      <c r="AC3" s="11">
        <f>HPEC!AC3*'IEA Data'!$D$8</f>
        <v>1.307839644173545E-6</v>
      </c>
      <c r="AD3" s="11">
        <f>HPEC!AD3*'IEA Data'!$D$8</f>
        <v>1.307839644173545E-6</v>
      </c>
      <c r="AE3" s="11">
        <f>HPEC!AE3*'IEA Data'!$D$8</f>
        <v>1.307839644173545E-6</v>
      </c>
      <c r="AF3" s="11">
        <f>HPEC!AF3*'IEA Data'!$D$8</f>
        <v>1.307839644173545E-6</v>
      </c>
      <c r="AG3" s="11">
        <f>HPEC!AG3*'IEA Data'!$D$8</f>
        <v>1.307839644173545E-6</v>
      </c>
      <c r="AH3" s="11">
        <f>HPEC!AH3*'IEA Data'!$D$8</f>
        <v>1.307839644173545E-6</v>
      </c>
      <c r="AI3" s="11">
        <f>HPEC!AI3*'IEA Data'!$D$8</f>
        <v>1.307839644173545E-6</v>
      </c>
    </row>
    <row r="4" spans="1:35" x14ac:dyDescent="0.35">
      <c r="A4" t="s">
        <v>19</v>
      </c>
      <c r="B4" s="11">
        <f>HPEC!B4*'IEA Data'!$D$12</f>
        <v>4.0822210076494796E-6</v>
      </c>
      <c r="C4" s="11">
        <f>HPEC!C4*'IEA Data'!$D$12</f>
        <v>4.0822210076494796E-6</v>
      </c>
      <c r="D4" s="11">
        <f>HPEC!D4*'IEA Data'!$D$12</f>
        <v>4.0822210076494796E-6</v>
      </c>
      <c r="E4" s="11">
        <f>HPEC!E4*'IEA Data'!$D$12</f>
        <v>4.0822210076494796E-6</v>
      </c>
      <c r="F4" s="11">
        <f>HPEC!F4*'IEA Data'!$D$12</f>
        <v>4.0822210076494796E-6</v>
      </c>
      <c r="G4" s="11">
        <f>HPEC!G4*'IEA Data'!$D$12</f>
        <v>4.0822210076494796E-6</v>
      </c>
      <c r="H4" s="11">
        <f>HPEC!H4*'IEA Data'!$D$12</f>
        <v>4.0822210076494796E-6</v>
      </c>
      <c r="I4" s="11">
        <f>HPEC!I4*'IEA Data'!$D$12</f>
        <v>4.0822210076494796E-6</v>
      </c>
      <c r="J4" s="11">
        <f>HPEC!J4*'IEA Data'!$D$12</f>
        <v>4.0822210076494796E-6</v>
      </c>
      <c r="K4" s="11">
        <f>HPEC!K4*'IEA Data'!$D$12</f>
        <v>4.0822210076494796E-6</v>
      </c>
      <c r="L4" s="11">
        <f>HPEC!L4*'IEA Data'!$D$12</f>
        <v>4.0822210076494796E-6</v>
      </c>
      <c r="M4" s="11">
        <f>HPEC!M4*'IEA Data'!$D$12</f>
        <v>4.0822210076494796E-6</v>
      </c>
      <c r="N4" s="11">
        <f>HPEC!N4*'IEA Data'!$D$12</f>
        <v>4.0822210076494796E-6</v>
      </c>
      <c r="O4" s="11">
        <f>HPEC!O4*'IEA Data'!$D$12</f>
        <v>4.0822210076494796E-6</v>
      </c>
      <c r="P4" s="11">
        <f>HPEC!P4*'IEA Data'!$D$12</f>
        <v>4.0822210076494796E-6</v>
      </c>
      <c r="Q4" s="11">
        <f>HPEC!Q4*'IEA Data'!$D$12</f>
        <v>4.0822210076494796E-6</v>
      </c>
      <c r="R4" s="11">
        <f>HPEC!R4*'IEA Data'!$D$12</f>
        <v>4.0822210076494796E-6</v>
      </c>
      <c r="S4" s="11">
        <f>HPEC!S4*'IEA Data'!$D$12</f>
        <v>4.0822210076494796E-6</v>
      </c>
      <c r="T4" s="11">
        <f>HPEC!T4*'IEA Data'!$D$12</f>
        <v>4.0822210076494796E-6</v>
      </c>
      <c r="U4" s="11">
        <f>HPEC!U4*'IEA Data'!$D$12</f>
        <v>4.0822210076494796E-6</v>
      </c>
      <c r="V4" s="11">
        <f>HPEC!V4*'IEA Data'!$D$12</f>
        <v>4.0822210076494796E-6</v>
      </c>
      <c r="W4" s="11">
        <f>HPEC!W4*'IEA Data'!$D$12</f>
        <v>4.0822210076494796E-6</v>
      </c>
      <c r="X4" s="11">
        <f>HPEC!X4*'IEA Data'!$D$12</f>
        <v>4.0822210076494796E-6</v>
      </c>
      <c r="Y4" s="11">
        <f>HPEC!Y4*'IEA Data'!$D$12</f>
        <v>4.0822210076494796E-6</v>
      </c>
      <c r="Z4" s="11">
        <f>HPEC!Z4*'IEA Data'!$D$12</f>
        <v>4.0822210076494796E-6</v>
      </c>
      <c r="AA4" s="11">
        <f>HPEC!AA4*'IEA Data'!$D$12</f>
        <v>4.0822210076494796E-6</v>
      </c>
      <c r="AB4" s="11">
        <f>HPEC!AB4*'IEA Data'!$D$12</f>
        <v>4.0822210076494796E-6</v>
      </c>
      <c r="AC4" s="11">
        <f>HPEC!AC4*'IEA Data'!$D$12</f>
        <v>4.0822210076494796E-6</v>
      </c>
      <c r="AD4" s="11">
        <f>HPEC!AD4*'IEA Data'!$D$12</f>
        <v>4.0822210076494796E-6</v>
      </c>
      <c r="AE4" s="11">
        <f>HPEC!AE4*'IEA Data'!$D$12</f>
        <v>4.0822210076494796E-6</v>
      </c>
      <c r="AF4" s="11">
        <f>HPEC!AF4*'IEA Data'!$D$12</f>
        <v>4.0822210076494796E-6</v>
      </c>
      <c r="AG4" s="11">
        <f>HPEC!AG4*'IEA Data'!$D$12</f>
        <v>4.0822210076494796E-6</v>
      </c>
      <c r="AH4" s="11">
        <f>HPEC!AH4*'IEA Data'!$D$12</f>
        <v>4.0822210076494796E-6</v>
      </c>
      <c r="AI4" s="11">
        <f>HPEC!AI4*'IEA Data'!$D$12</f>
        <v>4.0822210076494796E-6</v>
      </c>
    </row>
    <row r="5" spans="1:35" x14ac:dyDescent="0.35">
      <c r="A5" t="s">
        <v>25</v>
      </c>
      <c r="B5" s="11">
        <f>B4</f>
        <v>4.0822210076494796E-6</v>
      </c>
      <c r="C5" s="11">
        <f t="shared" ref="C5:AI5" si="0">C4</f>
        <v>4.0822210076494796E-6</v>
      </c>
      <c r="D5" s="11">
        <f t="shared" si="0"/>
        <v>4.0822210076494796E-6</v>
      </c>
      <c r="E5" s="11">
        <f t="shared" si="0"/>
        <v>4.0822210076494796E-6</v>
      </c>
      <c r="F5" s="11">
        <f t="shared" si="0"/>
        <v>4.0822210076494796E-6</v>
      </c>
      <c r="G5" s="11">
        <f t="shared" si="0"/>
        <v>4.0822210076494796E-6</v>
      </c>
      <c r="H5" s="11">
        <f t="shared" si="0"/>
        <v>4.0822210076494796E-6</v>
      </c>
      <c r="I5" s="11">
        <f t="shared" si="0"/>
        <v>4.0822210076494796E-6</v>
      </c>
      <c r="J5" s="11">
        <f t="shared" si="0"/>
        <v>4.0822210076494796E-6</v>
      </c>
      <c r="K5" s="11">
        <f t="shared" si="0"/>
        <v>4.0822210076494796E-6</v>
      </c>
      <c r="L5" s="11">
        <f t="shared" si="0"/>
        <v>4.0822210076494796E-6</v>
      </c>
      <c r="M5" s="11">
        <f t="shared" si="0"/>
        <v>4.0822210076494796E-6</v>
      </c>
      <c r="N5" s="11">
        <f t="shared" si="0"/>
        <v>4.0822210076494796E-6</v>
      </c>
      <c r="O5" s="11">
        <f t="shared" si="0"/>
        <v>4.0822210076494796E-6</v>
      </c>
      <c r="P5" s="11">
        <f t="shared" si="0"/>
        <v>4.0822210076494796E-6</v>
      </c>
      <c r="Q5" s="11">
        <f t="shared" si="0"/>
        <v>4.0822210076494796E-6</v>
      </c>
      <c r="R5" s="11">
        <f t="shared" si="0"/>
        <v>4.0822210076494796E-6</v>
      </c>
      <c r="S5" s="11">
        <f t="shared" si="0"/>
        <v>4.0822210076494796E-6</v>
      </c>
      <c r="T5" s="11">
        <f t="shared" si="0"/>
        <v>4.0822210076494796E-6</v>
      </c>
      <c r="U5" s="11">
        <f t="shared" si="0"/>
        <v>4.0822210076494796E-6</v>
      </c>
      <c r="V5" s="11">
        <f t="shared" si="0"/>
        <v>4.0822210076494796E-6</v>
      </c>
      <c r="W5" s="11">
        <f t="shared" si="0"/>
        <v>4.0822210076494796E-6</v>
      </c>
      <c r="X5" s="11">
        <f t="shared" si="0"/>
        <v>4.0822210076494796E-6</v>
      </c>
      <c r="Y5" s="11">
        <f t="shared" si="0"/>
        <v>4.0822210076494796E-6</v>
      </c>
      <c r="Z5" s="11">
        <f t="shared" si="0"/>
        <v>4.0822210076494796E-6</v>
      </c>
      <c r="AA5" s="11">
        <f t="shared" si="0"/>
        <v>4.0822210076494796E-6</v>
      </c>
      <c r="AB5" s="11">
        <f t="shared" si="0"/>
        <v>4.0822210076494796E-6</v>
      </c>
      <c r="AC5" s="11">
        <f t="shared" si="0"/>
        <v>4.0822210076494796E-6</v>
      </c>
      <c r="AD5" s="11">
        <f t="shared" si="0"/>
        <v>4.0822210076494796E-6</v>
      </c>
      <c r="AE5" s="11">
        <f t="shared" si="0"/>
        <v>4.0822210076494796E-6</v>
      </c>
      <c r="AF5" s="11">
        <f t="shared" si="0"/>
        <v>4.0822210076494796E-6</v>
      </c>
      <c r="AG5" s="11">
        <f t="shared" si="0"/>
        <v>4.0822210076494796E-6</v>
      </c>
      <c r="AH5" s="11">
        <f t="shared" si="0"/>
        <v>4.0822210076494796E-6</v>
      </c>
      <c r="AI5" s="11">
        <f t="shared" si="0"/>
        <v>4.0822210076494796E-6</v>
      </c>
    </row>
    <row r="6" spans="1:35" x14ac:dyDescent="0.35">
      <c r="A6" t="s">
        <v>65</v>
      </c>
      <c r="B6" s="11">
        <f>B3*0.95</f>
        <v>1.2424476619648677E-6</v>
      </c>
      <c r="C6">
        <f t="shared" ref="C6:AI6" si="1">$B6</f>
        <v>1.2424476619648677E-6</v>
      </c>
      <c r="D6">
        <f t="shared" si="1"/>
        <v>1.2424476619648677E-6</v>
      </c>
      <c r="E6">
        <f t="shared" si="1"/>
        <v>1.2424476619648677E-6</v>
      </c>
      <c r="F6">
        <f t="shared" si="1"/>
        <v>1.2424476619648677E-6</v>
      </c>
      <c r="G6">
        <f t="shared" si="1"/>
        <v>1.2424476619648677E-6</v>
      </c>
      <c r="H6">
        <f t="shared" si="1"/>
        <v>1.2424476619648677E-6</v>
      </c>
      <c r="I6">
        <f t="shared" si="1"/>
        <v>1.2424476619648677E-6</v>
      </c>
      <c r="J6">
        <f t="shared" si="1"/>
        <v>1.2424476619648677E-6</v>
      </c>
      <c r="K6">
        <f t="shared" si="1"/>
        <v>1.2424476619648677E-6</v>
      </c>
      <c r="L6">
        <f t="shared" si="1"/>
        <v>1.2424476619648677E-6</v>
      </c>
      <c r="M6">
        <f t="shared" si="1"/>
        <v>1.2424476619648677E-6</v>
      </c>
      <c r="N6">
        <f t="shared" si="1"/>
        <v>1.2424476619648677E-6</v>
      </c>
      <c r="O6">
        <f t="shared" si="1"/>
        <v>1.2424476619648677E-6</v>
      </c>
      <c r="P6">
        <f t="shared" si="1"/>
        <v>1.2424476619648677E-6</v>
      </c>
      <c r="Q6">
        <f t="shared" si="1"/>
        <v>1.2424476619648677E-6</v>
      </c>
      <c r="R6">
        <f t="shared" si="1"/>
        <v>1.2424476619648677E-6</v>
      </c>
      <c r="S6">
        <f t="shared" si="1"/>
        <v>1.2424476619648677E-6</v>
      </c>
      <c r="T6">
        <f t="shared" si="1"/>
        <v>1.2424476619648677E-6</v>
      </c>
      <c r="U6">
        <f t="shared" si="1"/>
        <v>1.2424476619648677E-6</v>
      </c>
      <c r="V6">
        <f t="shared" si="1"/>
        <v>1.2424476619648677E-6</v>
      </c>
      <c r="W6">
        <f t="shared" si="1"/>
        <v>1.2424476619648677E-6</v>
      </c>
      <c r="X6">
        <f t="shared" si="1"/>
        <v>1.2424476619648677E-6</v>
      </c>
      <c r="Y6">
        <f t="shared" si="1"/>
        <v>1.2424476619648677E-6</v>
      </c>
      <c r="Z6">
        <f t="shared" si="1"/>
        <v>1.2424476619648677E-6</v>
      </c>
      <c r="AA6">
        <f t="shared" si="1"/>
        <v>1.2424476619648677E-6</v>
      </c>
      <c r="AB6">
        <f t="shared" si="1"/>
        <v>1.2424476619648677E-6</v>
      </c>
      <c r="AC6">
        <f t="shared" si="1"/>
        <v>1.2424476619648677E-6</v>
      </c>
      <c r="AD6">
        <f t="shared" si="1"/>
        <v>1.2424476619648677E-6</v>
      </c>
      <c r="AE6">
        <f t="shared" si="1"/>
        <v>1.2424476619648677E-6</v>
      </c>
      <c r="AF6">
        <f t="shared" si="1"/>
        <v>1.2424476619648677E-6</v>
      </c>
      <c r="AG6">
        <f t="shared" si="1"/>
        <v>1.2424476619648677E-6</v>
      </c>
      <c r="AH6">
        <f t="shared" si="1"/>
        <v>1.2424476619648677E-6</v>
      </c>
      <c r="AI6">
        <f t="shared" si="1"/>
        <v>1.2424476619648677E-6</v>
      </c>
    </row>
    <row r="7" spans="1:35" x14ac:dyDescent="0.35">
      <c r="A7" t="s">
        <v>63</v>
      </c>
      <c r="B7" s="11">
        <f>B2</f>
        <v>9.9153955842705038E-7</v>
      </c>
      <c r="C7" s="11">
        <f t="shared" ref="C7:AI7" si="2">C2</f>
        <v>9.6237663023801882E-7</v>
      </c>
      <c r="D7" s="11">
        <f t="shared" si="2"/>
        <v>9.3321370204898737E-7</v>
      </c>
      <c r="E7" s="11">
        <f t="shared" si="2"/>
        <v>9.040507738599557E-7</v>
      </c>
      <c r="F7" s="11">
        <f t="shared" si="2"/>
        <v>8.7488784567092414E-7</v>
      </c>
      <c r="G7" s="11">
        <f t="shared" si="2"/>
        <v>8.4572491748189269E-7</v>
      </c>
      <c r="H7" s="11">
        <f t="shared" si="2"/>
        <v>8.1656198929286113E-7</v>
      </c>
      <c r="I7" s="11">
        <f t="shared" si="2"/>
        <v>7.8739906110382957E-7</v>
      </c>
      <c r="J7" s="11">
        <f t="shared" si="2"/>
        <v>7.5823613291479811E-7</v>
      </c>
      <c r="K7" s="11">
        <f t="shared" si="2"/>
        <v>7.2907320472576645E-7</v>
      </c>
      <c r="L7" s="11">
        <f t="shared" si="2"/>
        <v>6.999102765367423E-7</v>
      </c>
      <c r="M7" s="11">
        <f t="shared" si="2"/>
        <v>6.7074734834771074E-7</v>
      </c>
      <c r="N7" s="11">
        <f t="shared" si="2"/>
        <v>6.4158442015867918E-7</v>
      </c>
      <c r="O7" s="11">
        <f t="shared" si="2"/>
        <v>6.1242149196964762E-7</v>
      </c>
      <c r="P7" s="11">
        <f t="shared" si="2"/>
        <v>6.0148539389876171E-7</v>
      </c>
      <c r="Q7" s="11">
        <f t="shared" si="2"/>
        <v>5.9054929582787591E-7</v>
      </c>
      <c r="R7" s="11">
        <f t="shared" si="2"/>
        <v>5.7961319775699E-7</v>
      </c>
      <c r="S7" s="11">
        <f t="shared" si="2"/>
        <v>5.6867709968610409E-7</v>
      </c>
      <c r="T7" s="11">
        <f t="shared" si="2"/>
        <v>5.5774100161521818E-7</v>
      </c>
      <c r="U7" s="11">
        <f t="shared" si="2"/>
        <v>5.4680490354432846E-7</v>
      </c>
      <c r="V7" s="11">
        <f t="shared" si="2"/>
        <v>5.3586880547344266E-7</v>
      </c>
      <c r="W7" s="11">
        <f t="shared" si="2"/>
        <v>5.2493270740255675E-7</v>
      </c>
      <c r="X7" s="11">
        <f t="shared" si="2"/>
        <v>5.1399660933167084E-7</v>
      </c>
      <c r="Y7" s="11">
        <f t="shared" si="2"/>
        <v>5.0306051126078493E-7</v>
      </c>
      <c r="Z7" s="11">
        <f t="shared" si="2"/>
        <v>4.9212441318989532E-7</v>
      </c>
      <c r="AA7" s="11">
        <f t="shared" si="2"/>
        <v>4.8118831511900941E-7</v>
      </c>
      <c r="AB7" s="11">
        <f t="shared" si="2"/>
        <v>4.702522170481235E-7</v>
      </c>
      <c r="AC7" s="11">
        <f t="shared" si="2"/>
        <v>4.5931611897723759E-7</v>
      </c>
      <c r="AD7" s="11">
        <f t="shared" si="2"/>
        <v>4.4838002090635163E-7</v>
      </c>
      <c r="AE7" s="11">
        <f t="shared" si="2"/>
        <v>4.3744392283546207E-7</v>
      </c>
      <c r="AF7" s="11">
        <f t="shared" si="2"/>
        <v>4.2650782476457616E-7</v>
      </c>
      <c r="AG7" s="11">
        <f t="shared" si="2"/>
        <v>4.1557172669369031E-7</v>
      </c>
      <c r="AH7" s="11">
        <f t="shared" si="2"/>
        <v>4.046356286228044E-7</v>
      </c>
      <c r="AI7" s="11">
        <f t="shared" si="2"/>
        <v>3.9369953055191844E-7</v>
      </c>
    </row>
    <row r="8" spans="1:35" x14ac:dyDescent="0.35">
      <c r="A8" t="s">
        <v>64</v>
      </c>
      <c r="B8" s="11">
        <f>B3</f>
        <v>1.307839644173545E-6</v>
      </c>
      <c r="C8" s="11">
        <f t="shared" ref="C8:AI8" si="3">C3</f>
        <v>1.307839644173545E-6</v>
      </c>
      <c r="D8" s="11">
        <f t="shared" si="3"/>
        <v>1.307839644173545E-6</v>
      </c>
      <c r="E8" s="11">
        <f t="shared" si="3"/>
        <v>1.307839644173545E-6</v>
      </c>
      <c r="F8" s="11">
        <f t="shared" si="3"/>
        <v>1.307839644173545E-6</v>
      </c>
      <c r="G8" s="11">
        <f t="shared" si="3"/>
        <v>1.307839644173545E-6</v>
      </c>
      <c r="H8" s="11">
        <f t="shared" si="3"/>
        <v>1.307839644173545E-6</v>
      </c>
      <c r="I8" s="11">
        <f t="shared" si="3"/>
        <v>1.307839644173545E-6</v>
      </c>
      <c r="J8" s="11">
        <f t="shared" si="3"/>
        <v>1.307839644173545E-6</v>
      </c>
      <c r="K8" s="11">
        <f t="shared" si="3"/>
        <v>1.307839644173545E-6</v>
      </c>
      <c r="L8" s="11">
        <f t="shared" si="3"/>
        <v>1.307839644173545E-6</v>
      </c>
      <c r="M8" s="11">
        <f t="shared" si="3"/>
        <v>1.307839644173545E-6</v>
      </c>
      <c r="N8" s="11">
        <f t="shared" si="3"/>
        <v>1.307839644173545E-6</v>
      </c>
      <c r="O8" s="11">
        <f t="shared" si="3"/>
        <v>1.307839644173545E-6</v>
      </c>
      <c r="P8" s="11">
        <f t="shared" si="3"/>
        <v>1.307839644173545E-6</v>
      </c>
      <c r="Q8" s="11">
        <f t="shared" si="3"/>
        <v>1.307839644173545E-6</v>
      </c>
      <c r="R8" s="11">
        <f t="shared" si="3"/>
        <v>1.307839644173545E-6</v>
      </c>
      <c r="S8" s="11">
        <f t="shared" si="3"/>
        <v>1.307839644173545E-6</v>
      </c>
      <c r="T8" s="11">
        <f t="shared" si="3"/>
        <v>1.307839644173545E-6</v>
      </c>
      <c r="U8" s="11">
        <f t="shared" si="3"/>
        <v>1.307839644173545E-6</v>
      </c>
      <c r="V8" s="11">
        <f t="shared" si="3"/>
        <v>1.307839644173545E-6</v>
      </c>
      <c r="W8" s="11">
        <f t="shared" si="3"/>
        <v>1.307839644173545E-6</v>
      </c>
      <c r="X8" s="11">
        <f t="shared" si="3"/>
        <v>1.307839644173545E-6</v>
      </c>
      <c r="Y8" s="11">
        <f t="shared" si="3"/>
        <v>1.307839644173545E-6</v>
      </c>
      <c r="Z8" s="11">
        <f t="shared" si="3"/>
        <v>1.307839644173545E-6</v>
      </c>
      <c r="AA8" s="11">
        <f t="shared" si="3"/>
        <v>1.307839644173545E-6</v>
      </c>
      <c r="AB8" s="11">
        <f t="shared" si="3"/>
        <v>1.307839644173545E-6</v>
      </c>
      <c r="AC8" s="11">
        <f t="shared" si="3"/>
        <v>1.307839644173545E-6</v>
      </c>
      <c r="AD8" s="11">
        <f t="shared" si="3"/>
        <v>1.307839644173545E-6</v>
      </c>
      <c r="AE8" s="11">
        <f t="shared" si="3"/>
        <v>1.307839644173545E-6</v>
      </c>
      <c r="AF8" s="11">
        <f t="shared" si="3"/>
        <v>1.307839644173545E-6</v>
      </c>
      <c r="AG8" s="11">
        <f t="shared" si="3"/>
        <v>1.307839644173545E-6</v>
      </c>
      <c r="AH8" s="11">
        <f t="shared" si="3"/>
        <v>1.307839644173545E-6</v>
      </c>
      <c r="AI8" s="11">
        <f t="shared" si="3"/>
        <v>1.307839644173545E-6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About</vt:lpstr>
      <vt:lpstr>IEA Data</vt:lpstr>
      <vt:lpstr>DoE Data</vt:lpstr>
      <vt:lpstr>Conversion Factors</vt:lpstr>
      <vt:lpstr>HPEC</vt:lpstr>
      <vt:lpstr>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2025-09-02T15:16:23Z</dcterms:modified>
</cp:coreProperties>
</file>