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HPEC\"/>
    </mc:Choice>
  </mc:AlternateContent>
  <xr:revisionPtr revIDLastSave="0" documentId="13_ncr:1_{D104A148-3F92-4A3B-BF12-64CA411B5CF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bout" sheetId="1" r:id="rId1"/>
    <sheet name="IEA Data" sheetId="2" r:id="rId2"/>
    <sheet name="Conversion Factors" sheetId="4" r:id="rId3"/>
    <sheet name="Calculations" sheetId="6" r:id="rId4"/>
    <sheet name="HPEC" sheetId="3" r:id="rId5"/>
    <sheet name="HPEO" sheetId="5" r:id="rId6"/>
  </sheets>
  <definedNames>
    <definedName name="btu_per_kwh">'Conversion Factors'!$A$3</definedName>
    <definedName name="hours_per_year">'Conversion Factors'!$A$1</definedName>
    <definedName name="usd_year_conv">'Conversion Factors'!$A$5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8" i="5" l="1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I2" i="5"/>
  <c r="AH2" i="5"/>
  <c r="AG2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C17" i="6"/>
  <c r="AA17" i="6"/>
  <c r="P18" i="6"/>
  <c r="T18" i="6"/>
  <c r="C12" i="6"/>
  <c r="D12" i="6"/>
  <c r="D17" i="6" s="1"/>
  <c r="E12" i="6"/>
  <c r="E17" i="6" s="1"/>
  <c r="F12" i="6"/>
  <c r="F17" i="6" s="1"/>
  <c r="G12" i="6"/>
  <c r="G17" i="6" s="1"/>
  <c r="H12" i="6"/>
  <c r="H17" i="6" s="1"/>
  <c r="I12" i="6"/>
  <c r="I17" i="6" s="1"/>
  <c r="J12" i="6"/>
  <c r="J17" i="6" s="1"/>
  <c r="K12" i="6"/>
  <c r="K17" i="6" s="1"/>
  <c r="L12" i="6"/>
  <c r="L17" i="6" s="1"/>
  <c r="M12" i="6"/>
  <c r="M17" i="6" s="1"/>
  <c r="N12" i="6"/>
  <c r="N17" i="6" s="1"/>
  <c r="O12" i="6"/>
  <c r="O17" i="6" s="1"/>
  <c r="P12" i="6"/>
  <c r="P17" i="6" s="1"/>
  <c r="Q12" i="6"/>
  <c r="Q17" i="6" s="1"/>
  <c r="R12" i="6"/>
  <c r="R17" i="6" s="1"/>
  <c r="S12" i="6"/>
  <c r="S17" i="6" s="1"/>
  <c r="T12" i="6"/>
  <c r="T17" i="6" s="1"/>
  <c r="U12" i="6"/>
  <c r="U17" i="6" s="1"/>
  <c r="V12" i="6"/>
  <c r="V17" i="6" s="1"/>
  <c r="W12" i="6"/>
  <c r="W17" i="6" s="1"/>
  <c r="X12" i="6"/>
  <c r="X17" i="6" s="1"/>
  <c r="Y12" i="6"/>
  <c r="Y17" i="6" s="1"/>
  <c r="Z12" i="6"/>
  <c r="Z17" i="6" s="1"/>
  <c r="AA12" i="6"/>
  <c r="AB12" i="6"/>
  <c r="AB17" i="6" s="1"/>
  <c r="AC12" i="6"/>
  <c r="AC17" i="6" s="1"/>
  <c r="AD12" i="6"/>
  <c r="AD17" i="6" s="1"/>
  <c r="AE12" i="6"/>
  <c r="AE17" i="6" s="1"/>
  <c r="AF12" i="6"/>
  <c r="AF17" i="6" s="1"/>
  <c r="AG12" i="6"/>
  <c r="AG17" i="6" s="1"/>
  <c r="AH12" i="6"/>
  <c r="AH17" i="6" s="1"/>
  <c r="AI12" i="6"/>
  <c r="AI17" i="6" s="1"/>
  <c r="C13" i="6"/>
  <c r="C18" i="6" s="1"/>
  <c r="D13" i="6"/>
  <c r="D18" i="6" s="1"/>
  <c r="E13" i="6"/>
  <c r="E18" i="6" s="1"/>
  <c r="F13" i="6"/>
  <c r="F18" i="6" s="1"/>
  <c r="G13" i="6"/>
  <c r="G18" i="6" s="1"/>
  <c r="H13" i="6"/>
  <c r="H18" i="6" s="1"/>
  <c r="I13" i="6"/>
  <c r="I18" i="6" s="1"/>
  <c r="J13" i="6"/>
  <c r="J18" i="6" s="1"/>
  <c r="K13" i="6"/>
  <c r="K18" i="6" s="1"/>
  <c r="L13" i="6"/>
  <c r="L18" i="6" s="1"/>
  <c r="M13" i="6"/>
  <c r="M18" i="6" s="1"/>
  <c r="N13" i="6"/>
  <c r="N18" i="6" s="1"/>
  <c r="O13" i="6"/>
  <c r="O18" i="6" s="1"/>
  <c r="P13" i="6"/>
  <c r="Q13" i="6"/>
  <c r="Q18" i="6" s="1"/>
  <c r="R13" i="6"/>
  <c r="R18" i="6" s="1"/>
  <c r="S13" i="6"/>
  <c r="S18" i="6" s="1"/>
  <c r="T13" i="6"/>
  <c r="U13" i="6"/>
  <c r="U18" i="6" s="1"/>
  <c r="V13" i="6"/>
  <c r="V18" i="6" s="1"/>
  <c r="W13" i="6"/>
  <c r="W18" i="6" s="1"/>
  <c r="X13" i="6"/>
  <c r="X18" i="6" s="1"/>
  <c r="Y13" i="6"/>
  <c r="Y18" i="6" s="1"/>
  <c r="Z13" i="6"/>
  <c r="Z18" i="6" s="1"/>
  <c r="AA13" i="6"/>
  <c r="AA18" i="6" s="1"/>
  <c r="AB13" i="6"/>
  <c r="AB18" i="6" s="1"/>
  <c r="AC13" i="6"/>
  <c r="AC18" i="6" s="1"/>
  <c r="AD13" i="6"/>
  <c r="AD18" i="6" s="1"/>
  <c r="AE13" i="6"/>
  <c r="AE18" i="6" s="1"/>
  <c r="AF13" i="6"/>
  <c r="AF18" i="6" s="1"/>
  <c r="AG13" i="6"/>
  <c r="AG18" i="6" s="1"/>
  <c r="AH13" i="6"/>
  <c r="AH18" i="6" s="1"/>
  <c r="AI13" i="6"/>
  <c r="AI18" i="6" s="1"/>
  <c r="C14" i="6"/>
  <c r="C15" i="6" s="1"/>
  <c r="D14" i="6"/>
  <c r="D15" i="6" s="1"/>
  <c r="E14" i="6"/>
  <c r="E15" i="6" s="1"/>
  <c r="F14" i="6"/>
  <c r="F15" i="6" s="1"/>
  <c r="G14" i="6"/>
  <c r="G15" i="6" s="1"/>
  <c r="H14" i="6"/>
  <c r="H15" i="6" s="1"/>
  <c r="I14" i="6"/>
  <c r="I15" i="6" s="1"/>
  <c r="J14" i="6"/>
  <c r="J15" i="6" s="1"/>
  <c r="K14" i="6"/>
  <c r="K15" i="6" s="1"/>
  <c r="L14" i="6"/>
  <c r="L15" i="6" s="1"/>
  <c r="M14" i="6"/>
  <c r="M15" i="6" s="1"/>
  <c r="N14" i="6"/>
  <c r="O14" i="6"/>
  <c r="P14" i="6"/>
  <c r="Q14" i="6"/>
  <c r="R14" i="6"/>
  <c r="S14" i="6"/>
  <c r="T14" i="6"/>
  <c r="U14" i="6"/>
  <c r="V14" i="6"/>
  <c r="W14" i="6"/>
  <c r="X14" i="6"/>
  <c r="Y14" i="6"/>
  <c r="Y15" i="6" s="1"/>
  <c r="Z14" i="6"/>
  <c r="Z15" i="6" s="1"/>
  <c r="AA14" i="6"/>
  <c r="AA15" i="6" s="1"/>
  <c r="AB14" i="6"/>
  <c r="AB15" i="6" s="1"/>
  <c r="AC14" i="6"/>
  <c r="AC15" i="6" s="1"/>
  <c r="AD14" i="6"/>
  <c r="AD15" i="6" s="1"/>
  <c r="AE14" i="6"/>
  <c r="AE15" i="6" s="1"/>
  <c r="AF14" i="6"/>
  <c r="AF15" i="6" s="1"/>
  <c r="AG14" i="6"/>
  <c r="AG15" i="6" s="1"/>
  <c r="AH14" i="6"/>
  <c r="AH15" i="6" s="1"/>
  <c r="AI14" i="6"/>
  <c r="AI15" i="6" s="1"/>
  <c r="N15" i="6"/>
  <c r="O15" i="6"/>
  <c r="P15" i="6"/>
  <c r="Q15" i="6"/>
  <c r="R15" i="6"/>
  <c r="S15" i="6"/>
  <c r="T15" i="6"/>
  <c r="U15" i="6"/>
  <c r="V15" i="6"/>
  <c r="W15" i="6"/>
  <c r="X15" i="6"/>
  <c r="B14" i="6"/>
  <c r="B15" i="6" s="1"/>
  <c r="B13" i="6"/>
  <c r="B18" i="6" s="1"/>
  <c r="B12" i="6"/>
  <c r="B17" i="6" s="1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F7" i="6" s="1"/>
  <c r="AG2" i="6"/>
  <c r="AG7" i="6" s="1"/>
  <c r="AH2" i="6"/>
  <c r="AH7" i="6" s="1"/>
  <c r="AI2" i="6"/>
  <c r="AI7" i="6" s="1"/>
  <c r="Q3" i="6"/>
  <c r="Q8" i="6" s="1"/>
  <c r="R3" i="6"/>
  <c r="R8" i="6" s="1"/>
  <c r="S3" i="6"/>
  <c r="S8" i="6" s="1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I8" i="6" s="1"/>
  <c r="Q4" i="6"/>
  <c r="Q5" i="6" s="1"/>
  <c r="R4" i="6"/>
  <c r="R5" i="6" s="1"/>
  <c r="S4" i="6"/>
  <c r="S5" i="6" s="1"/>
  <c r="T4" i="6"/>
  <c r="T5" i="6" s="1"/>
  <c r="U4" i="6"/>
  <c r="U5" i="6" s="1"/>
  <c r="V4" i="6"/>
  <c r="V5" i="6" s="1"/>
  <c r="W4" i="6"/>
  <c r="X4" i="6"/>
  <c r="Y4" i="6"/>
  <c r="Z4" i="6"/>
  <c r="AA4" i="6"/>
  <c r="AA5" i="6" s="1"/>
  <c r="AB4" i="6"/>
  <c r="AB5" i="6" s="1"/>
  <c r="AC4" i="6"/>
  <c r="AC5" i="6" s="1"/>
  <c r="AD4" i="6"/>
  <c r="AD5" i="6" s="1"/>
  <c r="AE4" i="6"/>
  <c r="AE5" i="6" s="1"/>
  <c r="AF4" i="6"/>
  <c r="AF5" i="6" s="1"/>
  <c r="AG4" i="6"/>
  <c r="AG5" i="6" s="1"/>
  <c r="AH4" i="6"/>
  <c r="AH5" i="6" s="1"/>
  <c r="AI4" i="6"/>
  <c r="AI5" i="6" s="1"/>
  <c r="W5" i="6"/>
  <c r="X5" i="6"/>
  <c r="Y5" i="6"/>
  <c r="Z5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P4" i="6"/>
  <c r="P5" i="6" s="1"/>
  <c r="P3" i="6"/>
  <c r="P8" i="6" s="1"/>
  <c r="P2" i="6"/>
  <c r="P7" i="6" s="1"/>
  <c r="C7" i="6"/>
  <c r="D7" i="6"/>
  <c r="I8" i="6"/>
  <c r="J8" i="6"/>
  <c r="K8" i="6"/>
  <c r="L8" i="6"/>
  <c r="M8" i="6"/>
  <c r="C2" i="6"/>
  <c r="D2" i="6"/>
  <c r="E2" i="6"/>
  <c r="E7" i="6" s="1"/>
  <c r="F2" i="6"/>
  <c r="F7" i="6" s="1"/>
  <c r="G2" i="6"/>
  <c r="G7" i="6" s="1"/>
  <c r="H2" i="6"/>
  <c r="H7" i="6" s="1"/>
  <c r="I2" i="6"/>
  <c r="I7" i="6" s="1"/>
  <c r="J2" i="6"/>
  <c r="J7" i="6" s="1"/>
  <c r="K2" i="6"/>
  <c r="K7" i="6" s="1"/>
  <c r="L2" i="6"/>
  <c r="L7" i="6" s="1"/>
  <c r="M2" i="6"/>
  <c r="M7" i="6" s="1"/>
  <c r="N2" i="6"/>
  <c r="N7" i="6" s="1"/>
  <c r="O2" i="6"/>
  <c r="O7" i="6" s="1"/>
  <c r="C3" i="6"/>
  <c r="C8" i="6" s="1"/>
  <c r="D3" i="6"/>
  <c r="D8" i="6" s="1"/>
  <c r="E3" i="6"/>
  <c r="E8" i="6" s="1"/>
  <c r="F3" i="6"/>
  <c r="F8" i="6" s="1"/>
  <c r="G3" i="6"/>
  <c r="G8" i="6" s="1"/>
  <c r="H3" i="6"/>
  <c r="H8" i="6" s="1"/>
  <c r="I3" i="6"/>
  <c r="J3" i="6"/>
  <c r="K3" i="6"/>
  <c r="L3" i="6"/>
  <c r="M3" i="6"/>
  <c r="N3" i="6"/>
  <c r="N8" i="6" s="1"/>
  <c r="O3" i="6"/>
  <c r="O8" i="6" s="1"/>
  <c r="C4" i="6"/>
  <c r="D4" i="6"/>
  <c r="E4" i="6"/>
  <c r="E5" i="6" s="1"/>
  <c r="F4" i="6"/>
  <c r="F5" i="6" s="1"/>
  <c r="G4" i="6"/>
  <c r="G5" i="6" s="1"/>
  <c r="H4" i="6"/>
  <c r="H5" i="6" s="1"/>
  <c r="I4" i="6"/>
  <c r="I5" i="6" s="1"/>
  <c r="J4" i="6"/>
  <c r="J5" i="6" s="1"/>
  <c r="K4" i="6"/>
  <c r="K5" i="6" s="1"/>
  <c r="L4" i="6"/>
  <c r="L5" i="6" s="1"/>
  <c r="M4" i="6"/>
  <c r="M5" i="6" s="1"/>
  <c r="N4" i="6"/>
  <c r="N5" i="6" s="1"/>
  <c r="O4" i="6"/>
  <c r="O5" i="6" s="1"/>
  <c r="C5" i="6"/>
  <c r="D5" i="6"/>
  <c r="B4" i="6"/>
  <c r="B5" i="6" s="1"/>
  <c r="B3" i="6"/>
  <c r="B6" i="6" s="1"/>
  <c r="B2" i="6"/>
  <c r="B7" i="6" s="1"/>
  <c r="X11" i="6"/>
  <c r="W11" i="6"/>
  <c r="V11" i="6"/>
  <c r="U11" i="6"/>
  <c r="T11" i="6"/>
  <c r="S11" i="6"/>
  <c r="R11" i="6"/>
  <c r="Q11" i="6"/>
  <c r="P11" i="6"/>
  <c r="O11" i="6"/>
  <c r="N11" i="6"/>
  <c r="AI1" i="6"/>
  <c r="AI11" i="6" s="1"/>
  <c r="AH1" i="6"/>
  <c r="AH11" i="6" s="1"/>
  <c r="AG1" i="6"/>
  <c r="AG11" i="6" s="1"/>
  <c r="AF1" i="6"/>
  <c r="AF11" i="6" s="1"/>
  <c r="AE1" i="6"/>
  <c r="AE11" i="6" s="1"/>
  <c r="AD1" i="6"/>
  <c r="AD11" i="6" s="1"/>
  <c r="AC1" i="6"/>
  <c r="AC11" i="6" s="1"/>
  <c r="AB1" i="6"/>
  <c r="AB11" i="6" s="1"/>
  <c r="AA1" i="6"/>
  <c r="AA11" i="6" s="1"/>
  <c r="Z1" i="6"/>
  <c r="Z11" i="6" s="1"/>
  <c r="Y1" i="6"/>
  <c r="Y11" i="6" s="1"/>
  <c r="X1" i="6"/>
  <c r="W1" i="6"/>
  <c r="V1" i="6"/>
  <c r="U1" i="6"/>
  <c r="T1" i="6"/>
  <c r="S1" i="6"/>
  <c r="R1" i="6"/>
  <c r="Q1" i="6"/>
  <c r="P1" i="6"/>
  <c r="O1" i="6"/>
  <c r="N1" i="6"/>
  <c r="M1" i="6"/>
  <c r="M11" i="6" s="1"/>
  <c r="L1" i="6"/>
  <c r="L11" i="6" s="1"/>
  <c r="K1" i="6"/>
  <c r="K11" i="6" s="1"/>
  <c r="J1" i="6"/>
  <c r="J11" i="6" s="1"/>
  <c r="I1" i="6"/>
  <c r="I11" i="6" s="1"/>
  <c r="H1" i="6"/>
  <c r="H11" i="6" s="1"/>
  <c r="G1" i="6"/>
  <c r="G11" i="6" s="1"/>
  <c r="F1" i="6"/>
  <c r="F11" i="6" s="1"/>
  <c r="E1" i="6"/>
  <c r="E11" i="6" s="1"/>
  <c r="D1" i="6"/>
  <c r="D11" i="6" s="1"/>
  <c r="C1" i="6"/>
  <c r="C11" i="6" s="1"/>
  <c r="B11" i="6"/>
  <c r="B1" i="6"/>
  <c r="B16" i="6" l="1"/>
  <c r="AC6" i="6"/>
  <c r="G6" i="6"/>
  <c r="I6" i="6"/>
  <c r="X6" i="6"/>
  <c r="M6" i="6"/>
  <c r="AD6" i="6"/>
  <c r="AE6" i="6"/>
  <c r="AF6" i="6"/>
  <c r="P6" i="6"/>
  <c r="AG6" i="6"/>
  <c r="AH6" i="6"/>
  <c r="AI6" i="6"/>
  <c r="D6" i="6"/>
  <c r="E6" i="6"/>
  <c r="Q6" i="6"/>
  <c r="F6" i="6"/>
  <c r="Y6" i="6"/>
  <c r="N6" i="6"/>
  <c r="AB6" i="6"/>
  <c r="R6" i="6"/>
  <c r="S6" i="6"/>
  <c r="H6" i="6"/>
  <c r="T6" i="6"/>
  <c r="U6" i="6"/>
  <c r="J6" i="6"/>
  <c r="V6" i="6"/>
  <c r="K6" i="6"/>
  <c r="W6" i="6"/>
  <c r="L6" i="6"/>
  <c r="Z6" i="6"/>
  <c r="O6" i="6"/>
  <c r="C6" i="6"/>
  <c r="AA6" i="6"/>
  <c r="B8" i="6"/>
  <c r="A1" i="4"/>
  <c r="D16" i="6" l="1"/>
  <c r="Z16" i="6"/>
  <c r="AB16" i="6"/>
  <c r="AD16" i="6"/>
  <c r="E16" i="6"/>
  <c r="AA16" i="6"/>
  <c r="F16" i="6"/>
  <c r="G16" i="6"/>
  <c r="AC16" i="6"/>
  <c r="X16" i="6"/>
  <c r="H16" i="6"/>
  <c r="S16" i="6"/>
  <c r="U16" i="6"/>
  <c r="V16" i="6"/>
  <c r="W16" i="6"/>
  <c r="Y16" i="6"/>
  <c r="I16" i="6"/>
  <c r="AE16" i="6"/>
  <c r="J16" i="6"/>
  <c r="AF16" i="6"/>
  <c r="K16" i="6"/>
  <c r="AG16" i="6"/>
  <c r="O16" i="6"/>
  <c r="P16" i="6"/>
  <c r="Q16" i="6"/>
  <c r="R16" i="6"/>
  <c r="T16" i="6"/>
  <c r="L16" i="6"/>
  <c r="AH16" i="6"/>
  <c r="M16" i="6"/>
  <c r="AI16" i="6"/>
  <c r="N16" i="6"/>
  <c r="C16" i="6"/>
</calcChain>
</file>

<file path=xl/sharedStrings.xml><?xml version="1.0" encoding="utf-8"?>
<sst xmlns="http://schemas.openxmlformats.org/spreadsheetml/2006/main" count="114" uniqueCount="77">
  <si>
    <t>HPEC Hydrogen Production Equipment CapEx</t>
  </si>
  <si>
    <t>Source:</t>
  </si>
  <si>
    <t>Technology</t>
  </si>
  <si>
    <t>Parameter</t>
  </si>
  <si>
    <t>Units</t>
  </si>
  <si>
    <t>Today</t>
  </si>
  <si>
    <t>Long Term</t>
  </si>
  <si>
    <t>electrolysis</t>
  </si>
  <si>
    <t>CAPEX</t>
  </si>
  <si>
    <t>USD/kWe</t>
  </si>
  <si>
    <t>Efficiency (LHV)</t>
  </si>
  <si>
    <t>%</t>
  </si>
  <si>
    <t>Annual OPEX</t>
  </si>
  <si>
    <t>% of CAPEX</t>
  </si>
  <si>
    <t>Stack Lifetime</t>
  </si>
  <si>
    <t>operating hours</t>
  </si>
  <si>
    <t>natural gas reforming</t>
  </si>
  <si>
    <t>Emission factor</t>
  </si>
  <si>
    <t>kgCO2/kgH2</t>
  </si>
  <si>
    <t>coal gasification</t>
  </si>
  <si>
    <t>Mapped Year</t>
  </si>
  <si>
    <t>International Energy Agency</t>
  </si>
  <si>
    <t>The Future of Hydrogen</t>
  </si>
  <si>
    <t>https://www.iea.org/media/publications/hydrogen/IEA-The-Future-of-Hydrogen-Assumptions-Annex.pdf</t>
  </si>
  <si>
    <t>Assumptions annex, Page 3</t>
  </si>
  <si>
    <t>biomass gasification</t>
  </si>
  <si>
    <t>hours per year</t>
  </si>
  <si>
    <t>BTU/kWh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</si>
  <si>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</si>
  <si>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</si>
  <si>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</si>
  <si>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</si>
  <si>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</si>
  <si>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Biomass Gassification</t>
  </si>
  <si>
    <t>We don't have data on biomass gasification to hydrogen</t>
  </si>
  <si>
    <t>CapEx from the same source or in the same format as</t>
  </si>
  <si>
    <t>we do for electrolysis, natural gas reforming, and coal</t>
  </si>
  <si>
    <t>gasification.  However, the following source provides</t>
  </si>
  <si>
    <t>an equation that shows biomass gassificaiton to have</t>
  </si>
  <si>
    <t>extremely similar capital costs to coal gasification.</t>
  </si>
  <si>
    <t>Accordingly, we use the coal gasification values</t>
  </si>
  <si>
    <t>for biomass gasification.</t>
  </si>
  <si>
    <t>Acar, Canan and Dincer, Ibrahim</t>
  </si>
  <si>
    <t>Comparative assessment of hydrogen production methods from renewable and non-renewable sources</t>
  </si>
  <si>
    <t>https://doi.org/10.1016/j.ijhydene.2013.10.060</t>
  </si>
  <si>
    <t>Page 7, Table 3</t>
  </si>
  <si>
    <t>2018 USD/2012 USD</t>
  </si>
  <si>
    <t>Currency Year</t>
  </si>
  <si>
    <t>We assume the currency year of the IEA report (published in 2019)</t>
  </si>
  <si>
    <t>is 2018 USD.</t>
  </si>
  <si>
    <t>HPEC Hydrogen Production Equipment OpEx</t>
  </si>
  <si>
    <t>In other words, this variable should contain the CapEx</t>
  </si>
  <si>
    <t>and OpEx costs to produce a certain amount of hydrogen</t>
  </si>
  <si>
    <t>per year, if the production plant were to run constantly</t>
  </si>
  <si>
    <t>at its design capacity.</t>
  </si>
  <si>
    <t>In reality, plants do not run all the time, so they require</t>
  </si>
  <si>
    <t>excess capacity to produce a given amount of hydrogen</t>
  </si>
  <si>
    <t>per year.  This excess capacity is specified in</t>
  </si>
  <si>
    <r>
      <t xml:space="preserve">a different input variable, </t>
    </r>
    <r>
      <rPr>
        <b/>
        <sz val="11"/>
        <color theme="1"/>
        <rFont val="Calibri"/>
        <family val="2"/>
        <scheme val="minor"/>
      </rPr>
      <t>hydgn/HPPECbP</t>
    </r>
    <r>
      <rPr>
        <sz val="11"/>
        <color theme="1"/>
        <rFont val="Calibri"/>
        <family val="2"/>
        <scheme val="minor"/>
      </rPr>
      <t>.</t>
    </r>
  </si>
  <si>
    <t>The costs entered in this variable should be for a 100% capacity factor.</t>
  </si>
  <si>
    <t>The adjustment for actual capacity factor is handled inside Vensim.</t>
  </si>
  <si>
    <t>CapEx Cost ($/BTU)</t>
  </si>
  <si>
    <t>OpEx Cost ($/BTU)</t>
  </si>
  <si>
    <t>electrolysis with guaranteed clean electricity</t>
  </si>
  <si>
    <t>natural gas reforming with CCS</t>
  </si>
  <si>
    <t>hydrocarbon partial oxidation</t>
  </si>
  <si>
    <t>Partial Oxidation of Hydrocarbons</t>
  </si>
  <si>
    <t>According to ICF, POx reactors are essentially equivalent to autothermal</t>
  </si>
  <si>
    <t>reformers (ATRs) but without a catalyst bed. For lack of economic data,</t>
  </si>
  <si>
    <t xml:space="preserve">we assume that the costs mirror those of ATRs, which, per ICF, </t>
  </si>
  <si>
    <t>Robertson, Penshorn, and McCurdy</t>
  </si>
  <si>
    <t>Comparing the costs of industrial hydrogen technologies</t>
  </si>
  <si>
    <t>https://www.icf.com/insights/energy/comparing-costs-of-industrial-hydrogen-technologies</t>
  </si>
  <si>
    <t>have ~15% lower capital costs and ~5% lower production costs than SMRs.</t>
  </si>
  <si>
    <t>USD/kWH2</t>
  </si>
  <si>
    <t>CapEx Cost ($/BTU) — CALC</t>
  </si>
  <si>
    <t>OpEx Cost ($/BTU) — 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</si>
</sst>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11" fontId="0" fillId="0" borderId="0" xfId="0" applyNumberFormat="1"/>
    <xf numFmtId="0" fontId="0" fillId="0" borderId="3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1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452FB-E6A3-4649-89DD-AA705E93AD0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0cfed-16a2-48f0-9c6d-8ef189f2880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f.com/insights/energy/comparing-costs-of-industrial-hydrogen-technologies" TargetMode="External"/><Relationship Id="rId2" Type="http://schemas.openxmlformats.org/officeDocument/2006/relationships/hyperlink" Target="https://doi.org/10.1016/j.ijhydene.2013.10.060" TargetMode="External"/><Relationship Id="rId1" Type="http://schemas.openxmlformats.org/officeDocument/2006/relationships/hyperlink" Target="https://www.iea.org/media/publications/hydrogen/IEA-The-Future-of-Hydrogen-Assumptions-Annex.pdf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tabSelected="1" workbookViewId="0">
      <selection activeCell="B57" sqref="B57"/>
    </sheetView>
  </sheetViews>
  <sheetFormatPr defaultRowHeight="14.5" x14ac:dyDescent="0.35"/>
  <cols>
    <col min="2" max="2" width="45.81640625" customWidth="1"/>
  </cols>
  <sheetData>
    <row r="1" spans="1:2" x14ac:dyDescent="0.35">
      <c r="A1" s="1" t="s">
        <v>0</v>
      </c>
    </row>
    <row r="2" spans="1:2" x14ac:dyDescent="0.35">
      <c r="A2" s="1" t="s">
        <v>50</v>
      </c>
    </row>
    <row r="4" spans="1:2" x14ac:dyDescent="0.35">
      <c r="A4" s="1" t="s">
        <v>1</v>
      </c>
      <c r="B4" t="s">
        <v>21</v>
      </c>
    </row>
    <row r="5" spans="1:2" x14ac:dyDescent="0.35">
      <c r="B5" s="7">
        <v>2019</v>
      </c>
    </row>
    <row r="6" spans="1:2" x14ac:dyDescent="0.35">
      <c r="B6" t="s">
        <v>22</v>
      </c>
    </row>
    <row r="7" spans="1:2" x14ac:dyDescent="0.35">
      <c r="B7" s="8" t="s">
        <v>23</v>
      </c>
    </row>
    <row r="8" spans="1:2" x14ac:dyDescent="0.35">
      <c r="B8" t="s">
        <v>24</v>
      </c>
    </row>
    <row r="10" spans="1:2" x14ac:dyDescent="0.35">
      <c r="A10" s="1" t="s">
        <v>28</v>
      </c>
    </row>
    <row r="11" spans="1:2" x14ac:dyDescent="0.35">
      <c r="A11" t="s">
        <v>29</v>
      </c>
    </row>
    <row r="12" spans="1:2" x14ac:dyDescent="0.35">
      <c r="A12" t="s">
        <v>30</v>
      </c>
    </row>
    <row r="13" spans="1:2" x14ac:dyDescent="0.35">
      <c r="A13" t="s">
        <v>31</v>
      </c>
    </row>
    <row r="14" spans="1:2" x14ac:dyDescent="0.35">
      <c r="A14" t="s">
        <v>32</v>
      </c>
    </row>
    <row r="16" spans="1:2" x14ac:dyDescent="0.35">
      <c r="A16" s="1" t="s">
        <v>59</v>
      </c>
    </row>
    <row r="17" spans="1:1" x14ac:dyDescent="0.35">
      <c r="A17" t="s">
        <v>51</v>
      </c>
    </row>
    <row r="18" spans="1:1" x14ac:dyDescent="0.35">
      <c r="A18" t="s">
        <v>52</v>
      </c>
    </row>
    <row r="19" spans="1:1" x14ac:dyDescent="0.35">
      <c r="A19" t="s">
        <v>53</v>
      </c>
    </row>
    <row r="20" spans="1:1" x14ac:dyDescent="0.35">
      <c r="A20" t="s">
        <v>54</v>
      </c>
    </row>
    <row r="21" spans="1:1" x14ac:dyDescent="0.35">
      <c r="A21" t="s">
        <v>55</v>
      </c>
    </row>
    <row r="22" spans="1:1" x14ac:dyDescent="0.35">
      <c r="A22" t="s">
        <v>56</v>
      </c>
    </row>
    <row r="23" spans="1:1" x14ac:dyDescent="0.35">
      <c r="A23" t="s">
        <v>57</v>
      </c>
    </row>
    <row r="24" spans="1:1" x14ac:dyDescent="0.35">
      <c r="A24" t="s">
        <v>58</v>
      </c>
    </row>
    <row r="25" spans="1:1" x14ac:dyDescent="0.35">
      <c r="A25" t="s">
        <v>60</v>
      </c>
    </row>
    <row r="27" spans="1:1" x14ac:dyDescent="0.35">
      <c r="A27" s="1" t="s">
        <v>33</v>
      </c>
    </row>
    <row r="28" spans="1:1" x14ac:dyDescent="0.35">
      <c r="A28" t="s">
        <v>34</v>
      </c>
    </row>
    <row r="29" spans="1:1" x14ac:dyDescent="0.35">
      <c r="A29" t="s">
        <v>35</v>
      </c>
    </row>
    <row r="30" spans="1:1" x14ac:dyDescent="0.35">
      <c r="A30" t="s">
        <v>36</v>
      </c>
    </row>
    <row r="31" spans="1:1" x14ac:dyDescent="0.35">
      <c r="A31" t="s">
        <v>37</v>
      </c>
    </row>
    <row r="32" spans="1:1" x14ac:dyDescent="0.35">
      <c r="A32" t="s">
        <v>38</v>
      </c>
    </row>
    <row r="33" spans="1:2" x14ac:dyDescent="0.35">
      <c r="A33" t="s">
        <v>39</v>
      </c>
    </row>
    <row r="34" spans="1:2" x14ac:dyDescent="0.35">
      <c r="A34" t="s">
        <v>40</v>
      </c>
    </row>
    <row r="35" spans="1:2" x14ac:dyDescent="0.35">
      <c r="A35" t="s">
        <v>41</v>
      </c>
    </row>
    <row r="36" spans="1:2" x14ac:dyDescent="0.35">
      <c r="B36" t="s">
        <v>42</v>
      </c>
    </row>
    <row r="37" spans="1:2" x14ac:dyDescent="0.35">
      <c r="B37" s="7">
        <v>2014</v>
      </c>
    </row>
    <row r="38" spans="1:2" x14ac:dyDescent="0.35">
      <c r="B38" t="s">
        <v>43</v>
      </c>
    </row>
    <row r="39" spans="1:2" x14ac:dyDescent="0.35">
      <c r="B39" s="8" t="s">
        <v>44</v>
      </c>
    </row>
    <row r="40" spans="1:2" x14ac:dyDescent="0.35">
      <c r="B40" t="s">
        <v>45</v>
      </c>
    </row>
    <row r="42" spans="1:2" x14ac:dyDescent="0.35">
      <c r="A42" s="1" t="s">
        <v>66</v>
      </c>
    </row>
    <row r="43" spans="1:2" x14ac:dyDescent="0.35">
      <c r="A43" t="s">
        <v>67</v>
      </c>
    </row>
    <row r="44" spans="1:2" x14ac:dyDescent="0.35">
      <c r="A44" t="s">
        <v>68</v>
      </c>
    </row>
    <row r="45" spans="1:2" x14ac:dyDescent="0.35">
      <c r="A45" t="s">
        <v>69</v>
      </c>
    </row>
    <row r="46" spans="1:2" x14ac:dyDescent="0.35">
      <c r="A46" t="s">
        <v>73</v>
      </c>
    </row>
    <row r="47" spans="1:2" x14ac:dyDescent="0.35">
      <c r="B47" t="s">
        <v>70</v>
      </c>
    </row>
    <row r="48" spans="1:2" x14ac:dyDescent="0.35">
      <c r="B48" s="7">
        <v>2023</v>
      </c>
    </row>
    <row r="49" spans="1:2" x14ac:dyDescent="0.35">
      <c r="B49" t="s">
        <v>71</v>
      </c>
    </row>
    <row r="50" spans="1:2" x14ac:dyDescent="0.35">
      <c r="B50" s="8" t="s">
        <v>72</v>
      </c>
    </row>
    <row r="52" spans="1:2" x14ac:dyDescent="0.35">
      <c r="A52" s="1" t="s">
        <v>47</v>
      </c>
    </row>
    <row r="53" spans="1:2" x14ac:dyDescent="0.35">
      <c r="A53" t="s">
        <v>48</v>
      </c>
    </row>
    <row r="54" spans="1:2" x14ac:dyDescent="0.35">
      <c r="A54" t="s">
        <v>49</v>
      </c>
    </row>
  </sheetData>
  <hyperlinks>
    <hyperlink ref="B7" r:id="rId1" xr:uid="{00000000-0004-0000-0000-000000000000}"/>
    <hyperlink ref="B39" r:id="rId2" xr:uid="{00000000-0004-0000-0000-000001000000}"/>
    <hyperlink ref="B50" r:id="rId3" xr:uid="{0EAF8239-1601-435F-A7F3-DCBE0357401E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zoomScale="80" zoomScaleNormal="115" workbookViewId="0"/>
  </sheetViews>
  <sheetFormatPr defaultRowHeight="14.5" x14ac:dyDescent="0.35"/>
  <cols>
    <col min="1" max="3" width="25.453125" customWidth="1"/>
    <col min="4" max="4" width="11.54296875" customWidth="1"/>
    <col min="5" max="5" width="10.1796875" customWidth="1"/>
    <col min="6" max="6" width="14.54296875" customWidth="1"/>
  </cols>
  <sheetData>
    <row r="1" spans="1:6" ht="15" thickBot="1" x14ac:dyDescent="0.4">
      <c r="A1" s="2" t="s">
        <v>2</v>
      </c>
      <c r="B1" s="2" t="s">
        <v>3</v>
      </c>
      <c r="C1" s="2" t="s">
        <v>4</v>
      </c>
      <c r="D1" s="3" t="s">
        <v>5</v>
      </c>
      <c r="E1" s="3">
        <v>2030</v>
      </c>
      <c r="F1" s="3" t="s">
        <v>6</v>
      </c>
    </row>
    <row r="2" spans="1:6" ht="15" thickTop="1" x14ac:dyDescent="0.35">
      <c r="A2" t="s">
        <v>7</v>
      </c>
      <c r="B2" t="s">
        <v>8</v>
      </c>
      <c r="C2" t="s">
        <v>9</v>
      </c>
      <c r="D2">
        <v>900</v>
      </c>
      <c r="E2">
        <v>700</v>
      </c>
      <c r="F2">
        <v>450</v>
      </c>
    </row>
    <row r="3" spans="1:6" x14ac:dyDescent="0.35">
      <c r="B3" t="s">
        <v>10</v>
      </c>
      <c r="C3" t="s">
        <v>11</v>
      </c>
      <c r="D3" s="4">
        <v>0.64</v>
      </c>
      <c r="E3" s="4">
        <v>0.69</v>
      </c>
      <c r="F3" s="4">
        <v>0.74</v>
      </c>
    </row>
    <row r="4" spans="1:6" x14ac:dyDescent="0.35">
      <c r="B4" t="s">
        <v>12</v>
      </c>
      <c r="C4" t="s">
        <v>13</v>
      </c>
      <c r="D4" s="5">
        <v>1.4999999999999999E-2</v>
      </c>
      <c r="E4" s="5">
        <v>1.4999999999999999E-2</v>
      </c>
      <c r="F4" s="5">
        <v>1.4999999999999999E-2</v>
      </c>
    </row>
    <row r="5" spans="1:6" ht="15" thickBot="1" x14ac:dyDescent="0.4">
      <c r="A5" s="6"/>
      <c r="B5" s="6" t="s">
        <v>14</v>
      </c>
      <c r="C5" s="6" t="s">
        <v>15</v>
      </c>
      <c r="D5" s="6">
        <v>95000</v>
      </c>
      <c r="E5" s="6">
        <v>95000</v>
      </c>
      <c r="F5" s="6">
        <v>100000</v>
      </c>
    </row>
    <row r="6" spans="1:6" ht="15" thickTop="1" x14ac:dyDescent="0.35">
      <c r="A6" t="s">
        <v>16</v>
      </c>
      <c r="B6" t="s">
        <v>8</v>
      </c>
      <c r="C6" t="s">
        <v>74</v>
      </c>
      <c r="D6">
        <v>910</v>
      </c>
      <c r="E6">
        <v>910</v>
      </c>
      <c r="F6">
        <v>910</v>
      </c>
    </row>
    <row r="7" spans="1:6" x14ac:dyDescent="0.35">
      <c r="B7" t="s">
        <v>10</v>
      </c>
      <c r="C7" t="s">
        <v>11</v>
      </c>
      <c r="D7" s="4">
        <v>0.76</v>
      </c>
      <c r="E7" s="4">
        <v>0.76</v>
      </c>
      <c r="F7" s="4">
        <v>0.76</v>
      </c>
    </row>
    <row r="8" spans="1:6" x14ac:dyDescent="0.35">
      <c r="B8" t="s">
        <v>12</v>
      </c>
      <c r="C8" t="s">
        <v>13</v>
      </c>
      <c r="D8" s="5">
        <v>4.7E-2</v>
      </c>
      <c r="E8" s="5">
        <v>4.7E-2</v>
      </c>
      <c r="F8" s="5">
        <v>4.7E-2</v>
      </c>
    </row>
    <row r="9" spans="1:6" ht="15" thickBot="1" x14ac:dyDescent="0.4">
      <c r="A9" s="6"/>
      <c r="B9" s="6" t="s">
        <v>17</v>
      </c>
      <c r="C9" s="6" t="s">
        <v>18</v>
      </c>
      <c r="D9" s="6">
        <v>8.9</v>
      </c>
      <c r="E9" s="6">
        <v>8.9</v>
      </c>
      <c r="F9" s="6">
        <v>8.9</v>
      </c>
    </row>
    <row r="10" spans="1:6" ht="15" thickTop="1" x14ac:dyDescent="0.35">
      <c r="A10" t="s">
        <v>19</v>
      </c>
      <c r="B10" t="s">
        <v>8</v>
      </c>
      <c r="C10" t="s">
        <v>74</v>
      </c>
      <c r="D10">
        <v>2670</v>
      </c>
      <c r="E10">
        <v>2670</v>
      </c>
      <c r="F10">
        <v>2670</v>
      </c>
    </row>
    <row r="11" spans="1:6" x14ac:dyDescent="0.35">
      <c r="B11" t="s">
        <v>10</v>
      </c>
      <c r="C11" t="s">
        <v>11</v>
      </c>
      <c r="D11" s="4">
        <v>0.6</v>
      </c>
      <c r="E11" s="4">
        <v>0.6</v>
      </c>
      <c r="F11" s="4">
        <v>0.6</v>
      </c>
    </row>
    <row r="12" spans="1:6" x14ac:dyDescent="0.35">
      <c r="B12" t="s">
        <v>12</v>
      </c>
      <c r="C12" t="s">
        <v>13</v>
      </c>
      <c r="D12" s="4">
        <v>0.05</v>
      </c>
      <c r="E12" s="4">
        <v>0.05</v>
      </c>
      <c r="F12" s="4">
        <v>0.05</v>
      </c>
    </row>
    <row r="13" spans="1:6" ht="15" thickBot="1" x14ac:dyDescent="0.4">
      <c r="A13" s="6"/>
      <c r="B13" s="6" t="s">
        <v>17</v>
      </c>
      <c r="C13" s="6" t="s">
        <v>18</v>
      </c>
      <c r="D13" s="6">
        <v>20.2</v>
      </c>
      <c r="E13" s="6">
        <v>20.2</v>
      </c>
      <c r="F13" s="6">
        <v>20.2</v>
      </c>
    </row>
    <row r="14" spans="1:6" ht="15" thickTop="1" x14ac:dyDescent="0.35"/>
    <row r="15" spans="1:6" x14ac:dyDescent="0.35">
      <c r="A15" t="s">
        <v>20</v>
      </c>
      <c r="D15">
        <v>2017</v>
      </c>
      <c r="E15">
        <v>2030</v>
      </c>
      <c r="F15"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6" sqref="C26"/>
    </sheetView>
  </sheetViews>
  <sheetFormatPr defaultRowHeight="14.5" x14ac:dyDescent="0.35"/>
  <sheetData>
    <row r="1" spans="1:2" x14ac:dyDescent="0.35">
      <c r="A1">
        <f>24*365</f>
        <v>8760</v>
      </c>
      <c r="B1" t="s">
        <v>26</v>
      </c>
    </row>
    <row r="3" spans="1:2" x14ac:dyDescent="0.35">
      <c r="A3">
        <v>3412.14</v>
      </c>
      <c r="B3" t="s">
        <v>27</v>
      </c>
    </row>
    <row r="5" spans="1:2" x14ac:dyDescent="0.35">
      <c r="A5">
        <v>0.91400000000000003</v>
      </c>
      <c r="B5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D223B-219D-46DD-961F-738819918FB1}">
  <dimension ref="A1:AI18"/>
  <sheetViews>
    <sheetView workbookViewId="0"/>
  </sheetViews>
  <sheetFormatPr defaultRowHeight="14.5" x14ac:dyDescent="0.35"/>
  <sheetData>
    <row r="1" spans="1:35" x14ac:dyDescent="0.35">
      <c r="A1" s="1" t="s">
        <v>75</v>
      </c>
      <c r="B1">
        <f>HPEC!B1</f>
        <v>2017</v>
      </c>
      <c r="C1">
        <f>HPEC!C1</f>
        <v>2018</v>
      </c>
      <c r="D1">
        <f>HPEC!D1</f>
        <v>2019</v>
      </c>
      <c r="E1">
        <f>HPEC!E1</f>
        <v>2020</v>
      </c>
      <c r="F1">
        <f>HPEC!F1</f>
        <v>2021</v>
      </c>
      <c r="G1">
        <f>HPEC!G1</f>
        <v>2022</v>
      </c>
      <c r="H1">
        <f>HPEC!H1</f>
        <v>2023</v>
      </c>
      <c r="I1">
        <f>HPEC!I1</f>
        <v>2024</v>
      </c>
      <c r="J1">
        <f>HPEC!J1</f>
        <v>2025</v>
      </c>
      <c r="K1">
        <f>HPEC!K1</f>
        <v>2026</v>
      </c>
      <c r="L1">
        <f>HPEC!L1</f>
        <v>2027</v>
      </c>
      <c r="M1">
        <f>HPEC!M1</f>
        <v>2028</v>
      </c>
      <c r="N1">
        <f>HPEC!N1</f>
        <v>2029</v>
      </c>
      <c r="O1">
        <f>HPEC!O1</f>
        <v>2030</v>
      </c>
      <c r="P1">
        <f>HPEC!P1</f>
        <v>2031</v>
      </c>
      <c r="Q1">
        <f>HPEC!Q1</f>
        <v>2032</v>
      </c>
      <c r="R1">
        <f>HPEC!R1</f>
        <v>2033</v>
      </c>
      <c r="S1">
        <f>HPEC!S1</f>
        <v>2034</v>
      </c>
      <c r="T1">
        <f>HPEC!T1</f>
        <v>2035</v>
      </c>
      <c r="U1">
        <f>HPEC!U1</f>
        <v>2036</v>
      </c>
      <c r="V1">
        <f>HPEC!V1</f>
        <v>2037</v>
      </c>
      <c r="W1">
        <f>HPEC!W1</f>
        <v>2038</v>
      </c>
      <c r="X1">
        <f>HPEC!X1</f>
        <v>2039</v>
      </c>
      <c r="Y1">
        <f>HPEC!Y1</f>
        <v>2040</v>
      </c>
      <c r="Z1">
        <f>HPEC!Z1</f>
        <v>2041</v>
      </c>
      <c r="AA1">
        <f>HPEC!AA1</f>
        <v>2042</v>
      </c>
      <c r="AB1">
        <f>HPEC!AB1</f>
        <v>2043</v>
      </c>
      <c r="AC1">
        <f>HPEC!AC1</f>
        <v>2044</v>
      </c>
      <c r="AD1">
        <f>HPEC!AD1</f>
        <v>2045</v>
      </c>
      <c r="AE1">
        <f>HPEC!AE1</f>
        <v>2046</v>
      </c>
      <c r="AF1">
        <f>HPEC!AF1</f>
        <v>2047</v>
      </c>
      <c r="AG1">
        <f>HPEC!AG1</f>
        <v>2048</v>
      </c>
      <c r="AH1">
        <f>HPEC!AH1</f>
        <v>2049</v>
      </c>
      <c r="AI1">
        <f>HPEC!AI1</f>
        <v>2050</v>
      </c>
    </row>
    <row r="2" spans="1:35" x14ac:dyDescent="0.35">
      <c r="A2" t="s">
        <v>7</v>
      </c>
      <c r="B2">
        <f>TREND('IEA Data'!$D2:$E2,'IEA Data'!$D$15:$E$15,B$1)/TREND('IEA Data'!$D3:$E3,'IEA Data'!$D$15:$E$15,B$1)/hours_per_year/btu_per_kwh*usd_year_conv</f>
        <v>4.3000923535633535E-5</v>
      </c>
      <c r="C2">
        <f>TREND('IEA Data'!$D2:$E2,'IEA Data'!$D$15:$E$15,C$1)/TREND('IEA Data'!$D3:$E3,'IEA Data'!$D$15:$E$15,C$1)/hours_per_year/btu_per_kwh*usd_year_conv</f>
        <v>4.201338075431596E-5</v>
      </c>
      <c r="D2">
        <f>TREND('IEA Data'!$D2:$E2,'IEA Data'!$D$15:$E$15,D$1)/TREND('IEA Data'!$D3:$E3,'IEA Data'!$D$15:$E$15,D$1)/hours_per_year/btu_per_kwh*usd_year_conv</f>
        <v>4.1037566509593793E-5</v>
      </c>
      <c r="E2">
        <f>TREND('IEA Data'!$D2:$E2,'IEA Data'!$D$15:$E$15,E$1)/TREND('IEA Data'!$D3:$E3,'IEA Data'!$D$15:$E$15,E$1)/hours_per_year/btu_per_kwh*usd_year_conv</f>
        <v>4.0073273094207026E-5</v>
      </c>
      <c r="F2">
        <f>TREND('IEA Data'!$D2:$E2,'IEA Data'!$D$15:$E$15,F$1)/TREND('IEA Data'!$D3:$E3,'IEA Data'!$D$15:$E$15,F$1)/hours_per_year/btu_per_kwh*usd_year_conv</f>
        <v>3.9120297676653595E-5</v>
      </c>
      <c r="G2">
        <f>TREND('IEA Data'!$D2:$E2,'IEA Data'!$D$15:$E$15,G$1)/TREND('IEA Data'!$D3:$E3,'IEA Data'!$D$15:$E$15,G$1)/hours_per_year/btu_per_kwh*usd_year_conv</f>
        <v>3.817844215895476E-5</v>
      </c>
      <c r="H2">
        <f>TREND('IEA Data'!$D2:$E2,'IEA Data'!$D$15:$E$15,H$1)/TREND('IEA Data'!$D3:$E3,'IEA Data'!$D$15:$E$15,H$1)/hours_per_year/btu_per_kwh*usd_year_conv</f>
        <v>3.7247513039373087E-5</v>
      </c>
      <c r="I2">
        <f>TREND('IEA Data'!$D2:$E2,'IEA Data'!$D$15:$E$15,I$1)/TREND('IEA Data'!$D3:$E3,'IEA Data'!$D$15:$E$15,I$1)/hours_per_year/btu_per_kwh*usd_year_conv</f>
        <v>3.6327321279879023E-5</v>
      </c>
      <c r="J2">
        <f>TREND('IEA Data'!$D2:$E2,'IEA Data'!$D$15:$E$15,J$1)/TREND('IEA Data'!$D3:$E3,'IEA Data'!$D$15:$E$15,J$1)/hours_per_year/btu_per_kwh*usd_year_conv</f>
        <v>3.541768217817715E-5</v>
      </c>
      <c r="K2">
        <f>TREND('IEA Data'!$D2:$E2,'IEA Data'!$D$15:$E$15,K$1)/TREND('IEA Data'!$D3:$E3,'IEA Data'!$D$15:$E$15,K$1)/hours_per_year/btu_per_kwh*usd_year_conv</f>
        <v>3.451841524411173E-5</v>
      </c>
      <c r="L2">
        <f>TREND('IEA Data'!$D2:$E2,'IEA Data'!$D$15:$E$15,L$1)/TREND('IEA Data'!$D3:$E3,'IEA Data'!$D$15:$E$15,L$1)/hours_per_year/btu_per_kwh*usd_year_conv</f>
        <v>3.3629344080273645E-5</v>
      </c>
      <c r="M2">
        <f>TREND('IEA Data'!$D2:$E2,'IEA Data'!$D$15:$E$15,M$1)/TREND('IEA Data'!$D3:$E3,'IEA Data'!$D$15:$E$15,M$1)/hours_per_year/btu_per_kwh*usd_year_conv</f>
        <v>3.2750296266648113E-5</v>
      </c>
      <c r="N2">
        <f>TREND('IEA Data'!$D2:$E2,'IEA Data'!$D$15:$E$15,N$1)/TREND('IEA Data'!$D3:$E3,'IEA Data'!$D$15:$E$15,N$1)/hours_per_year/btu_per_kwh*usd_year_conv</f>
        <v>3.1881103249139282E-5</v>
      </c>
      <c r="O2">
        <f>TREND('IEA Data'!$D2:$E2,'IEA Data'!$D$15:$E$15,O$1)/TREND('IEA Data'!$D3:$E3,'IEA Data'!$D$15:$E$15,O$1)/hours_per_year/btu_per_kwh*usd_year_conv</f>
        <v>3.1021600231825811E-5</v>
      </c>
      <c r="P2">
        <f>TREND('IEA Data'!$E2:$F2,'IEA Data'!$E$15:$F$15,P$1)/TREND('IEA Data'!$E3:$F3,'IEA Data'!$E$15:$F$15,P$1)/hours_per_year/btu_per_kwh*usd_year_conv</f>
        <v>3.0357651593548006E-5</v>
      </c>
      <c r="Q2">
        <f>TREND('IEA Data'!$E2:$F2,'IEA Data'!$E$15:$F$15,Q$1)/TREND('IEA Data'!$E3:$F3,'IEA Data'!$E$15:$F$15,Q$1)/hours_per_year/btu_per_kwh*usd_year_conv</f>
        <v>2.96984795641786E-5</v>
      </c>
      <c r="R2">
        <f>TREND('IEA Data'!$E2:$F2,'IEA Data'!$E$15:$F$15,R$1)/TREND('IEA Data'!$E3:$F3,'IEA Data'!$E$15:$F$15,R$1)/hours_per_year/btu_per_kwh*usd_year_conv</f>
        <v>2.9044032782331559E-5</v>
      </c>
      <c r="S2">
        <f>TREND('IEA Data'!$E2:$F2,'IEA Data'!$E$15:$F$15,S$1)/TREND('IEA Data'!$E3:$F3,'IEA Data'!$E$15:$F$15,S$1)/hours_per_year/btu_per_kwh*usd_year_conv</f>
        <v>2.8394260620354893E-5</v>
      </c>
      <c r="T2">
        <f>TREND('IEA Data'!$E2:$F2,'IEA Data'!$E$15:$F$15,T$1)/TREND('IEA Data'!$E3:$F3,'IEA Data'!$E$15:$F$15,T$1)/hours_per_year/btu_per_kwh*usd_year_conv</f>
        <v>2.7749113171274816E-5</v>
      </c>
      <c r="U2">
        <f>TREND('IEA Data'!$E2:$F2,'IEA Data'!$E$15:$F$15,U$1)/TREND('IEA Data'!$E3:$F3,'IEA Data'!$E$15:$F$15,U$1)/hours_per_year/btu_per_kwh*usd_year_conv</f>
        <v>2.7108541236018042E-5</v>
      </c>
      <c r="V2">
        <f>TREND('IEA Data'!$E2:$F2,'IEA Data'!$E$15:$F$15,V$1)/TREND('IEA Data'!$E3:$F3,'IEA Data'!$E$15:$F$15,V$1)/hours_per_year/btu_per_kwh*usd_year_conv</f>
        <v>2.6472496310904389E-5</v>
      </c>
      <c r="W2">
        <f>TREND('IEA Data'!$E2:$F2,'IEA Data'!$E$15:$F$15,W$1)/TREND('IEA Data'!$E3:$F3,'IEA Data'!$E$15:$F$15,W$1)/hours_per_year/btu_per_kwh*usd_year_conv</f>
        <v>2.5840930575404244E-5</v>
      </c>
      <c r="X2">
        <f>TREND('IEA Data'!$E2:$F2,'IEA Data'!$E$15:$F$15,X$1)/TREND('IEA Data'!$E3:$F3,'IEA Data'!$E$15:$F$15,X$1)/hours_per_year/btu_per_kwh*usd_year_conv</f>
        <v>2.5213796880153191E-5</v>
      </c>
      <c r="Y2">
        <f>TREND('IEA Data'!$E2:$F2,'IEA Data'!$E$15:$F$15,Y$1)/TREND('IEA Data'!$E3:$F3,'IEA Data'!$E$15:$F$15,Y$1)/hours_per_year/btu_per_kwh*usd_year_conv</f>
        <v>2.4591048735218581E-5</v>
      </c>
      <c r="Z2">
        <f>TREND('IEA Data'!$E2:$F2,'IEA Data'!$E$15:$F$15,Z$1)/TREND('IEA Data'!$E3:$F3,'IEA Data'!$E$15:$F$15,Z$1)/hours_per_year/btu_per_kwh*usd_year_conv</f>
        <v>2.3972640298611068E-5</v>
      </c>
      <c r="AA2">
        <f>TREND('IEA Data'!$E2:$F2,'IEA Data'!$E$15:$F$15,AA$1)/TREND('IEA Data'!$E3:$F3,'IEA Data'!$E$15:$F$15,AA$1)/hours_per_year/btu_per_kwh*usd_year_conv</f>
        <v>2.3358526365035528E-5</v>
      </c>
      <c r="AB2">
        <f>TREND('IEA Data'!$E2:$F2,'IEA Data'!$E$15:$F$15,AB$1)/TREND('IEA Data'!$E3:$F3,'IEA Data'!$E$15:$F$15,AB$1)/hours_per_year/btu_per_kwh*usd_year_conv</f>
        <v>2.274866235487576E-5</v>
      </c>
      <c r="AC2">
        <f>TREND('IEA Data'!$E2:$F2,'IEA Data'!$E$15:$F$15,AC$1)/TREND('IEA Data'!$E3:$F3,'IEA Data'!$E$15:$F$15,AC$1)/hours_per_year/btu_per_kwh*usd_year_conv</f>
        <v>2.2143004303406723E-5</v>
      </c>
      <c r="AD2">
        <f>TREND('IEA Data'!$E2:$F2,'IEA Data'!$E$15:$F$15,AD$1)/TREND('IEA Data'!$E3:$F3,'IEA Data'!$E$15:$F$15,AD$1)/hours_per_year/btu_per_kwh*usd_year_conv</f>
        <v>2.1541508850229594E-5</v>
      </c>
      <c r="AE2">
        <f>TREND('IEA Data'!$E2:$F2,'IEA Data'!$E$15:$F$15,AE$1)/TREND('IEA Data'!$E3:$F3,'IEA Data'!$E$15:$F$15,AE$1)/hours_per_year/btu_per_kwh*usd_year_conv</f>
        <v>2.0944133228923517E-5</v>
      </c>
      <c r="AF2">
        <f>TREND('IEA Data'!$E2:$F2,'IEA Data'!$E$15:$F$15,AF$1)/TREND('IEA Data'!$E3:$F3,'IEA Data'!$E$15:$F$15,AF$1)/hours_per_year/btu_per_kwh*usd_year_conv</f>
        <v>2.0350835256909658E-5</v>
      </c>
      <c r="AG2">
        <f>TREND('IEA Data'!$E2:$F2,'IEA Data'!$E$15:$F$15,AG$1)/TREND('IEA Data'!$E3:$F3,'IEA Data'!$E$15:$F$15,AG$1)/hours_per_year/btu_per_kwh*usd_year_conv</f>
        <v>1.9761573325521718E-5</v>
      </c>
      <c r="AH2">
        <f>TREND('IEA Data'!$E2:$F2,'IEA Data'!$E$15:$F$15,AH$1)/TREND('IEA Data'!$E3:$F3,'IEA Data'!$E$15:$F$15,AH$1)/hours_per_year/btu_per_kwh*usd_year_conv</f>
        <v>1.9176306390278777E-5</v>
      </c>
      <c r="AI2">
        <f>TREND('IEA Data'!$E2:$F2,'IEA Data'!$E$15:$F$15,AI$1)/TREND('IEA Data'!$E3:$F3,'IEA Data'!$E$15:$F$15,AI$1)/hours_per_year/btu_per_kwh*usd_year_conv</f>
        <v>1.8594993961355075E-5</v>
      </c>
    </row>
    <row r="3" spans="1:35" x14ac:dyDescent="0.35">
      <c r="A3" t="s">
        <v>16</v>
      </c>
      <c r="B3">
        <f>TREND('IEA Data'!$D6:$E6,'IEA Data'!$D$15:$E$15,B$1)/hours_per_year/btu_per_kwh*usd_year_conv</f>
        <v>2.7826375407947768E-5</v>
      </c>
      <c r="C3">
        <f>TREND('IEA Data'!$D6:$E6,'IEA Data'!$D$15:$E$15,C$1)/hours_per_year/btu_per_kwh*usd_year_conv</f>
        <v>2.7826375407947768E-5</v>
      </c>
      <c r="D3">
        <f>TREND('IEA Data'!$D6:$E6,'IEA Data'!$D$15:$E$15,D$1)/hours_per_year/btu_per_kwh*usd_year_conv</f>
        <v>2.7826375407947768E-5</v>
      </c>
      <c r="E3">
        <f>TREND('IEA Data'!$D6:$E6,'IEA Data'!$D$15:$E$15,E$1)/hours_per_year/btu_per_kwh*usd_year_conv</f>
        <v>2.7826375407947768E-5</v>
      </c>
      <c r="F3">
        <f>TREND('IEA Data'!$D6:$E6,'IEA Data'!$D$15:$E$15,F$1)/hours_per_year/btu_per_kwh*usd_year_conv</f>
        <v>2.7826375407947768E-5</v>
      </c>
      <c r="G3">
        <f>TREND('IEA Data'!$D6:$E6,'IEA Data'!$D$15:$E$15,G$1)/hours_per_year/btu_per_kwh*usd_year_conv</f>
        <v>2.7826375407947768E-5</v>
      </c>
      <c r="H3">
        <f>TREND('IEA Data'!$D6:$E6,'IEA Data'!$D$15:$E$15,H$1)/hours_per_year/btu_per_kwh*usd_year_conv</f>
        <v>2.7826375407947768E-5</v>
      </c>
      <c r="I3">
        <f>TREND('IEA Data'!$D6:$E6,'IEA Data'!$D$15:$E$15,I$1)/hours_per_year/btu_per_kwh*usd_year_conv</f>
        <v>2.7826375407947768E-5</v>
      </c>
      <c r="J3">
        <f>TREND('IEA Data'!$D6:$E6,'IEA Data'!$D$15:$E$15,J$1)/hours_per_year/btu_per_kwh*usd_year_conv</f>
        <v>2.7826375407947768E-5</v>
      </c>
      <c r="K3">
        <f>TREND('IEA Data'!$D6:$E6,'IEA Data'!$D$15:$E$15,K$1)/hours_per_year/btu_per_kwh*usd_year_conv</f>
        <v>2.7826375407947768E-5</v>
      </c>
      <c r="L3">
        <f>TREND('IEA Data'!$D6:$E6,'IEA Data'!$D$15:$E$15,L$1)/hours_per_year/btu_per_kwh*usd_year_conv</f>
        <v>2.7826375407947768E-5</v>
      </c>
      <c r="M3">
        <f>TREND('IEA Data'!$D6:$E6,'IEA Data'!$D$15:$E$15,M$1)/hours_per_year/btu_per_kwh*usd_year_conv</f>
        <v>2.7826375407947768E-5</v>
      </c>
      <c r="N3">
        <f>TREND('IEA Data'!$D6:$E6,'IEA Data'!$D$15:$E$15,N$1)/hours_per_year/btu_per_kwh*usd_year_conv</f>
        <v>2.7826375407947768E-5</v>
      </c>
      <c r="O3">
        <f>TREND('IEA Data'!$D6:$E6,'IEA Data'!$D$15:$E$15,O$1)/hours_per_year/btu_per_kwh*usd_year_conv</f>
        <v>2.7826375407947768E-5</v>
      </c>
      <c r="P3">
        <f>TREND('IEA Data'!$E6:$F6,'IEA Data'!$E$15:$F$15,P$1)/hours_per_year/btu_per_kwh*usd_year_conv</f>
        <v>2.7826375407947768E-5</v>
      </c>
      <c r="Q3">
        <f>TREND('IEA Data'!$E6:$F6,'IEA Data'!$E$15:$F$15,Q$1)/hours_per_year/btu_per_kwh*usd_year_conv</f>
        <v>2.7826375407947768E-5</v>
      </c>
      <c r="R3">
        <f>TREND('IEA Data'!$E6:$F6,'IEA Data'!$E$15:$F$15,R$1)/hours_per_year/btu_per_kwh*usd_year_conv</f>
        <v>2.7826375407947768E-5</v>
      </c>
      <c r="S3">
        <f>TREND('IEA Data'!$E6:$F6,'IEA Data'!$E$15:$F$15,S$1)/hours_per_year/btu_per_kwh*usd_year_conv</f>
        <v>2.7826375407947768E-5</v>
      </c>
      <c r="T3">
        <f>TREND('IEA Data'!$E6:$F6,'IEA Data'!$E$15:$F$15,T$1)/hours_per_year/btu_per_kwh*usd_year_conv</f>
        <v>2.7826375407947768E-5</v>
      </c>
      <c r="U3">
        <f>TREND('IEA Data'!$E6:$F6,'IEA Data'!$E$15:$F$15,U$1)/hours_per_year/btu_per_kwh*usd_year_conv</f>
        <v>2.7826375407947768E-5</v>
      </c>
      <c r="V3">
        <f>TREND('IEA Data'!$E6:$F6,'IEA Data'!$E$15:$F$15,V$1)/hours_per_year/btu_per_kwh*usd_year_conv</f>
        <v>2.7826375407947768E-5</v>
      </c>
      <c r="W3">
        <f>TREND('IEA Data'!$E6:$F6,'IEA Data'!$E$15:$F$15,W$1)/hours_per_year/btu_per_kwh*usd_year_conv</f>
        <v>2.7826375407947768E-5</v>
      </c>
      <c r="X3">
        <f>TREND('IEA Data'!$E6:$F6,'IEA Data'!$E$15:$F$15,X$1)/hours_per_year/btu_per_kwh*usd_year_conv</f>
        <v>2.7826375407947768E-5</v>
      </c>
      <c r="Y3">
        <f>TREND('IEA Data'!$E6:$F6,'IEA Data'!$E$15:$F$15,Y$1)/hours_per_year/btu_per_kwh*usd_year_conv</f>
        <v>2.7826375407947768E-5</v>
      </c>
      <c r="Z3">
        <f>TREND('IEA Data'!$E6:$F6,'IEA Data'!$E$15:$F$15,Z$1)/hours_per_year/btu_per_kwh*usd_year_conv</f>
        <v>2.7826375407947768E-5</v>
      </c>
      <c r="AA3">
        <f>TREND('IEA Data'!$E6:$F6,'IEA Data'!$E$15:$F$15,AA$1)/hours_per_year/btu_per_kwh*usd_year_conv</f>
        <v>2.7826375407947768E-5</v>
      </c>
      <c r="AB3">
        <f>TREND('IEA Data'!$E6:$F6,'IEA Data'!$E$15:$F$15,AB$1)/hours_per_year/btu_per_kwh*usd_year_conv</f>
        <v>2.7826375407947768E-5</v>
      </c>
      <c r="AC3">
        <f>TREND('IEA Data'!$E6:$F6,'IEA Data'!$E$15:$F$15,AC$1)/hours_per_year/btu_per_kwh*usd_year_conv</f>
        <v>2.7826375407947768E-5</v>
      </c>
      <c r="AD3">
        <f>TREND('IEA Data'!$E6:$F6,'IEA Data'!$E$15:$F$15,AD$1)/hours_per_year/btu_per_kwh*usd_year_conv</f>
        <v>2.7826375407947768E-5</v>
      </c>
      <c r="AE3">
        <f>TREND('IEA Data'!$E6:$F6,'IEA Data'!$E$15:$F$15,AE$1)/hours_per_year/btu_per_kwh*usd_year_conv</f>
        <v>2.7826375407947768E-5</v>
      </c>
      <c r="AF3">
        <f>TREND('IEA Data'!$E6:$F6,'IEA Data'!$E$15:$F$15,AF$1)/hours_per_year/btu_per_kwh*usd_year_conv</f>
        <v>2.7826375407947768E-5</v>
      </c>
      <c r="AG3">
        <f>TREND('IEA Data'!$E6:$F6,'IEA Data'!$E$15:$F$15,AG$1)/hours_per_year/btu_per_kwh*usd_year_conv</f>
        <v>2.7826375407947768E-5</v>
      </c>
      <c r="AH3">
        <f>TREND('IEA Data'!$E6:$F6,'IEA Data'!$E$15:$F$15,AH$1)/hours_per_year/btu_per_kwh*usd_year_conv</f>
        <v>2.7826375407947768E-5</v>
      </c>
      <c r="AI3">
        <f>TREND('IEA Data'!$E6:$F6,'IEA Data'!$E$15:$F$15,AI$1)/hours_per_year/btu_per_kwh*usd_year_conv</f>
        <v>2.7826375407947768E-5</v>
      </c>
    </row>
    <row r="4" spans="1:35" x14ac:dyDescent="0.35">
      <c r="A4" t="s">
        <v>19</v>
      </c>
      <c r="B4">
        <f>TREND('IEA Data'!$D10:$E10,'IEA Data'!$D$15:$E$15,B$1)/hours_per_year/btu_per_kwh*usd_year_conv</f>
        <v>8.1644420152989595E-5</v>
      </c>
      <c r="C4">
        <f>TREND('IEA Data'!$D10:$E10,'IEA Data'!$D$15:$E$15,C$1)/hours_per_year/btu_per_kwh*usd_year_conv</f>
        <v>8.1644420152989595E-5</v>
      </c>
      <c r="D4">
        <f>TREND('IEA Data'!$D10:$E10,'IEA Data'!$D$15:$E$15,D$1)/hours_per_year/btu_per_kwh*usd_year_conv</f>
        <v>8.1644420152989595E-5</v>
      </c>
      <c r="E4">
        <f>TREND('IEA Data'!$D10:$E10,'IEA Data'!$D$15:$E$15,E$1)/hours_per_year/btu_per_kwh*usd_year_conv</f>
        <v>8.1644420152989595E-5</v>
      </c>
      <c r="F4">
        <f>TREND('IEA Data'!$D10:$E10,'IEA Data'!$D$15:$E$15,F$1)/hours_per_year/btu_per_kwh*usd_year_conv</f>
        <v>8.1644420152989595E-5</v>
      </c>
      <c r="G4">
        <f>TREND('IEA Data'!$D10:$E10,'IEA Data'!$D$15:$E$15,G$1)/hours_per_year/btu_per_kwh*usd_year_conv</f>
        <v>8.1644420152989595E-5</v>
      </c>
      <c r="H4">
        <f>TREND('IEA Data'!$D10:$E10,'IEA Data'!$D$15:$E$15,H$1)/hours_per_year/btu_per_kwh*usd_year_conv</f>
        <v>8.1644420152989595E-5</v>
      </c>
      <c r="I4">
        <f>TREND('IEA Data'!$D10:$E10,'IEA Data'!$D$15:$E$15,I$1)/hours_per_year/btu_per_kwh*usd_year_conv</f>
        <v>8.1644420152989595E-5</v>
      </c>
      <c r="J4">
        <f>TREND('IEA Data'!$D10:$E10,'IEA Data'!$D$15:$E$15,J$1)/hours_per_year/btu_per_kwh*usd_year_conv</f>
        <v>8.1644420152989595E-5</v>
      </c>
      <c r="K4">
        <f>TREND('IEA Data'!$D10:$E10,'IEA Data'!$D$15:$E$15,K$1)/hours_per_year/btu_per_kwh*usd_year_conv</f>
        <v>8.1644420152989595E-5</v>
      </c>
      <c r="L4">
        <f>TREND('IEA Data'!$D10:$E10,'IEA Data'!$D$15:$E$15,L$1)/hours_per_year/btu_per_kwh*usd_year_conv</f>
        <v>8.1644420152989595E-5</v>
      </c>
      <c r="M4">
        <f>TREND('IEA Data'!$D10:$E10,'IEA Data'!$D$15:$E$15,M$1)/hours_per_year/btu_per_kwh*usd_year_conv</f>
        <v>8.1644420152989595E-5</v>
      </c>
      <c r="N4">
        <f>TREND('IEA Data'!$D10:$E10,'IEA Data'!$D$15:$E$15,N$1)/hours_per_year/btu_per_kwh*usd_year_conv</f>
        <v>8.1644420152989595E-5</v>
      </c>
      <c r="O4">
        <f>TREND('IEA Data'!$D10:$E10,'IEA Data'!$D$15:$E$15,O$1)/hours_per_year/btu_per_kwh*usd_year_conv</f>
        <v>8.1644420152989595E-5</v>
      </c>
      <c r="P4">
        <f>TREND('IEA Data'!$E10:$F10,'IEA Data'!$E$15:$F$15,P$1)/hours_per_year/btu_per_kwh*usd_year_conv</f>
        <v>8.1644420152989595E-5</v>
      </c>
      <c r="Q4">
        <f>TREND('IEA Data'!$E10:$F10,'IEA Data'!$E$15:$F$15,Q$1)/hours_per_year/btu_per_kwh*usd_year_conv</f>
        <v>8.1644420152989595E-5</v>
      </c>
      <c r="R4">
        <f>TREND('IEA Data'!$E10:$F10,'IEA Data'!$E$15:$F$15,R$1)/hours_per_year/btu_per_kwh*usd_year_conv</f>
        <v>8.1644420152989595E-5</v>
      </c>
      <c r="S4">
        <f>TREND('IEA Data'!$E10:$F10,'IEA Data'!$E$15:$F$15,S$1)/hours_per_year/btu_per_kwh*usd_year_conv</f>
        <v>8.1644420152989595E-5</v>
      </c>
      <c r="T4">
        <f>TREND('IEA Data'!$E10:$F10,'IEA Data'!$E$15:$F$15,T$1)/hours_per_year/btu_per_kwh*usd_year_conv</f>
        <v>8.1644420152989595E-5</v>
      </c>
      <c r="U4">
        <f>TREND('IEA Data'!$E10:$F10,'IEA Data'!$E$15:$F$15,U$1)/hours_per_year/btu_per_kwh*usd_year_conv</f>
        <v>8.1644420152989595E-5</v>
      </c>
      <c r="V4">
        <f>TREND('IEA Data'!$E10:$F10,'IEA Data'!$E$15:$F$15,V$1)/hours_per_year/btu_per_kwh*usd_year_conv</f>
        <v>8.1644420152989595E-5</v>
      </c>
      <c r="W4">
        <f>TREND('IEA Data'!$E10:$F10,'IEA Data'!$E$15:$F$15,W$1)/hours_per_year/btu_per_kwh*usd_year_conv</f>
        <v>8.1644420152989595E-5</v>
      </c>
      <c r="X4">
        <f>TREND('IEA Data'!$E10:$F10,'IEA Data'!$E$15:$F$15,X$1)/hours_per_year/btu_per_kwh*usd_year_conv</f>
        <v>8.1644420152989595E-5</v>
      </c>
      <c r="Y4">
        <f>TREND('IEA Data'!$E10:$F10,'IEA Data'!$E$15:$F$15,Y$1)/hours_per_year/btu_per_kwh*usd_year_conv</f>
        <v>8.1644420152989595E-5</v>
      </c>
      <c r="Z4">
        <f>TREND('IEA Data'!$E10:$F10,'IEA Data'!$E$15:$F$15,Z$1)/hours_per_year/btu_per_kwh*usd_year_conv</f>
        <v>8.1644420152989595E-5</v>
      </c>
      <c r="AA4">
        <f>TREND('IEA Data'!$E10:$F10,'IEA Data'!$E$15:$F$15,AA$1)/hours_per_year/btu_per_kwh*usd_year_conv</f>
        <v>8.1644420152989595E-5</v>
      </c>
      <c r="AB4">
        <f>TREND('IEA Data'!$E10:$F10,'IEA Data'!$E$15:$F$15,AB$1)/hours_per_year/btu_per_kwh*usd_year_conv</f>
        <v>8.1644420152989595E-5</v>
      </c>
      <c r="AC4">
        <f>TREND('IEA Data'!$E10:$F10,'IEA Data'!$E$15:$F$15,AC$1)/hours_per_year/btu_per_kwh*usd_year_conv</f>
        <v>8.1644420152989595E-5</v>
      </c>
      <c r="AD4">
        <f>TREND('IEA Data'!$E10:$F10,'IEA Data'!$E$15:$F$15,AD$1)/hours_per_year/btu_per_kwh*usd_year_conv</f>
        <v>8.1644420152989595E-5</v>
      </c>
      <c r="AE4">
        <f>TREND('IEA Data'!$E10:$F10,'IEA Data'!$E$15:$F$15,AE$1)/hours_per_year/btu_per_kwh*usd_year_conv</f>
        <v>8.1644420152989595E-5</v>
      </c>
      <c r="AF4">
        <f>TREND('IEA Data'!$E10:$F10,'IEA Data'!$E$15:$F$15,AF$1)/hours_per_year/btu_per_kwh*usd_year_conv</f>
        <v>8.1644420152989595E-5</v>
      </c>
      <c r="AG4">
        <f>TREND('IEA Data'!$E10:$F10,'IEA Data'!$E$15:$F$15,AG$1)/hours_per_year/btu_per_kwh*usd_year_conv</f>
        <v>8.1644420152989595E-5</v>
      </c>
      <c r="AH4">
        <f>TREND('IEA Data'!$E10:$F10,'IEA Data'!$E$15:$F$15,AH$1)/hours_per_year/btu_per_kwh*usd_year_conv</f>
        <v>8.1644420152989595E-5</v>
      </c>
      <c r="AI4">
        <f>TREND('IEA Data'!$E10:$F10,'IEA Data'!$E$15:$F$15,AI$1)/hours_per_year/btu_per_kwh*usd_year_conv</f>
        <v>8.1644420152989595E-5</v>
      </c>
    </row>
    <row r="5" spans="1:35" x14ac:dyDescent="0.35">
      <c r="A5" t="s">
        <v>25</v>
      </c>
      <c r="B5">
        <f>B4</f>
        <v>8.1644420152989595E-5</v>
      </c>
      <c r="C5">
        <f t="shared" ref="C5:O5" si="0">C4</f>
        <v>8.1644420152989595E-5</v>
      </c>
      <c r="D5">
        <f t="shared" si="0"/>
        <v>8.1644420152989595E-5</v>
      </c>
      <c r="E5">
        <f t="shared" si="0"/>
        <v>8.1644420152989595E-5</v>
      </c>
      <c r="F5">
        <f t="shared" si="0"/>
        <v>8.1644420152989595E-5</v>
      </c>
      <c r="G5">
        <f t="shared" si="0"/>
        <v>8.1644420152989595E-5</v>
      </c>
      <c r="H5">
        <f t="shared" si="0"/>
        <v>8.1644420152989595E-5</v>
      </c>
      <c r="I5">
        <f t="shared" si="0"/>
        <v>8.1644420152989595E-5</v>
      </c>
      <c r="J5">
        <f t="shared" si="0"/>
        <v>8.1644420152989595E-5</v>
      </c>
      <c r="K5">
        <f t="shared" si="0"/>
        <v>8.1644420152989595E-5</v>
      </c>
      <c r="L5">
        <f t="shared" si="0"/>
        <v>8.1644420152989595E-5</v>
      </c>
      <c r="M5">
        <f t="shared" si="0"/>
        <v>8.1644420152989595E-5</v>
      </c>
      <c r="N5">
        <f t="shared" si="0"/>
        <v>8.1644420152989595E-5</v>
      </c>
      <c r="O5">
        <f t="shared" si="0"/>
        <v>8.1644420152989595E-5</v>
      </c>
      <c r="P5">
        <f>P4</f>
        <v>8.1644420152989595E-5</v>
      </c>
      <c r="Q5">
        <f t="shared" ref="Q5:AI5" si="1">Q4</f>
        <v>8.1644420152989595E-5</v>
      </c>
      <c r="R5">
        <f t="shared" si="1"/>
        <v>8.1644420152989595E-5</v>
      </c>
      <c r="S5">
        <f t="shared" si="1"/>
        <v>8.1644420152989595E-5</v>
      </c>
      <c r="T5">
        <f t="shared" si="1"/>
        <v>8.1644420152989595E-5</v>
      </c>
      <c r="U5">
        <f t="shared" si="1"/>
        <v>8.1644420152989595E-5</v>
      </c>
      <c r="V5">
        <f t="shared" si="1"/>
        <v>8.1644420152989595E-5</v>
      </c>
      <c r="W5">
        <f t="shared" si="1"/>
        <v>8.1644420152989595E-5</v>
      </c>
      <c r="X5">
        <f t="shared" si="1"/>
        <v>8.1644420152989595E-5</v>
      </c>
      <c r="Y5">
        <f t="shared" si="1"/>
        <v>8.1644420152989595E-5</v>
      </c>
      <c r="Z5">
        <f t="shared" si="1"/>
        <v>8.1644420152989595E-5</v>
      </c>
      <c r="AA5">
        <f t="shared" si="1"/>
        <v>8.1644420152989595E-5</v>
      </c>
      <c r="AB5">
        <f t="shared" si="1"/>
        <v>8.1644420152989595E-5</v>
      </c>
      <c r="AC5">
        <f t="shared" si="1"/>
        <v>8.1644420152989595E-5</v>
      </c>
      <c r="AD5">
        <f t="shared" si="1"/>
        <v>8.1644420152989595E-5</v>
      </c>
      <c r="AE5">
        <f t="shared" si="1"/>
        <v>8.1644420152989595E-5</v>
      </c>
      <c r="AF5">
        <f t="shared" si="1"/>
        <v>8.1644420152989595E-5</v>
      </c>
      <c r="AG5">
        <f t="shared" si="1"/>
        <v>8.1644420152989595E-5</v>
      </c>
      <c r="AH5">
        <f t="shared" si="1"/>
        <v>8.1644420152989595E-5</v>
      </c>
      <c r="AI5">
        <f t="shared" si="1"/>
        <v>8.1644420152989595E-5</v>
      </c>
    </row>
    <row r="6" spans="1:35" x14ac:dyDescent="0.35">
      <c r="A6" t="s">
        <v>65</v>
      </c>
      <c r="B6">
        <f>B3*0.85</f>
        <v>2.3652419096755601E-5</v>
      </c>
      <c r="C6">
        <f>$B6</f>
        <v>2.3652419096755601E-5</v>
      </c>
      <c r="D6">
        <f t="shared" ref="D6:O6" si="2">$B6</f>
        <v>2.3652419096755601E-5</v>
      </c>
      <c r="E6">
        <f t="shared" si="2"/>
        <v>2.3652419096755601E-5</v>
      </c>
      <c r="F6">
        <f t="shared" si="2"/>
        <v>2.3652419096755601E-5</v>
      </c>
      <c r="G6">
        <f t="shared" si="2"/>
        <v>2.3652419096755601E-5</v>
      </c>
      <c r="H6">
        <f t="shared" si="2"/>
        <v>2.3652419096755601E-5</v>
      </c>
      <c r="I6">
        <f t="shared" si="2"/>
        <v>2.3652419096755601E-5</v>
      </c>
      <c r="J6">
        <f t="shared" si="2"/>
        <v>2.3652419096755601E-5</v>
      </c>
      <c r="K6">
        <f t="shared" si="2"/>
        <v>2.3652419096755601E-5</v>
      </c>
      <c r="L6">
        <f t="shared" si="2"/>
        <v>2.3652419096755601E-5</v>
      </c>
      <c r="M6">
        <f t="shared" si="2"/>
        <v>2.3652419096755601E-5</v>
      </c>
      <c r="N6">
        <f t="shared" si="2"/>
        <v>2.3652419096755601E-5</v>
      </c>
      <c r="O6">
        <f t="shared" si="2"/>
        <v>2.3652419096755601E-5</v>
      </c>
      <c r="P6">
        <f>$B6</f>
        <v>2.3652419096755601E-5</v>
      </c>
      <c r="Q6">
        <f t="shared" ref="Q6:AI6" si="3">$B6</f>
        <v>2.3652419096755601E-5</v>
      </c>
      <c r="R6">
        <f t="shared" si="3"/>
        <v>2.3652419096755601E-5</v>
      </c>
      <c r="S6">
        <f t="shared" si="3"/>
        <v>2.3652419096755601E-5</v>
      </c>
      <c r="T6">
        <f t="shared" si="3"/>
        <v>2.3652419096755601E-5</v>
      </c>
      <c r="U6">
        <f t="shared" si="3"/>
        <v>2.3652419096755601E-5</v>
      </c>
      <c r="V6">
        <f t="shared" si="3"/>
        <v>2.3652419096755601E-5</v>
      </c>
      <c r="W6">
        <f t="shared" si="3"/>
        <v>2.3652419096755601E-5</v>
      </c>
      <c r="X6">
        <f t="shared" si="3"/>
        <v>2.3652419096755601E-5</v>
      </c>
      <c r="Y6">
        <f t="shared" si="3"/>
        <v>2.3652419096755601E-5</v>
      </c>
      <c r="Z6">
        <f t="shared" si="3"/>
        <v>2.3652419096755601E-5</v>
      </c>
      <c r="AA6">
        <f t="shared" si="3"/>
        <v>2.3652419096755601E-5</v>
      </c>
      <c r="AB6">
        <f t="shared" si="3"/>
        <v>2.3652419096755601E-5</v>
      </c>
      <c r="AC6">
        <f t="shared" si="3"/>
        <v>2.3652419096755601E-5</v>
      </c>
      <c r="AD6">
        <f t="shared" si="3"/>
        <v>2.3652419096755601E-5</v>
      </c>
      <c r="AE6">
        <f t="shared" si="3"/>
        <v>2.3652419096755601E-5</v>
      </c>
      <c r="AF6">
        <f t="shared" si="3"/>
        <v>2.3652419096755601E-5</v>
      </c>
      <c r="AG6">
        <f t="shared" si="3"/>
        <v>2.3652419096755601E-5</v>
      </c>
      <c r="AH6">
        <f t="shared" si="3"/>
        <v>2.3652419096755601E-5</v>
      </c>
      <c r="AI6">
        <f t="shared" si="3"/>
        <v>2.3652419096755601E-5</v>
      </c>
    </row>
    <row r="7" spans="1:35" x14ac:dyDescent="0.35">
      <c r="A7" t="s">
        <v>63</v>
      </c>
      <c r="B7">
        <f>B2</f>
        <v>4.3000923535633535E-5</v>
      </c>
      <c r="C7">
        <f t="shared" ref="C7:O7" si="4">C2</f>
        <v>4.201338075431596E-5</v>
      </c>
      <c r="D7">
        <f t="shared" si="4"/>
        <v>4.1037566509593793E-5</v>
      </c>
      <c r="E7">
        <f t="shared" si="4"/>
        <v>4.0073273094207026E-5</v>
      </c>
      <c r="F7">
        <f t="shared" si="4"/>
        <v>3.9120297676653595E-5</v>
      </c>
      <c r="G7">
        <f t="shared" si="4"/>
        <v>3.817844215895476E-5</v>
      </c>
      <c r="H7">
        <f t="shared" si="4"/>
        <v>3.7247513039373087E-5</v>
      </c>
      <c r="I7">
        <f t="shared" si="4"/>
        <v>3.6327321279879023E-5</v>
      </c>
      <c r="J7">
        <f t="shared" si="4"/>
        <v>3.541768217817715E-5</v>
      </c>
      <c r="K7">
        <f t="shared" si="4"/>
        <v>3.451841524411173E-5</v>
      </c>
      <c r="L7">
        <f t="shared" si="4"/>
        <v>3.3629344080273645E-5</v>
      </c>
      <c r="M7">
        <f t="shared" si="4"/>
        <v>3.2750296266648113E-5</v>
      </c>
      <c r="N7">
        <f t="shared" si="4"/>
        <v>3.1881103249139282E-5</v>
      </c>
      <c r="O7">
        <f t="shared" si="4"/>
        <v>3.1021600231825811E-5</v>
      </c>
      <c r="P7">
        <f>P2</f>
        <v>3.0357651593548006E-5</v>
      </c>
      <c r="Q7">
        <f t="shared" ref="Q7:AI7" si="5">Q2</f>
        <v>2.96984795641786E-5</v>
      </c>
      <c r="R7">
        <f t="shared" si="5"/>
        <v>2.9044032782331559E-5</v>
      </c>
      <c r="S7">
        <f t="shared" si="5"/>
        <v>2.8394260620354893E-5</v>
      </c>
      <c r="T7">
        <f t="shared" si="5"/>
        <v>2.7749113171274816E-5</v>
      </c>
      <c r="U7">
        <f t="shared" si="5"/>
        <v>2.7108541236018042E-5</v>
      </c>
      <c r="V7">
        <f t="shared" si="5"/>
        <v>2.6472496310904389E-5</v>
      </c>
      <c r="W7">
        <f t="shared" si="5"/>
        <v>2.5840930575404244E-5</v>
      </c>
      <c r="X7">
        <f t="shared" si="5"/>
        <v>2.5213796880153191E-5</v>
      </c>
      <c r="Y7">
        <f t="shared" si="5"/>
        <v>2.4591048735218581E-5</v>
      </c>
      <c r="Z7">
        <f t="shared" si="5"/>
        <v>2.3972640298611068E-5</v>
      </c>
      <c r="AA7">
        <f t="shared" si="5"/>
        <v>2.3358526365035528E-5</v>
      </c>
      <c r="AB7">
        <f t="shared" si="5"/>
        <v>2.274866235487576E-5</v>
      </c>
      <c r="AC7">
        <f t="shared" si="5"/>
        <v>2.2143004303406723E-5</v>
      </c>
      <c r="AD7">
        <f t="shared" si="5"/>
        <v>2.1541508850229594E-5</v>
      </c>
      <c r="AE7">
        <f t="shared" si="5"/>
        <v>2.0944133228923517E-5</v>
      </c>
      <c r="AF7">
        <f t="shared" si="5"/>
        <v>2.0350835256909658E-5</v>
      </c>
      <c r="AG7">
        <f t="shared" si="5"/>
        <v>1.9761573325521718E-5</v>
      </c>
      <c r="AH7">
        <f t="shared" si="5"/>
        <v>1.9176306390278777E-5</v>
      </c>
      <c r="AI7">
        <f t="shared" si="5"/>
        <v>1.8594993961355075E-5</v>
      </c>
    </row>
    <row r="8" spans="1:35" x14ac:dyDescent="0.35">
      <c r="A8" t="s">
        <v>64</v>
      </c>
      <c r="B8">
        <f>B3</f>
        <v>2.7826375407947768E-5</v>
      </c>
      <c r="C8">
        <f t="shared" ref="C8:O8" si="6">C3</f>
        <v>2.7826375407947768E-5</v>
      </c>
      <c r="D8">
        <f t="shared" si="6"/>
        <v>2.7826375407947768E-5</v>
      </c>
      <c r="E8">
        <f t="shared" si="6"/>
        <v>2.7826375407947768E-5</v>
      </c>
      <c r="F8">
        <f t="shared" si="6"/>
        <v>2.7826375407947768E-5</v>
      </c>
      <c r="G8">
        <f t="shared" si="6"/>
        <v>2.7826375407947768E-5</v>
      </c>
      <c r="H8">
        <f t="shared" si="6"/>
        <v>2.7826375407947768E-5</v>
      </c>
      <c r="I8">
        <f t="shared" si="6"/>
        <v>2.7826375407947768E-5</v>
      </c>
      <c r="J8">
        <f t="shared" si="6"/>
        <v>2.7826375407947768E-5</v>
      </c>
      <c r="K8">
        <f t="shared" si="6"/>
        <v>2.7826375407947768E-5</v>
      </c>
      <c r="L8">
        <f t="shared" si="6"/>
        <v>2.7826375407947768E-5</v>
      </c>
      <c r="M8">
        <f t="shared" si="6"/>
        <v>2.7826375407947768E-5</v>
      </c>
      <c r="N8">
        <f t="shared" si="6"/>
        <v>2.7826375407947768E-5</v>
      </c>
      <c r="O8">
        <f t="shared" si="6"/>
        <v>2.7826375407947768E-5</v>
      </c>
      <c r="P8">
        <f>P3</f>
        <v>2.7826375407947768E-5</v>
      </c>
      <c r="Q8">
        <f t="shared" ref="Q8:AI8" si="7">Q3</f>
        <v>2.7826375407947768E-5</v>
      </c>
      <c r="R8">
        <f t="shared" si="7"/>
        <v>2.7826375407947768E-5</v>
      </c>
      <c r="S8">
        <f t="shared" si="7"/>
        <v>2.7826375407947768E-5</v>
      </c>
      <c r="T8">
        <f t="shared" si="7"/>
        <v>2.7826375407947768E-5</v>
      </c>
      <c r="U8">
        <f t="shared" si="7"/>
        <v>2.7826375407947768E-5</v>
      </c>
      <c r="V8">
        <f t="shared" si="7"/>
        <v>2.7826375407947768E-5</v>
      </c>
      <c r="W8">
        <f t="shared" si="7"/>
        <v>2.7826375407947768E-5</v>
      </c>
      <c r="X8">
        <f t="shared" si="7"/>
        <v>2.7826375407947768E-5</v>
      </c>
      <c r="Y8">
        <f t="shared" si="7"/>
        <v>2.7826375407947768E-5</v>
      </c>
      <c r="Z8">
        <f t="shared" si="7"/>
        <v>2.7826375407947768E-5</v>
      </c>
      <c r="AA8">
        <f t="shared" si="7"/>
        <v>2.7826375407947768E-5</v>
      </c>
      <c r="AB8">
        <f t="shared" si="7"/>
        <v>2.7826375407947768E-5</v>
      </c>
      <c r="AC8">
        <f t="shared" si="7"/>
        <v>2.7826375407947768E-5</v>
      </c>
      <c r="AD8">
        <f t="shared" si="7"/>
        <v>2.7826375407947768E-5</v>
      </c>
      <c r="AE8">
        <f t="shared" si="7"/>
        <v>2.7826375407947768E-5</v>
      </c>
      <c r="AF8">
        <f t="shared" si="7"/>
        <v>2.7826375407947768E-5</v>
      </c>
      <c r="AG8">
        <f t="shared" si="7"/>
        <v>2.7826375407947768E-5</v>
      </c>
      <c r="AH8">
        <f t="shared" si="7"/>
        <v>2.7826375407947768E-5</v>
      </c>
      <c r="AI8">
        <f t="shared" si="7"/>
        <v>2.7826375407947768E-5</v>
      </c>
    </row>
    <row r="11" spans="1:35" x14ac:dyDescent="0.35">
      <c r="A11" s="1" t="s">
        <v>76</v>
      </c>
      <c r="B11">
        <f>B1</f>
        <v>2017</v>
      </c>
      <c r="C11">
        <f t="shared" ref="C11:AI11" si="8">C1</f>
        <v>2018</v>
      </c>
      <c r="D11">
        <f t="shared" si="8"/>
        <v>2019</v>
      </c>
      <c r="E11">
        <f t="shared" si="8"/>
        <v>2020</v>
      </c>
      <c r="F11">
        <f t="shared" si="8"/>
        <v>2021</v>
      </c>
      <c r="G11">
        <f t="shared" si="8"/>
        <v>2022</v>
      </c>
      <c r="H11">
        <f t="shared" si="8"/>
        <v>2023</v>
      </c>
      <c r="I11">
        <f t="shared" si="8"/>
        <v>2024</v>
      </c>
      <c r="J11">
        <f t="shared" si="8"/>
        <v>2025</v>
      </c>
      <c r="K11">
        <f t="shared" si="8"/>
        <v>2026</v>
      </c>
      <c r="L11">
        <f t="shared" si="8"/>
        <v>2027</v>
      </c>
      <c r="M11">
        <f t="shared" si="8"/>
        <v>2028</v>
      </c>
      <c r="N11">
        <f t="shared" si="8"/>
        <v>2029</v>
      </c>
      <c r="O11">
        <f t="shared" si="8"/>
        <v>2030</v>
      </c>
      <c r="P11">
        <f t="shared" si="8"/>
        <v>2031</v>
      </c>
      <c r="Q11">
        <f t="shared" si="8"/>
        <v>2032</v>
      </c>
      <c r="R11">
        <f t="shared" si="8"/>
        <v>2033</v>
      </c>
      <c r="S11">
        <f t="shared" si="8"/>
        <v>2034</v>
      </c>
      <c r="T11">
        <f t="shared" si="8"/>
        <v>2035</v>
      </c>
      <c r="U11">
        <f t="shared" si="8"/>
        <v>2036</v>
      </c>
      <c r="V11">
        <f t="shared" si="8"/>
        <v>2037</v>
      </c>
      <c r="W11">
        <f t="shared" si="8"/>
        <v>2038</v>
      </c>
      <c r="X11">
        <f t="shared" si="8"/>
        <v>2039</v>
      </c>
      <c r="Y11">
        <f t="shared" si="8"/>
        <v>2040</v>
      </c>
      <c r="Z11">
        <f t="shared" si="8"/>
        <v>2041</v>
      </c>
      <c r="AA11">
        <f t="shared" si="8"/>
        <v>2042</v>
      </c>
      <c r="AB11">
        <f t="shared" si="8"/>
        <v>2043</v>
      </c>
      <c r="AC11">
        <f t="shared" si="8"/>
        <v>2044</v>
      </c>
      <c r="AD11">
        <f t="shared" si="8"/>
        <v>2045</v>
      </c>
      <c r="AE11">
        <f t="shared" si="8"/>
        <v>2046</v>
      </c>
      <c r="AF11">
        <f t="shared" si="8"/>
        <v>2047</v>
      </c>
      <c r="AG11">
        <f t="shared" si="8"/>
        <v>2048</v>
      </c>
      <c r="AH11">
        <f t="shared" si="8"/>
        <v>2049</v>
      </c>
      <c r="AI11">
        <f t="shared" si="8"/>
        <v>2050</v>
      </c>
    </row>
    <row r="12" spans="1:35" x14ac:dyDescent="0.35">
      <c r="A12" t="s">
        <v>7</v>
      </c>
      <c r="B12">
        <f>B2*'IEA Data'!$D$4</f>
        <v>6.4501385303450296E-7</v>
      </c>
      <c r="C12">
        <f>C2*'IEA Data'!$D$4</f>
        <v>6.3020071131473939E-7</v>
      </c>
      <c r="D12">
        <f>D2*'IEA Data'!$D$4</f>
        <v>6.1556349764390684E-7</v>
      </c>
      <c r="E12">
        <f>E2*'IEA Data'!$D$4</f>
        <v>6.0109909641310533E-7</v>
      </c>
      <c r="F12">
        <f>F2*'IEA Data'!$D$4</f>
        <v>5.8680446514980395E-7</v>
      </c>
      <c r="G12">
        <f>G2*'IEA Data'!$D$4</f>
        <v>5.7267663238432138E-7</v>
      </c>
      <c r="H12">
        <f>H2*'IEA Data'!$D$4</f>
        <v>5.587126955905963E-7</v>
      </c>
      <c r="I12">
        <f>I2*'IEA Data'!$D$4</f>
        <v>5.4490981919818528E-7</v>
      </c>
      <c r="J12">
        <f>J2*'IEA Data'!$D$4</f>
        <v>5.3126523267265722E-7</v>
      </c>
      <c r="K12">
        <f>K2*'IEA Data'!$D$4</f>
        <v>5.1777622866167588E-7</v>
      </c>
      <c r="L12">
        <f>L2*'IEA Data'!$D$4</f>
        <v>5.0444016120410464E-7</v>
      </c>
      <c r="M12">
        <f>M2*'IEA Data'!$D$4</f>
        <v>4.9125444399972163E-7</v>
      </c>
      <c r="N12">
        <f>N2*'IEA Data'!$D$4</f>
        <v>4.7821654873708916E-7</v>
      </c>
      <c r="O12">
        <f>O2*'IEA Data'!$D$4</f>
        <v>4.6532400347738714E-7</v>
      </c>
      <c r="P12">
        <f>P2*'IEA Data'!$D$4</f>
        <v>4.5536477390322006E-7</v>
      </c>
      <c r="Q12">
        <f>Q2*'IEA Data'!$D$4</f>
        <v>4.4547719346267896E-7</v>
      </c>
      <c r="R12">
        <f>R2*'IEA Data'!$D$4</f>
        <v>4.3566049173497335E-7</v>
      </c>
      <c r="S12">
        <f>S2*'IEA Data'!$D$4</f>
        <v>4.2591390930532337E-7</v>
      </c>
      <c r="T12">
        <f>T2*'IEA Data'!$D$4</f>
        <v>4.1623669756912224E-7</v>
      </c>
      <c r="U12">
        <f>U2*'IEA Data'!$D$4</f>
        <v>4.0662811854027063E-7</v>
      </c>
      <c r="V12">
        <f>V2*'IEA Data'!$D$4</f>
        <v>3.9708744466356583E-7</v>
      </c>
      <c r="W12">
        <f>W2*'IEA Data'!$D$4</f>
        <v>3.8761395863106366E-7</v>
      </c>
      <c r="X12">
        <f>X2*'IEA Data'!$D$4</f>
        <v>3.7820695320229784E-7</v>
      </c>
      <c r="Y12">
        <f>Y2*'IEA Data'!$D$4</f>
        <v>3.6886573102827869E-7</v>
      </c>
      <c r="Z12">
        <f>Z2*'IEA Data'!$D$4</f>
        <v>3.5958960447916601E-7</v>
      </c>
      <c r="AA12">
        <f>AA2*'IEA Data'!$D$4</f>
        <v>3.503778954755329E-7</v>
      </c>
      <c r="AB12">
        <f>AB2*'IEA Data'!$D$4</f>
        <v>3.4122993532313637E-7</v>
      </c>
      <c r="AC12">
        <f>AC2*'IEA Data'!$D$4</f>
        <v>3.3214506455110082E-7</v>
      </c>
      <c r="AD12">
        <f>AD2*'IEA Data'!$D$4</f>
        <v>3.2312263275344392E-7</v>
      </c>
      <c r="AE12">
        <f>AE2*'IEA Data'!$D$4</f>
        <v>3.1416199843385276E-7</v>
      </c>
      <c r="AF12">
        <f>AF2*'IEA Data'!$D$4</f>
        <v>3.0526252885364487E-7</v>
      </c>
      <c r="AG12">
        <f>AG2*'IEA Data'!$D$4</f>
        <v>2.9642359988282574E-7</v>
      </c>
      <c r="AH12">
        <f>AH2*'IEA Data'!$D$4</f>
        <v>2.8764459585418163E-7</v>
      </c>
      <c r="AI12">
        <f>AI2*'IEA Data'!$D$4</f>
        <v>2.789249094203261E-7</v>
      </c>
    </row>
    <row r="13" spans="1:35" x14ac:dyDescent="0.35">
      <c r="A13" t="s">
        <v>16</v>
      </c>
      <c r="B13">
        <f>B3*'IEA Data'!$D$8</f>
        <v>1.307839644173545E-6</v>
      </c>
      <c r="C13">
        <f>C3*'IEA Data'!$D$8</f>
        <v>1.307839644173545E-6</v>
      </c>
      <c r="D13">
        <f>D3*'IEA Data'!$D$8</f>
        <v>1.307839644173545E-6</v>
      </c>
      <c r="E13">
        <f>E3*'IEA Data'!$D$8</f>
        <v>1.307839644173545E-6</v>
      </c>
      <c r="F13">
        <f>F3*'IEA Data'!$D$8</f>
        <v>1.307839644173545E-6</v>
      </c>
      <c r="G13">
        <f>G3*'IEA Data'!$D$8</f>
        <v>1.307839644173545E-6</v>
      </c>
      <c r="H13">
        <f>H3*'IEA Data'!$D$8</f>
        <v>1.307839644173545E-6</v>
      </c>
      <c r="I13">
        <f>I3*'IEA Data'!$D$8</f>
        <v>1.307839644173545E-6</v>
      </c>
      <c r="J13">
        <f>J3*'IEA Data'!$D$8</f>
        <v>1.307839644173545E-6</v>
      </c>
      <c r="K13">
        <f>K3*'IEA Data'!$D$8</f>
        <v>1.307839644173545E-6</v>
      </c>
      <c r="L13">
        <f>L3*'IEA Data'!$D$8</f>
        <v>1.307839644173545E-6</v>
      </c>
      <c r="M13">
        <f>M3*'IEA Data'!$D$8</f>
        <v>1.307839644173545E-6</v>
      </c>
      <c r="N13">
        <f>N3*'IEA Data'!$D$8</f>
        <v>1.307839644173545E-6</v>
      </c>
      <c r="O13">
        <f>O3*'IEA Data'!$D$8</f>
        <v>1.307839644173545E-6</v>
      </c>
      <c r="P13">
        <f>P3*'IEA Data'!$D$8</f>
        <v>1.307839644173545E-6</v>
      </c>
      <c r="Q13">
        <f>Q3*'IEA Data'!$D$8</f>
        <v>1.307839644173545E-6</v>
      </c>
      <c r="R13">
        <f>R3*'IEA Data'!$D$8</f>
        <v>1.307839644173545E-6</v>
      </c>
      <c r="S13">
        <f>S3*'IEA Data'!$D$8</f>
        <v>1.307839644173545E-6</v>
      </c>
      <c r="T13">
        <f>T3*'IEA Data'!$D$8</f>
        <v>1.307839644173545E-6</v>
      </c>
      <c r="U13">
        <f>U3*'IEA Data'!$D$8</f>
        <v>1.307839644173545E-6</v>
      </c>
      <c r="V13">
        <f>V3*'IEA Data'!$D$8</f>
        <v>1.307839644173545E-6</v>
      </c>
      <c r="W13">
        <f>W3*'IEA Data'!$D$8</f>
        <v>1.307839644173545E-6</v>
      </c>
      <c r="X13">
        <f>X3*'IEA Data'!$D$8</f>
        <v>1.307839644173545E-6</v>
      </c>
      <c r="Y13">
        <f>Y3*'IEA Data'!$D$8</f>
        <v>1.307839644173545E-6</v>
      </c>
      <c r="Z13">
        <f>Z3*'IEA Data'!$D$8</f>
        <v>1.307839644173545E-6</v>
      </c>
      <c r="AA13">
        <f>AA3*'IEA Data'!$D$8</f>
        <v>1.307839644173545E-6</v>
      </c>
      <c r="AB13">
        <f>AB3*'IEA Data'!$D$8</f>
        <v>1.307839644173545E-6</v>
      </c>
      <c r="AC13">
        <f>AC3*'IEA Data'!$D$8</f>
        <v>1.307839644173545E-6</v>
      </c>
      <c r="AD13">
        <f>AD3*'IEA Data'!$D$8</f>
        <v>1.307839644173545E-6</v>
      </c>
      <c r="AE13">
        <f>AE3*'IEA Data'!$D$8</f>
        <v>1.307839644173545E-6</v>
      </c>
      <c r="AF13">
        <f>AF3*'IEA Data'!$D$8</f>
        <v>1.307839644173545E-6</v>
      </c>
      <c r="AG13">
        <f>AG3*'IEA Data'!$D$8</f>
        <v>1.307839644173545E-6</v>
      </c>
      <c r="AH13">
        <f>AH3*'IEA Data'!$D$8</f>
        <v>1.307839644173545E-6</v>
      </c>
      <c r="AI13">
        <f>AI3*'IEA Data'!$D$8</f>
        <v>1.307839644173545E-6</v>
      </c>
    </row>
    <row r="14" spans="1:35" x14ac:dyDescent="0.35">
      <c r="A14" t="s">
        <v>19</v>
      </c>
      <c r="B14">
        <f>B4*'IEA Data'!$D$12</f>
        <v>4.0822210076494796E-6</v>
      </c>
      <c r="C14">
        <f>C4*'IEA Data'!$D$12</f>
        <v>4.0822210076494796E-6</v>
      </c>
      <c r="D14">
        <f>D4*'IEA Data'!$D$12</f>
        <v>4.0822210076494796E-6</v>
      </c>
      <c r="E14">
        <f>E4*'IEA Data'!$D$12</f>
        <v>4.0822210076494796E-6</v>
      </c>
      <c r="F14">
        <f>F4*'IEA Data'!$D$12</f>
        <v>4.0822210076494796E-6</v>
      </c>
      <c r="G14">
        <f>G4*'IEA Data'!$D$12</f>
        <v>4.0822210076494796E-6</v>
      </c>
      <c r="H14">
        <f>H4*'IEA Data'!$D$12</f>
        <v>4.0822210076494796E-6</v>
      </c>
      <c r="I14">
        <f>I4*'IEA Data'!$D$12</f>
        <v>4.0822210076494796E-6</v>
      </c>
      <c r="J14">
        <f>J4*'IEA Data'!$D$12</f>
        <v>4.0822210076494796E-6</v>
      </c>
      <c r="K14">
        <f>K4*'IEA Data'!$D$12</f>
        <v>4.0822210076494796E-6</v>
      </c>
      <c r="L14">
        <f>L4*'IEA Data'!$D$12</f>
        <v>4.0822210076494796E-6</v>
      </c>
      <c r="M14">
        <f>M4*'IEA Data'!$D$12</f>
        <v>4.0822210076494796E-6</v>
      </c>
      <c r="N14">
        <f>N4*'IEA Data'!$D$12</f>
        <v>4.0822210076494796E-6</v>
      </c>
      <c r="O14">
        <f>O4*'IEA Data'!$D$12</f>
        <v>4.0822210076494796E-6</v>
      </c>
      <c r="P14">
        <f>P4*'IEA Data'!$D$12</f>
        <v>4.0822210076494796E-6</v>
      </c>
      <c r="Q14">
        <f>Q4*'IEA Data'!$D$12</f>
        <v>4.0822210076494796E-6</v>
      </c>
      <c r="R14">
        <f>R4*'IEA Data'!$D$12</f>
        <v>4.0822210076494796E-6</v>
      </c>
      <c r="S14">
        <f>S4*'IEA Data'!$D$12</f>
        <v>4.0822210076494796E-6</v>
      </c>
      <c r="T14">
        <f>T4*'IEA Data'!$D$12</f>
        <v>4.0822210076494796E-6</v>
      </c>
      <c r="U14">
        <f>U4*'IEA Data'!$D$12</f>
        <v>4.0822210076494796E-6</v>
      </c>
      <c r="V14">
        <f>V4*'IEA Data'!$D$12</f>
        <v>4.0822210076494796E-6</v>
      </c>
      <c r="W14">
        <f>W4*'IEA Data'!$D$12</f>
        <v>4.0822210076494796E-6</v>
      </c>
      <c r="X14">
        <f>X4*'IEA Data'!$D$12</f>
        <v>4.0822210076494796E-6</v>
      </c>
      <c r="Y14">
        <f>Y4*'IEA Data'!$D$12</f>
        <v>4.0822210076494796E-6</v>
      </c>
      <c r="Z14">
        <f>Z4*'IEA Data'!$D$12</f>
        <v>4.0822210076494796E-6</v>
      </c>
      <c r="AA14">
        <f>AA4*'IEA Data'!$D$12</f>
        <v>4.0822210076494796E-6</v>
      </c>
      <c r="AB14">
        <f>AB4*'IEA Data'!$D$12</f>
        <v>4.0822210076494796E-6</v>
      </c>
      <c r="AC14">
        <f>AC4*'IEA Data'!$D$12</f>
        <v>4.0822210076494796E-6</v>
      </c>
      <c r="AD14">
        <f>AD4*'IEA Data'!$D$12</f>
        <v>4.0822210076494796E-6</v>
      </c>
      <c r="AE14">
        <f>AE4*'IEA Data'!$D$12</f>
        <v>4.0822210076494796E-6</v>
      </c>
      <c r="AF14">
        <f>AF4*'IEA Data'!$D$12</f>
        <v>4.0822210076494796E-6</v>
      </c>
      <c r="AG14">
        <f>AG4*'IEA Data'!$D$12</f>
        <v>4.0822210076494796E-6</v>
      </c>
      <c r="AH14">
        <f>AH4*'IEA Data'!$D$12</f>
        <v>4.0822210076494796E-6</v>
      </c>
      <c r="AI14">
        <f>AI4*'IEA Data'!$D$12</f>
        <v>4.0822210076494796E-6</v>
      </c>
    </row>
    <row r="15" spans="1:35" x14ac:dyDescent="0.35">
      <c r="A15" t="s">
        <v>25</v>
      </c>
      <c r="B15">
        <f>B14</f>
        <v>4.0822210076494796E-6</v>
      </c>
      <c r="C15">
        <f t="shared" ref="C15:AI15" si="9">C14</f>
        <v>4.0822210076494796E-6</v>
      </c>
      <c r="D15">
        <f t="shared" si="9"/>
        <v>4.0822210076494796E-6</v>
      </c>
      <c r="E15">
        <f t="shared" si="9"/>
        <v>4.0822210076494796E-6</v>
      </c>
      <c r="F15">
        <f t="shared" si="9"/>
        <v>4.0822210076494796E-6</v>
      </c>
      <c r="G15">
        <f t="shared" si="9"/>
        <v>4.0822210076494796E-6</v>
      </c>
      <c r="H15">
        <f t="shared" si="9"/>
        <v>4.0822210076494796E-6</v>
      </c>
      <c r="I15">
        <f t="shared" si="9"/>
        <v>4.0822210076494796E-6</v>
      </c>
      <c r="J15">
        <f t="shared" si="9"/>
        <v>4.0822210076494796E-6</v>
      </c>
      <c r="K15">
        <f t="shared" si="9"/>
        <v>4.0822210076494796E-6</v>
      </c>
      <c r="L15">
        <f t="shared" si="9"/>
        <v>4.0822210076494796E-6</v>
      </c>
      <c r="M15">
        <f t="shared" si="9"/>
        <v>4.0822210076494796E-6</v>
      </c>
      <c r="N15">
        <f t="shared" si="9"/>
        <v>4.0822210076494796E-6</v>
      </c>
      <c r="O15">
        <f t="shared" si="9"/>
        <v>4.0822210076494796E-6</v>
      </c>
      <c r="P15">
        <f t="shared" si="9"/>
        <v>4.0822210076494796E-6</v>
      </c>
      <c r="Q15">
        <f t="shared" si="9"/>
        <v>4.0822210076494796E-6</v>
      </c>
      <c r="R15">
        <f t="shared" si="9"/>
        <v>4.0822210076494796E-6</v>
      </c>
      <c r="S15">
        <f t="shared" si="9"/>
        <v>4.0822210076494796E-6</v>
      </c>
      <c r="T15">
        <f t="shared" si="9"/>
        <v>4.0822210076494796E-6</v>
      </c>
      <c r="U15">
        <f t="shared" si="9"/>
        <v>4.0822210076494796E-6</v>
      </c>
      <c r="V15">
        <f t="shared" si="9"/>
        <v>4.0822210076494796E-6</v>
      </c>
      <c r="W15">
        <f t="shared" si="9"/>
        <v>4.0822210076494796E-6</v>
      </c>
      <c r="X15">
        <f t="shared" si="9"/>
        <v>4.0822210076494796E-6</v>
      </c>
      <c r="Y15">
        <f t="shared" si="9"/>
        <v>4.0822210076494796E-6</v>
      </c>
      <c r="Z15">
        <f t="shared" si="9"/>
        <v>4.0822210076494796E-6</v>
      </c>
      <c r="AA15">
        <f t="shared" si="9"/>
        <v>4.0822210076494796E-6</v>
      </c>
      <c r="AB15">
        <f t="shared" si="9"/>
        <v>4.0822210076494796E-6</v>
      </c>
      <c r="AC15">
        <f t="shared" si="9"/>
        <v>4.0822210076494796E-6</v>
      </c>
      <c r="AD15">
        <f t="shared" si="9"/>
        <v>4.0822210076494796E-6</v>
      </c>
      <c r="AE15">
        <f t="shared" si="9"/>
        <v>4.0822210076494796E-6</v>
      </c>
      <c r="AF15">
        <f t="shared" si="9"/>
        <v>4.0822210076494796E-6</v>
      </c>
      <c r="AG15">
        <f t="shared" si="9"/>
        <v>4.0822210076494796E-6</v>
      </c>
      <c r="AH15">
        <f t="shared" si="9"/>
        <v>4.0822210076494796E-6</v>
      </c>
      <c r="AI15">
        <f t="shared" si="9"/>
        <v>4.0822210076494796E-6</v>
      </c>
    </row>
    <row r="16" spans="1:35" x14ac:dyDescent="0.35">
      <c r="A16" t="s">
        <v>65</v>
      </c>
      <c r="B16">
        <f>B13*0.95</f>
        <v>1.2424476619648677E-6</v>
      </c>
      <c r="C16">
        <f>$B16</f>
        <v>1.2424476619648677E-6</v>
      </c>
      <c r="D16">
        <f t="shared" ref="D16:AI16" si="10">$B16</f>
        <v>1.2424476619648677E-6</v>
      </c>
      <c r="E16">
        <f t="shared" si="10"/>
        <v>1.2424476619648677E-6</v>
      </c>
      <c r="F16">
        <f t="shared" si="10"/>
        <v>1.2424476619648677E-6</v>
      </c>
      <c r="G16">
        <f t="shared" si="10"/>
        <v>1.2424476619648677E-6</v>
      </c>
      <c r="H16">
        <f t="shared" si="10"/>
        <v>1.2424476619648677E-6</v>
      </c>
      <c r="I16">
        <f t="shared" si="10"/>
        <v>1.2424476619648677E-6</v>
      </c>
      <c r="J16">
        <f t="shared" si="10"/>
        <v>1.2424476619648677E-6</v>
      </c>
      <c r="K16">
        <f t="shared" si="10"/>
        <v>1.2424476619648677E-6</v>
      </c>
      <c r="L16">
        <f t="shared" si="10"/>
        <v>1.2424476619648677E-6</v>
      </c>
      <c r="M16">
        <f t="shared" si="10"/>
        <v>1.2424476619648677E-6</v>
      </c>
      <c r="N16">
        <f t="shared" si="10"/>
        <v>1.2424476619648677E-6</v>
      </c>
      <c r="O16">
        <f t="shared" si="10"/>
        <v>1.2424476619648677E-6</v>
      </c>
      <c r="P16">
        <f t="shared" si="10"/>
        <v>1.2424476619648677E-6</v>
      </c>
      <c r="Q16">
        <f t="shared" si="10"/>
        <v>1.2424476619648677E-6</v>
      </c>
      <c r="R16">
        <f t="shared" si="10"/>
        <v>1.2424476619648677E-6</v>
      </c>
      <c r="S16">
        <f t="shared" si="10"/>
        <v>1.2424476619648677E-6</v>
      </c>
      <c r="T16">
        <f t="shared" si="10"/>
        <v>1.2424476619648677E-6</v>
      </c>
      <c r="U16">
        <f t="shared" si="10"/>
        <v>1.2424476619648677E-6</v>
      </c>
      <c r="V16">
        <f t="shared" si="10"/>
        <v>1.2424476619648677E-6</v>
      </c>
      <c r="W16">
        <f t="shared" si="10"/>
        <v>1.2424476619648677E-6</v>
      </c>
      <c r="X16">
        <f t="shared" si="10"/>
        <v>1.2424476619648677E-6</v>
      </c>
      <c r="Y16">
        <f t="shared" si="10"/>
        <v>1.2424476619648677E-6</v>
      </c>
      <c r="Z16">
        <f t="shared" si="10"/>
        <v>1.2424476619648677E-6</v>
      </c>
      <c r="AA16">
        <f t="shared" si="10"/>
        <v>1.2424476619648677E-6</v>
      </c>
      <c r="AB16">
        <f t="shared" si="10"/>
        <v>1.2424476619648677E-6</v>
      </c>
      <c r="AC16">
        <f t="shared" si="10"/>
        <v>1.2424476619648677E-6</v>
      </c>
      <c r="AD16">
        <f t="shared" si="10"/>
        <v>1.2424476619648677E-6</v>
      </c>
      <c r="AE16">
        <f t="shared" si="10"/>
        <v>1.2424476619648677E-6</v>
      </c>
      <c r="AF16">
        <f t="shared" si="10"/>
        <v>1.2424476619648677E-6</v>
      </c>
      <c r="AG16">
        <f t="shared" si="10"/>
        <v>1.2424476619648677E-6</v>
      </c>
      <c r="AH16">
        <f t="shared" si="10"/>
        <v>1.2424476619648677E-6</v>
      </c>
      <c r="AI16">
        <f t="shared" si="10"/>
        <v>1.2424476619648677E-6</v>
      </c>
    </row>
    <row r="17" spans="1:35" x14ac:dyDescent="0.35">
      <c r="A17" t="s">
        <v>63</v>
      </c>
      <c r="B17">
        <f>B12</f>
        <v>6.4501385303450296E-7</v>
      </c>
      <c r="C17">
        <f t="shared" ref="C17:AI17" si="11">C12</f>
        <v>6.3020071131473939E-7</v>
      </c>
      <c r="D17">
        <f t="shared" si="11"/>
        <v>6.1556349764390684E-7</v>
      </c>
      <c r="E17">
        <f t="shared" si="11"/>
        <v>6.0109909641310533E-7</v>
      </c>
      <c r="F17">
        <f t="shared" si="11"/>
        <v>5.8680446514980395E-7</v>
      </c>
      <c r="G17">
        <f t="shared" si="11"/>
        <v>5.7267663238432138E-7</v>
      </c>
      <c r="H17">
        <f t="shared" si="11"/>
        <v>5.587126955905963E-7</v>
      </c>
      <c r="I17">
        <f t="shared" si="11"/>
        <v>5.4490981919818528E-7</v>
      </c>
      <c r="J17">
        <f t="shared" si="11"/>
        <v>5.3126523267265722E-7</v>
      </c>
      <c r="K17">
        <f t="shared" si="11"/>
        <v>5.1777622866167588E-7</v>
      </c>
      <c r="L17">
        <f t="shared" si="11"/>
        <v>5.0444016120410464E-7</v>
      </c>
      <c r="M17">
        <f t="shared" si="11"/>
        <v>4.9125444399972163E-7</v>
      </c>
      <c r="N17">
        <f t="shared" si="11"/>
        <v>4.7821654873708916E-7</v>
      </c>
      <c r="O17">
        <f t="shared" si="11"/>
        <v>4.6532400347738714E-7</v>
      </c>
      <c r="P17">
        <f t="shared" si="11"/>
        <v>4.5536477390322006E-7</v>
      </c>
      <c r="Q17">
        <f t="shared" si="11"/>
        <v>4.4547719346267896E-7</v>
      </c>
      <c r="R17">
        <f t="shared" si="11"/>
        <v>4.3566049173497335E-7</v>
      </c>
      <c r="S17">
        <f t="shared" si="11"/>
        <v>4.2591390930532337E-7</v>
      </c>
      <c r="T17">
        <f t="shared" si="11"/>
        <v>4.1623669756912224E-7</v>
      </c>
      <c r="U17">
        <f t="shared" si="11"/>
        <v>4.0662811854027063E-7</v>
      </c>
      <c r="V17">
        <f t="shared" si="11"/>
        <v>3.9708744466356583E-7</v>
      </c>
      <c r="W17">
        <f t="shared" si="11"/>
        <v>3.8761395863106366E-7</v>
      </c>
      <c r="X17">
        <f t="shared" si="11"/>
        <v>3.7820695320229784E-7</v>
      </c>
      <c r="Y17">
        <f t="shared" si="11"/>
        <v>3.6886573102827869E-7</v>
      </c>
      <c r="Z17">
        <f t="shared" si="11"/>
        <v>3.5958960447916601E-7</v>
      </c>
      <c r="AA17">
        <f t="shared" si="11"/>
        <v>3.503778954755329E-7</v>
      </c>
      <c r="AB17">
        <f t="shared" si="11"/>
        <v>3.4122993532313637E-7</v>
      </c>
      <c r="AC17">
        <f t="shared" si="11"/>
        <v>3.3214506455110082E-7</v>
      </c>
      <c r="AD17">
        <f t="shared" si="11"/>
        <v>3.2312263275344392E-7</v>
      </c>
      <c r="AE17">
        <f t="shared" si="11"/>
        <v>3.1416199843385276E-7</v>
      </c>
      <c r="AF17">
        <f t="shared" si="11"/>
        <v>3.0526252885364487E-7</v>
      </c>
      <c r="AG17">
        <f t="shared" si="11"/>
        <v>2.9642359988282574E-7</v>
      </c>
      <c r="AH17">
        <f t="shared" si="11"/>
        <v>2.8764459585418163E-7</v>
      </c>
      <c r="AI17">
        <f t="shared" si="11"/>
        <v>2.789249094203261E-7</v>
      </c>
    </row>
    <row r="18" spans="1:35" x14ac:dyDescent="0.35">
      <c r="A18" t="s">
        <v>64</v>
      </c>
      <c r="B18">
        <f>B13</f>
        <v>1.307839644173545E-6</v>
      </c>
      <c r="C18">
        <f t="shared" ref="C18:AI18" si="12">C13</f>
        <v>1.307839644173545E-6</v>
      </c>
      <c r="D18">
        <f t="shared" si="12"/>
        <v>1.307839644173545E-6</v>
      </c>
      <c r="E18">
        <f t="shared" si="12"/>
        <v>1.307839644173545E-6</v>
      </c>
      <c r="F18">
        <f t="shared" si="12"/>
        <v>1.307839644173545E-6</v>
      </c>
      <c r="G18">
        <f t="shared" si="12"/>
        <v>1.307839644173545E-6</v>
      </c>
      <c r="H18">
        <f t="shared" si="12"/>
        <v>1.307839644173545E-6</v>
      </c>
      <c r="I18">
        <f t="shared" si="12"/>
        <v>1.307839644173545E-6</v>
      </c>
      <c r="J18">
        <f t="shared" si="12"/>
        <v>1.307839644173545E-6</v>
      </c>
      <c r="K18">
        <f t="shared" si="12"/>
        <v>1.307839644173545E-6</v>
      </c>
      <c r="L18">
        <f t="shared" si="12"/>
        <v>1.307839644173545E-6</v>
      </c>
      <c r="M18">
        <f t="shared" si="12"/>
        <v>1.307839644173545E-6</v>
      </c>
      <c r="N18">
        <f t="shared" si="12"/>
        <v>1.307839644173545E-6</v>
      </c>
      <c r="O18">
        <f t="shared" si="12"/>
        <v>1.307839644173545E-6</v>
      </c>
      <c r="P18">
        <f t="shared" si="12"/>
        <v>1.307839644173545E-6</v>
      </c>
      <c r="Q18">
        <f t="shared" si="12"/>
        <v>1.307839644173545E-6</v>
      </c>
      <c r="R18">
        <f t="shared" si="12"/>
        <v>1.307839644173545E-6</v>
      </c>
      <c r="S18">
        <f t="shared" si="12"/>
        <v>1.307839644173545E-6</v>
      </c>
      <c r="T18">
        <f t="shared" si="12"/>
        <v>1.307839644173545E-6</v>
      </c>
      <c r="U18">
        <f t="shared" si="12"/>
        <v>1.307839644173545E-6</v>
      </c>
      <c r="V18">
        <f t="shared" si="12"/>
        <v>1.307839644173545E-6</v>
      </c>
      <c r="W18">
        <f t="shared" si="12"/>
        <v>1.307839644173545E-6</v>
      </c>
      <c r="X18">
        <f t="shared" si="12"/>
        <v>1.307839644173545E-6</v>
      </c>
      <c r="Y18">
        <f t="shared" si="12"/>
        <v>1.307839644173545E-6</v>
      </c>
      <c r="Z18">
        <f t="shared" si="12"/>
        <v>1.307839644173545E-6</v>
      </c>
      <c r="AA18">
        <f t="shared" si="12"/>
        <v>1.307839644173545E-6</v>
      </c>
      <c r="AB18">
        <f t="shared" si="12"/>
        <v>1.307839644173545E-6</v>
      </c>
      <c r="AC18">
        <f t="shared" si="12"/>
        <v>1.307839644173545E-6</v>
      </c>
      <c r="AD18">
        <f t="shared" si="12"/>
        <v>1.307839644173545E-6</v>
      </c>
      <c r="AE18">
        <f t="shared" si="12"/>
        <v>1.307839644173545E-6</v>
      </c>
      <c r="AF18">
        <f t="shared" si="12"/>
        <v>1.307839644173545E-6</v>
      </c>
      <c r="AG18">
        <f t="shared" si="12"/>
        <v>1.307839644173545E-6</v>
      </c>
      <c r="AH18">
        <f t="shared" si="12"/>
        <v>1.307839644173545E-6</v>
      </c>
      <c r="AI18">
        <f t="shared" si="12"/>
        <v>1.307839644173545E-6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8"/>
  <sheetViews>
    <sheetView workbookViewId="0">
      <selection activeCell="C20" sqref="C20"/>
    </sheetView>
  </sheetViews>
  <sheetFormatPr defaultRowHeight="14.5" x14ac:dyDescent="0.35"/>
  <cols>
    <col min="1" max="1" width="30.1796875" customWidth="1"/>
  </cols>
  <sheetData>
    <row r="1" spans="1:35" x14ac:dyDescent="0.35">
      <c r="A1" s="1" t="s">
        <v>61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35">
      <c r="A2" t="s">
        <v>7</v>
      </c>
      <c r="B2" s="11">
        <f>Calculations!B2</f>
        <v>4.3000923535633535E-5</v>
      </c>
      <c r="C2" s="11">
        <f>Calculations!C2</f>
        <v>4.201338075431596E-5</v>
      </c>
      <c r="D2" s="11">
        <f>Calculations!D2</f>
        <v>4.1037566509593793E-5</v>
      </c>
      <c r="E2" s="11">
        <f>Calculations!E2</f>
        <v>4.0073273094207026E-5</v>
      </c>
      <c r="F2" s="11">
        <f>Calculations!F2</f>
        <v>3.9120297676653595E-5</v>
      </c>
      <c r="G2" s="11">
        <f>Calculations!G2</f>
        <v>3.817844215895476E-5</v>
      </c>
      <c r="H2" s="11">
        <f>Calculations!H2</f>
        <v>3.7247513039373087E-5</v>
      </c>
      <c r="I2" s="11">
        <f>Calculations!I2</f>
        <v>3.6327321279879023E-5</v>
      </c>
      <c r="J2" s="11">
        <f>Calculations!J2</f>
        <v>3.541768217817715E-5</v>
      </c>
      <c r="K2" s="11">
        <f>Calculations!K2</f>
        <v>3.451841524411173E-5</v>
      </c>
      <c r="L2" s="11">
        <f>Calculations!L2</f>
        <v>3.3629344080273645E-5</v>
      </c>
      <c r="M2" s="11">
        <f>Calculations!M2</f>
        <v>3.2750296266648113E-5</v>
      </c>
      <c r="N2" s="11">
        <f>Calculations!N2</f>
        <v>3.1881103249139282E-5</v>
      </c>
      <c r="O2" s="11">
        <f>Calculations!O2</f>
        <v>3.1021600231825811E-5</v>
      </c>
      <c r="P2" s="11">
        <f>Calculations!P2</f>
        <v>3.0357651593548006E-5</v>
      </c>
      <c r="Q2" s="11">
        <f>Calculations!Q2</f>
        <v>2.96984795641786E-5</v>
      </c>
      <c r="R2" s="11">
        <f>Calculations!R2</f>
        <v>2.9044032782331559E-5</v>
      </c>
      <c r="S2" s="11">
        <f>Calculations!S2</f>
        <v>2.8394260620354893E-5</v>
      </c>
      <c r="T2" s="11">
        <f>Calculations!T2</f>
        <v>2.7749113171274816E-5</v>
      </c>
      <c r="U2" s="11">
        <f>Calculations!U2</f>
        <v>2.7108541236018042E-5</v>
      </c>
      <c r="V2" s="11">
        <f>Calculations!V2</f>
        <v>2.6472496310904389E-5</v>
      </c>
      <c r="W2" s="11">
        <f>Calculations!W2</f>
        <v>2.5840930575404244E-5</v>
      </c>
      <c r="X2" s="11">
        <f>Calculations!X2</f>
        <v>2.5213796880153191E-5</v>
      </c>
      <c r="Y2" s="11">
        <f>Calculations!Y2</f>
        <v>2.4591048735218581E-5</v>
      </c>
      <c r="Z2" s="11">
        <f>Calculations!Z2</f>
        <v>2.3972640298611068E-5</v>
      </c>
      <c r="AA2" s="11">
        <f>Calculations!AA2</f>
        <v>2.3358526365035528E-5</v>
      </c>
      <c r="AB2" s="11">
        <f>Calculations!AB2</f>
        <v>2.274866235487576E-5</v>
      </c>
      <c r="AC2" s="11">
        <f>Calculations!AC2</f>
        <v>2.2143004303406723E-5</v>
      </c>
      <c r="AD2" s="11">
        <f>Calculations!AD2</f>
        <v>2.1541508850229594E-5</v>
      </c>
      <c r="AE2" s="11">
        <f>Calculations!AE2</f>
        <v>2.0944133228923517E-5</v>
      </c>
      <c r="AF2" s="11">
        <f>Calculations!AF2</f>
        <v>2.0350835256909658E-5</v>
      </c>
      <c r="AG2" s="11">
        <f>Calculations!AG2</f>
        <v>1.9761573325521718E-5</v>
      </c>
      <c r="AH2" s="11">
        <f>Calculations!AH2</f>
        <v>1.9176306390278777E-5</v>
      </c>
      <c r="AI2" s="11">
        <f>Calculations!AI2</f>
        <v>1.8594993961355075E-5</v>
      </c>
    </row>
    <row r="3" spans="1:35" x14ac:dyDescent="0.35">
      <c r="A3" t="s">
        <v>16</v>
      </c>
      <c r="B3" s="11">
        <f>Calculations!B3</f>
        <v>2.7826375407947768E-5</v>
      </c>
      <c r="C3" s="11">
        <f>Calculations!C3</f>
        <v>2.7826375407947768E-5</v>
      </c>
      <c r="D3" s="11">
        <f>Calculations!D3</f>
        <v>2.7826375407947768E-5</v>
      </c>
      <c r="E3" s="11">
        <f>Calculations!E3</f>
        <v>2.7826375407947768E-5</v>
      </c>
      <c r="F3" s="11">
        <f>Calculations!F3</f>
        <v>2.7826375407947768E-5</v>
      </c>
      <c r="G3" s="11">
        <f>Calculations!G3</f>
        <v>2.7826375407947768E-5</v>
      </c>
      <c r="H3" s="11">
        <f>Calculations!H3</f>
        <v>2.7826375407947768E-5</v>
      </c>
      <c r="I3" s="11">
        <f>Calculations!I3</f>
        <v>2.7826375407947768E-5</v>
      </c>
      <c r="J3" s="11">
        <f>Calculations!J3</f>
        <v>2.7826375407947768E-5</v>
      </c>
      <c r="K3" s="11">
        <f>Calculations!K3</f>
        <v>2.7826375407947768E-5</v>
      </c>
      <c r="L3" s="11">
        <f>Calculations!L3</f>
        <v>2.7826375407947768E-5</v>
      </c>
      <c r="M3" s="11">
        <f>Calculations!M3</f>
        <v>2.7826375407947768E-5</v>
      </c>
      <c r="N3" s="11">
        <f>Calculations!N3</f>
        <v>2.7826375407947768E-5</v>
      </c>
      <c r="O3" s="11">
        <f>Calculations!O3</f>
        <v>2.7826375407947768E-5</v>
      </c>
      <c r="P3" s="11">
        <f>Calculations!P3</f>
        <v>2.7826375407947768E-5</v>
      </c>
      <c r="Q3" s="11">
        <f>Calculations!Q3</f>
        <v>2.7826375407947768E-5</v>
      </c>
      <c r="R3" s="11">
        <f>Calculations!R3</f>
        <v>2.7826375407947768E-5</v>
      </c>
      <c r="S3" s="11">
        <f>Calculations!S3</f>
        <v>2.7826375407947768E-5</v>
      </c>
      <c r="T3" s="11">
        <f>Calculations!T3</f>
        <v>2.7826375407947768E-5</v>
      </c>
      <c r="U3" s="11">
        <f>Calculations!U3</f>
        <v>2.7826375407947768E-5</v>
      </c>
      <c r="V3" s="11">
        <f>Calculations!V3</f>
        <v>2.7826375407947768E-5</v>
      </c>
      <c r="W3" s="11">
        <f>Calculations!W3</f>
        <v>2.7826375407947768E-5</v>
      </c>
      <c r="X3" s="11">
        <f>Calculations!X3</f>
        <v>2.7826375407947768E-5</v>
      </c>
      <c r="Y3" s="11">
        <f>Calculations!Y3</f>
        <v>2.7826375407947768E-5</v>
      </c>
      <c r="Z3" s="11">
        <f>Calculations!Z3</f>
        <v>2.7826375407947768E-5</v>
      </c>
      <c r="AA3" s="11">
        <f>Calculations!AA3</f>
        <v>2.7826375407947768E-5</v>
      </c>
      <c r="AB3" s="11">
        <f>Calculations!AB3</f>
        <v>2.7826375407947768E-5</v>
      </c>
      <c r="AC3" s="11">
        <f>Calculations!AC3</f>
        <v>2.7826375407947768E-5</v>
      </c>
      <c r="AD3" s="11">
        <f>Calculations!AD3</f>
        <v>2.7826375407947768E-5</v>
      </c>
      <c r="AE3" s="11">
        <f>Calculations!AE3</f>
        <v>2.7826375407947768E-5</v>
      </c>
      <c r="AF3" s="11">
        <f>Calculations!AF3</f>
        <v>2.7826375407947768E-5</v>
      </c>
      <c r="AG3" s="11">
        <f>Calculations!AG3</f>
        <v>2.7826375407947768E-5</v>
      </c>
      <c r="AH3" s="11">
        <f>Calculations!AH3</f>
        <v>2.7826375407947768E-5</v>
      </c>
      <c r="AI3" s="11">
        <f>Calculations!AI3</f>
        <v>2.7826375407947768E-5</v>
      </c>
    </row>
    <row r="4" spans="1:35" x14ac:dyDescent="0.35">
      <c r="A4" t="s">
        <v>19</v>
      </c>
      <c r="B4" s="11">
        <f>Calculations!B4</f>
        <v>8.1644420152989595E-5</v>
      </c>
      <c r="C4" s="11">
        <f>Calculations!C4</f>
        <v>8.1644420152989595E-5</v>
      </c>
      <c r="D4" s="11">
        <f>Calculations!D4</f>
        <v>8.1644420152989595E-5</v>
      </c>
      <c r="E4" s="11">
        <f>Calculations!E4</f>
        <v>8.1644420152989595E-5</v>
      </c>
      <c r="F4" s="11">
        <f>Calculations!F4</f>
        <v>8.1644420152989595E-5</v>
      </c>
      <c r="G4" s="11">
        <f>Calculations!G4</f>
        <v>8.1644420152989595E-5</v>
      </c>
      <c r="H4" s="11">
        <f>Calculations!H4</f>
        <v>8.1644420152989595E-5</v>
      </c>
      <c r="I4" s="11">
        <f>Calculations!I4</f>
        <v>8.1644420152989595E-5</v>
      </c>
      <c r="J4" s="11">
        <f>Calculations!J4</f>
        <v>8.1644420152989595E-5</v>
      </c>
      <c r="K4" s="11">
        <f>Calculations!K4</f>
        <v>8.1644420152989595E-5</v>
      </c>
      <c r="L4" s="11">
        <f>Calculations!L4</f>
        <v>8.1644420152989595E-5</v>
      </c>
      <c r="M4" s="11">
        <f>Calculations!M4</f>
        <v>8.1644420152989595E-5</v>
      </c>
      <c r="N4" s="11">
        <f>Calculations!N4</f>
        <v>8.1644420152989595E-5</v>
      </c>
      <c r="O4" s="11">
        <f>Calculations!O4</f>
        <v>8.1644420152989595E-5</v>
      </c>
      <c r="P4" s="11">
        <f>Calculations!P4</f>
        <v>8.1644420152989595E-5</v>
      </c>
      <c r="Q4" s="11">
        <f>Calculations!Q4</f>
        <v>8.1644420152989595E-5</v>
      </c>
      <c r="R4" s="11">
        <f>Calculations!R4</f>
        <v>8.1644420152989595E-5</v>
      </c>
      <c r="S4" s="11">
        <f>Calculations!S4</f>
        <v>8.1644420152989595E-5</v>
      </c>
      <c r="T4" s="11">
        <f>Calculations!T4</f>
        <v>8.1644420152989595E-5</v>
      </c>
      <c r="U4" s="11">
        <f>Calculations!U4</f>
        <v>8.1644420152989595E-5</v>
      </c>
      <c r="V4" s="11">
        <f>Calculations!V4</f>
        <v>8.1644420152989595E-5</v>
      </c>
      <c r="W4" s="11">
        <f>Calculations!W4</f>
        <v>8.1644420152989595E-5</v>
      </c>
      <c r="X4" s="11">
        <f>Calculations!X4</f>
        <v>8.1644420152989595E-5</v>
      </c>
      <c r="Y4" s="11">
        <f>Calculations!Y4</f>
        <v>8.1644420152989595E-5</v>
      </c>
      <c r="Z4" s="11">
        <f>Calculations!Z4</f>
        <v>8.1644420152989595E-5</v>
      </c>
      <c r="AA4" s="11">
        <f>Calculations!AA4</f>
        <v>8.1644420152989595E-5</v>
      </c>
      <c r="AB4" s="11">
        <f>Calculations!AB4</f>
        <v>8.1644420152989595E-5</v>
      </c>
      <c r="AC4" s="11">
        <f>Calculations!AC4</f>
        <v>8.1644420152989595E-5</v>
      </c>
      <c r="AD4" s="11">
        <f>Calculations!AD4</f>
        <v>8.1644420152989595E-5</v>
      </c>
      <c r="AE4" s="11">
        <f>Calculations!AE4</f>
        <v>8.1644420152989595E-5</v>
      </c>
      <c r="AF4" s="11">
        <f>Calculations!AF4</f>
        <v>8.1644420152989595E-5</v>
      </c>
      <c r="AG4" s="11">
        <f>Calculations!AG4</f>
        <v>8.1644420152989595E-5</v>
      </c>
      <c r="AH4" s="11">
        <f>Calculations!AH4</f>
        <v>8.1644420152989595E-5</v>
      </c>
      <c r="AI4" s="11">
        <f>Calculations!AI4</f>
        <v>8.1644420152989595E-5</v>
      </c>
    </row>
    <row r="5" spans="1:35" x14ac:dyDescent="0.35">
      <c r="A5" t="s">
        <v>25</v>
      </c>
      <c r="B5" s="11">
        <f>Calculations!B5</f>
        <v>8.1644420152989595E-5</v>
      </c>
      <c r="C5" s="11">
        <f>Calculations!C5</f>
        <v>8.1644420152989595E-5</v>
      </c>
      <c r="D5" s="11">
        <f>Calculations!D5</f>
        <v>8.1644420152989595E-5</v>
      </c>
      <c r="E5" s="11">
        <f>Calculations!E5</f>
        <v>8.1644420152989595E-5</v>
      </c>
      <c r="F5" s="11">
        <f>Calculations!F5</f>
        <v>8.1644420152989595E-5</v>
      </c>
      <c r="G5" s="11">
        <f>Calculations!G5</f>
        <v>8.1644420152989595E-5</v>
      </c>
      <c r="H5" s="11">
        <f>Calculations!H5</f>
        <v>8.1644420152989595E-5</v>
      </c>
      <c r="I5" s="11">
        <f>Calculations!I5</f>
        <v>8.1644420152989595E-5</v>
      </c>
      <c r="J5" s="11">
        <f>Calculations!J5</f>
        <v>8.1644420152989595E-5</v>
      </c>
      <c r="K5" s="11">
        <f>Calculations!K5</f>
        <v>8.1644420152989595E-5</v>
      </c>
      <c r="L5" s="11">
        <f>Calculations!L5</f>
        <v>8.1644420152989595E-5</v>
      </c>
      <c r="M5" s="11">
        <f>Calculations!M5</f>
        <v>8.1644420152989595E-5</v>
      </c>
      <c r="N5" s="11">
        <f>Calculations!N5</f>
        <v>8.1644420152989595E-5</v>
      </c>
      <c r="O5" s="11">
        <f>Calculations!O5</f>
        <v>8.1644420152989595E-5</v>
      </c>
      <c r="P5" s="11">
        <f>Calculations!P5</f>
        <v>8.1644420152989595E-5</v>
      </c>
      <c r="Q5" s="11">
        <f>Calculations!Q5</f>
        <v>8.1644420152989595E-5</v>
      </c>
      <c r="R5" s="11">
        <f>Calculations!R5</f>
        <v>8.1644420152989595E-5</v>
      </c>
      <c r="S5" s="11">
        <f>Calculations!S5</f>
        <v>8.1644420152989595E-5</v>
      </c>
      <c r="T5" s="11">
        <f>Calculations!T5</f>
        <v>8.1644420152989595E-5</v>
      </c>
      <c r="U5" s="11">
        <f>Calculations!U5</f>
        <v>8.1644420152989595E-5</v>
      </c>
      <c r="V5" s="11">
        <f>Calculations!V5</f>
        <v>8.1644420152989595E-5</v>
      </c>
      <c r="W5" s="11">
        <f>Calculations!W5</f>
        <v>8.1644420152989595E-5</v>
      </c>
      <c r="X5" s="11">
        <f>Calculations!X5</f>
        <v>8.1644420152989595E-5</v>
      </c>
      <c r="Y5" s="11">
        <f>Calculations!Y5</f>
        <v>8.1644420152989595E-5</v>
      </c>
      <c r="Z5" s="11">
        <f>Calculations!Z5</f>
        <v>8.1644420152989595E-5</v>
      </c>
      <c r="AA5" s="11">
        <f>Calculations!AA5</f>
        <v>8.1644420152989595E-5</v>
      </c>
      <c r="AB5" s="11">
        <f>Calculations!AB5</f>
        <v>8.1644420152989595E-5</v>
      </c>
      <c r="AC5" s="11">
        <f>Calculations!AC5</f>
        <v>8.1644420152989595E-5</v>
      </c>
      <c r="AD5" s="11">
        <f>Calculations!AD5</f>
        <v>8.1644420152989595E-5</v>
      </c>
      <c r="AE5" s="11">
        <f>Calculations!AE5</f>
        <v>8.1644420152989595E-5</v>
      </c>
      <c r="AF5" s="11">
        <f>Calculations!AF5</f>
        <v>8.1644420152989595E-5</v>
      </c>
      <c r="AG5" s="11">
        <f>Calculations!AG5</f>
        <v>8.1644420152989595E-5</v>
      </c>
      <c r="AH5" s="11">
        <f>Calculations!AH5</f>
        <v>8.1644420152989595E-5</v>
      </c>
      <c r="AI5" s="11">
        <f>Calculations!AI5</f>
        <v>8.1644420152989595E-5</v>
      </c>
    </row>
    <row r="6" spans="1:35" x14ac:dyDescent="0.35">
      <c r="A6" t="s">
        <v>65</v>
      </c>
      <c r="B6" s="11">
        <f>Calculations!B6</f>
        <v>2.3652419096755601E-5</v>
      </c>
      <c r="C6" s="11">
        <f>Calculations!C6</f>
        <v>2.3652419096755601E-5</v>
      </c>
      <c r="D6" s="11">
        <f>Calculations!D6</f>
        <v>2.3652419096755601E-5</v>
      </c>
      <c r="E6" s="11">
        <f>Calculations!E6</f>
        <v>2.3652419096755601E-5</v>
      </c>
      <c r="F6" s="11">
        <f>Calculations!F6</f>
        <v>2.3652419096755601E-5</v>
      </c>
      <c r="G6" s="11">
        <f>Calculations!G6</f>
        <v>2.3652419096755601E-5</v>
      </c>
      <c r="H6" s="11">
        <f>Calculations!H6</f>
        <v>2.3652419096755601E-5</v>
      </c>
      <c r="I6" s="11">
        <f>Calculations!I6</f>
        <v>2.3652419096755601E-5</v>
      </c>
      <c r="J6" s="11">
        <f>Calculations!J6</f>
        <v>2.3652419096755601E-5</v>
      </c>
      <c r="K6" s="11">
        <f>Calculations!K6</f>
        <v>2.3652419096755601E-5</v>
      </c>
      <c r="L6" s="11">
        <f>Calculations!L6</f>
        <v>2.3652419096755601E-5</v>
      </c>
      <c r="M6" s="11">
        <f>Calculations!M6</f>
        <v>2.3652419096755601E-5</v>
      </c>
      <c r="N6" s="11">
        <f>Calculations!N6</f>
        <v>2.3652419096755601E-5</v>
      </c>
      <c r="O6" s="11">
        <f>Calculations!O6</f>
        <v>2.3652419096755601E-5</v>
      </c>
      <c r="P6" s="11">
        <f>Calculations!P6</f>
        <v>2.3652419096755601E-5</v>
      </c>
      <c r="Q6" s="11">
        <f>Calculations!Q6</f>
        <v>2.3652419096755601E-5</v>
      </c>
      <c r="R6" s="11">
        <f>Calculations!R6</f>
        <v>2.3652419096755601E-5</v>
      </c>
      <c r="S6" s="11">
        <f>Calculations!S6</f>
        <v>2.3652419096755601E-5</v>
      </c>
      <c r="T6" s="11">
        <f>Calculations!T6</f>
        <v>2.3652419096755601E-5</v>
      </c>
      <c r="U6" s="11">
        <f>Calculations!U6</f>
        <v>2.3652419096755601E-5</v>
      </c>
      <c r="V6" s="11">
        <f>Calculations!V6</f>
        <v>2.3652419096755601E-5</v>
      </c>
      <c r="W6" s="11">
        <f>Calculations!W6</f>
        <v>2.3652419096755601E-5</v>
      </c>
      <c r="X6" s="11">
        <f>Calculations!X6</f>
        <v>2.3652419096755601E-5</v>
      </c>
      <c r="Y6" s="11">
        <f>Calculations!Y6</f>
        <v>2.3652419096755601E-5</v>
      </c>
      <c r="Z6" s="11">
        <f>Calculations!Z6</f>
        <v>2.3652419096755601E-5</v>
      </c>
      <c r="AA6" s="11">
        <f>Calculations!AA6</f>
        <v>2.3652419096755601E-5</v>
      </c>
      <c r="AB6" s="11">
        <f>Calculations!AB6</f>
        <v>2.3652419096755601E-5</v>
      </c>
      <c r="AC6" s="11">
        <f>Calculations!AC6</f>
        <v>2.3652419096755601E-5</v>
      </c>
      <c r="AD6" s="11">
        <f>Calculations!AD6</f>
        <v>2.3652419096755601E-5</v>
      </c>
      <c r="AE6" s="11">
        <f>Calculations!AE6</f>
        <v>2.3652419096755601E-5</v>
      </c>
      <c r="AF6" s="11">
        <f>Calculations!AF6</f>
        <v>2.3652419096755601E-5</v>
      </c>
      <c r="AG6" s="11">
        <f>Calculations!AG6</f>
        <v>2.3652419096755601E-5</v>
      </c>
      <c r="AH6" s="11">
        <f>Calculations!AH6</f>
        <v>2.3652419096755601E-5</v>
      </c>
      <c r="AI6" s="11">
        <f>Calculations!AI6</f>
        <v>2.3652419096755601E-5</v>
      </c>
    </row>
    <row r="7" spans="1:35" x14ac:dyDescent="0.35">
      <c r="A7" t="s">
        <v>63</v>
      </c>
      <c r="B7" s="11">
        <f>Calculations!B7</f>
        <v>4.3000923535633535E-5</v>
      </c>
      <c r="C7" s="11">
        <f>Calculations!C7</f>
        <v>4.201338075431596E-5</v>
      </c>
      <c r="D7" s="11">
        <f>Calculations!D7</f>
        <v>4.1037566509593793E-5</v>
      </c>
      <c r="E7" s="11">
        <f>Calculations!E7</f>
        <v>4.0073273094207026E-5</v>
      </c>
      <c r="F7" s="11">
        <f>Calculations!F7</f>
        <v>3.9120297676653595E-5</v>
      </c>
      <c r="G7" s="11">
        <f>Calculations!G7</f>
        <v>3.817844215895476E-5</v>
      </c>
      <c r="H7" s="11">
        <f>Calculations!H7</f>
        <v>3.7247513039373087E-5</v>
      </c>
      <c r="I7" s="11">
        <f>Calculations!I7</f>
        <v>3.6327321279879023E-5</v>
      </c>
      <c r="J7" s="11">
        <f>Calculations!J7</f>
        <v>3.541768217817715E-5</v>
      </c>
      <c r="K7" s="11">
        <f>Calculations!K7</f>
        <v>3.451841524411173E-5</v>
      </c>
      <c r="L7" s="11">
        <f>Calculations!L7</f>
        <v>3.3629344080273645E-5</v>
      </c>
      <c r="M7" s="11">
        <f>Calculations!M7</f>
        <v>3.2750296266648113E-5</v>
      </c>
      <c r="N7" s="11">
        <f>Calculations!N7</f>
        <v>3.1881103249139282E-5</v>
      </c>
      <c r="O7" s="11">
        <f>Calculations!O7</f>
        <v>3.1021600231825811E-5</v>
      </c>
      <c r="P7" s="11">
        <f>Calculations!P7</f>
        <v>3.0357651593548006E-5</v>
      </c>
      <c r="Q7" s="11">
        <f>Calculations!Q7</f>
        <v>2.96984795641786E-5</v>
      </c>
      <c r="R7" s="11">
        <f>Calculations!R7</f>
        <v>2.9044032782331559E-5</v>
      </c>
      <c r="S7" s="11">
        <f>Calculations!S7</f>
        <v>2.8394260620354893E-5</v>
      </c>
      <c r="T7" s="11">
        <f>Calculations!T7</f>
        <v>2.7749113171274816E-5</v>
      </c>
      <c r="U7" s="11">
        <f>Calculations!U7</f>
        <v>2.7108541236018042E-5</v>
      </c>
      <c r="V7" s="11">
        <f>Calculations!V7</f>
        <v>2.6472496310904389E-5</v>
      </c>
      <c r="W7" s="11">
        <f>Calculations!W7</f>
        <v>2.5840930575404244E-5</v>
      </c>
      <c r="X7" s="11">
        <f>Calculations!X7</f>
        <v>2.5213796880153191E-5</v>
      </c>
      <c r="Y7" s="11">
        <f>Calculations!Y7</f>
        <v>2.4591048735218581E-5</v>
      </c>
      <c r="Z7" s="11">
        <f>Calculations!Z7</f>
        <v>2.3972640298611068E-5</v>
      </c>
      <c r="AA7" s="11">
        <f>Calculations!AA7</f>
        <v>2.3358526365035528E-5</v>
      </c>
      <c r="AB7" s="11">
        <f>Calculations!AB7</f>
        <v>2.274866235487576E-5</v>
      </c>
      <c r="AC7" s="11">
        <f>Calculations!AC7</f>
        <v>2.2143004303406723E-5</v>
      </c>
      <c r="AD7" s="11">
        <f>Calculations!AD7</f>
        <v>2.1541508850229594E-5</v>
      </c>
      <c r="AE7" s="11">
        <f>Calculations!AE7</f>
        <v>2.0944133228923517E-5</v>
      </c>
      <c r="AF7" s="11">
        <f>Calculations!AF7</f>
        <v>2.0350835256909658E-5</v>
      </c>
      <c r="AG7" s="11">
        <f>Calculations!AG7</f>
        <v>1.9761573325521718E-5</v>
      </c>
      <c r="AH7" s="11">
        <f>Calculations!AH7</f>
        <v>1.9176306390278777E-5</v>
      </c>
      <c r="AI7" s="11">
        <f>Calculations!AI7</f>
        <v>1.8594993961355075E-5</v>
      </c>
    </row>
    <row r="8" spans="1:35" x14ac:dyDescent="0.35">
      <c r="A8" t="s">
        <v>64</v>
      </c>
      <c r="B8" s="11">
        <f>Calculations!B8</f>
        <v>2.7826375407947768E-5</v>
      </c>
      <c r="C8" s="11">
        <f>Calculations!C8</f>
        <v>2.7826375407947768E-5</v>
      </c>
      <c r="D8" s="11">
        <f>Calculations!D8</f>
        <v>2.7826375407947768E-5</v>
      </c>
      <c r="E8" s="11">
        <f>Calculations!E8</f>
        <v>2.7826375407947768E-5</v>
      </c>
      <c r="F8" s="11">
        <f>Calculations!F8</f>
        <v>2.7826375407947768E-5</v>
      </c>
      <c r="G8" s="11">
        <f>Calculations!G8</f>
        <v>2.7826375407947768E-5</v>
      </c>
      <c r="H8" s="11">
        <f>Calculations!H8</f>
        <v>2.7826375407947768E-5</v>
      </c>
      <c r="I8" s="11">
        <f>Calculations!I8</f>
        <v>2.7826375407947768E-5</v>
      </c>
      <c r="J8" s="11">
        <f>Calculations!J8</f>
        <v>2.7826375407947768E-5</v>
      </c>
      <c r="K8" s="11">
        <f>Calculations!K8</f>
        <v>2.7826375407947768E-5</v>
      </c>
      <c r="L8" s="11">
        <f>Calculations!L8</f>
        <v>2.7826375407947768E-5</v>
      </c>
      <c r="M8" s="11">
        <f>Calculations!M8</f>
        <v>2.7826375407947768E-5</v>
      </c>
      <c r="N8" s="11">
        <f>Calculations!N8</f>
        <v>2.7826375407947768E-5</v>
      </c>
      <c r="O8" s="11">
        <f>Calculations!O8</f>
        <v>2.7826375407947768E-5</v>
      </c>
      <c r="P8" s="11">
        <f>Calculations!P8</f>
        <v>2.7826375407947768E-5</v>
      </c>
      <c r="Q8" s="11">
        <f>Calculations!Q8</f>
        <v>2.7826375407947768E-5</v>
      </c>
      <c r="R8" s="11">
        <f>Calculations!R8</f>
        <v>2.7826375407947768E-5</v>
      </c>
      <c r="S8" s="11">
        <f>Calculations!S8</f>
        <v>2.7826375407947768E-5</v>
      </c>
      <c r="T8" s="11">
        <f>Calculations!T8</f>
        <v>2.7826375407947768E-5</v>
      </c>
      <c r="U8" s="11">
        <f>Calculations!U8</f>
        <v>2.7826375407947768E-5</v>
      </c>
      <c r="V8" s="11">
        <f>Calculations!V8</f>
        <v>2.7826375407947768E-5</v>
      </c>
      <c r="W8" s="11">
        <f>Calculations!W8</f>
        <v>2.7826375407947768E-5</v>
      </c>
      <c r="X8" s="11">
        <f>Calculations!X8</f>
        <v>2.7826375407947768E-5</v>
      </c>
      <c r="Y8" s="11">
        <f>Calculations!Y8</f>
        <v>2.7826375407947768E-5</v>
      </c>
      <c r="Z8" s="11">
        <f>Calculations!Z8</f>
        <v>2.7826375407947768E-5</v>
      </c>
      <c r="AA8" s="11">
        <f>Calculations!AA8</f>
        <v>2.7826375407947768E-5</v>
      </c>
      <c r="AB8" s="11">
        <f>Calculations!AB8</f>
        <v>2.7826375407947768E-5</v>
      </c>
      <c r="AC8" s="11">
        <f>Calculations!AC8</f>
        <v>2.7826375407947768E-5</v>
      </c>
      <c r="AD8" s="11">
        <f>Calculations!AD8</f>
        <v>2.7826375407947768E-5</v>
      </c>
      <c r="AE8" s="11">
        <f>Calculations!AE8</f>
        <v>2.7826375407947768E-5</v>
      </c>
      <c r="AF8" s="11">
        <f>Calculations!AF8</f>
        <v>2.7826375407947768E-5</v>
      </c>
      <c r="AG8" s="11">
        <f>Calculations!AG8</f>
        <v>2.7826375407947768E-5</v>
      </c>
      <c r="AH8" s="11">
        <f>Calculations!AH8</f>
        <v>2.7826375407947768E-5</v>
      </c>
      <c r="AI8" s="11">
        <f>Calculations!AI8</f>
        <v>2.7826375407947768E-5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8"/>
  <sheetViews>
    <sheetView workbookViewId="0">
      <selection activeCell="A6" sqref="A6"/>
    </sheetView>
  </sheetViews>
  <sheetFormatPr defaultRowHeight="14.5" x14ac:dyDescent="0.35"/>
  <cols>
    <col min="1" max="1" width="30.1796875" customWidth="1"/>
  </cols>
  <sheetData>
    <row r="1" spans="1:35" x14ac:dyDescent="0.35">
      <c r="A1" s="1" t="s">
        <v>62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>
        <v>2030</v>
      </c>
      <c r="P1" s="9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35">
      <c r="A2" t="s">
        <v>7</v>
      </c>
      <c r="B2" s="11">
        <f>Calculations!B12</f>
        <v>6.4501385303450296E-7</v>
      </c>
      <c r="C2" s="11">
        <f>Calculations!C12</f>
        <v>6.3020071131473939E-7</v>
      </c>
      <c r="D2" s="11">
        <f>Calculations!D12</f>
        <v>6.1556349764390684E-7</v>
      </c>
      <c r="E2" s="11">
        <f>Calculations!E12</f>
        <v>6.0109909641310533E-7</v>
      </c>
      <c r="F2" s="11">
        <f>Calculations!F12</f>
        <v>5.8680446514980395E-7</v>
      </c>
      <c r="G2" s="11">
        <f>Calculations!G12</f>
        <v>5.7267663238432138E-7</v>
      </c>
      <c r="H2" s="11">
        <f>Calculations!H12</f>
        <v>5.587126955905963E-7</v>
      </c>
      <c r="I2" s="11">
        <f>Calculations!I12</f>
        <v>5.4490981919818528E-7</v>
      </c>
      <c r="J2" s="11">
        <f>Calculations!J12</f>
        <v>5.3126523267265722E-7</v>
      </c>
      <c r="K2" s="11">
        <f>Calculations!K12</f>
        <v>5.1777622866167588E-7</v>
      </c>
      <c r="L2" s="11">
        <f>Calculations!L12</f>
        <v>5.0444016120410464E-7</v>
      </c>
      <c r="M2" s="11">
        <f>Calculations!M12</f>
        <v>4.9125444399972163E-7</v>
      </c>
      <c r="N2" s="11">
        <f>Calculations!N12</f>
        <v>4.7821654873708916E-7</v>
      </c>
      <c r="O2" s="11">
        <f>Calculations!O12</f>
        <v>4.6532400347738714E-7</v>
      </c>
      <c r="P2" s="11">
        <f>Calculations!P12</f>
        <v>4.5536477390322006E-7</v>
      </c>
      <c r="Q2" s="11">
        <f>Calculations!Q12</f>
        <v>4.4547719346267896E-7</v>
      </c>
      <c r="R2" s="11">
        <f>Calculations!R12</f>
        <v>4.3566049173497335E-7</v>
      </c>
      <c r="S2" s="11">
        <f>Calculations!S12</f>
        <v>4.2591390930532337E-7</v>
      </c>
      <c r="T2" s="11">
        <f>Calculations!T12</f>
        <v>4.1623669756912224E-7</v>
      </c>
      <c r="U2" s="11">
        <f>Calculations!U12</f>
        <v>4.0662811854027063E-7</v>
      </c>
      <c r="V2" s="11">
        <f>Calculations!V12</f>
        <v>3.9708744466356583E-7</v>
      </c>
      <c r="W2" s="11">
        <f>Calculations!W12</f>
        <v>3.8761395863106366E-7</v>
      </c>
      <c r="X2" s="11">
        <f>Calculations!X12</f>
        <v>3.7820695320229784E-7</v>
      </c>
      <c r="Y2" s="11">
        <f>Calculations!Y12</f>
        <v>3.6886573102827869E-7</v>
      </c>
      <c r="Z2" s="11">
        <f>Calculations!Z12</f>
        <v>3.5958960447916601E-7</v>
      </c>
      <c r="AA2" s="11">
        <f>Calculations!AA12</f>
        <v>3.503778954755329E-7</v>
      </c>
      <c r="AB2" s="11">
        <f>Calculations!AB12</f>
        <v>3.4122993532313637E-7</v>
      </c>
      <c r="AC2" s="11">
        <f>Calculations!AC12</f>
        <v>3.3214506455110082E-7</v>
      </c>
      <c r="AD2" s="11">
        <f>Calculations!AD12</f>
        <v>3.2312263275344392E-7</v>
      </c>
      <c r="AE2" s="11">
        <f>Calculations!AE12</f>
        <v>3.1416199843385276E-7</v>
      </c>
      <c r="AF2" s="11">
        <f>Calculations!AF12</f>
        <v>3.0526252885364487E-7</v>
      </c>
      <c r="AG2" s="11">
        <f>Calculations!AG12</f>
        <v>2.9642359988282574E-7</v>
      </c>
      <c r="AH2" s="11">
        <f>Calculations!AH12</f>
        <v>2.8764459585418163E-7</v>
      </c>
      <c r="AI2" s="11">
        <f>Calculations!AI12</f>
        <v>2.789249094203261E-7</v>
      </c>
    </row>
    <row r="3" spans="1:35" x14ac:dyDescent="0.35">
      <c r="A3" t="s">
        <v>16</v>
      </c>
      <c r="B3" s="11">
        <f>Calculations!B13</f>
        <v>1.307839644173545E-6</v>
      </c>
      <c r="C3" s="11">
        <f>Calculations!C13</f>
        <v>1.307839644173545E-6</v>
      </c>
      <c r="D3" s="11">
        <f>Calculations!D13</f>
        <v>1.307839644173545E-6</v>
      </c>
      <c r="E3" s="11">
        <f>Calculations!E13</f>
        <v>1.307839644173545E-6</v>
      </c>
      <c r="F3" s="11">
        <f>Calculations!F13</f>
        <v>1.307839644173545E-6</v>
      </c>
      <c r="G3" s="11">
        <f>Calculations!G13</f>
        <v>1.307839644173545E-6</v>
      </c>
      <c r="H3" s="11">
        <f>Calculations!H13</f>
        <v>1.307839644173545E-6</v>
      </c>
      <c r="I3" s="11">
        <f>Calculations!I13</f>
        <v>1.307839644173545E-6</v>
      </c>
      <c r="J3" s="11">
        <f>Calculations!J13</f>
        <v>1.307839644173545E-6</v>
      </c>
      <c r="K3" s="11">
        <f>Calculations!K13</f>
        <v>1.307839644173545E-6</v>
      </c>
      <c r="L3" s="11">
        <f>Calculations!L13</f>
        <v>1.307839644173545E-6</v>
      </c>
      <c r="M3" s="11">
        <f>Calculations!M13</f>
        <v>1.307839644173545E-6</v>
      </c>
      <c r="N3" s="11">
        <f>Calculations!N13</f>
        <v>1.307839644173545E-6</v>
      </c>
      <c r="O3" s="11">
        <f>Calculations!O13</f>
        <v>1.307839644173545E-6</v>
      </c>
      <c r="P3" s="11">
        <f>Calculations!P13</f>
        <v>1.307839644173545E-6</v>
      </c>
      <c r="Q3" s="11">
        <f>Calculations!Q13</f>
        <v>1.307839644173545E-6</v>
      </c>
      <c r="R3" s="11">
        <f>Calculations!R13</f>
        <v>1.307839644173545E-6</v>
      </c>
      <c r="S3" s="11">
        <f>Calculations!S13</f>
        <v>1.307839644173545E-6</v>
      </c>
      <c r="T3" s="11">
        <f>Calculations!T13</f>
        <v>1.307839644173545E-6</v>
      </c>
      <c r="U3" s="11">
        <f>Calculations!U13</f>
        <v>1.307839644173545E-6</v>
      </c>
      <c r="V3" s="11">
        <f>Calculations!V13</f>
        <v>1.307839644173545E-6</v>
      </c>
      <c r="W3" s="11">
        <f>Calculations!W13</f>
        <v>1.307839644173545E-6</v>
      </c>
      <c r="X3" s="11">
        <f>Calculations!X13</f>
        <v>1.307839644173545E-6</v>
      </c>
      <c r="Y3" s="11">
        <f>Calculations!Y13</f>
        <v>1.307839644173545E-6</v>
      </c>
      <c r="Z3" s="11">
        <f>Calculations!Z13</f>
        <v>1.307839644173545E-6</v>
      </c>
      <c r="AA3" s="11">
        <f>Calculations!AA13</f>
        <v>1.307839644173545E-6</v>
      </c>
      <c r="AB3" s="11">
        <f>Calculations!AB13</f>
        <v>1.307839644173545E-6</v>
      </c>
      <c r="AC3" s="11">
        <f>Calculations!AC13</f>
        <v>1.307839644173545E-6</v>
      </c>
      <c r="AD3" s="11">
        <f>Calculations!AD13</f>
        <v>1.307839644173545E-6</v>
      </c>
      <c r="AE3" s="11">
        <f>Calculations!AE13</f>
        <v>1.307839644173545E-6</v>
      </c>
      <c r="AF3" s="11">
        <f>Calculations!AF13</f>
        <v>1.307839644173545E-6</v>
      </c>
      <c r="AG3" s="11">
        <f>Calculations!AG13</f>
        <v>1.307839644173545E-6</v>
      </c>
      <c r="AH3" s="11">
        <f>Calculations!AH13</f>
        <v>1.307839644173545E-6</v>
      </c>
      <c r="AI3" s="11">
        <f>Calculations!AI13</f>
        <v>1.307839644173545E-6</v>
      </c>
    </row>
    <row r="4" spans="1:35" x14ac:dyDescent="0.35">
      <c r="A4" t="s">
        <v>19</v>
      </c>
      <c r="B4" s="11">
        <f>Calculations!B14</f>
        <v>4.0822210076494796E-6</v>
      </c>
      <c r="C4" s="11">
        <f>Calculations!C14</f>
        <v>4.0822210076494796E-6</v>
      </c>
      <c r="D4" s="11">
        <f>Calculations!D14</f>
        <v>4.0822210076494796E-6</v>
      </c>
      <c r="E4" s="11">
        <f>Calculations!E14</f>
        <v>4.0822210076494796E-6</v>
      </c>
      <c r="F4" s="11">
        <f>Calculations!F14</f>
        <v>4.0822210076494796E-6</v>
      </c>
      <c r="G4" s="11">
        <f>Calculations!G14</f>
        <v>4.0822210076494796E-6</v>
      </c>
      <c r="H4" s="11">
        <f>Calculations!H14</f>
        <v>4.0822210076494796E-6</v>
      </c>
      <c r="I4" s="11">
        <f>Calculations!I14</f>
        <v>4.0822210076494796E-6</v>
      </c>
      <c r="J4" s="11">
        <f>Calculations!J14</f>
        <v>4.0822210076494796E-6</v>
      </c>
      <c r="K4" s="11">
        <f>Calculations!K14</f>
        <v>4.0822210076494796E-6</v>
      </c>
      <c r="L4" s="11">
        <f>Calculations!L14</f>
        <v>4.0822210076494796E-6</v>
      </c>
      <c r="M4" s="11">
        <f>Calculations!M14</f>
        <v>4.0822210076494796E-6</v>
      </c>
      <c r="N4" s="11">
        <f>Calculations!N14</f>
        <v>4.0822210076494796E-6</v>
      </c>
      <c r="O4" s="11">
        <f>Calculations!O14</f>
        <v>4.0822210076494796E-6</v>
      </c>
      <c r="P4" s="11">
        <f>Calculations!P14</f>
        <v>4.0822210076494796E-6</v>
      </c>
      <c r="Q4" s="11">
        <f>Calculations!Q14</f>
        <v>4.0822210076494796E-6</v>
      </c>
      <c r="R4" s="11">
        <f>Calculations!R14</f>
        <v>4.0822210076494796E-6</v>
      </c>
      <c r="S4" s="11">
        <f>Calculations!S14</f>
        <v>4.0822210076494796E-6</v>
      </c>
      <c r="T4" s="11">
        <f>Calculations!T14</f>
        <v>4.0822210076494796E-6</v>
      </c>
      <c r="U4" s="11">
        <f>Calculations!U14</f>
        <v>4.0822210076494796E-6</v>
      </c>
      <c r="V4" s="11">
        <f>Calculations!V14</f>
        <v>4.0822210076494796E-6</v>
      </c>
      <c r="W4" s="11">
        <f>Calculations!W14</f>
        <v>4.0822210076494796E-6</v>
      </c>
      <c r="X4" s="11">
        <f>Calculations!X14</f>
        <v>4.0822210076494796E-6</v>
      </c>
      <c r="Y4" s="11">
        <f>Calculations!Y14</f>
        <v>4.0822210076494796E-6</v>
      </c>
      <c r="Z4" s="11">
        <f>Calculations!Z14</f>
        <v>4.0822210076494796E-6</v>
      </c>
      <c r="AA4" s="11">
        <f>Calculations!AA14</f>
        <v>4.0822210076494796E-6</v>
      </c>
      <c r="AB4" s="11">
        <f>Calculations!AB14</f>
        <v>4.0822210076494796E-6</v>
      </c>
      <c r="AC4" s="11">
        <f>Calculations!AC14</f>
        <v>4.0822210076494796E-6</v>
      </c>
      <c r="AD4" s="11">
        <f>Calculations!AD14</f>
        <v>4.0822210076494796E-6</v>
      </c>
      <c r="AE4" s="11">
        <f>Calculations!AE14</f>
        <v>4.0822210076494796E-6</v>
      </c>
      <c r="AF4" s="11">
        <f>Calculations!AF14</f>
        <v>4.0822210076494796E-6</v>
      </c>
      <c r="AG4" s="11">
        <f>Calculations!AG14</f>
        <v>4.0822210076494796E-6</v>
      </c>
      <c r="AH4" s="11">
        <f>Calculations!AH14</f>
        <v>4.0822210076494796E-6</v>
      </c>
      <c r="AI4" s="11">
        <f>Calculations!AI14</f>
        <v>4.0822210076494796E-6</v>
      </c>
    </row>
    <row r="5" spans="1:35" x14ac:dyDescent="0.35">
      <c r="A5" t="s">
        <v>25</v>
      </c>
      <c r="B5" s="11">
        <f>Calculations!B15</f>
        <v>4.0822210076494796E-6</v>
      </c>
      <c r="C5" s="11">
        <f>Calculations!C15</f>
        <v>4.0822210076494796E-6</v>
      </c>
      <c r="D5" s="11">
        <f>Calculations!D15</f>
        <v>4.0822210076494796E-6</v>
      </c>
      <c r="E5" s="11">
        <f>Calculations!E15</f>
        <v>4.0822210076494796E-6</v>
      </c>
      <c r="F5" s="11">
        <f>Calculations!F15</f>
        <v>4.0822210076494796E-6</v>
      </c>
      <c r="G5" s="11">
        <f>Calculations!G15</f>
        <v>4.0822210076494796E-6</v>
      </c>
      <c r="H5" s="11">
        <f>Calculations!H15</f>
        <v>4.0822210076494796E-6</v>
      </c>
      <c r="I5" s="11">
        <f>Calculations!I15</f>
        <v>4.0822210076494796E-6</v>
      </c>
      <c r="J5" s="11">
        <f>Calculations!J15</f>
        <v>4.0822210076494796E-6</v>
      </c>
      <c r="K5" s="11">
        <f>Calculations!K15</f>
        <v>4.0822210076494796E-6</v>
      </c>
      <c r="L5" s="11">
        <f>Calculations!L15</f>
        <v>4.0822210076494796E-6</v>
      </c>
      <c r="M5" s="11">
        <f>Calculations!M15</f>
        <v>4.0822210076494796E-6</v>
      </c>
      <c r="N5" s="11">
        <f>Calculations!N15</f>
        <v>4.0822210076494796E-6</v>
      </c>
      <c r="O5" s="11">
        <f>Calculations!O15</f>
        <v>4.0822210076494796E-6</v>
      </c>
      <c r="P5" s="11">
        <f>Calculations!P15</f>
        <v>4.0822210076494796E-6</v>
      </c>
      <c r="Q5" s="11">
        <f>Calculations!Q15</f>
        <v>4.0822210076494796E-6</v>
      </c>
      <c r="R5" s="11">
        <f>Calculations!R15</f>
        <v>4.0822210076494796E-6</v>
      </c>
      <c r="S5" s="11">
        <f>Calculations!S15</f>
        <v>4.0822210076494796E-6</v>
      </c>
      <c r="T5" s="11">
        <f>Calculations!T15</f>
        <v>4.0822210076494796E-6</v>
      </c>
      <c r="U5" s="11">
        <f>Calculations!U15</f>
        <v>4.0822210076494796E-6</v>
      </c>
      <c r="V5" s="11">
        <f>Calculations!V15</f>
        <v>4.0822210076494796E-6</v>
      </c>
      <c r="W5" s="11">
        <f>Calculations!W15</f>
        <v>4.0822210076494796E-6</v>
      </c>
      <c r="X5" s="11">
        <f>Calculations!X15</f>
        <v>4.0822210076494796E-6</v>
      </c>
      <c r="Y5" s="11">
        <f>Calculations!Y15</f>
        <v>4.0822210076494796E-6</v>
      </c>
      <c r="Z5" s="11">
        <f>Calculations!Z15</f>
        <v>4.0822210076494796E-6</v>
      </c>
      <c r="AA5" s="11">
        <f>Calculations!AA15</f>
        <v>4.0822210076494796E-6</v>
      </c>
      <c r="AB5" s="11">
        <f>Calculations!AB15</f>
        <v>4.0822210076494796E-6</v>
      </c>
      <c r="AC5" s="11">
        <f>Calculations!AC15</f>
        <v>4.0822210076494796E-6</v>
      </c>
      <c r="AD5" s="11">
        <f>Calculations!AD15</f>
        <v>4.0822210076494796E-6</v>
      </c>
      <c r="AE5" s="11">
        <f>Calculations!AE15</f>
        <v>4.0822210076494796E-6</v>
      </c>
      <c r="AF5" s="11">
        <f>Calculations!AF15</f>
        <v>4.0822210076494796E-6</v>
      </c>
      <c r="AG5" s="11">
        <f>Calculations!AG15</f>
        <v>4.0822210076494796E-6</v>
      </c>
      <c r="AH5" s="11">
        <f>Calculations!AH15</f>
        <v>4.0822210076494796E-6</v>
      </c>
      <c r="AI5" s="11">
        <f>Calculations!AI15</f>
        <v>4.0822210076494796E-6</v>
      </c>
    </row>
    <row r="6" spans="1:35" x14ac:dyDescent="0.35">
      <c r="A6" t="s">
        <v>65</v>
      </c>
      <c r="B6" s="11">
        <f>Calculations!B16</f>
        <v>1.2424476619648677E-6</v>
      </c>
      <c r="C6" s="11">
        <f>Calculations!C16</f>
        <v>1.2424476619648677E-6</v>
      </c>
      <c r="D6" s="11">
        <f>Calculations!D16</f>
        <v>1.2424476619648677E-6</v>
      </c>
      <c r="E6" s="11">
        <f>Calculations!E16</f>
        <v>1.2424476619648677E-6</v>
      </c>
      <c r="F6" s="11">
        <f>Calculations!F16</f>
        <v>1.2424476619648677E-6</v>
      </c>
      <c r="G6" s="11">
        <f>Calculations!G16</f>
        <v>1.2424476619648677E-6</v>
      </c>
      <c r="H6" s="11">
        <f>Calculations!H16</f>
        <v>1.2424476619648677E-6</v>
      </c>
      <c r="I6" s="11">
        <f>Calculations!I16</f>
        <v>1.2424476619648677E-6</v>
      </c>
      <c r="J6" s="11">
        <f>Calculations!J16</f>
        <v>1.2424476619648677E-6</v>
      </c>
      <c r="K6" s="11">
        <f>Calculations!K16</f>
        <v>1.2424476619648677E-6</v>
      </c>
      <c r="L6" s="11">
        <f>Calculations!L16</f>
        <v>1.2424476619648677E-6</v>
      </c>
      <c r="M6" s="11">
        <f>Calculations!M16</f>
        <v>1.2424476619648677E-6</v>
      </c>
      <c r="N6" s="11">
        <f>Calculations!N16</f>
        <v>1.2424476619648677E-6</v>
      </c>
      <c r="O6" s="11">
        <f>Calculations!O16</f>
        <v>1.2424476619648677E-6</v>
      </c>
      <c r="P6" s="11">
        <f>Calculations!P16</f>
        <v>1.2424476619648677E-6</v>
      </c>
      <c r="Q6" s="11">
        <f>Calculations!Q16</f>
        <v>1.2424476619648677E-6</v>
      </c>
      <c r="R6" s="11">
        <f>Calculations!R16</f>
        <v>1.2424476619648677E-6</v>
      </c>
      <c r="S6" s="11">
        <f>Calculations!S16</f>
        <v>1.2424476619648677E-6</v>
      </c>
      <c r="T6" s="11">
        <f>Calculations!T16</f>
        <v>1.2424476619648677E-6</v>
      </c>
      <c r="U6" s="11">
        <f>Calculations!U16</f>
        <v>1.2424476619648677E-6</v>
      </c>
      <c r="V6" s="11">
        <f>Calculations!V16</f>
        <v>1.2424476619648677E-6</v>
      </c>
      <c r="W6" s="11">
        <f>Calculations!W16</f>
        <v>1.2424476619648677E-6</v>
      </c>
      <c r="X6" s="11">
        <f>Calculations!X16</f>
        <v>1.2424476619648677E-6</v>
      </c>
      <c r="Y6" s="11">
        <f>Calculations!Y16</f>
        <v>1.2424476619648677E-6</v>
      </c>
      <c r="Z6" s="11">
        <f>Calculations!Z16</f>
        <v>1.2424476619648677E-6</v>
      </c>
      <c r="AA6" s="11">
        <f>Calculations!AA16</f>
        <v>1.2424476619648677E-6</v>
      </c>
      <c r="AB6" s="11">
        <f>Calculations!AB16</f>
        <v>1.2424476619648677E-6</v>
      </c>
      <c r="AC6" s="11">
        <f>Calculations!AC16</f>
        <v>1.2424476619648677E-6</v>
      </c>
      <c r="AD6" s="11">
        <f>Calculations!AD16</f>
        <v>1.2424476619648677E-6</v>
      </c>
      <c r="AE6" s="11">
        <f>Calculations!AE16</f>
        <v>1.2424476619648677E-6</v>
      </c>
      <c r="AF6" s="11">
        <f>Calculations!AF16</f>
        <v>1.2424476619648677E-6</v>
      </c>
      <c r="AG6" s="11">
        <f>Calculations!AG16</f>
        <v>1.2424476619648677E-6</v>
      </c>
      <c r="AH6" s="11">
        <f>Calculations!AH16</f>
        <v>1.2424476619648677E-6</v>
      </c>
      <c r="AI6" s="11">
        <f>Calculations!AI16</f>
        <v>1.2424476619648677E-6</v>
      </c>
    </row>
    <row r="7" spans="1:35" x14ac:dyDescent="0.35">
      <c r="A7" t="s">
        <v>63</v>
      </c>
      <c r="B7" s="11">
        <f>Calculations!B17</f>
        <v>6.4501385303450296E-7</v>
      </c>
      <c r="C7" s="11">
        <f>Calculations!C17</f>
        <v>6.3020071131473939E-7</v>
      </c>
      <c r="D7" s="11">
        <f>Calculations!D17</f>
        <v>6.1556349764390684E-7</v>
      </c>
      <c r="E7" s="11">
        <f>Calculations!E17</f>
        <v>6.0109909641310533E-7</v>
      </c>
      <c r="F7" s="11">
        <f>Calculations!F17</f>
        <v>5.8680446514980395E-7</v>
      </c>
      <c r="G7" s="11">
        <f>Calculations!G17</f>
        <v>5.7267663238432138E-7</v>
      </c>
      <c r="H7" s="11">
        <f>Calculations!H17</f>
        <v>5.587126955905963E-7</v>
      </c>
      <c r="I7" s="11">
        <f>Calculations!I17</f>
        <v>5.4490981919818528E-7</v>
      </c>
      <c r="J7" s="11">
        <f>Calculations!J17</f>
        <v>5.3126523267265722E-7</v>
      </c>
      <c r="K7" s="11">
        <f>Calculations!K17</f>
        <v>5.1777622866167588E-7</v>
      </c>
      <c r="L7" s="11">
        <f>Calculations!L17</f>
        <v>5.0444016120410464E-7</v>
      </c>
      <c r="M7" s="11">
        <f>Calculations!M17</f>
        <v>4.9125444399972163E-7</v>
      </c>
      <c r="N7" s="11">
        <f>Calculations!N17</f>
        <v>4.7821654873708916E-7</v>
      </c>
      <c r="O7" s="11">
        <f>Calculations!O17</f>
        <v>4.6532400347738714E-7</v>
      </c>
      <c r="P7" s="11">
        <f>Calculations!P17</f>
        <v>4.5536477390322006E-7</v>
      </c>
      <c r="Q7" s="11">
        <f>Calculations!Q17</f>
        <v>4.4547719346267896E-7</v>
      </c>
      <c r="R7" s="11">
        <f>Calculations!R17</f>
        <v>4.3566049173497335E-7</v>
      </c>
      <c r="S7" s="11">
        <f>Calculations!S17</f>
        <v>4.2591390930532337E-7</v>
      </c>
      <c r="T7" s="11">
        <f>Calculations!T17</f>
        <v>4.1623669756912224E-7</v>
      </c>
      <c r="U7" s="11">
        <f>Calculations!U17</f>
        <v>4.0662811854027063E-7</v>
      </c>
      <c r="V7" s="11">
        <f>Calculations!V17</f>
        <v>3.9708744466356583E-7</v>
      </c>
      <c r="W7" s="11">
        <f>Calculations!W17</f>
        <v>3.8761395863106366E-7</v>
      </c>
      <c r="X7" s="11">
        <f>Calculations!X17</f>
        <v>3.7820695320229784E-7</v>
      </c>
      <c r="Y7" s="11">
        <f>Calculations!Y17</f>
        <v>3.6886573102827869E-7</v>
      </c>
      <c r="Z7" s="11">
        <f>Calculations!Z17</f>
        <v>3.5958960447916601E-7</v>
      </c>
      <c r="AA7" s="11">
        <f>Calculations!AA17</f>
        <v>3.503778954755329E-7</v>
      </c>
      <c r="AB7" s="11">
        <f>Calculations!AB17</f>
        <v>3.4122993532313637E-7</v>
      </c>
      <c r="AC7" s="11">
        <f>Calculations!AC17</f>
        <v>3.3214506455110082E-7</v>
      </c>
      <c r="AD7" s="11">
        <f>Calculations!AD17</f>
        <v>3.2312263275344392E-7</v>
      </c>
      <c r="AE7" s="11">
        <f>Calculations!AE17</f>
        <v>3.1416199843385276E-7</v>
      </c>
      <c r="AF7" s="11">
        <f>Calculations!AF17</f>
        <v>3.0526252885364487E-7</v>
      </c>
      <c r="AG7" s="11">
        <f>Calculations!AG17</f>
        <v>2.9642359988282574E-7</v>
      </c>
      <c r="AH7" s="11">
        <f>Calculations!AH17</f>
        <v>2.8764459585418163E-7</v>
      </c>
      <c r="AI7" s="11">
        <f>Calculations!AI17</f>
        <v>2.789249094203261E-7</v>
      </c>
    </row>
    <row r="8" spans="1:35" x14ac:dyDescent="0.35">
      <c r="A8" t="s">
        <v>64</v>
      </c>
      <c r="B8" s="11">
        <f>Calculations!B18</f>
        <v>1.307839644173545E-6</v>
      </c>
      <c r="C8" s="11">
        <f>Calculations!C18</f>
        <v>1.307839644173545E-6</v>
      </c>
      <c r="D8" s="11">
        <f>Calculations!D18</f>
        <v>1.307839644173545E-6</v>
      </c>
      <c r="E8" s="11">
        <f>Calculations!E18</f>
        <v>1.307839644173545E-6</v>
      </c>
      <c r="F8" s="11">
        <f>Calculations!F18</f>
        <v>1.307839644173545E-6</v>
      </c>
      <c r="G8" s="11">
        <f>Calculations!G18</f>
        <v>1.307839644173545E-6</v>
      </c>
      <c r="H8" s="11">
        <f>Calculations!H18</f>
        <v>1.307839644173545E-6</v>
      </c>
      <c r="I8" s="11">
        <f>Calculations!I18</f>
        <v>1.307839644173545E-6</v>
      </c>
      <c r="J8" s="11">
        <f>Calculations!J18</f>
        <v>1.307839644173545E-6</v>
      </c>
      <c r="K8" s="11">
        <f>Calculations!K18</f>
        <v>1.307839644173545E-6</v>
      </c>
      <c r="L8" s="11">
        <f>Calculations!L18</f>
        <v>1.307839644173545E-6</v>
      </c>
      <c r="M8" s="11">
        <f>Calculations!M18</f>
        <v>1.307839644173545E-6</v>
      </c>
      <c r="N8" s="11">
        <f>Calculations!N18</f>
        <v>1.307839644173545E-6</v>
      </c>
      <c r="O8" s="11">
        <f>Calculations!O18</f>
        <v>1.307839644173545E-6</v>
      </c>
      <c r="P8" s="11">
        <f>Calculations!P18</f>
        <v>1.307839644173545E-6</v>
      </c>
      <c r="Q8" s="11">
        <f>Calculations!Q18</f>
        <v>1.307839644173545E-6</v>
      </c>
      <c r="R8" s="11">
        <f>Calculations!R18</f>
        <v>1.307839644173545E-6</v>
      </c>
      <c r="S8" s="11">
        <f>Calculations!S18</f>
        <v>1.307839644173545E-6</v>
      </c>
      <c r="T8" s="11">
        <f>Calculations!T18</f>
        <v>1.307839644173545E-6</v>
      </c>
      <c r="U8" s="11">
        <f>Calculations!U18</f>
        <v>1.307839644173545E-6</v>
      </c>
      <c r="V8" s="11">
        <f>Calculations!V18</f>
        <v>1.307839644173545E-6</v>
      </c>
      <c r="W8" s="11">
        <f>Calculations!W18</f>
        <v>1.307839644173545E-6</v>
      </c>
      <c r="X8" s="11">
        <f>Calculations!X18</f>
        <v>1.307839644173545E-6</v>
      </c>
      <c r="Y8" s="11">
        <f>Calculations!Y18</f>
        <v>1.307839644173545E-6</v>
      </c>
      <c r="Z8" s="11">
        <f>Calculations!Z18</f>
        <v>1.307839644173545E-6</v>
      </c>
      <c r="AA8" s="11">
        <f>Calculations!AA18</f>
        <v>1.307839644173545E-6</v>
      </c>
      <c r="AB8" s="11">
        <f>Calculations!AB18</f>
        <v>1.307839644173545E-6</v>
      </c>
      <c r="AC8" s="11">
        <f>Calculations!AC18</f>
        <v>1.307839644173545E-6</v>
      </c>
      <c r="AD8" s="11">
        <f>Calculations!AD18</f>
        <v>1.307839644173545E-6</v>
      </c>
      <c r="AE8" s="11">
        <f>Calculations!AE18</f>
        <v>1.307839644173545E-6</v>
      </c>
      <c r="AF8" s="11">
        <f>Calculations!AF18</f>
        <v>1.307839644173545E-6</v>
      </c>
      <c r="AG8" s="11">
        <f>Calculations!AG18</f>
        <v>1.307839644173545E-6</v>
      </c>
      <c r="AH8" s="11">
        <f>Calculations!AH18</f>
        <v>1.307839644173545E-6</v>
      </c>
      <c r="AI8" s="11">
        <f>Calculations!AI18</f>
        <v>1.307839644173545E-6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About</vt:lpstr>
      <vt:lpstr>IEA Data</vt:lpstr>
      <vt:lpstr>Conversion Factors</vt:lpstr>
      <vt:lpstr>Calculations</vt:lpstr>
      <vt:lpstr>HPEC</vt:lpstr>
      <vt:lpstr>HPEO</vt:lpstr>
      <vt:lpstr>btu_per_kwh</vt:lpstr>
      <vt:lpstr>hours_per_year</vt:lpstr>
      <vt:lpstr>usd_year_conv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2026-06-03T18:17:42Z</dcterms:modified>
</cp:coreProperties>
</file>