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O'Brien\Models\EPS\US\eps-us\InputData\hydgn\FoHERbA\"/>
    </mc:Choice>
  </mc:AlternateContent>
  <xr:revisionPtr revIDLastSave="0" documentId="13_ncr:1_{408B15EB-92BA-42B3-AB21-ED6652D18161}" xr6:coauthVersionLast="47" xr6:coauthVersionMax="47" xr10:uidLastSave="{00000000-0000-0000-0000-000000000000}"/>
  <bookViews>
    <workbookView xWindow="-110" yWindow="-110" windowWidth="19420" windowHeight="11500" xr2:uid="{D7D4D39B-1881-45DC-8052-5A256985CC24}"/>
  </bookViews>
  <sheets>
    <sheet name="About" sheetId="3" r:id="rId1"/>
    <sheet name="Calcs" sheetId="1" r:id="rId2"/>
    <sheet name="FoHERbA" sheetId="6" r:id="rId3"/>
  </sheets>
  <definedNames>
    <definedName name="solver_adj" localSheetId="1" hidden="1">Calcs!$G$19</definedName>
    <definedName name="solver_cvg" localSheetId="1" hidden="1">0.0001</definedName>
    <definedName name="solver_drv" localSheetId="1" hidden="1">1</definedName>
    <definedName name="solver_eng" localSheetId="1" hidden="1">1</definedName>
    <definedName name="solver_est" localSheetId="1" hidden="1">1</definedName>
    <definedName name="solver_itr" localSheetId="1" hidden="1">2147483647</definedName>
    <definedName name="solver_lhs1" localSheetId="1" hidden="1">Calcs!$G$19</definedName>
    <definedName name="solver_lhs2" localSheetId="1" hidden="1">Calcs!$G$19</definedName>
    <definedName name="solver_mip" localSheetId="1" hidden="1">2147483647</definedName>
    <definedName name="solver_mni" localSheetId="1" hidden="1">30</definedName>
    <definedName name="solver_mrt" localSheetId="1" hidden="1">0.075</definedName>
    <definedName name="solver_msl" localSheetId="1" hidden="1">2</definedName>
    <definedName name="solver_neg" localSheetId="1" hidden="1">1</definedName>
    <definedName name="solver_nod" localSheetId="1" hidden="1">2147483647</definedName>
    <definedName name="solver_num" localSheetId="1" hidden="1">2</definedName>
    <definedName name="solver_nwt" localSheetId="1" hidden="1">1</definedName>
    <definedName name="solver_opt" localSheetId="1" hidden="1">Calcs!$W$42</definedName>
    <definedName name="solver_pre" localSheetId="1" hidden="1">0.000001</definedName>
    <definedName name="solver_rbv" localSheetId="1" hidden="1">1</definedName>
    <definedName name="solver_rel1" localSheetId="1" hidden="1">1</definedName>
    <definedName name="solver_rel2" localSheetId="1" hidden="1">3</definedName>
    <definedName name="solver_rhs1" localSheetId="1" hidden="1">0.07</definedName>
    <definedName name="solver_rhs2" localSheetId="1" hidden="1">0.03</definedName>
    <definedName name="solver_rlx" localSheetId="1" hidden="1">2</definedName>
    <definedName name="solver_rsd" localSheetId="1" hidden="1">0</definedName>
    <definedName name="solver_scl" localSheetId="1" hidden="1">1</definedName>
    <definedName name="solver_sho" localSheetId="1" hidden="1">2</definedName>
    <definedName name="solver_ssz" localSheetId="1" hidden="1">100</definedName>
    <definedName name="solver_tim" localSheetId="1" hidden="1">2147483647</definedName>
    <definedName name="solver_tol" localSheetId="1" hidden="1">0.01</definedName>
    <definedName name="solver_typ" localSheetId="1" hidden="1">3</definedName>
    <definedName name="solver_val" localSheetId="1" hidden="1">0.5</definedName>
    <definedName name="solver_ver" localSheetId="1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42" i="1" l="1"/>
  <c r="R87" i="1" s="1"/>
  <c r="B2" i="6"/>
  <c r="BU27" i="1"/>
  <c r="BT27" i="1"/>
  <c r="BS27" i="1"/>
  <c r="BR27" i="1"/>
  <c r="BQ27" i="1"/>
  <c r="BQ72" i="1" s="1"/>
  <c r="BP27" i="1"/>
  <c r="BP72" i="1" s="1"/>
  <c r="BO27" i="1"/>
  <c r="BN27" i="1"/>
  <c r="BN72" i="1" s="1"/>
  <c r="BM27" i="1"/>
  <c r="BL27" i="1"/>
  <c r="BL72" i="1" s="1"/>
  <c r="BK27" i="1"/>
  <c r="BJ27" i="1"/>
  <c r="BI27" i="1"/>
  <c r="BI72" i="1" s="1"/>
  <c r="BH27" i="1"/>
  <c r="BH72" i="1" s="1"/>
  <c r="BG27" i="1"/>
  <c r="BF27" i="1"/>
  <c r="BE27" i="1"/>
  <c r="BD27" i="1"/>
  <c r="BC27" i="1"/>
  <c r="BB27" i="1"/>
  <c r="BA27" i="1"/>
  <c r="AZ27" i="1"/>
  <c r="AZ72" i="1" s="1"/>
  <c r="AY27" i="1"/>
  <c r="AX27" i="1"/>
  <c r="AX72" i="1" s="1"/>
  <c r="AW27" i="1"/>
  <c r="AW72" i="1" s="1"/>
  <c r="AV27" i="1"/>
  <c r="AU27" i="1"/>
  <c r="AT27" i="1"/>
  <c r="AS27" i="1"/>
  <c r="AR27" i="1"/>
  <c r="AR72" i="1" s="1"/>
  <c r="AQ27" i="1"/>
  <c r="AP27" i="1"/>
  <c r="AP72" i="1" s="1"/>
  <c r="AO27" i="1"/>
  <c r="AN27" i="1"/>
  <c r="AN72" i="1" s="1"/>
  <c r="AM27" i="1"/>
  <c r="AL27" i="1"/>
  <c r="AK27" i="1"/>
  <c r="AJ27" i="1"/>
  <c r="AJ72" i="1" s="1"/>
  <c r="AI27" i="1"/>
  <c r="AH27" i="1"/>
  <c r="AH72" i="1" s="1"/>
  <c r="AG27" i="1"/>
  <c r="AG72" i="1" s="1"/>
  <c r="AF27" i="1"/>
  <c r="AE27" i="1"/>
  <c r="AD27" i="1"/>
  <c r="AC27" i="1"/>
  <c r="AC72" i="1" s="1"/>
  <c r="AB27" i="1"/>
  <c r="AB72" i="1" s="1"/>
  <c r="AA27" i="1"/>
  <c r="Z27" i="1"/>
  <c r="Z72" i="1" s="1"/>
  <c r="Y27" i="1"/>
  <c r="X27" i="1"/>
  <c r="W27" i="1"/>
  <c r="V27" i="1"/>
  <c r="U27" i="1"/>
  <c r="T27" i="1"/>
  <c r="S27" i="1"/>
  <c r="R27" i="1"/>
  <c r="R72" i="1" s="1"/>
  <c r="Q27" i="1"/>
  <c r="P27" i="1"/>
  <c r="O27" i="1"/>
  <c r="N27" i="1"/>
  <c r="M27" i="1"/>
  <c r="M72" i="1" s="1"/>
  <c r="L27" i="1"/>
  <c r="K27" i="1"/>
  <c r="J27" i="1"/>
  <c r="J72" i="1" s="1"/>
  <c r="I27" i="1"/>
  <c r="H27" i="1"/>
  <c r="G27" i="1"/>
  <c r="F27" i="1"/>
  <c r="E27" i="1"/>
  <c r="D27" i="1"/>
  <c r="D72" i="1" s="1"/>
  <c r="C27" i="1"/>
  <c r="I72" i="1"/>
  <c r="Q72" i="1"/>
  <c r="Y72" i="1"/>
  <c r="AA72" i="1"/>
  <c r="AI72" i="1"/>
  <c r="AQ72" i="1"/>
  <c r="BE72" i="1"/>
  <c r="BG72" i="1"/>
  <c r="BA72" i="1"/>
  <c r="AS72" i="1"/>
  <c r="U72" i="1"/>
  <c r="T72" i="1"/>
  <c r="L72" i="1"/>
  <c r="C72" i="1"/>
  <c r="S72" i="1"/>
  <c r="AY72" i="1"/>
  <c r="BO72" i="1"/>
  <c r="BT72" i="1"/>
  <c r="BF72" i="1"/>
  <c r="BD72" i="1"/>
  <c r="AF72" i="1"/>
  <c r="X72" i="1"/>
  <c r="P72" i="1"/>
  <c r="K72" i="1"/>
  <c r="C28" i="1"/>
  <c r="D28" i="1"/>
  <c r="E28" i="1"/>
  <c r="F28" i="1"/>
  <c r="G28" i="1"/>
  <c r="H28" i="1"/>
  <c r="I28" i="1"/>
  <c r="J28" i="1"/>
  <c r="K28" i="1"/>
  <c r="L28" i="1"/>
  <c r="M28" i="1"/>
  <c r="N28" i="1"/>
  <c r="O28" i="1"/>
  <c r="P28" i="1"/>
  <c r="Q28" i="1"/>
  <c r="R28" i="1"/>
  <c r="S28" i="1"/>
  <c r="T28" i="1"/>
  <c r="U28" i="1"/>
  <c r="V28" i="1"/>
  <c r="W28" i="1"/>
  <c r="X28" i="1"/>
  <c r="Y28" i="1"/>
  <c r="Z28" i="1"/>
  <c r="AA28" i="1"/>
  <c r="AB28" i="1"/>
  <c r="AC28" i="1"/>
  <c r="AD28" i="1"/>
  <c r="AE28" i="1"/>
  <c r="AF28" i="1"/>
  <c r="AG28" i="1"/>
  <c r="AH28" i="1"/>
  <c r="AI28" i="1"/>
  <c r="AJ28" i="1"/>
  <c r="AK28" i="1"/>
  <c r="AL28" i="1"/>
  <c r="AM28" i="1"/>
  <c r="AN28" i="1"/>
  <c r="AO28" i="1"/>
  <c r="AP28" i="1"/>
  <c r="AQ28" i="1"/>
  <c r="AR28" i="1"/>
  <c r="AS28" i="1"/>
  <c r="AT28" i="1"/>
  <c r="AU28" i="1"/>
  <c r="AV28" i="1"/>
  <c r="AW28" i="1"/>
  <c r="AX28" i="1"/>
  <c r="AY28" i="1"/>
  <c r="AZ28" i="1"/>
  <c r="BA28" i="1"/>
  <c r="BB28" i="1"/>
  <c r="BC28" i="1"/>
  <c r="BD28" i="1"/>
  <c r="BE28" i="1"/>
  <c r="BF28" i="1"/>
  <c r="BG28" i="1"/>
  <c r="BH28" i="1"/>
  <c r="BI28" i="1"/>
  <c r="BJ28" i="1"/>
  <c r="BK28" i="1"/>
  <c r="BL28" i="1"/>
  <c r="BM28" i="1"/>
  <c r="BN28" i="1"/>
  <c r="BO28" i="1"/>
  <c r="BP28" i="1"/>
  <c r="BQ28" i="1"/>
  <c r="BR28" i="1"/>
  <c r="BS28" i="1"/>
  <c r="BT28" i="1"/>
  <c r="BU28" i="1"/>
  <c r="C29" i="1"/>
  <c r="D29" i="1"/>
  <c r="E29" i="1"/>
  <c r="F29" i="1"/>
  <c r="G29" i="1"/>
  <c r="H29" i="1"/>
  <c r="I29" i="1"/>
  <c r="J29" i="1"/>
  <c r="K29" i="1"/>
  <c r="L29" i="1"/>
  <c r="M29" i="1"/>
  <c r="N29" i="1"/>
  <c r="O29" i="1"/>
  <c r="P29" i="1"/>
  <c r="Q29" i="1"/>
  <c r="R29" i="1"/>
  <c r="S29" i="1"/>
  <c r="T29" i="1"/>
  <c r="U29" i="1"/>
  <c r="V29" i="1"/>
  <c r="W29" i="1"/>
  <c r="X29" i="1"/>
  <c r="Y29" i="1"/>
  <c r="Z29" i="1"/>
  <c r="AA29" i="1"/>
  <c r="AB29" i="1"/>
  <c r="AC29" i="1"/>
  <c r="AD29" i="1"/>
  <c r="AE29" i="1"/>
  <c r="AF29" i="1"/>
  <c r="AG29" i="1"/>
  <c r="AH29" i="1"/>
  <c r="AI29" i="1"/>
  <c r="AJ29" i="1"/>
  <c r="AK29" i="1"/>
  <c r="AL29" i="1"/>
  <c r="AM29" i="1"/>
  <c r="AN29" i="1"/>
  <c r="AO29" i="1"/>
  <c r="AP29" i="1"/>
  <c r="AQ29" i="1"/>
  <c r="AR29" i="1"/>
  <c r="AS29" i="1"/>
  <c r="AT29" i="1"/>
  <c r="AU29" i="1"/>
  <c r="AV29" i="1"/>
  <c r="AW29" i="1"/>
  <c r="AX29" i="1"/>
  <c r="AY29" i="1"/>
  <c r="AZ29" i="1"/>
  <c r="BA29" i="1"/>
  <c r="BB29" i="1"/>
  <c r="BC29" i="1"/>
  <c r="BD29" i="1"/>
  <c r="BE29" i="1"/>
  <c r="BF29" i="1"/>
  <c r="BG29" i="1"/>
  <c r="BH29" i="1"/>
  <c r="BI29" i="1"/>
  <c r="BJ29" i="1"/>
  <c r="BK29" i="1"/>
  <c r="BL29" i="1"/>
  <c r="BM29" i="1"/>
  <c r="BN29" i="1"/>
  <c r="BO29" i="1"/>
  <c r="BP29" i="1"/>
  <c r="BQ29" i="1"/>
  <c r="BR29" i="1"/>
  <c r="BS29" i="1"/>
  <c r="BT29" i="1"/>
  <c r="BU29" i="1"/>
  <c r="C30" i="1"/>
  <c r="D30" i="1"/>
  <c r="E30" i="1"/>
  <c r="F30" i="1"/>
  <c r="G30" i="1"/>
  <c r="H30" i="1"/>
  <c r="I30" i="1"/>
  <c r="J30" i="1"/>
  <c r="K30" i="1"/>
  <c r="L30" i="1"/>
  <c r="M30" i="1"/>
  <c r="N30" i="1"/>
  <c r="O30" i="1"/>
  <c r="P30" i="1"/>
  <c r="Q30" i="1"/>
  <c r="R30" i="1"/>
  <c r="S30" i="1"/>
  <c r="T30" i="1"/>
  <c r="U30" i="1"/>
  <c r="V30" i="1"/>
  <c r="W30" i="1"/>
  <c r="X30" i="1"/>
  <c r="Y30" i="1"/>
  <c r="Z30" i="1"/>
  <c r="AA30" i="1"/>
  <c r="AB30" i="1"/>
  <c r="AC30" i="1"/>
  <c r="AD30" i="1"/>
  <c r="AE30" i="1"/>
  <c r="AF30" i="1"/>
  <c r="AG30" i="1"/>
  <c r="AH30" i="1"/>
  <c r="AI30" i="1"/>
  <c r="AJ30" i="1"/>
  <c r="AK30" i="1"/>
  <c r="AL30" i="1"/>
  <c r="AM30" i="1"/>
  <c r="AN30" i="1"/>
  <c r="AO30" i="1"/>
  <c r="AP30" i="1"/>
  <c r="AQ30" i="1"/>
  <c r="AR30" i="1"/>
  <c r="AS30" i="1"/>
  <c r="AT30" i="1"/>
  <c r="AU30" i="1"/>
  <c r="AV30" i="1"/>
  <c r="AW30" i="1"/>
  <c r="AX30" i="1"/>
  <c r="AY30" i="1"/>
  <c r="AZ30" i="1"/>
  <c r="BA30" i="1"/>
  <c r="BB30" i="1"/>
  <c r="BC30" i="1"/>
  <c r="BD30" i="1"/>
  <c r="BE30" i="1"/>
  <c r="BF30" i="1"/>
  <c r="BG30" i="1"/>
  <c r="BH30" i="1"/>
  <c r="BI30" i="1"/>
  <c r="BJ30" i="1"/>
  <c r="BK30" i="1"/>
  <c r="BL30" i="1"/>
  <c r="BM30" i="1"/>
  <c r="BN30" i="1"/>
  <c r="BO30" i="1"/>
  <c r="BP30" i="1"/>
  <c r="BQ30" i="1"/>
  <c r="BR30" i="1"/>
  <c r="BS30" i="1"/>
  <c r="BT30" i="1"/>
  <c r="BU30" i="1"/>
  <c r="C31" i="1"/>
  <c r="D31" i="1"/>
  <c r="E31" i="1"/>
  <c r="F31" i="1"/>
  <c r="G31" i="1"/>
  <c r="H31" i="1"/>
  <c r="I31" i="1"/>
  <c r="J31" i="1"/>
  <c r="K31" i="1"/>
  <c r="L31" i="1"/>
  <c r="M31" i="1"/>
  <c r="N31" i="1"/>
  <c r="O31" i="1"/>
  <c r="P31" i="1"/>
  <c r="Q31" i="1"/>
  <c r="R31" i="1"/>
  <c r="S31" i="1"/>
  <c r="T31" i="1"/>
  <c r="U31" i="1"/>
  <c r="V31" i="1"/>
  <c r="W31" i="1"/>
  <c r="X31" i="1"/>
  <c r="Y31" i="1"/>
  <c r="Z31" i="1"/>
  <c r="AA31" i="1"/>
  <c r="AB31" i="1"/>
  <c r="AC31" i="1"/>
  <c r="AD31" i="1"/>
  <c r="AE31" i="1"/>
  <c r="AF31" i="1"/>
  <c r="AG31" i="1"/>
  <c r="AH31" i="1"/>
  <c r="AI31" i="1"/>
  <c r="AJ31" i="1"/>
  <c r="AK31" i="1"/>
  <c r="AL31" i="1"/>
  <c r="AM31" i="1"/>
  <c r="AN31" i="1"/>
  <c r="AO31" i="1"/>
  <c r="AP31" i="1"/>
  <c r="AQ31" i="1"/>
  <c r="AR31" i="1"/>
  <c r="AS31" i="1"/>
  <c r="AT31" i="1"/>
  <c r="AU31" i="1"/>
  <c r="AV31" i="1"/>
  <c r="AW31" i="1"/>
  <c r="AX31" i="1"/>
  <c r="AY31" i="1"/>
  <c r="AZ31" i="1"/>
  <c r="BA31" i="1"/>
  <c r="BB31" i="1"/>
  <c r="BC31" i="1"/>
  <c r="BD31" i="1"/>
  <c r="BE31" i="1"/>
  <c r="BF31" i="1"/>
  <c r="BG31" i="1"/>
  <c r="BH31" i="1"/>
  <c r="BI31" i="1"/>
  <c r="BJ31" i="1"/>
  <c r="BK31" i="1"/>
  <c r="BL31" i="1"/>
  <c r="BM31" i="1"/>
  <c r="BN31" i="1"/>
  <c r="BO31" i="1"/>
  <c r="BP31" i="1"/>
  <c r="BQ31" i="1"/>
  <c r="BR31" i="1"/>
  <c r="BS31" i="1"/>
  <c r="BT31" i="1"/>
  <c r="BU31" i="1"/>
  <c r="C32" i="1"/>
  <c r="D32" i="1"/>
  <c r="E32" i="1"/>
  <c r="F32" i="1"/>
  <c r="G32" i="1"/>
  <c r="H32" i="1"/>
  <c r="I32" i="1"/>
  <c r="J32" i="1"/>
  <c r="K32" i="1"/>
  <c r="L32" i="1"/>
  <c r="M32" i="1"/>
  <c r="N32" i="1"/>
  <c r="O32" i="1"/>
  <c r="P32" i="1"/>
  <c r="Q32" i="1"/>
  <c r="R32" i="1"/>
  <c r="S32" i="1"/>
  <c r="T32" i="1"/>
  <c r="U32" i="1"/>
  <c r="V32" i="1"/>
  <c r="W32" i="1"/>
  <c r="X32" i="1"/>
  <c r="Y32" i="1"/>
  <c r="Z32" i="1"/>
  <c r="AA32" i="1"/>
  <c r="AB32" i="1"/>
  <c r="AC32" i="1"/>
  <c r="AD32" i="1"/>
  <c r="AE32" i="1"/>
  <c r="AF32" i="1"/>
  <c r="AG32" i="1"/>
  <c r="AH32" i="1"/>
  <c r="AI32" i="1"/>
  <c r="AJ32" i="1"/>
  <c r="AK32" i="1"/>
  <c r="AL32" i="1"/>
  <c r="AM32" i="1"/>
  <c r="AN32" i="1"/>
  <c r="AO32" i="1"/>
  <c r="AP32" i="1"/>
  <c r="AQ32" i="1"/>
  <c r="AR32" i="1"/>
  <c r="AS32" i="1"/>
  <c r="AT32" i="1"/>
  <c r="AU32" i="1"/>
  <c r="AV32" i="1"/>
  <c r="AW32" i="1"/>
  <c r="AX32" i="1"/>
  <c r="AY32" i="1"/>
  <c r="AZ32" i="1"/>
  <c r="BA32" i="1"/>
  <c r="BB32" i="1"/>
  <c r="BC32" i="1"/>
  <c r="BD32" i="1"/>
  <c r="BE32" i="1"/>
  <c r="BF32" i="1"/>
  <c r="BG32" i="1"/>
  <c r="BH32" i="1"/>
  <c r="BI32" i="1"/>
  <c r="BJ32" i="1"/>
  <c r="BK32" i="1"/>
  <c r="BL32" i="1"/>
  <c r="BM32" i="1"/>
  <c r="BN32" i="1"/>
  <c r="BO32" i="1"/>
  <c r="BP32" i="1"/>
  <c r="BQ32" i="1"/>
  <c r="BR32" i="1"/>
  <c r="BS32" i="1"/>
  <c r="BT32" i="1"/>
  <c r="BU32" i="1"/>
  <c r="C33" i="1"/>
  <c r="D33" i="1"/>
  <c r="E33" i="1"/>
  <c r="F33" i="1"/>
  <c r="G33" i="1"/>
  <c r="H33" i="1"/>
  <c r="I33" i="1"/>
  <c r="J33" i="1"/>
  <c r="K33" i="1"/>
  <c r="L33" i="1"/>
  <c r="M33" i="1"/>
  <c r="N33" i="1"/>
  <c r="O33" i="1"/>
  <c r="P33" i="1"/>
  <c r="Q33" i="1"/>
  <c r="R33" i="1"/>
  <c r="S33" i="1"/>
  <c r="T33" i="1"/>
  <c r="U33" i="1"/>
  <c r="V33" i="1"/>
  <c r="W33" i="1"/>
  <c r="X33" i="1"/>
  <c r="Y33" i="1"/>
  <c r="Z33" i="1"/>
  <c r="AA33" i="1"/>
  <c r="AB33" i="1"/>
  <c r="AC33" i="1"/>
  <c r="AD33" i="1"/>
  <c r="AE33" i="1"/>
  <c r="AF33" i="1"/>
  <c r="AG33" i="1"/>
  <c r="AH33" i="1"/>
  <c r="AI33" i="1"/>
  <c r="AJ33" i="1"/>
  <c r="AK33" i="1"/>
  <c r="AL33" i="1"/>
  <c r="AM33" i="1"/>
  <c r="AN33" i="1"/>
  <c r="AO33" i="1"/>
  <c r="AP33" i="1"/>
  <c r="AQ33" i="1"/>
  <c r="AR33" i="1"/>
  <c r="AS33" i="1"/>
  <c r="AT33" i="1"/>
  <c r="AU33" i="1"/>
  <c r="AV33" i="1"/>
  <c r="AW33" i="1"/>
  <c r="AX33" i="1"/>
  <c r="AY33" i="1"/>
  <c r="AZ33" i="1"/>
  <c r="BA33" i="1"/>
  <c r="BB33" i="1"/>
  <c r="BC33" i="1"/>
  <c r="BD33" i="1"/>
  <c r="BE33" i="1"/>
  <c r="BF33" i="1"/>
  <c r="BG33" i="1"/>
  <c r="BH33" i="1"/>
  <c r="BI33" i="1"/>
  <c r="BJ33" i="1"/>
  <c r="BK33" i="1"/>
  <c r="BL33" i="1"/>
  <c r="BM33" i="1"/>
  <c r="BN33" i="1"/>
  <c r="BO33" i="1"/>
  <c r="BP33" i="1"/>
  <c r="BQ33" i="1"/>
  <c r="BR33" i="1"/>
  <c r="BS33" i="1"/>
  <c r="BT33" i="1"/>
  <c r="BU33" i="1"/>
  <c r="C34" i="1"/>
  <c r="D34" i="1"/>
  <c r="E34" i="1"/>
  <c r="F34" i="1"/>
  <c r="G34" i="1"/>
  <c r="H34" i="1"/>
  <c r="I34" i="1"/>
  <c r="J34" i="1"/>
  <c r="K34" i="1"/>
  <c r="L34" i="1"/>
  <c r="M34" i="1"/>
  <c r="N34" i="1"/>
  <c r="O34" i="1"/>
  <c r="P34" i="1"/>
  <c r="Q34" i="1"/>
  <c r="R34" i="1"/>
  <c r="S34" i="1"/>
  <c r="T34" i="1"/>
  <c r="U34" i="1"/>
  <c r="V34" i="1"/>
  <c r="W34" i="1"/>
  <c r="X34" i="1"/>
  <c r="Y34" i="1"/>
  <c r="Z34" i="1"/>
  <c r="AA34" i="1"/>
  <c r="AB34" i="1"/>
  <c r="AC34" i="1"/>
  <c r="AD34" i="1"/>
  <c r="AE34" i="1"/>
  <c r="AF34" i="1"/>
  <c r="AG34" i="1"/>
  <c r="AH34" i="1"/>
  <c r="AI34" i="1"/>
  <c r="AJ34" i="1"/>
  <c r="AK34" i="1"/>
  <c r="AL34" i="1"/>
  <c r="AM34" i="1"/>
  <c r="AN34" i="1"/>
  <c r="AO34" i="1"/>
  <c r="AP34" i="1"/>
  <c r="AQ34" i="1"/>
  <c r="AR34" i="1"/>
  <c r="AS34" i="1"/>
  <c r="AT34" i="1"/>
  <c r="AU34" i="1"/>
  <c r="AV34" i="1"/>
  <c r="AW34" i="1"/>
  <c r="AX34" i="1"/>
  <c r="AY34" i="1"/>
  <c r="AZ34" i="1"/>
  <c r="BA34" i="1"/>
  <c r="BB34" i="1"/>
  <c r="BC34" i="1"/>
  <c r="BD34" i="1"/>
  <c r="BE34" i="1"/>
  <c r="BF34" i="1"/>
  <c r="BG34" i="1"/>
  <c r="BH34" i="1"/>
  <c r="BI34" i="1"/>
  <c r="BJ34" i="1"/>
  <c r="BK34" i="1"/>
  <c r="BL34" i="1"/>
  <c r="BM34" i="1"/>
  <c r="BN34" i="1"/>
  <c r="BO34" i="1"/>
  <c r="BP34" i="1"/>
  <c r="BQ34" i="1"/>
  <c r="BR34" i="1"/>
  <c r="BS34" i="1"/>
  <c r="BT34" i="1"/>
  <c r="BU34" i="1"/>
  <c r="C35" i="1"/>
  <c r="D35" i="1"/>
  <c r="E35" i="1"/>
  <c r="F35" i="1"/>
  <c r="G35" i="1"/>
  <c r="H35" i="1"/>
  <c r="I35" i="1"/>
  <c r="J35" i="1"/>
  <c r="K35" i="1"/>
  <c r="L35" i="1"/>
  <c r="M35" i="1"/>
  <c r="N35" i="1"/>
  <c r="O35" i="1"/>
  <c r="P35" i="1"/>
  <c r="Q35" i="1"/>
  <c r="R35" i="1"/>
  <c r="S35" i="1"/>
  <c r="T35" i="1"/>
  <c r="U35" i="1"/>
  <c r="V35" i="1"/>
  <c r="W35" i="1"/>
  <c r="X35" i="1"/>
  <c r="Y35" i="1"/>
  <c r="Z35" i="1"/>
  <c r="AA35" i="1"/>
  <c r="AB35" i="1"/>
  <c r="AC35" i="1"/>
  <c r="AD35" i="1"/>
  <c r="AE35" i="1"/>
  <c r="AF35" i="1"/>
  <c r="AG35" i="1"/>
  <c r="AH35" i="1"/>
  <c r="AI35" i="1"/>
  <c r="AJ35" i="1"/>
  <c r="AK35" i="1"/>
  <c r="AL35" i="1"/>
  <c r="AM35" i="1"/>
  <c r="AN35" i="1"/>
  <c r="AO35" i="1"/>
  <c r="AP35" i="1"/>
  <c r="AQ35" i="1"/>
  <c r="AR35" i="1"/>
  <c r="AS35" i="1"/>
  <c r="AT35" i="1"/>
  <c r="AU35" i="1"/>
  <c r="AV35" i="1"/>
  <c r="AW35" i="1"/>
  <c r="AX35" i="1"/>
  <c r="AY35" i="1"/>
  <c r="AZ35" i="1"/>
  <c r="BA35" i="1"/>
  <c r="BB35" i="1"/>
  <c r="BC35" i="1"/>
  <c r="BD35" i="1"/>
  <c r="BE35" i="1"/>
  <c r="BF35" i="1"/>
  <c r="BG35" i="1"/>
  <c r="BH35" i="1"/>
  <c r="BI35" i="1"/>
  <c r="BJ35" i="1"/>
  <c r="BK35" i="1"/>
  <c r="BL35" i="1"/>
  <c r="BM35" i="1"/>
  <c r="BN35" i="1"/>
  <c r="BO35" i="1"/>
  <c r="BP35" i="1"/>
  <c r="BQ35" i="1"/>
  <c r="BR35" i="1"/>
  <c r="BS35" i="1"/>
  <c r="BT35" i="1"/>
  <c r="BU35" i="1"/>
  <c r="C36" i="1"/>
  <c r="D36" i="1"/>
  <c r="E36" i="1"/>
  <c r="F36" i="1"/>
  <c r="G36" i="1"/>
  <c r="H36" i="1"/>
  <c r="I36" i="1"/>
  <c r="J36" i="1"/>
  <c r="K36" i="1"/>
  <c r="L36" i="1"/>
  <c r="M36" i="1"/>
  <c r="N36" i="1"/>
  <c r="O36" i="1"/>
  <c r="P36" i="1"/>
  <c r="Q36" i="1"/>
  <c r="R36" i="1"/>
  <c r="S36" i="1"/>
  <c r="T36" i="1"/>
  <c r="U36" i="1"/>
  <c r="V36" i="1"/>
  <c r="W36" i="1"/>
  <c r="X36" i="1"/>
  <c r="Y36" i="1"/>
  <c r="Z36" i="1"/>
  <c r="AA36" i="1"/>
  <c r="AB36" i="1"/>
  <c r="AC36" i="1"/>
  <c r="AD36" i="1"/>
  <c r="AE36" i="1"/>
  <c r="AF36" i="1"/>
  <c r="AG36" i="1"/>
  <c r="AH36" i="1"/>
  <c r="AI36" i="1"/>
  <c r="AJ36" i="1"/>
  <c r="AK36" i="1"/>
  <c r="AL36" i="1"/>
  <c r="AM36" i="1"/>
  <c r="AN36" i="1"/>
  <c r="AO36" i="1"/>
  <c r="AP36" i="1"/>
  <c r="AQ36" i="1"/>
  <c r="AR36" i="1"/>
  <c r="AS36" i="1"/>
  <c r="AT36" i="1"/>
  <c r="AU36" i="1"/>
  <c r="AV36" i="1"/>
  <c r="AW36" i="1"/>
  <c r="AX36" i="1"/>
  <c r="AY36" i="1"/>
  <c r="AZ36" i="1"/>
  <c r="BA36" i="1"/>
  <c r="BB36" i="1"/>
  <c r="BC36" i="1"/>
  <c r="BD36" i="1"/>
  <c r="BE36" i="1"/>
  <c r="BF36" i="1"/>
  <c r="BG36" i="1"/>
  <c r="BH36" i="1"/>
  <c r="BI36" i="1"/>
  <c r="BJ36" i="1"/>
  <c r="BK36" i="1"/>
  <c r="BL36" i="1"/>
  <c r="BM36" i="1"/>
  <c r="BN36" i="1"/>
  <c r="BO36" i="1"/>
  <c r="BP36" i="1"/>
  <c r="BQ36" i="1"/>
  <c r="BR36" i="1"/>
  <c r="BS36" i="1"/>
  <c r="BT36" i="1"/>
  <c r="BU36" i="1"/>
  <c r="C37" i="1"/>
  <c r="D37" i="1"/>
  <c r="E37" i="1"/>
  <c r="F37" i="1"/>
  <c r="G37" i="1"/>
  <c r="H37" i="1"/>
  <c r="I37" i="1"/>
  <c r="J37" i="1"/>
  <c r="K37" i="1"/>
  <c r="L37" i="1"/>
  <c r="M37" i="1"/>
  <c r="N37" i="1"/>
  <c r="O37" i="1"/>
  <c r="P37" i="1"/>
  <c r="Q37" i="1"/>
  <c r="R37" i="1"/>
  <c r="S37" i="1"/>
  <c r="T37" i="1"/>
  <c r="U37" i="1"/>
  <c r="V37" i="1"/>
  <c r="W37" i="1"/>
  <c r="X37" i="1"/>
  <c r="Y37" i="1"/>
  <c r="Z37" i="1"/>
  <c r="AA37" i="1"/>
  <c r="AB37" i="1"/>
  <c r="AC37" i="1"/>
  <c r="AD37" i="1"/>
  <c r="AE37" i="1"/>
  <c r="AF37" i="1"/>
  <c r="AG37" i="1"/>
  <c r="AH37" i="1"/>
  <c r="AI37" i="1"/>
  <c r="AJ37" i="1"/>
  <c r="AK37" i="1"/>
  <c r="AL37" i="1"/>
  <c r="AM37" i="1"/>
  <c r="AN37" i="1"/>
  <c r="AO37" i="1"/>
  <c r="AP37" i="1"/>
  <c r="AQ37" i="1"/>
  <c r="AR37" i="1"/>
  <c r="AS37" i="1"/>
  <c r="AT37" i="1"/>
  <c r="AU37" i="1"/>
  <c r="AV37" i="1"/>
  <c r="AW37" i="1"/>
  <c r="AX37" i="1"/>
  <c r="AY37" i="1"/>
  <c r="AZ37" i="1"/>
  <c r="BA37" i="1"/>
  <c r="BB37" i="1"/>
  <c r="BC37" i="1"/>
  <c r="BD37" i="1"/>
  <c r="BE37" i="1"/>
  <c r="BF37" i="1"/>
  <c r="BG37" i="1"/>
  <c r="BH37" i="1"/>
  <c r="BI37" i="1"/>
  <c r="BJ37" i="1"/>
  <c r="BK37" i="1"/>
  <c r="BL37" i="1"/>
  <c r="BM37" i="1"/>
  <c r="BN37" i="1"/>
  <c r="BO37" i="1"/>
  <c r="BP37" i="1"/>
  <c r="BQ37" i="1"/>
  <c r="BR37" i="1"/>
  <c r="BS37" i="1"/>
  <c r="BT37" i="1"/>
  <c r="BU37" i="1"/>
  <c r="C38" i="1"/>
  <c r="D38" i="1"/>
  <c r="E38" i="1"/>
  <c r="F38" i="1"/>
  <c r="G38" i="1"/>
  <c r="H38" i="1"/>
  <c r="I38" i="1"/>
  <c r="J38" i="1"/>
  <c r="K38" i="1"/>
  <c r="L38" i="1"/>
  <c r="M38" i="1"/>
  <c r="N38" i="1"/>
  <c r="O38" i="1"/>
  <c r="P38" i="1"/>
  <c r="Q38" i="1"/>
  <c r="R38" i="1"/>
  <c r="S38" i="1"/>
  <c r="T38" i="1"/>
  <c r="U38" i="1"/>
  <c r="V38" i="1"/>
  <c r="W38" i="1"/>
  <c r="X38" i="1"/>
  <c r="Y38" i="1"/>
  <c r="Z38" i="1"/>
  <c r="AA38" i="1"/>
  <c r="AB38" i="1"/>
  <c r="AC38" i="1"/>
  <c r="AD38" i="1"/>
  <c r="AE38" i="1"/>
  <c r="AF38" i="1"/>
  <c r="AG38" i="1"/>
  <c r="AH38" i="1"/>
  <c r="AI38" i="1"/>
  <c r="AJ38" i="1"/>
  <c r="AK38" i="1"/>
  <c r="AL38" i="1"/>
  <c r="AM38" i="1"/>
  <c r="AN38" i="1"/>
  <c r="AO38" i="1"/>
  <c r="AP38" i="1"/>
  <c r="AQ38" i="1"/>
  <c r="AR38" i="1"/>
  <c r="AS38" i="1"/>
  <c r="AT38" i="1"/>
  <c r="AU38" i="1"/>
  <c r="AV38" i="1"/>
  <c r="AW38" i="1"/>
  <c r="AX38" i="1"/>
  <c r="AY38" i="1"/>
  <c r="AZ38" i="1"/>
  <c r="BA38" i="1"/>
  <c r="BB38" i="1"/>
  <c r="BC38" i="1"/>
  <c r="BD38" i="1"/>
  <c r="BE38" i="1"/>
  <c r="BF38" i="1"/>
  <c r="BG38" i="1"/>
  <c r="BH38" i="1"/>
  <c r="BI38" i="1"/>
  <c r="BJ38" i="1"/>
  <c r="BK38" i="1"/>
  <c r="BL38" i="1"/>
  <c r="BM38" i="1"/>
  <c r="BN38" i="1"/>
  <c r="BO38" i="1"/>
  <c r="BP38" i="1"/>
  <c r="BQ38" i="1"/>
  <c r="BR38" i="1"/>
  <c r="BS38" i="1"/>
  <c r="BT38" i="1"/>
  <c r="BU38" i="1"/>
  <c r="C39" i="1"/>
  <c r="D39" i="1"/>
  <c r="E39" i="1"/>
  <c r="F39" i="1"/>
  <c r="G39" i="1"/>
  <c r="H39" i="1"/>
  <c r="I39" i="1"/>
  <c r="J39" i="1"/>
  <c r="K39" i="1"/>
  <c r="L39" i="1"/>
  <c r="M39" i="1"/>
  <c r="N39" i="1"/>
  <c r="O39" i="1"/>
  <c r="P39" i="1"/>
  <c r="Q39" i="1"/>
  <c r="R39" i="1"/>
  <c r="S39" i="1"/>
  <c r="T39" i="1"/>
  <c r="U39" i="1"/>
  <c r="V39" i="1"/>
  <c r="W39" i="1"/>
  <c r="X39" i="1"/>
  <c r="Y39" i="1"/>
  <c r="Z39" i="1"/>
  <c r="AA39" i="1"/>
  <c r="AB39" i="1"/>
  <c r="AC39" i="1"/>
  <c r="AD39" i="1"/>
  <c r="AE39" i="1"/>
  <c r="AF39" i="1"/>
  <c r="AG39" i="1"/>
  <c r="AH39" i="1"/>
  <c r="AI39" i="1"/>
  <c r="AJ39" i="1"/>
  <c r="AK39" i="1"/>
  <c r="AL39" i="1"/>
  <c r="AM39" i="1"/>
  <c r="AN39" i="1"/>
  <c r="AO39" i="1"/>
  <c r="AP39" i="1"/>
  <c r="AQ39" i="1"/>
  <c r="AR39" i="1"/>
  <c r="AS39" i="1"/>
  <c r="AT39" i="1"/>
  <c r="AU39" i="1"/>
  <c r="AV39" i="1"/>
  <c r="AW39" i="1"/>
  <c r="AX39" i="1"/>
  <c r="AY39" i="1"/>
  <c r="AZ39" i="1"/>
  <c r="BA39" i="1"/>
  <c r="BB39" i="1"/>
  <c r="BC39" i="1"/>
  <c r="BD39" i="1"/>
  <c r="BE39" i="1"/>
  <c r="BF39" i="1"/>
  <c r="BG39" i="1"/>
  <c r="BH39" i="1"/>
  <c r="BI39" i="1"/>
  <c r="BJ39" i="1"/>
  <c r="BK39" i="1"/>
  <c r="BL39" i="1"/>
  <c r="BM39" i="1"/>
  <c r="BN39" i="1"/>
  <c r="BO39" i="1"/>
  <c r="BP39" i="1"/>
  <c r="BQ39" i="1"/>
  <c r="BR39" i="1"/>
  <c r="BS39" i="1"/>
  <c r="BT39" i="1"/>
  <c r="BU39" i="1"/>
  <c r="C40" i="1"/>
  <c r="D40" i="1"/>
  <c r="E40" i="1"/>
  <c r="F40" i="1"/>
  <c r="G40" i="1"/>
  <c r="H40" i="1"/>
  <c r="I40" i="1"/>
  <c r="J40" i="1"/>
  <c r="K40" i="1"/>
  <c r="L40" i="1"/>
  <c r="M40" i="1"/>
  <c r="N40" i="1"/>
  <c r="O40" i="1"/>
  <c r="P40" i="1"/>
  <c r="Q40" i="1"/>
  <c r="R40" i="1"/>
  <c r="S40" i="1"/>
  <c r="T40" i="1"/>
  <c r="U40" i="1"/>
  <c r="V40" i="1"/>
  <c r="W40" i="1"/>
  <c r="X40" i="1"/>
  <c r="Y40" i="1"/>
  <c r="Z40" i="1"/>
  <c r="AA40" i="1"/>
  <c r="AB40" i="1"/>
  <c r="AC40" i="1"/>
  <c r="AD40" i="1"/>
  <c r="AE40" i="1"/>
  <c r="AF40" i="1"/>
  <c r="AG40" i="1"/>
  <c r="AH40" i="1"/>
  <c r="AI40" i="1"/>
  <c r="AJ40" i="1"/>
  <c r="AK40" i="1"/>
  <c r="AL40" i="1"/>
  <c r="AM40" i="1"/>
  <c r="AN40" i="1"/>
  <c r="AO40" i="1"/>
  <c r="AP40" i="1"/>
  <c r="AQ40" i="1"/>
  <c r="AR40" i="1"/>
  <c r="AS40" i="1"/>
  <c r="AT40" i="1"/>
  <c r="AU40" i="1"/>
  <c r="AV40" i="1"/>
  <c r="AW40" i="1"/>
  <c r="AX40" i="1"/>
  <c r="AY40" i="1"/>
  <c r="AZ40" i="1"/>
  <c r="BA40" i="1"/>
  <c r="BB40" i="1"/>
  <c r="BC40" i="1"/>
  <c r="BD40" i="1"/>
  <c r="BE40" i="1"/>
  <c r="BF40" i="1"/>
  <c r="BG40" i="1"/>
  <c r="BH40" i="1"/>
  <c r="BI40" i="1"/>
  <c r="BJ40" i="1"/>
  <c r="BK40" i="1"/>
  <c r="BL40" i="1"/>
  <c r="BM40" i="1"/>
  <c r="BN40" i="1"/>
  <c r="BO40" i="1"/>
  <c r="BP40" i="1"/>
  <c r="BQ40" i="1"/>
  <c r="BR40" i="1"/>
  <c r="BS40" i="1"/>
  <c r="BT40" i="1"/>
  <c r="BU40" i="1"/>
  <c r="C41" i="1"/>
  <c r="D41" i="1"/>
  <c r="E41" i="1"/>
  <c r="F41" i="1"/>
  <c r="G41" i="1"/>
  <c r="H41" i="1"/>
  <c r="I41" i="1"/>
  <c r="J41" i="1"/>
  <c r="K41" i="1"/>
  <c r="L41" i="1"/>
  <c r="M41" i="1"/>
  <c r="N41" i="1"/>
  <c r="O41" i="1"/>
  <c r="P41" i="1"/>
  <c r="Q41" i="1"/>
  <c r="R41" i="1"/>
  <c r="S41" i="1"/>
  <c r="T41" i="1"/>
  <c r="U41" i="1"/>
  <c r="V41" i="1"/>
  <c r="W41" i="1"/>
  <c r="X41" i="1"/>
  <c r="Y41" i="1"/>
  <c r="Z41" i="1"/>
  <c r="AA41" i="1"/>
  <c r="AB41" i="1"/>
  <c r="AC41" i="1"/>
  <c r="AD41" i="1"/>
  <c r="AE41" i="1"/>
  <c r="AF41" i="1"/>
  <c r="AG41" i="1"/>
  <c r="AH41" i="1"/>
  <c r="AI41" i="1"/>
  <c r="AJ41" i="1"/>
  <c r="AK41" i="1"/>
  <c r="AL41" i="1"/>
  <c r="AM41" i="1"/>
  <c r="AN41" i="1"/>
  <c r="AO41" i="1"/>
  <c r="AP41" i="1"/>
  <c r="AQ41" i="1"/>
  <c r="AR41" i="1"/>
  <c r="AS41" i="1"/>
  <c r="AT41" i="1"/>
  <c r="AU41" i="1"/>
  <c r="AV41" i="1"/>
  <c r="AW41" i="1"/>
  <c r="AX41" i="1"/>
  <c r="AY41" i="1"/>
  <c r="AZ41" i="1"/>
  <c r="BA41" i="1"/>
  <c r="BB41" i="1"/>
  <c r="BC41" i="1"/>
  <c r="BD41" i="1"/>
  <c r="BE41" i="1"/>
  <c r="BF41" i="1"/>
  <c r="BG41" i="1"/>
  <c r="BH41" i="1"/>
  <c r="BI41" i="1"/>
  <c r="BJ41" i="1"/>
  <c r="BK41" i="1"/>
  <c r="BL41" i="1"/>
  <c r="BM41" i="1"/>
  <c r="BN41" i="1"/>
  <c r="BO41" i="1"/>
  <c r="BP41" i="1"/>
  <c r="BQ41" i="1"/>
  <c r="BR41" i="1"/>
  <c r="BS41" i="1"/>
  <c r="BT41" i="1"/>
  <c r="BU41" i="1"/>
  <c r="C42" i="1"/>
  <c r="C87" i="1" s="1"/>
  <c r="E42" i="1"/>
  <c r="E87" i="1" s="1"/>
  <c r="F42" i="1"/>
  <c r="F87" i="1" s="1"/>
  <c r="G42" i="1"/>
  <c r="G87" i="1" s="1"/>
  <c r="H42" i="1"/>
  <c r="H87" i="1" s="1"/>
  <c r="I42" i="1"/>
  <c r="I87" i="1" s="1"/>
  <c r="J42" i="1"/>
  <c r="J87" i="1" s="1"/>
  <c r="L42" i="1"/>
  <c r="L87" i="1" s="1"/>
  <c r="O42" i="1"/>
  <c r="O87" i="1" s="1"/>
  <c r="P42" i="1"/>
  <c r="Q42" i="1"/>
  <c r="Q87" i="1" s="1"/>
  <c r="T42" i="1"/>
  <c r="W42" i="1"/>
  <c r="W87" i="1" s="1"/>
  <c r="X42" i="1"/>
  <c r="X87" i="1" s="1"/>
  <c r="Y42" i="1"/>
  <c r="Y87" i="1" s="1"/>
  <c r="AA42" i="1"/>
  <c r="AA87" i="1" s="1"/>
  <c r="AB42" i="1"/>
  <c r="AB87" i="1" s="1"/>
  <c r="AC42" i="1"/>
  <c r="AC87" i="1" s="1"/>
  <c r="AD42" i="1"/>
  <c r="AD87" i="1" s="1"/>
  <c r="AE42" i="1"/>
  <c r="AE87" i="1" s="1"/>
  <c r="AF42" i="1"/>
  <c r="AF87" i="1" s="1"/>
  <c r="AH42" i="1"/>
  <c r="AH87" i="1" s="1"/>
  <c r="AK42" i="1"/>
  <c r="AK87" i="1" s="1"/>
  <c r="AL42" i="1"/>
  <c r="AL87" i="1" s="1"/>
  <c r="AM42" i="1"/>
  <c r="AM87" i="1" s="1"/>
  <c r="AN42" i="1"/>
  <c r="AN87" i="1" s="1"/>
  <c r="AO42" i="1"/>
  <c r="AO87" i="1" s="1"/>
  <c r="AP42" i="1"/>
  <c r="AP87" i="1" s="1"/>
  <c r="AQ42" i="1"/>
  <c r="AQ87" i="1" s="1"/>
  <c r="AT42" i="1"/>
  <c r="AT87" i="1" s="1"/>
  <c r="AX42" i="1"/>
  <c r="AX87" i="1" s="1"/>
  <c r="AY42" i="1"/>
  <c r="AY87" i="1" s="1"/>
  <c r="AZ42" i="1"/>
  <c r="AZ87" i="1" s="1"/>
  <c r="BA42" i="1"/>
  <c r="BA87" i="1" s="1"/>
  <c r="BB42" i="1"/>
  <c r="BB87" i="1" s="1"/>
  <c r="BC42" i="1"/>
  <c r="BC87" i="1" s="1"/>
  <c r="BD42" i="1"/>
  <c r="BD87" i="1" s="1"/>
  <c r="BG42" i="1"/>
  <c r="BG87" i="1" s="1"/>
  <c r="BH42" i="1"/>
  <c r="BH87" i="1" s="1"/>
  <c r="BI42" i="1"/>
  <c r="BI87" i="1" s="1"/>
  <c r="BJ42" i="1"/>
  <c r="BJ87" i="1" s="1"/>
  <c r="BK42" i="1"/>
  <c r="BK87" i="1" s="1"/>
  <c r="BL42" i="1"/>
  <c r="BL87" i="1" s="1"/>
  <c r="BM42" i="1"/>
  <c r="BM87" i="1" s="1"/>
  <c r="BN42" i="1"/>
  <c r="BN87" i="1" s="1"/>
  <c r="BO42" i="1"/>
  <c r="BO87" i="1" s="1"/>
  <c r="BP42" i="1"/>
  <c r="BP87" i="1" s="1"/>
  <c r="BS42" i="1"/>
  <c r="BS87" i="1" s="1"/>
  <c r="BU86" i="1"/>
  <c r="BQ86" i="1"/>
  <c r="BN86" i="1"/>
  <c r="BM86" i="1"/>
  <c r="BI86" i="1"/>
  <c r="BE86" i="1"/>
  <c r="BA86" i="1"/>
  <c r="AX86" i="1"/>
  <c r="AW86" i="1"/>
  <c r="AS86" i="1"/>
  <c r="AP86" i="1"/>
  <c r="AO86" i="1"/>
  <c r="AK86" i="1"/>
  <c r="AH86" i="1"/>
  <c r="AG86" i="1"/>
  <c r="AC86" i="1"/>
  <c r="Y86" i="1"/>
  <c r="U86" i="1"/>
  <c r="R86" i="1"/>
  <c r="Q86" i="1"/>
  <c r="M86" i="1"/>
  <c r="J86" i="1"/>
  <c r="I86" i="1"/>
  <c r="E86" i="1"/>
  <c r="BU85" i="1"/>
  <c r="BT85" i="1"/>
  <c r="BP85" i="1"/>
  <c r="BL85" i="1"/>
  <c r="BH85" i="1"/>
  <c r="BE85" i="1"/>
  <c r="BD85" i="1"/>
  <c r="AZ85" i="1"/>
  <c r="AW85" i="1"/>
  <c r="AV85" i="1"/>
  <c r="AR85" i="1"/>
  <c r="AO85" i="1"/>
  <c r="AN85" i="1"/>
  <c r="AJ85" i="1"/>
  <c r="AF85" i="1"/>
  <c r="AB85" i="1"/>
  <c r="Y85" i="1"/>
  <c r="X85" i="1"/>
  <c r="T85" i="1"/>
  <c r="Q85" i="1"/>
  <c r="P85" i="1"/>
  <c r="L85" i="1"/>
  <c r="I85" i="1"/>
  <c r="H85" i="1"/>
  <c r="D85" i="1"/>
  <c r="BS84" i="1"/>
  <c r="BO84" i="1"/>
  <c r="BL84" i="1"/>
  <c r="BK84" i="1"/>
  <c r="BG84" i="1"/>
  <c r="BD84" i="1"/>
  <c r="BC84" i="1"/>
  <c r="AY84" i="1"/>
  <c r="AV84" i="1"/>
  <c r="AU84" i="1"/>
  <c r="AQ84" i="1"/>
  <c r="AM84" i="1"/>
  <c r="AI84" i="1"/>
  <c r="AF84" i="1"/>
  <c r="AE84" i="1"/>
  <c r="AA84" i="1"/>
  <c r="X84" i="1"/>
  <c r="W84" i="1"/>
  <c r="S84" i="1"/>
  <c r="P84" i="1"/>
  <c r="O84" i="1"/>
  <c r="K84" i="1"/>
  <c r="G84" i="1"/>
  <c r="C84" i="1"/>
  <c r="BS83" i="1"/>
  <c r="BR83" i="1"/>
  <c r="BN83" i="1"/>
  <c r="BK83" i="1"/>
  <c r="BJ83" i="1"/>
  <c r="BF83" i="1"/>
  <c r="BC83" i="1"/>
  <c r="BB83" i="1"/>
  <c r="AX83" i="1"/>
  <c r="AT83" i="1"/>
  <c r="AP83" i="1"/>
  <c r="AM83" i="1"/>
  <c r="AL83" i="1"/>
  <c r="AH83" i="1"/>
  <c r="AE83" i="1"/>
  <c r="AD83" i="1"/>
  <c r="Z83" i="1"/>
  <c r="W83" i="1"/>
  <c r="V83" i="1"/>
  <c r="R83" i="1"/>
  <c r="N83" i="1"/>
  <c r="J83" i="1"/>
  <c r="G83" i="1"/>
  <c r="F83" i="1"/>
  <c r="BU82" i="1"/>
  <c r="BR82" i="1"/>
  <c r="BQ82" i="1"/>
  <c r="BM82" i="1"/>
  <c r="BJ82" i="1"/>
  <c r="BI82" i="1"/>
  <c r="BE82" i="1"/>
  <c r="BA82" i="1"/>
  <c r="AW82" i="1"/>
  <c r="AT82" i="1"/>
  <c r="AS82" i="1"/>
  <c r="AO82" i="1"/>
  <c r="AL82" i="1"/>
  <c r="AK82" i="1"/>
  <c r="AG82" i="1"/>
  <c r="AD82" i="1"/>
  <c r="AC82" i="1"/>
  <c r="Y82" i="1"/>
  <c r="U82" i="1"/>
  <c r="Q82" i="1"/>
  <c r="N82" i="1"/>
  <c r="M82" i="1"/>
  <c r="I82" i="1"/>
  <c r="F82" i="1"/>
  <c r="E82" i="1"/>
  <c r="BQ81" i="1"/>
  <c r="BP81" i="1"/>
  <c r="BI81" i="1"/>
  <c r="BH81" i="1"/>
  <c r="BD81" i="1"/>
  <c r="AZ81" i="1"/>
  <c r="AV81" i="1"/>
  <c r="AR81" i="1"/>
  <c r="AN81" i="1"/>
  <c r="AJ81" i="1"/>
  <c r="AF81" i="1"/>
  <c r="AB81" i="1"/>
  <c r="X81" i="1"/>
  <c r="T81" i="1"/>
  <c r="P81" i="1"/>
  <c r="L81" i="1"/>
  <c r="H81" i="1"/>
  <c r="D81" i="1"/>
  <c r="BS80" i="1"/>
  <c r="BO80" i="1"/>
  <c r="BK80" i="1"/>
  <c r="BG80" i="1"/>
  <c r="BC80" i="1"/>
  <c r="AY80" i="1"/>
  <c r="AU80" i="1"/>
  <c r="AQ80" i="1"/>
  <c r="AM80" i="1"/>
  <c r="AI80" i="1"/>
  <c r="AE80" i="1"/>
  <c r="AA80" i="1"/>
  <c r="W80" i="1"/>
  <c r="S80" i="1"/>
  <c r="O80" i="1"/>
  <c r="K80" i="1"/>
  <c r="G80" i="1"/>
  <c r="C80" i="1"/>
  <c r="BR79" i="1"/>
  <c r="BN79" i="1"/>
  <c r="BJ79" i="1"/>
  <c r="BF79" i="1"/>
  <c r="BB79" i="1"/>
  <c r="AX79" i="1"/>
  <c r="AT79" i="1"/>
  <c r="AP79" i="1"/>
  <c r="AL79" i="1"/>
  <c r="AH79" i="1"/>
  <c r="AD79" i="1"/>
  <c r="Z79" i="1"/>
  <c r="V79" i="1"/>
  <c r="R79" i="1"/>
  <c r="N79" i="1"/>
  <c r="J79" i="1"/>
  <c r="F79" i="1"/>
  <c r="BU78" i="1"/>
  <c r="BQ78" i="1"/>
  <c r="BM78" i="1"/>
  <c r="BI78" i="1"/>
  <c r="BE78" i="1"/>
  <c r="BA78" i="1"/>
  <c r="AW78" i="1"/>
  <c r="AS78" i="1"/>
  <c r="AO78" i="1"/>
  <c r="AK78" i="1"/>
  <c r="AG78" i="1"/>
  <c r="AC78" i="1"/>
  <c r="Y78" i="1"/>
  <c r="U78" i="1"/>
  <c r="Q78" i="1"/>
  <c r="M78" i="1"/>
  <c r="I78" i="1"/>
  <c r="E78" i="1"/>
  <c r="BT77" i="1"/>
  <c r="BP77" i="1"/>
  <c r="BL77" i="1"/>
  <c r="BH77" i="1"/>
  <c r="BD77" i="1"/>
  <c r="AZ77" i="1"/>
  <c r="AV77" i="1"/>
  <c r="AR77" i="1"/>
  <c r="AN77" i="1"/>
  <c r="AJ77" i="1"/>
  <c r="AF77" i="1"/>
  <c r="AB77" i="1"/>
  <c r="X77" i="1"/>
  <c r="T77" i="1"/>
  <c r="P77" i="1"/>
  <c r="L77" i="1"/>
  <c r="H77" i="1"/>
  <c r="D77" i="1"/>
  <c r="BS76" i="1"/>
  <c r="BO76" i="1"/>
  <c r="BK76" i="1"/>
  <c r="BG76" i="1"/>
  <c r="BC76" i="1"/>
  <c r="AY76" i="1"/>
  <c r="AU76" i="1"/>
  <c r="AQ76" i="1"/>
  <c r="AM76" i="1"/>
  <c r="AI76" i="1"/>
  <c r="AE76" i="1"/>
  <c r="AA76" i="1"/>
  <c r="W76" i="1"/>
  <c r="S76" i="1"/>
  <c r="O76" i="1"/>
  <c r="K76" i="1"/>
  <c r="G76" i="1"/>
  <c r="C76" i="1"/>
  <c r="BR75" i="1"/>
  <c r="BN75" i="1"/>
  <c r="BJ75" i="1"/>
  <c r="BF75" i="1"/>
  <c r="BB75" i="1"/>
  <c r="AX75" i="1"/>
  <c r="AT75" i="1"/>
  <c r="AP75" i="1"/>
  <c r="AL75" i="1"/>
  <c r="AH75" i="1"/>
  <c r="AD75" i="1"/>
  <c r="Z75" i="1"/>
  <c r="V75" i="1"/>
  <c r="R75" i="1"/>
  <c r="N75" i="1"/>
  <c r="J75" i="1"/>
  <c r="F75" i="1"/>
  <c r="BU74" i="1"/>
  <c r="BQ74" i="1"/>
  <c r="BM74" i="1"/>
  <c r="BI74" i="1"/>
  <c r="BE74" i="1"/>
  <c r="BA74" i="1"/>
  <c r="AW74" i="1"/>
  <c r="AS74" i="1"/>
  <c r="AO74" i="1"/>
  <c r="AK74" i="1"/>
  <c r="AG74" i="1"/>
  <c r="AC74" i="1"/>
  <c r="Y74" i="1"/>
  <c r="U74" i="1"/>
  <c r="Q74" i="1"/>
  <c r="M74" i="1"/>
  <c r="I74" i="1"/>
  <c r="E74" i="1"/>
  <c r="BT73" i="1"/>
  <c r="BP73" i="1"/>
  <c r="BL73" i="1"/>
  <c r="BH73" i="1"/>
  <c r="BD73" i="1"/>
  <c r="AZ73" i="1"/>
  <c r="AV73" i="1"/>
  <c r="AR73" i="1"/>
  <c r="AN73" i="1"/>
  <c r="AJ73" i="1"/>
  <c r="AF73" i="1"/>
  <c r="AB73" i="1"/>
  <c r="X73" i="1"/>
  <c r="T73" i="1"/>
  <c r="P73" i="1"/>
  <c r="L73" i="1"/>
  <c r="H73" i="1"/>
  <c r="D73" i="1"/>
  <c r="BS72" i="1"/>
  <c r="BK72" i="1"/>
  <c r="AU72" i="1"/>
  <c r="AM72" i="1"/>
  <c r="AD72" i="1"/>
  <c r="O72" i="1"/>
  <c r="G72" i="1"/>
  <c r="BR72" i="1"/>
  <c r="BB72" i="1"/>
  <c r="AL72" i="1"/>
  <c r="F72" i="1"/>
  <c r="AO72" i="1"/>
  <c r="BU72" i="1"/>
  <c r="BJ72" i="1"/>
  <c r="V72" i="1"/>
  <c r="BM72" i="1"/>
  <c r="AE72" i="1"/>
  <c r="W72" i="1"/>
  <c r="E72" i="1"/>
  <c r="AK72" i="1"/>
  <c r="T87" i="1"/>
  <c r="P87" i="1"/>
  <c r="BT86" i="1"/>
  <c r="BS86" i="1"/>
  <c r="BR86" i="1"/>
  <c r="BP86" i="1"/>
  <c r="BO86" i="1"/>
  <c r="BL86" i="1"/>
  <c r="BK86" i="1"/>
  <c r="BJ86" i="1"/>
  <c r="BH86" i="1"/>
  <c r="BG86" i="1"/>
  <c r="BF86" i="1"/>
  <c r="BD86" i="1"/>
  <c r="BC86" i="1"/>
  <c r="BB86" i="1"/>
  <c r="AZ86" i="1"/>
  <c r="AY86" i="1"/>
  <c r="AV86" i="1"/>
  <c r="AU86" i="1"/>
  <c r="AT86" i="1"/>
  <c r="AR86" i="1"/>
  <c r="AQ86" i="1"/>
  <c r="AN86" i="1"/>
  <c r="AM86" i="1"/>
  <c r="AL86" i="1"/>
  <c r="AJ86" i="1"/>
  <c r="AI86" i="1"/>
  <c r="AF86" i="1"/>
  <c r="AE86" i="1"/>
  <c r="AD86" i="1"/>
  <c r="AB86" i="1"/>
  <c r="AA86" i="1"/>
  <c r="Z86" i="1"/>
  <c r="X86" i="1"/>
  <c r="W86" i="1"/>
  <c r="V86" i="1"/>
  <c r="T86" i="1"/>
  <c r="S86" i="1"/>
  <c r="P86" i="1"/>
  <c r="O86" i="1"/>
  <c r="N86" i="1"/>
  <c r="L86" i="1"/>
  <c r="K86" i="1"/>
  <c r="H86" i="1"/>
  <c r="G86" i="1"/>
  <c r="F86" i="1"/>
  <c r="D86" i="1"/>
  <c r="C86" i="1"/>
  <c r="BS85" i="1"/>
  <c r="BR85" i="1"/>
  <c r="BQ85" i="1"/>
  <c r="BO85" i="1"/>
  <c r="BN85" i="1"/>
  <c r="BM85" i="1"/>
  <c r="BK85" i="1"/>
  <c r="BJ85" i="1"/>
  <c r="BI85" i="1"/>
  <c r="BG85" i="1"/>
  <c r="BF85" i="1"/>
  <c r="BC85" i="1"/>
  <c r="BB85" i="1"/>
  <c r="BA85" i="1"/>
  <c r="AY85" i="1"/>
  <c r="AX85" i="1"/>
  <c r="AU85" i="1"/>
  <c r="AT85" i="1"/>
  <c r="AS85" i="1"/>
  <c r="AQ85" i="1"/>
  <c r="AP85" i="1"/>
  <c r="AM85" i="1"/>
  <c r="AL85" i="1"/>
  <c r="AK85" i="1"/>
  <c r="AI85" i="1"/>
  <c r="AH85" i="1"/>
  <c r="AG85" i="1"/>
  <c r="AE85" i="1"/>
  <c r="AD85" i="1"/>
  <c r="AC85" i="1"/>
  <c r="AA85" i="1"/>
  <c r="Z85" i="1"/>
  <c r="W85" i="1"/>
  <c r="V85" i="1"/>
  <c r="U85" i="1"/>
  <c r="S85" i="1"/>
  <c r="R85" i="1"/>
  <c r="O85" i="1"/>
  <c r="N85" i="1"/>
  <c r="M85" i="1"/>
  <c r="K85" i="1"/>
  <c r="J85" i="1"/>
  <c r="G85" i="1"/>
  <c r="F85" i="1"/>
  <c r="E85" i="1"/>
  <c r="C85" i="1"/>
  <c r="BU84" i="1"/>
  <c r="BT84" i="1"/>
  <c r="BR84" i="1"/>
  <c r="BQ84" i="1"/>
  <c r="BP84" i="1"/>
  <c r="BN84" i="1"/>
  <c r="BM84" i="1"/>
  <c r="BJ84" i="1"/>
  <c r="BI84" i="1"/>
  <c r="BH84" i="1"/>
  <c r="BF84" i="1"/>
  <c r="BE84" i="1"/>
  <c r="BB84" i="1"/>
  <c r="BA84" i="1"/>
  <c r="AZ84" i="1"/>
  <c r="AX84" i="1"/>
  <c r="AW84" i="1"/>
  <c r="AT84" i="1"/>
  <c r="AS84" i="1"/>
  <c r="AR84" i="1"/>
  <c r="AP84" i="1"/>
  <c r="AO84" i="1"/>
  <c r="AN84" i="1"/>
  <c r="AL84" i="1"/>
  <c r="AK84" i="1"/>
  <c r="AJ84" i="1"/>
  <c r="AH84" i="1"/>
  <c r="AG84" i="1"/>
  <c r="AD84" i="1"/>
  <c r="AC84" i="1"/>
  <c r="AB84" i="1"/>
  <c r="Z84" i="1"/>
  <c r="Y84" i="1"/>
  <c r="V84" i="1"/>
  <c r="U84" i="1"/>
  <c r="T84" i="1"/>
  <c r="R84" i="1"/>
  <c r="Q84" i="1"/>
  <c r="N84" i="1"/>
  <c r="M84" i="1"/>
  <c r="L84" i="1"/>
  <c r="J84" i="1"/>
  <c r="I84" i="1"/>
  <c r="H84" i="1"/>
  <c r="F84" i="1"/>
  <c r="E84" i="1"/>
  <c r="D84" i="1"/>
  <c r="BU83" i="1"/>
  <c r="BT83" i="1"/>
  <c r="BQ83" i="1"/>
  <c r="BP83" i="1"/>
  <c r="BO83" i="1"/>
  <c r="BM83" i="1"/>
  <c r="BL83" i="1"/>
  <c r="BI83" i="1"/>
  <c r="BH83" i="1"/>
  <c r="BG83" i="1"/>
  <c r="BE83" i="1"/>
  <c r="BD83" i="1"/>
  <c r="BA83" i="1"/>
  <c r="AZ83" i="1"/>
  <c r="AY83" i="1"/>
  <c r="AW83" i="1"/>
  <c r="AV83" i="1"/>
  <c r="AU83" i="1"/>
  <c r="AS83" i="1"/>
  <c r="AR83" i="1"/>
  <c r="AQ83" i="1"/>
  <c r="AO83" i="1"/>
  <c r="AN83" i="1"/>
  <c r="AK83" i="1"/>
  <c r="AJ83" i="1"/>
  <c r="AI83" i="1"/>
  <c r="AG83" i="1"/>
  <c r="AF83" i="1"/>
  <c r="AC83" i="1"/>
  <c r="AB83" i="1"/>
  <c r="AA83" i="1"/>
  <c r="Y83" i="1"/>
  <c r="X83" i="1"/>
  <c r="U83" i="1"/>
  <c r="T83" i="1"/>
  <c r="S83" i="1"/>
  <c r="Q83" i="1"/>
  <c r="P83" i="1"/>
  <c r="O83" i="1"/>
  <c r="M83" i="1"/>
  <c r="L83" i="1"/>
  <c r="K83" i="1"/>
  <c r="I83" i="1"/>
  <c r="H83" i="1"/>
  <c r="E83" i="1"/>
  <c r="D83" i="1"/>
  <c r="C83" i="1"/>
  <c r="BT82" i="1"/>
  <c r="BS82" i="1"/>
  <c r="BP82" i="1"/>
  <c r="BO82" i="1"/>
  <c r="BN82" i="1"/>
  <c r="BL82" i="1"/>
  <c r="BK82" i="1"/>
  <c r="BH82" i="1"/>
  <c r="BG82" i="1"/>
  <c r="BF82" i="1"/>
  <c r="BD82" i="1"/>
  <c r="BC82" i="1"/>
  <c r="BB82" i="1"/>
  <c r="AZ82" i="1"/>
  <c r="AY82" i="1"/>
  <c r="AX82" i="1"/>
  <c r="AV82" i="1"/>
  <c r="AU82" i="1"/>
  <c r="AR82" i="1"/>
  <c r="AQ82" i="1"/>
  <c r="AP82" i="1"/>
  <c r="AN82" i="1"/>
  <c r="AM82" i="1"/>
  <c r="AJ82" i="1"/>
  <c r="AI82" i="1"/>
  <c r="AH82" i="1"/>
  <c r="AF82" i="1"/>
  <c r="AE82" i="1"/>
  <c r="AB82" i="1"/>
  <c r="AA82" i="1"/>
  <c r="Z82" i="1"/>
  <c r="X82" i="1"/>
  <c r="W82" i="1"/>
  <c r="V82" i="1"/>
  <c r="T82" i="1"/>
  <c r="S82" i="1"/>
  <c r="R82" i="1"/>
  <c r="P82" i="1"/>
  <c r="O82" i="1"/>
  <c r="L82" i="1"/>
  <c r="K82" i="1"/>
  <c r="J82" i="1"/>
  <c r="H82" i="1"/>
  <c r="G82" i="1"/>
  <c r="D82" i="1"/>
  <c r="C82" i="1"/>
  <c r="BU81" i="1"/>
  <c r="BT81" i="1"/>
  <c r="BS81" i="1"/>
  <c r="BR81" i="1"/>
  <c r="BO81" i="1"/>
  <c r="BN81" i="1"/>
  <c r="BM81" i="1"/>
  <c r="BL81" i="1"/>
  <c r="BK81" i="1"/>
  <c r="BJ81" i="1"/>
  <c r="BG81" i="1"/>
  <c r="BF81" i="1"/>
  <c r="BE81" i="1"/>
  <c r="BC81" i="1"/>
  <c r="BB81" i="1"/>
  <c r="BA81" i="1"/>
  <c r="AY81" i="1"/>
  <c r="AX81" i="1"/>
  <c r="AW81" i="1"/>
  <c r="AU81" i="1"/>
  <c r="AT81" i="1"/>
  <c r="AS81" i="1"/>
  <c r="AQ81" i="1"/>
  <c r="AP81" i="1"/>
  <c r="AO81" i="1"/>
  <c r="AM81" i="1"/>
  <c r="AL81" i="1"/>
  <c r="AK81" i="1"/>
  <c r="AI81" i="1"/>
  <c r="AH81" i="1"/>
  <c r="AG81" i="1"/>
  <c r="AE81" i="1"/>
  <c r="AD81" i="1"/>
  <c r="AC81" i="1"/>
  <c r="AA81" i="1"/>
  <c r="Z81" i="1"/>
  <c r="Y81" i="1"/>
  <c r="W81" i="1"/>
  <c r="V81" i="1"/>
  <c r="U81" i="1"/>
  <c r="S81" i="1"/>
  <c r="R81" i="1"/>
  <c r="Q81" i="1"/>
  <c r="O81" i="1"/>
  <c r="N81" i="1"/>
  <c r="M81" i="1"/>
  <c r="K81" i="1"/>
  <c r="J81" i="1"/>
  <c r="I81" i="1"/>
  <c r="G81" i="1"/>
  <c r="F81" i="1"/>
  <c r="E81" i="1"/>
  <c r="C81" i="1"/>
  <c r="BU80" i="1"/>
  <c r="BT80" i="1"/>
  <c r="BR80" i="1"/>
  <c r="BQ80" i="1"/>
  <c r="BP80" i="1"/>
  <c r="BN80" i="1"/>
  <c r="BM80" i="1"/>
  <c r="BL80" i="1"/>
  <c r="BJ80" i="1"/>
  <c r="BI80" i="1"/>
  <c r="BH80" i="1"/>
  <c r="BF80" i="1"/>
  <c r="BE80" i="1"/>
  <c r="BD80" i="1"/>
  <c r="BB80" i="1"/>
  <c r="BA80" i="1"/>
  <c r="AZ80" i="1"/>
  <c r="AX80" i="1"/>
  <c r="AW80" i="1"/>
  <c r="AV80" i="1"/>
  <c r="AT80" i="1"/>
  <c r="AS80" i="1"/>
  <c r="AR80" i="1"/>
  <c r="AP80" i="1"/>
  <c r="AO80" i="1"/>
  <c r="AN80" i="1"/>
  <c r="AL80" i="1"/>
  <c r="AK80" i="1"/>
  <c r="AJ80" i="1"/>
  <c r="AH80" i="1"/>
  <c r="AG80" i="1"/>
  <c r="AF80" i="1"/>
  <c r="AD80" i="1"/>
  <c r="AC80" i="1"/>
  <c r="AB80" i="1"/>
  <c r="Z80" i="1"/>
  <c r="Y80" i="1"/>
  <c r="X80" i="1"/>
  <c r="V80" i="1"/>
  <c r="U80" i="1"/>
  <c r="T80" i="1"/>
  <c r="R80" i="1"/>
  <c r="Q80" i="1"/>
  <c r="P80" i="1"/>
  <c r="N80" i="1"/>
  <c r="M80" i="1"/>
  <c r="L80" i="1"/>
  <c r="J80" i="1"/>
  <c r="I80" i="1"/>
  <c r="H80" i="1"/>
  <c r="F80" i="1"/>
  <c r="E80" i="1"/>
  <c r="D80" i="1"/>
  <c r="BU79" i="1"/>
  <c r="BT79" i="1"/>
  <c r="BS79" i="1"/>
  <c r="BQ79" i="1"/>
  <c r="BP79" i="1"/>
  <c r="BO79" i="1"/>
  <c r="BM79" i="1"/>
  <c r="BL79" i="1"/>
  <c r="BK79" i="1"/>
  <c r="BI79" i="1"/>
  <c r="BH79" i="1"/>
  <c r="BG79" i="1"/>
  <c r="BE79" i="1"/>
  <c r="BD79" i="1"/>
  <c r="BC79" i="1"/>
  <c r="BA79" i="1"/>
  <c r="AZ79" i="1"/>
  <c r="AY79" i="1"/>
  <c r="AW79" i="1"/>
  <c r="AV79" i="1"/>
  <c r="AU79" i="1"/>
  <c r="AS79" i="1"/>
  <c r="AR79" i="1"/>
  <c r="AQ79" i="1"/>
  <c r="AO79" i="1"/>
  <c r="AN79" i="1"/>
  <c r="AM79" i="1"/>
  <c r="AK79" i="1"/>
  <c r="AJ79" i="1"/>
  <c r="AI79" i="1"/>
  <c r="AG79" i="1"/>
  <c r="AF79" i="1"/>
  <c r="AE79" i="1"/>
  <c r="AC79" i="1"/>
  <c r="AB79" i="1"/>
  <c r="AA79" i="1"/>
  <c r="Y79" i="1"/>
  <c r="X79" i="1"/>
  <c r="W79" i="1"/>
  <c r="U79" i="1"/>
  <c r="T79" i="1"/>
  <c r="S79" i="1"/>
  <c r="Q79" i="1"/>
  <c r="P79" i="1"/>
  <c r="O79" i="1"/>
  <c r="M79" i="1"/>
  <c r="L79" i="1"/>
  <c r="K79" i="1"/>
  <c r="I79" i="1"/>
  <c r="H79" i="1"/>
  <c r="G79" i="1"/>
  <c r="E79" i="1"/>
  <c r="D79" i="1"/>
  <c r="C79" i="1"/>
  <c r="BT78" i="1"/>
  <c r="BS78" i="1"/>
  <c r="BR78" i="1"/>
  <c r="BP78" i="1"/>
  <c r="BO78" i="1"/>
  <c r="BN78" i="1"/>
  <c r="BL78" i="1"/>
  <c r="BK78" i="1"/>
  <c r="BJ78" i="1"/>
  <c r="BH78" i="1"/>
  <c r="BG78" i="1"/>
  <c r="BF78" i="1"/>
  <c r="BD78" i="1"/>
  <c r="BC78" i="1"/>
  <c r="BB78" i="1"/>
  <c r="AZ78" i="1"/>
  <c r="AY78" i="1"/>
  <c r="AX78" i="1"/>
  <c r="AV78" i="1"/>
  <c r="AU78" i="1"/>
  <c r="AT78" i="1"/>
  <c r="AR78" i="1"/>
  <c r="AQ78" i="1"/>
  <c r="AP78" i="1"/>
  <c r="AN78" i="1"/>
  <c r="AM78" i="1"/>
  <c r="AL78" i="1"/>
  <c r="AJ78" i="1"/>
  <c r="AI78" i="1"/>
  <c r="AH78" i="1"/>
  <c r="AF78" i="1"/>
  <c r="AE78" i="1"/>
  <c r="AD78" i="1"/>
  <c r="AB78" i="1"/>
  <c r="AA78" i="1"/>
  <c r="Z78" i="1"/>
  <c r="X78" i="1"/>
  <c r="W78" i="1"/>
  <c r="V78" i="1"/>
  <c r="T78" i="1"/>
  <c r="S78" i="1"/>
  <c r="R78" i="1"/>
  <c r="P78" i="1"/>
  <c r="O78" i="1"/>
  <c r="N78" i="1"/>
  <c r="L78" i="1"/>
  <c r="K78" i="1"/>
  <c r="J78" i="1"/>
  <c r="H78" i="1"/>
  <c r="G78" i="1"/>
  <c r="F78" i="1"/>
  <c r="D78" i="1"/>
  <c r="C78" i="1"/>
  <c r="BU77" i="1"/>
  <c r="BS77" i="1"/>
  <c r="BR77" i="1"/>
  <c r="BQ77" i="1"/>
  <c r="BO77" i="1"/>
  <c r="BN77" i="1"/>
  <c r="BM77" i="1"/>
  <c r="BK77" i="1"/>
  <c r="BJ77" i="1"/>
  <c r="BI77" i="1"/>
  <c r="BG77" i="1"/>
  <c r="BF77" i="1"/>
  <c r="BE77" i="1"/>
  <c r="BC77" i="1"/>
  <c r="BB77" i="1"/>
  <c r="BA77" i="1"/>
  <c r="AY77" i="1"/>
  <c r="AX77" i="1"/>
  <c r="AW77" i="1"/>
  <c r="AU77" i="1"/>
  <c r="AT77" i="1"/>
  <c r="AS77" i="1"/>
  <c r="AQ77" i="1"/>
  <c r="AP77" i="1"/>
  <c r="AO77" i="1"/>
  <c r="AM77" i="1"/>
  <c r="AL77" i="1"/>
  <c r="AK77" i="1"/>
  <c r="AI77" i="1"/>
  <c r="AH77" i="1"/>
  <c r="AG77" i="1"/>
  <c r="AE77" i="1"/>
  <c r="AD77" i="1"/>
  <c r="AC77" i="1"/>
  <c r="AA77" i="1"/>
  <c r="Z77" i="1"/>
  <c r="Y77" i="1"/>
  <c r="W77" i="1"/>
  <c r="V77" i="1"/>
  <c r="U77" i="1"/>
  <c r="S77" i="1"/>
  <c r="R77" i="1"/>
  <c r="Q77" i="1"/>
  <c r="O77" i="1"/>
  <c r="N77" i="1"/>
  <c r="M77" i="1"/>
  <c r="K77" i="1"/>
  <c r="J77" i="1"/>
  <c r="I77" i="1"/>
  <c r="G77" i="1"/>
  <c r="F77" i="1"/>
  <c r="E77" i="1"/>
  <c r="C77" i="1"/>
  <c r="BU76" i="1"/>
  <c r="BT76" i="1"/>
  <c r="BR76" i="1"/>
  <c r="BQ76" i="1"/>
  <c r="BP76" i="1"/>
  <c r="BN76" i="1"/>
  <c r="BM76" i="1"/>
  <c r="BL76" i="1"/>
  <c r="BJ76" i="1"/>
  <c r="BI76" i="1"/>
  <c r="BH76" i="1"/>
  <c r="BF76" i="1"/>
  <c r="BE76" i="1"/>
  <c r="BD76" i="1"/>
  <c r="BB76" i="1"/>
  <c r="BA76" i="1"/>
  <c r="AZ76" i="1"/>
  <c r="AX76" i="1"/>
  <c r="AW76" i="1"/>
  <c r="AV76" i="1"/>
  <c r="AT76" i="1"/>
  <c r="AS76" i="1"/>
  <c r="AR76" i="1"/>
  <c r="AP76" i="1"/>
  <c r="AO76" i="1"/>
  <c r="AN76" i="1"/>
  <c r="AL76" i="1"/>
  <c r="AK76" i="1"/>
  <c r="AJ76" i="1"/>
  <c r="AH76" i="1"/>
  <c r="AG76" i="1"/>
  <c r="AF76" i="1"/>
  <c r="AD76" i="1"/>
  <c r="AC76" i="1"/>
  <c r="AB76" i="1"/>
  <c r="Z76" i="1"/>
  <c r="Y76" i="1"/>
  <c r="X76" i="1"/>
  <c r="V76" i="1"/>
  <c r="U76" i="1"/>
  <c r="T76" i="1"/>
  <c r="R76" i="1"/>
  <c r="Q76" i="1"/>
  <c r="P76" i="1"/>
  <c r="N76" i="1"/>
  <c r="M76" i="1"/>
  <c r="L76" i="1"/>
  <c r="J76" i="1"/>
  <c r="I76" i="1"/>
  <c r="H76" i="1"/>
  <c r="F76" i="1"/>
  <c r="E76" i="1"/>
  <c r="D76" i="1"/>
  <c r="BU75" i="1"/>
  <c r="BT75" i="1"/>
  <c r="BS75" i="1"/>
  <c r="BQ75" i="1"/>
  <c r="BP75" i="1"/>
  <c r="BO75" i="1"/>
  <c r="BM75" i="1"/>
  <c r="BL75" i="1"/>
  <c r="BK75" i="1"/>
  <c r="BI75" i="1"/>
  <c r="BH75" i="1"/>
  <c r="BG75" i="1"/>
  <c r="BE75" i="1"/>
  <c r="BD75" i="1"/>
  <c r="BC75" i="1"/>
  <c r="BA75" i="1"/>
  <c r="AZ75" i="1"/>
  <c r="AY75" i="1"/>
  <c r="AW75" i="1"/>
  <c r="AV75" i="1"/>
  <c r="AU75" i="1"/>
  <c r="AS75" i="1"/>
  <c r="AR75" i="1"/>
  <c r="AQ75" i="1"/>
  <c r="AO75" i="1"/>
  <c r="AN75" i="1"/>
  <c r="AM75" i="1"/>
  <c r="AK75" i="1"/>
  <c r="AJ75" i="1"/>
  <c r="AI75" i="1"/>
  <c r="AG75" i="1"/>
  <c r="AF75" i="1"/>
  <c r="AE75" i="1"/>
  <c r="AC75" i="1"/>
  <c r="AB75" i="1"/>
  <c r="AA75" i="1"/>
  <c r="Y75" i="1"/>
  <c r="X75" i="1"/>
  <c r="W75" i="1"/>
  <c r="U75" i="1"/>
  <c r="T75" i="1"/>
  <c r="S75" i="1"/>
  <c r="Q75" i="1"/>
  <c r="P75" i="1"/>
  <c r="O75" i="1"/>
  <c r="M75" i="1"/>
  <c r="L75" i="1"/>
  <c r="K75" i="1"/>
  <c r="I75" i="1"/>
  <c r="H75" i="1"/>
  <c r="G75" i="1"/>
  <c r="E75" i="1"/>
  <c r="D75" i="1"/>
  <c r="C75" i="1"/>
  <c r="BT74" i="1"/>
  <c r="BS74" i="1"/>
  <c r="BR74" i="1"/>
  <c r="BP74" i="1"/>
  <c r="BO74" i="1"/>
  <c r="BN74" i="1"/>
  <c r="BL74" i="1"/>
  <c r="BK74" i="1"/>
  <c r="BJ74" i="1"/>
  <c r="BH74" i="1"/>
  <c r="BG74" i="1"/>
  <c r="BF74" i="1"/>
  <c r="BD74" i="1"/>
  <c r="BC74" i="1"/>
  <c r="BB74" i="1"/>
  <c r="AZ74" i="1"/>
  <c r="AY74" i="1"/>
  <c r="AX74" i="1"/>
  <c r="AV74" i="1"/>
  <c r="AU74" i="1"/>
  <c r="AT74" i="1"/>
  <c r="AR74" i="1"/>
  <c r="AQ74" i="1"/>
  <c r="AP74" i="1"/>
  <c r="AN74" i="1"/>
  <c r="AM74" i="1"/>
  <c r="AL74" i="1"/>
  <c r="AJ74" i="1"/>
  <c r="AI74" i="1"/>
  <c r="AH74" i="1"/>
  <c r="AF74" i="1"/>
  <c r="AE74" i="1"/>
  <c r="AD74" i="1"/>
  <c r="AB74" i="1"/>
  <c r="AA74" i="1"/>
  <c r="Z74" i="1"/>
  <c r="X74" i="1"/>
  <c r="W74" i="1"/>
  <c r="V74" i="1"/>
  <c r="T74" i="1"/>
  <c r="S74" i="1"/>
  <c r="R74" i="1"/>
  <c r="P74" i="1"/>
  <c r="O74" i="1"/>
  <c r="N74" i="1"/>
  <c r="L74" i="1"/>
  <c r="K74" i="1"/>
  <c r="J74" i="1"/>
  <c r="H74" i="1"/>
  <c r="G74" i="1"/>
  <c r="F74" i="1"/>
  <c r="D74" i="1"/>
  <c r="C74" i="1"/>
  <c r="BU73" i="1"/>
  <c r="BS73" i="1"/>
  <c r="BR73" i="1"/>
  <c r="BQ73" i="1"/>
  <c r="BO73" i="1"/>
  <c r="BN73" i="1"/>
  <c r="BM73" i="1"/>
  <c r="BK73" i="1"/>
  <c r="BJ73" i="1"/>
  <c r="BI73" i="1"/>
  <c r="BG73" i="1"/>
  <c r="BF73" i="1"/>
  <c r="BE73" i="1"/>
  <c r="BC73" i="1"/>
  <c r="BB73" i="1"/>
  <c r="BA73" i="1"/>
  <c r="AY73" i="1"/>
  <c r="AX73" i="1"/>
  <c r="AW73" i="1"/>
  <c r="AU73" i="1"/>
  <c r="AT73" i="1"/>
  <c r="AS73" i="1"/>
  <c r="AQ73" i="1"/>
  <c r="AP73" i="1"/>
  <c r="AO73" i="1"/>
  <c r="AM73" i="1"/>
  <c r="AL73" i="1"/>
  <c r="AK73" i="1"/>
  <c r="AI73" i="1"/>
  <c r="AH73" i="1"/>
  <c r="AG73" i="1"/>
  <c r="AE73" i="1"/>
  <c r="AD73" i="1"/>
  <c r="AC73" i="1"/>
  <c r="AA73" i="1"/>
  <c r="Z73" i="1"/>
  <c r="Y73" i="1"/>
  <c r="W73" i="1"/>
  <c r="V73" i="1"/>
  <c r="U73" i="1"/>
  <c r="S73" i="1"/>
  <c r="R73" i="1"/>
  <c r="Q73" i="1"/>
  <c r="O73" i="1"/>
  <c r="N73" i="1"/>
  <c r="M73" i="1"/>
  <c r="K73" i="1"/>
  <c r="J73" i="1"/>
  <c r="I73" i="1"/>
  <c r="G73" i="1"/>
  <c r="F73" i="1"/>
  <c r="E73" i="1"/>
  <c r="C73" i="1"/>
  <c r="BC72" i="1"/>
  <c r="AV72" i="1"/>
  <c r="AT72" i="1"/>
  <c r="N72" i="1"/>
  <c r="H72" i="1"/>
  <c r="BU42" i="1" l="1"/>
  <c r="AW42" i="1"/>
  <c r="AW87" i="1" s="1"/>
  <c r="V42" i="1"/>
  <c r="V87" i="1" s="1"/>
  <c r="BT42" i="1"/>
  <c r="BT87" i="1" s="1"/>
  <c r="BU89" i="1" s="1"/>
  <c r="BT2" i="6" s="1"/>
  <c r="AU42" i="1"/>
  <c r="AU87" i="1" s="1"/>
  <c r="U42" i="1"/>
  <c r="U87" i="1" s="1"/>
  <c r="U89" i="1" s="1"/>
  <c r="T2" i="6" s="1"/>
  <c r="BR42" i="1"/>
  <c r="BR87" i="1" s="1"/>
  <c r="AS42" i="1"/>
  <c r="AS87" i="1" s="1"/>
  <c r="AT89" i="1" s="1"/>
  <c r="AS2" i="6" s="1"/>
  <c r="S42" i="1"/>
  <c r="S87" i="1" s="1"/>
  <c r="T89" i="1" s="1"/>
  <c r="S2" i="6" s="1"/>
  <c r="BQ42" i="1"/>
  <c r="BQ87" i="1" s="1"/>
  <c r="BQ89" i="1" s="1"/>
  <c r="BP2" i="6" s="1"/>
  <c r="AR42" i="1"/>
  <c r="AR87" i="1" s="1"/>
  <c r="BB89" i="1"/>
  <c r="BA2" i="6" s="1"/>
  <c r="D42" i="1"/>
  <c r="D87" i="1" s="1"/>
  <c r="E89" i="1" s="1"/>
  <c r="D2" i="6" s="1"/>
  <c r="AN89" i="1"/>
  <c r="AM2" i="6" s="1"/>
  <c r="BR89" i="1"/>
  <c r="BQ2" i="6" s="1"/>
  <c r="AD89" i="1"/>
  <c r="AC2" i="6" s="1"/>
  <c r="AU89" i="1"/>
  <c r="AT2" i="6" s="1"/>
  <c r="BL89" i="1"/>
  <c r="BK2" i="6" s="1"/>
  <c r="I89" i="1"/>
  <c r="H2" i="6" s="1"/>
  <c r="AE89" i="1"/>
  <c r="AD2" i="6" s="1"/>
  <c r="AZ89" i="1"/>
  <c r="AY2" i="6" s="1"/>
  <c r="P89" i="1"/>
  <c r="O2" i="6" s="1"/>
  <c r="BF42" i="1"/>
  <c r="BF87" i="1" s="1"/>
  <c r="AJ42" i="1"/>
  <c r="AJ87" i="1" s="1"/>
  <c r="N42" i="1"/>
  <c r="N87" i="1" s="1"/>
  <c r="O89" i="1" s="1"/>
  <c r="N2" i="6" s="1"/>
  <c r="BE42" i="1"/>
  <c r="BE87" i="1" s="1"/>
  <c r="BE89" i="1" s="1"/>
  <c r="BD2" i="6" s="1"/>
  <c r="AI42" i="1"/>
  <c r="AI87" i="1" s="1"/>
  <c r="M42" i="1"/>
  <c r="M87" i="1" s="1"/>
  <c r="BM89" i="1"/>
  <c r="BL2" i="6" s="1"/>
  <c r="AG42" i="1"/>
  <c r="AG87" i="1" s="1"/>
  <c r="AG89" i="1" s="1"/>
  <c r="AF2" i="6" s="1"/>
  <c r="K42" i="1"/>
  <c r="K87" i="1" s="1"/>
  <c r="AV42" i="1"/>
  <c r="AV87" i="1" s="1"/>
  <c r="AW89" i="1" s="1"/>
  <c r="AV2" i="6" s="1"/>
  <c r="Z42" i="1"/>
  <c r="Z87" i="1" s="1"/>
  <c r="X89" i="1"/>
  <c r="W2" i="6" s="1"/>
  <c r="BI89" i="1"/>
  <c r="BH2" i="6" s="1"/>
  <c r="W89" i="1"/>
  <c r="V2" i="6" s="1"/>
  <c r="BJ89" i="1"/>
  <c r="BI2" i="6" s="1"/>
  <c r="Y89" i="1"/>
  <c r="X2" i="6" s="1"/>
  <c r="BK89" i="1"/>
  <c r="BJ2" i="6" s="1"/>
  <c r="Q89" i="1"/>
  <c r="P2" i="6" s="1"/>
  <c r="AC89" i="1"/>
  <c r="AB2" i="6" s="1"/>
  <c r="AO89" i="1"/>
  <c r="AN2" i="6" s="1"/>
  <c r="BA89" i="1"/>
  <c r="AZ2" i="6" s="1"/>
  <c r="AL89" i="1"/>
  <c r="AK2" i="6" s="1"/>
  <c r="F89" i="1"/>
  <c r="E2" i="6" s="1"/>
  <c r="H89" i="1"/>
  <c r="G2" i="6" s="1"/>
  <c r="AF89" i="1"/>
  <c r="AE2" i="6" s="1"/>
  <c r="BD89" i="1"/>
  <c r="BC2" i="6" s="1"/>
  <c r="BC89" i="1"/>
  <c r="BB2" i="6" s="1"/>
  <c r="BH89" i="1"/>
  <c r="BG2" i="6" s="1"/>
  <c r="AB89" i="1"/>
  <c r="AA2" i="6" s="1"/>
  <c r="BP89" i="1"/>
  <c r="BO2" i="6" s="1"/>
  <c r="AQ89" i="1"/>
  <c r="AP2" i="6" s="1"/>
  <c r="BT89" i="1"/>
  <c r="BS2" i="6" s="1"/>
  <c r="J89" i="1"/>
  <c r="I2" i="6" s="1"/>
  <c r="AP89" i="1"/>
  <c r="AO2" i="6" s="1"/>
  <c r="AM89" i="1"/>
  <c r="AL2" i="6" s="1"/>
  <c r="BS89" i="1"/>
  <c r="BR2" i="6" s="1"/>
  <c r="R89" i="1"/>
  <c r="Q2" i="6" s="1"/>
  <c r="AX89" i="1"/>
  <c r="AW2" i="6" s="1"/>
  <c r="BN89" i="1"/>
  <c r="BM2" i="6" s="1"/>
  <c r="AY89" i="1"/>
  <c r="AX2" i="6" s="1"/>
  <c r="BO89" i="1"/>
  <c r="BN2" i="6" s="1"/>
  <c r="G89" i="1"/>
  <c r="F2" i="6" s="1"/>
  <c r="C68" i="1"/>
  <c r="V89" i="1" l="1"/>
  <c r="U2" i="6" s="1"/>
  <c r="AS89" i="1"/>
  <c r="AR2" i="6" s="1"/>
  <c r="AR89" i="1"/>
  <c r="AQ2" i="6" s="1"/>
  <c r="D89" i="1"/>
  <c r="C2" i="6" s="1"/>
  <c r="S89" i="1"/>
  <c r="R2" i="6" s="1"/>
  <c r="N89" i="1"/>
  <c r="M2" i="6" s="1"/>
  <c r="AH89" i="1"/>
  <c r="AG2" i="6" s="1"/>
  <c r="AV89" i="1"/>
  <c r="AU2" i="6" s="1"/>
  <c r="AW88" i="1"/>
  <c r="AJ88" i="1"/>
  <c r="AD88" i="1"/>
  <c r="F88" i="1"/>
  <c r="M89" i="1"/>
  <c r="L2" i="6" s="1"/>
  <c r="BA88" i="1"/>
  <c r="AT88" i="1"/>
  <c r="AU88" i="1"/>
  <c r="AK89" i="1"/>
  <c r="AJ2" i="6" s="1"/>
  <c r="T88" i="1"/>
  <c r="AL88" i="1"/>
  <c r="G88" i="1"/>
  <c r="H88" i="1"/>
  <c r="BO88" i="1"/>
  <c r="BF88" i="1"/>
  <c r="D88" i="1"/>
  <c r="BF89" i="1"/>
  <c r="BE2" i="6" s="1"/>
  <c r="BN88" i="1"/>
  <c r="AX88" i="1"/>
  <c r="AP88" i="1"/>
  <c r="AZ88" i="1"/>
  <c r="BD88" i="1"/>
  <c r="Z88" i="1"/>
  <c r="BM88" i="1"/>
  <c r="AV88" i="1"/>
  <c r="O88" i="1"/>
  <c r="AO88" i="1"/>
  <c r="S88" i="1"/>
  <c r="Z89" i="1"/>
  <c r="Y2" i="6" s="1"/>
  <c r="AB88" i="1"/>
  <c r="J88" i="1"/>
  <c r="BG89" i="1"/>
  <c r="BF2" i="6" s="1"/>
  <c r="U88" i="1"/>
  <c r="L88" i="1"/>
  <c r="E88" i="1"/>
  <c r="Q88" i="1"/>
  <c r="K89" i="1"/>
  <c r="J2" i="6" s="1"/>
  <c r="M88" i="1"/>
  <c r="W88" i="1"/>
  <c r="BL88" i="1"/>
  <c r="AA88" i="1"/>
  <c r="AE88" i="1"/>
  <c r="BK88" i="1"/>
  <c r="AF88" i="1"/>
  <c r="BH88" i="1"/>
  <c r="AQ88" i="1"/>
  <c r="AK88" i="1"/>
  <c r="BT88" i="1"/>
  <c r="Y88" i="1"/>
  <c r="K88" i="1"/>
  <c r="AN88" i="1"/>
  <c r="P88" i="1"/>
  <c r="AG88" i="1"/>
  <c r="AR88" i="1"/>
  <c r="BJ88" i="1"/>
  <c r="BP88" i="1"/>
  <c r="BQ88" i="1"/>
  <c r="V88" i="1"/>
  <c r="BC88" i="1"/>
  <c r="AA89" i="1"/>
  <c r="Z2" i="6" s="1"/>
  <c r="C88" i="1"/>
  <c r="BB88" i="1"/>
  <c r="BI88" i="1"/>
  <c r="AI88" i="1"/>
  <c r="BR88" i="1"/>
  <c r="AH88" i="1"/>
  <c r="AC88" i="1"/>
  <c r="AJ89" i="1"/>
  <c r="AI2" i="6" s="1"/>
  <c r="BE88" i="1"/>
  <c r="AY88" i="1"/>
  <c r="I88" i="1"/>
  <c r="AM88" i="1"/>
  <c r="AS88" i="1"/>
  <c r="R88" i="1"/>
  <c r="AI89" i="1"/>
  <c r="AH2" i="6" s="1"/>
  <c r="L89" i="1"/>
  <c r="K2" i="6" s="1"/>
  <c r="N88" i="1"/>
  <c r="BS88" i="1"/>
  <c r="X88" i="1"/>
  <c r="BG88" i="1"/>
  <c r="BU88" i="1" l="1"/>
</calcChain>
</file>

<file path=xl/sharedStrings.xml><?xml version="1.0" encoding="utf-8"?>
<sst xmlns="http://schemas.openxmlformats.org/spreadsheetml/2006/main" count="105" uniqueCount="67">
  <si>
    <t>TABLE 4 ESTIMATED REGRESSION COEFFICIENTS: MACHINERY (3 YEARS DISCARD)</t>
  </si>
  <si>
    <t>Industry</t>
  </si>
  <si>
    <t>a</t>
  </si>
  <si>
    <t>SE</t>
  </si>
  <si>
    <t>LC</t>
  </si>
  <si>
    <t>UC</t>
  </si>
  <si>
    <t>ii</t>
  </si>
  <si>
    <t>R2</t>
  </si>
  <si>
    <t>DF</t>
  </si>
  <si>
    <t>15 + 16</t>
  </si>
  <si>
    <t>17 to 19</t>
  </si>
  <si>
    <t>20 + 33 + 36</t>
  </si>
  <si>
    <t>30 + 32</t>
  </si>
  <si>
    <t>34 + 35</t>
  </si>
  <si>
    <t>Retirement Function (Cumulative Weibull)</t>
  </si>
  <si>
    <t>n-th moment of Weibull probability density function</t>
  </si>
  <si>
    <r>
      <t>μ</t>
    </r>
    <r>
      <rPr>
        <vertAlign val="subscript"/>
        <sz val="14"/>
        <color theme="1"/>
        <rFont val="Aptos Narrow"/>
        <family val="2"/>
      </rPr>
      <t>n</t>
    </r>
    <r>
      <rPr>
        <sz val="14"/>
        <color theme="1"/>
        <rFont val="Aptos Narrow"/>
        <family val="2"/>
      </rPr>
      <t xml:space="preserve"> = (λ)</t>
    </r>
    <r>
      <rPr>
        <vertAlign val="superscript"/>
        <sz val="14"/>
        <color theme="1"/>
        <rFont val="Aptos Narrow"/>
        <family val="2"/>
      </rPr>
      <t>n</t>
    </r>
    <r>
      <rPr>
        <sz val="14"/>
        <color theme="1"/>
        <rFont val="Aptos Narrow"/>
        <family val="2"/>
      </rPr>
      <t>Γ(1 + 1/α)</t>
    </r>
  </si>
  <si>
    <r>
      <t xml:space="preserve">F(x) = </t>
    </r>
    <r>
      <rPr>
        <sz val="14"/>
        <color theme="1"/>
        <rFont val="Aptos Narrow"/>
        <family val="2"/>
      </rPr>
      <t>∫</t>
    </r>
    <r>
      <rPr>
        <vertAlign val="subscript"/>
        <sz val="14"/>
        <color theme="1"/>
        <rFont val="Aptos Narrow"/>
        <family val="2"/>
      </rPr>
      <t>0</t>
    </r>
    <r>
      <rPr>
        <vertAlign val="superscript"/>
        <sz val="14"/>
        <color theme="1"/>
        <rFont val="Aptos Narrow"/>
        <family val="2"/>
      </rPr>
      <t>x</t>
    </r>
    <r>
      <rPr>
        <sz val="14"/>
        <color theme="1"/>
        <rFont val="Aptos Narrow"/>
        <family val="2"/>
      </rPr>
      <t>f(x')dx = 1 - e</t>
    </r>
    <r>
      <rPr>
        <vertAlign val="superscript"/>
        <sz val="14"/>
        <color theme="1"/>
        <rFont val="Aptos Narrow"/>
        <family val="2"/>
      </rPr>
      <t>-(λx)^α</t>
    </r>
  </si>
  <si>
    <r>
      <t xml:space="preserve">where Γ(n) is the Gamma function of the shape parameter </t>
    </r>
    <r>
      <rPr>
        <i/>
        <sz val="11"/>
        <color theme="1"/>
        <rFont val="Aptos Narrow"/>
        <family val="2"/>
        <scheme val="minor"/>
      </rPr>
      <t>n</t>
    </r>
    <r>
      <rPr>
        <sz val="11"/>
        <color theme="1"/>
        <rFont val="Aptos Narrow"/>
        <family val="2"/>
        <scheme val="minor"/>
      </rPr>
      <t>, Γ(n) = ∫</t>
    </r>
    <r>
      <rPr>
        <vertAlign val="subscript"/>
        <sz val="11"/>
        <color theme="1"/>
        <rFont val="Aptos Narrow"/>
        <family val="2"/>
        <scheme val="minor"/>
      </rPr>
      <t>0</t>
    </r>
    <r>
      <rPr>
        <vertAlign val="superscript"/>
        <sz val="11"/>
        <color theme="1"/>
        <rFont val="Aptos Narrow"/>
        <family val="2"/>
      </rPr>
      <t>∞</t>
    </r>
    <r>
      <rPr>
        <sz val="9.35"/>
        <color theme="1"/>
        <rFont val="Aptos Narrow"/>
        <family val="2"/>
      </rPr>
      <t xml:space="preserve"> y</t>
    </r>
    <r>
      <rPr>
        <vertAlign val="superscript"/>
        <sz val="9.35"/>
        <color theme="1"/>
        <rFont val="Aptos Narrow"/>
        <family val="2"/>
      </rPr>
      <t>n-1</t>
    </r>
    <r>
      <rPr>
        <sz val="9.35"/>
        <color theme="1"/>
        <rFont val="Aptos Narrow"/>
        <family val="2"/>
      </rPr>
      <t xml:space="preserve"> e</t>
    </r>
    <r>
      <rPr>
        <vertAlign val="superscript"/>
        <sz val="9.35"/>
        <color theme="1"/>
        <rFont val="Aptos Narrow"/>
        <family val="2"/>
      </rPr>
      <t>-y</t>
    </r>
    <r>
      <rPr>
        <sz val="9.35"/>
        <color theme="1"/>
        <rFont val="Aptos Narrow"/>
        <family val="2"/>
      </rPr>
      <t xml:space="preserve"> dy</t>
    </r>
  </si>
  <si>
    <t>The first moment (the mean) of the Weibull, which is the expected average service life E(x), is therefore:</t>
  </si>
  <si>
    <r>
      <t>μ</t>
    </r>
    <r>
      <rPr>
        <vertAlign val="subscript"/>
        <sz val="14"/>
        <color theme="1"/>
        <rFont val="Aptos Narrow"/>
        <family val="2"/>
      </rPr>
      <t xml:space="preserve">1 </t>
    </r>
    <r>
      <rPr>
        <sz val="14"/>
        <color theme="1"/>
        <rFont val="Aptos Narrow"/>
        <family val="2"/>
      </rPr>
      <t>= E(x) = (1/λ) Γ(1 + 1/α)</t>
    </r>
  </si>
  <si>
    <t>Average lifetime</t>
  </si>
  <si>
    <t>36.0*</t>
  </si>
  <si>
    <t>Average</t>
  </si>
  <si>
    <t>(excludes 23)</t>
  </si>
  <si>
    <t>poor curve fit</t>
  </si>
  <si>
    <t>15+ 16</t>
  </si>
  <si>
    <t>Food, beverages &amp; tobacco</t>
  </si>
  <si>
    <t>17-19</t>
  </si>
  <si>
    <t>Textile &amp; leather products</t>
  </si>
  <si>
    <t>Publishing and printing</t>
  </si>
  <si>
    <t>Petroleum products; cokes, and nuclear fuel</t>
  </si>
  <si>
    <t>Basic chemicals and man-made fibers</t>
  </si>
  <si>
    <t>Rubber and plastic products</t>
  </si>
  <si>
    <t>Other non-metallic mineral products</t>
  </si>
  <si>
    <t>Basic metals</t>
  </si>
  <si>
    <t>Fabricated metal products</t>
  </si>
  <si>
    <t>Machinery and equipment n.e.c.</t>
  </si>
  <si>
    <t>Office machinery &amp; computers, radio, TV &amp; communication equipment</t>
  </si>
  <si>
    <t>Electrical machinery n.e.c.</t>
  </si>
  <si>
    <t>Transport equipment</t>
  </si>
  <si>
    <t xml:space="preserve"> Paper and paper products</t>
  </si>
  <si>
    <t>Wood &amp; wood products, medical &amp; optical equipment &amp; other manufacturing</t>
  </si>
  <si>
    <t>HYDROGEN EQUIPMENT</t>
  </si>
  <si>
    <t xml:space="preserve">Source: </t>
  </si>
  <si>
    <t>https://www.roiw.org/2008/2008-11.pdf</t>
  </si>
  <si>
    <t>Survival Curve Data by Industry</t>
  </si>
  <si>
    <t>Lifetimes of Machinery and Equipment: Evidence from Dutch Manufacturing</t>
  </si>
  <si>
    <t>A.A. Erumban</t>
  </si>
  <si>
    <t>Review of Income and Wealth</t>
  </si>
  <si>
    <t>Notes</t>
  </si>
  <si>
    <t>Retired Share</t>
  </si>
  <si>
    <t>This variable contains survival curve data for industrial equipment in various sectors.</t>
  </si>
  <si>
    <t>We use the shape parameter for the Weibull curve in the chemicals sector and use Solver to find</t>
  </si>
  <si>
    <r>
      <t xml:space="preserve">the scale parameter, </t>
    </r>
    <r>
      <rPr>
        <sz val="11"/>
        <color theme="1"/>
        <rFont val="Aptos Narrow"/>
        <family val="2"/>
      </rPr>
      <t>λ, under an assumption around the lifetime of hydrogen production equipment</t>
    </r>
    <r>
      <rPr>
        <sz val="11"/>
        <color theme="1"/>
        <rFont val="Aptos Narrow"/>
        <family val="2"/>
        <scheme val="minor"/>
      </rPr>
      <t>.</t>
    </r>
  </si>
  <si>
    <t>years</t>
  </si>
  <si>
    <t>^The solver objective cell is set to 0.5 by varying  the hydrogen equipment scale parameter</t>
  </si>
  <si>
    <t>Surviving share</t>
  </si>
  <si>
    <t>Percentage of Start Year Eqpt by Age</t>
  </si>
  <si>
    <t>Fraction Retiring This Year by Age</t>
  </si>
  <si>
    <t>FoHERbA Fraction of Hydrogen Equipment Retiring by Age</t>
  </si>
  <si>
    <t>Equipment Lifetime Assumption</t>
  </si>
  <si>
    <t>Life Cycle Assessment of Hydrogen Production via Natural Gas Steam Reforming</t>
  </si>
  <si>
    <t>NREL</t>
  </si>
  <si>
    <t>https://docs.nrel.gov/docs/fy01osti/27637.pdf</t>
  </si>
  <si>
    <t>Pamela L. Spath; Margaret K. Mann</t>
  </si>
  <si>
    <t>We use Spath et al.'s hydrogen production equipment lifetime assumption of: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</si>
</sst>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1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</font>
    <font>
      <vertAlign val="superscript"/>
      <sz val="11"/>
      <color theme="1"/>
      <name val="Aptos Narrow"/>
      <family val="2"/>
    </font>
    <font>
      <sz val="9.35"/>
      <color theme="1"/>
      <name val="Aptos Narrow"/>
      <family val="2"/>
    </font>
    <font>
      <vertAlign val="superscript"/>
      <sz val="9.35"/>
      <color theme="1"/>
      <name val="Aptos Narrow"/>
      <family val="2"/>
    </font>
    <font>
      <sz val="14"/>
      <color theme="1"/>
      <name val="Aptos Narrow"/>
      <family val="2"/>
    </font>
    <font>
      <vertAlign val="subscript"/>
      <sz val="14"/>
      <color theme="1"/>
      <name val="Aptos Narrow"/>
      <family val="2"/>
    </font>
    <font>
      <vertAlign val="superscript"/>
      <sz val="14"/>
      <color theme="1"/>
      <name val="Aptos Narrow"/>
      <family val="2"/>
    </font>
    <font>
      <sz val="14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vertAlign val="subscript"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6" fillId="0" borderId="0" xfId="0" applyFont="1"/>
    <xf numFmtId="0" fontId="9" fillId="0" borderId="0" xfId="0" applyFont="1"/>
    <xf numFmtId="0" fontId="10" fillId="0" borderId="0" xfId="0" applyFont="1"/>
    <xf numFmtId="164" fontId="0" fillId="0" borderId="0" xfId="0" applyNumberFormat="1"/>
    <xf numFmtId="0" fontId="1" fillId="2" borderId="0" xfId="0" applyFont="1" applyFill="1"/>
    <xf numFmtId="0" fontId="0" fillId="0" borderId="0" xfId="0" applyAlignment="1">
      <alignment horizontal="left"/>
    </xf>
    <xf numFmtId="0" fontId="0" fillId="3" borderId="0" xfId="0" applyFill="1"/>
    <xf numFmtId="0" fontId="1" fillId="3" borderId="0" xfId="0" applyFont="1" applyFill="1"/>
    <xf numFmtId="165" fontId="0" fillId="0" borderId="0" xfId="0" applyNumberFormat="1"/>
    <xf numFmtId="2" fontId="0" fillId="0" borderId="0" xfId="0" applyNumberFormat="1"/>
    <xf numFmtId="0" fontId="1" fillId="4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Calcs!$B$27</c:f>
              <c:strCache>
                <c:ptCount val="1"/>
                <c:pt idx="0">
                  <c:v>Food, beverages &amp; tobacco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Calcs!$C$26:$BU$26</c:f>
              <c:numCache>
                <c:formatCode>General</c:formatCode>
                <c:ptCount val="7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</c:numCache>
            </c:numRef>
          </c:xVal>
          <c:yVal>
            <c:numRef>
              <c:f>Calcs!$C$27:$BU$27</c:f>
              <c:numCache>
                <c:formatCode>General</c:formatCode>
                <c:ptCount val="71"/>
                <c:pt idx="0">
                  <c:v>0</c:v>
                </c:pt>
                <c:pt idx="1">
                  <c:v>4.9756322620657656E-3</c:v>
                </c:pt>
                <c:pt idx="2">
                  <c:v>1.4400290409667393E-2</c:v>
                </c:pt>
                <c:pt idx="3">
                  <c:v>2.6719600500281659E-2</c:v>
                </c:pt>
                <c:pt idx="4">
                  <c:v>4.1302500437225831E-2</c:v>
                </c:pt>
                <c:pt idx="5">
                  <c:v>5.7742242254798737E-2</c:v>
                </c:pt>
                <c:pt idx="6">
                  <c:v>7.5734622848616318E-2</c:v>
                </c:pt>
                <c:pt idx="7">
                  <c:v>9.5033895465707729E-2</c:v>
                </c:pt>
                <c:pt idx="8">
                  <c:v>0.11543228553360829</c:v>
                </c:pt>
                <c:pt idx="9">
                  <c:v>0.13674901150210128</c:v>
                </c:pt>
                <c:pt idx="10">
                  <c:v>0.15882381118685751</c:v>
                </c:pt>
                <c:pt idx="11">
                  <c:v>0.18151284841634263</c:v>
                </c:pt>
                <c:pt idx="12">
                  <c:v>0.2046859784913313</c:v>
                </c:pt>
                <c:pt idx="13">
                  <c:v>0.22822483547022321</c:v>
                </c:pt>
                <c:pt idx="14">
                  <c:v>0.25202143905298635</c:v>
                </c:pt>
                <c:pt idx="15">
                  <c:v>0.27597714161127374</c:v>
                </c:pt>
                <c:pt idx="16">
                  <c:v>0.30000180415913491</c:v>
                </c:pt>
                <c:pt idx="17">
                  <c:v>0.32401312993548637</c:v>
                </c:pt>
                <c:pt idx="18">
                  <c:v>0.34793610855672552</c:v>
                </c:pt>
                <c:pt idx="19">
                  <c:v>0.37170253901610273</c:v>
                </c:pt>
                <c:pt idx="20">
                  <c:v>0.39525060975834403</c:v>
                </c:pt>
                <c:pt idx="21">
                  <c:v>0.4185245206884356</c:v>
                </c:pt>
                <c:pt idx="22">
                  <c:v>0.44147413648637568</c:v>
                </c:pt>
                <c:pt idx="23">
                  <c:v>0.46405466372694881</c:v>
                </c:pt>
                <c:pt idx="24">
                  <c:v>0.48622634650297269</c:v>
                </c:pt>
                <c:pt idx="25">
                  <c:v>0.507954176815687</c:v>
                </c:pt>
                <c:pt idx="26">
                  <c:v>0.52920761711974229</c:v>
                </c:pt>
                <c:pt idx="27">
                  <c:v>0.54996033322179683</c:v>
                </c:pt>
                <c:pt idx="28">
                  <c:v>0.5701899363192473</c:v>
                </c:pt>
                <c:pt idx="29">
                  <c:v>0.58987773339041571</c:v>
                </c:pt>
                <c:pt idx="30">
                  <c:v>0.60900848545287267</c:v>
                </c:pt>
                <c:pt idx="31">
                  <c:v>0.62757017342350929</c:v>
                </c:pt>
                <c:pt idx="32">
                  <c:v>0.64555377146502257</c:v>
                </c:pt>
                <c:pt idx="33">
                  <c:v>0.66295302780520926</c:v>
                </c:pt>
                <c:pt idx="34">
                  <c:v>0.67976425308021948</c:v>
                </c:pt>
                <c:pt idx="35">
                  <c:v>0.69598611628995921</c:v>
                </c:pt>
                <c:pt idx="36">
                  <c:v>0.71161944847020298</c:v>
                </c:pt>
                <c:pt idx="37">
                  <c:v>0.72666705418705524</c:v>
                </c:pt>
                <c:pt idx="38">
                  <c:v>0.74113353094932966</c:v>
                </c:pt>
                <c:pt idx="39">
                  <c:v>0.75502509661641504</c:v>
                </c:pt>
                <c:pt idx="40">
                  <c:v>0.76834942485576296</c:v>
                </c:pt>
                <c:pt idx="41">
                  <c:v>0.78111548867719771</c:v>
                </c:pt>
                <c:pt idx="42">
                  <c:v>0.79333341204235008</c:v>
                </c:pt>
                <c:pt idx="43">
                  <c:v>0.80501432951781371</c:v>
                </c:pt>
                <c:pt idx="44">
                  <c:v>0.8161702539110367</c:v>
                </c:pt>
                <c:pt idx="45">
                  <c:v>0.82681395179919037</c:v>
                </c:pt>
                <c:pt idx="46">
                  <c:v>0.83695882683382095</c:v>
                </c:pt>
                <c:pt idx="47">
                  <c:v>0.84661881067839051</c:v>
                </c:pt>
                <c:pt idx="48">
                  <c:v>0.85580826141211619</c:v>
                </c:pt>
                <c:pt idx="49">
                  <c:v>0.8645418692120177</c:v>
                </c:pt>
                <c:pt idx="50">
                  <c:v>0.87283456910589274</c:v>
                </c:pt>
                <c:pt idx="51">
                  <c:v>0.88070146057211707</c:v>
                </c:pt>
                <c:pt idx="52">
                  <c:v>0.88815773374770846</c:v>
                </c:pt>
                <c:pt idx="53">
                  <c:v>0.89521860199398184</c:v>
                </c:pt>
                <c:pt idx="54">
                  <c:v>0.90189924055928472</c:v>
                </c:pt>
                <c:pt idx="55">
                  <c:v>0.90821473107065442</c:v>
                </c:pt>
                <c:pt idx="56">
                  <c:v>0.91418001158067608</c:v>
                </c:pt>
                <c:pt idx="57">
                  <c:v>0.9198098318922231</c:v>
                </c:pt>
                <c:pt idx="58">
                  <c:v>0.92511871388200095</c:v>
                </c:pt>
                <c:pt idx="59">
                  <c:v>0.93012091654375351</c:v>
                </c:pt>
                <c:pt idx="60">
                  <c:v>0.93483040547349172</c:v>
                </c:pt>
                <c:pt idx="61">
                  <c:v>0.93926082652201937</c:v>
                </c:pt>
                <c:pt idx="62">
                  <c:v>0.94342548334422738</c:v>
                </c:pt>
                <c:pt idx="63">
                  <c:v>0.9473373185799624</c:v>
                </c:pt>
                <c:pt idx="64">
                  <c:v>0.95100889840760827</c:v>
                </c:pt>
                <c:pt idx="65">
                  <c:v>0.95445240021873046</c:v>
                </c:pt>
                <c:pt idx="66">
                  <c:v>0.95767960317008327</c:v>
                </c:pt>
                <c:pt idx="67">
                  <c:v>0.96070188137786505</c:v>
                </c:pt>
                <c:pt idx="68">
                  <c:v>0.96353019952819186</c:v>
                </c:pt>
                <c:pt idx="69">
                  <c:v>0.96617511068726958</c:v>
                </c:pt>
                <c:pt idx="70">
                  <c:v>0.96864675610454498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EEB-41B2-B250-FDE269E65CA9}"/>
            </c:ext>
          </c:extLst>
        </c:ser>
        <c:ser>
          <c:idx val="1"/>
          <c:order val="1"/>
          <c:tx>
            <c:strRef>
              <c:f>Calcs!$B$28</c:f>
              <c:strCache>
                <c:ptCount val="1"/>
                <c:pt idx="0">
                  <c:v>Textile &amp; leather products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Calcs!$C$26:$BU$26</c:f>
              <c:numCache>
                <c:formatCode>General</c:formatCode>
                <c:ptCount val="7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</c:numCache>
            </c:numRef>
          </c:xVal>
          <c:yVal>
            <c:numRef>
              <c:f>Calcs!$C$28:$BU$28</c:f>
              <c:numCache>
                <c:formatCode>General</c:formatCode>
                <c:ptCount val="71"/>
                <c:pt idx="0">
                  <c:v>0</c:v>
                </c:pt>
                <c:pt idx="1">
                  <c:v>3.9528050635669887E-3</c:v>
                </c:pt>
                <c:pt idx="2">
                  <c:v>1.2829813116390199E-2</c:v>
                </c:pt>
                <c:pt idx="3">
                  <c:v>2.5449027953730496E-2</c:v>
                </c:pt>
                <c:pt idx="4">
                  <c:v>4.1225668907024615E-2</c:v>
                </c:pt>
                <c:pt idx="5">
                  <c:v>5.9731523307701262E-2</c:v>
                </c:pt>
                <c:pt idx="6">
                  <c:v>8.0610322943769797E-2</c:v>
                </c:pt>
                <c:pt idx="7">
                  <c:v>0.10354694346808369</c:v>
                </c:pt>
                <c:pt idx="8">
                  <c:v>0.12825358807115927</c:v>
                </c:pt>
                <c:pt idx="9">
                  <c:v>0.15446292515499094</c:v>
                </c:pt>
                <c:pt idx="10">
                  <c:v>0.18192451673516996</c:v>
                </c:pt>
                <c:pt idx="11">
                  <c:v>0.21040294468372323</c:v>
                </c:pt>
                <c:pt idx="12">
                  <c:v>0.23967685529196914</c:v>
                </c:pt>
                <c:pt idx="13">
                  <c:v>0.26953850685006964</c:v>
                </c:pt>
                <c:pt idx="14">
                  <c:v>0.29979358481830343</c:v>
                </c:pt>
                <c:pt idx="15">
                  <c:v>0.33026114513955973</c:v>
                </c:pt>
                <c:pt idx="16">
                  <c:v>0.36077360079140885</c:v>
                </c:pt>
                <c:pt idx="17">
                  <c:v>0.39117669936325228</c:v>
                </c:pt>
                <c:pt idx="18">
                  <c:v>0.42132945992251258</c:v>
                </c:pt>
                <c:pt idx="19">
                  <c:v>0.45110405074680449</c:v>
                </c:pt>
                <c:pt idx="20">
                  <c:v>0.48038559841300432</c:v>
                </c:pt>
                <c:pt idx="21">
                  <c:v>0.50907192483268937</c:v>
                </c:pt>
                <c:pt idx="22">
                  <c:v>0.53707321304857669</c:v>
                </c:pt>
                <c:pt idx="23">
                  <c:v>0.56431160553922632</c:v>
                </c:pt>
                <c:pt idx="24">
                  <c:v>0.59072074079021397</c:v>
                </c:pt>
                <c:pt idx="25">
                  <c:v>0.61624523522427865</c:v>
                </c:pt>
                <c:pt idx="26">
                  <c:v>0.64084011840842969</c:v>
                </c:pt>
                <c:pt idx="27">
                  <c:v>0.66447022989168147</c:v>
                </c:pt>
                <c:pt idx="28">
                  <c:v>0.68710958616054008</c:v>
                </c:pt>
                <c:pt idx="29">
                  <c:v>0.70874072609724625</c:v>
                </c:pt>
                <c:pt idx="30">
                  <c:v>0.7293540430404617</c:v>
                </c:pt>
                <c:pt idx="31">
                  <c:v>0.74894711112182355</c:v>
                </c:pt>
                <c:pt idx="32">
                  <c:v>0.76752401301952722</c:v>
                </c:pt>
                <c:pt idx="33">
                  <c:v>0.78509467566104696</c:v>
                </c:pt>
                <c:pt idx="34">
                  <c:v>0.80167421974609532</c:v>
                </c:pt>
                <c:pt idx="35">
                  <c:v>0.81728232826905012</c:v>
                </c:pt>
                <c:pt idx="36">
                  <c:v>0.83194263851530204</c:v>
                </c:pt>
                <c:pt idx="37">
                  <c:v>0.84568216130350982</c:v>
                </c:pt>
                <c:pt idx="38">
                  <c:v>0.85853073055834139</c:v>
                </c:pt>
                <c:pt idx="39">
                  <c:v>0.87052048563645124</c:v>
                </c:pt>
                <c:pt idx="40">
                  <c:v>0.88168538820070141</c:v>
                </c:pt>
                <c:pt idx="41">
                  <c:v>0.89206077485064361</c:v>
                </c:pt>
                <c:pt idx="42">
                  <c:v>0.90168294617603595</c:v>
                </c:pt>
                <c:pt idx="43">
                  <c:v>0.91058879240815072</c:v>
                </c:pt>
                <c:pt idx="44">
                  <c:v>0.91881545540298404</c:v>
                </c:pt>
                <c:pt idx="45">
                  <c:v>0.92640002630214402</c:v>
                </c:pt>
                <c:pt idx="46">
                  <c:v>0.9333792778810599</c:v>
                </c:pt>
                <c:pt idx="47">
                  <c:v>0.939789430309245</c:v>
                </c:pt>
                <c:pt idx="48">
                  <c:v>0.94566594881188815</c:v>
                </c:pt>
                <c:pt idx="49">
                  <c:v>0.95104337153367891</c:v>
                </c:pt>
                <c:pt idx="50">
                  <c:v>0.95595516576163764</c:v>
                </c:pt>
                <c:pt idx="51">
                  <c:v>0.96043361056056353</c:v>
                </c:pt>
                <c:pt idx="52">
                  <c:v>0.96450970380904688</c:v>
                </c:pt>
                <c:pt idx="53">
                  <c:v>0.96821309159214042</c:v>
                </c:pt>
                <c:pt idx="54">
                  <c:v>0.97157201790499326</c:v>
                </c:pt>
                <c:pt idx="55">
                  <c:v>0.97461329264627683</c:v>
                </c:pt>
                <c:pt idx="56">
                  <c:v>0.97736227592738711</c:v>
                </c:pt>
                <c:pt idx="57">
                  <c:v>0.97984287678961812</c:v>
                </c:pt>
                <c:pt idx="58">
                  <c:v>0.98207756450338357</c:v>
                </c:pt>
                <c:pt idx="59">
                  <c:v>0.98408739071789753</c:v>
                </c:pt>
                <c:pt idx="60">
                  <c:v>0.98589202083357574</c:v>
                </c:pt>
                <c:pt idx="61">
                  <c:v>0.98750977308003629</c:v>
                </c:pt>
                <c:pt idx="62">
                  <c:v>0.98895766389753603</c:v>
                </c:pt>
                <c:pt idx="63">
                  <c:v>0.9902514583367733</c:v>
                </c:pt>
                <c:pt idx="64">
                  <c:v>0.99140572430930485</c:v>
                </c:pt>
                <c:pt idx="65">
                  <c:v>0.99243388963670376</c:v>
                </c:pt>
                <c:pt idx="66">
                  <c:v>0.99334830095962512</c:v>
                </c:pt>
                <c:pt idx="67">
                  <c:v>0.99416028367697928</c:v>
                </c:pt>
                <c:pt idx="68">
                  <c:v>0.99488020218949735</c:v>
                </c:pt>
                <c:pt idx="69">
                  <c:v>0.99551751982038583</c:v>
                </c:pt>
                <c:pt idx="70">
                  <c:v>0.9960808578779623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EEB-41B2-B250-FDE269E65CA9}"/>
            </c:ext>
          </c:extLst>
        </c:ser>
        <c:ser>
          <c:idx val="2"/>
          <c:order val="2"/>
          <c:tx>
            <c:strRef>
              <c:f>Calcs!$B$29</c:f>
              <c:strCache>
                <c:ptCount val="1"/>
                <c:pt idx="0">
                  <c:v>Wood &amp; wood products, medical &amp; optical equipment &amp; other manufacturing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Calcs!$C$26:$BU$26</c:f>
              <c:numCache>
                <c:formatCode>General</c:formatCode>
                <c:ptCount val="7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</c:numCache>
            </c:numRef>
          </c:xVal>
          <c:yVal>
            <c:numRef>
              <c:f>Calcs!$C$29:$BU$29</c:f>
              <c:numCache>
                <c:formatCode>General</c:formatCode>
                <c:ptCount val="71"/>
                <c:pt idx="0">
                  <c:v>0</c:v>
                </c:pt>
                <c:pt idx="1">
                  <c:v>5.3799761998686302E-3</c:v>
                </c:pt>
                <c:pt idx="2">
                  <c:v>1.5899872596344955E-2</c:v>
                </c:pt>
                <c:pt idx="3">
                  <c:v>2.985003023982935E-2</c:v>
                </c:pt>
                <c:pt idx="4">
                  <c:v>4.6503752942413379E-2</c:v>
                </c:pt>
                <c:pt idx="5">
                  <c:v>6.5378319536461116E-2</c:v>
                </c:pt>
                <c:pt idx="6">
                  <c:v>8.6103733593628884E-2</c:v>
                </c:pt>
                <c:pt idx="7">
                  <c:v>0.10837507981066463</c:v>
                </c:pt>
                <c:pt idx="8">
                  <c:v>0.13193044580973545</c:v>
                </c:pt>
                <c:pt idx="9">
                  <c:v>0.15653915971004984</c:v>
                </c:pt>
                <c:pt idx="10">
                  <c:v>0.18199491040843985</c:v>
                </c:pt>
                <c:pt idx="11">
                  <c:v>0.20811143425595413</c:v>
                </c:pt>
                <c:pt idx="12">
                  <c:v>0.23471965320625754</c:v>
                </c:pt>
                <c:pt idx="13">
                  <c:v>0.26166567847536415</c:v>
                </c:pt>
                <c:pt idx="14">
                  <c:v>0.28880935067097635</c:v>
                </c:pt>
                <c:pt idx="15">
                  <c:v>0.31602312197215265</c:v>
                </c:pt>
                <c:pt idx="16">
                  <c:v>0.34319116088129198</c:v>
                </c:pt>
                <c:pt idx="17">
                  <c:v>0.37020860389660881</c:v>
                </c:pt>
                <c:pt idx="18">
                  <c:v>0.39698090514709716</c:v>
                </c:pt>
                <c:pt idx="19">
                  <c:v>0.42342325184839658</c:v>
                </c:pt>
                <c:pt idx="20">
                  <c:v>0.44946002433098664</c:v>
                </c:pt>
                <c:pt idx="21">
                  <c:v>0.4750242866095965</c:v>
                </c:pt>
                <c:pt idx="22">
                  <c:v>0.50005729833038148</c:v>
                </c:pt>
                <c:pt idx="23">
                  <c:v>0.52450804225794601</c:v>
                </c:pt>
                <c:pt idx="24">
                  <c:v>0.54833276375418016</c:v>
                </c:pt>
                <c:pt idx="25">
                  <c:v>0.57149452028113445</c:v>
                </c:pt>
                <c:pt idx="26">
                  <c:v>0.59396274004569105</c:v>
                </c:pt>
                <c:pt idx="27">
                  <c:v>0.61571278963938669</c:v>
                </c:pt>
                <c:pt idx="28">
                  <c:v>0.63672555101191841</c:v>
                </c:pt>
                <c:pt idx="29">
                  <c:v>0.65698700842133584</c:v>
                </c:pt>
                <c:pt idx="30">
                  <c:v>0.67648784617733759</c:v>
                </c:pt>
                <c:pt idx="31">
                  <c:v>0.69522305807239426</c:v>
                </c:pt>
                <c:pt idx="32">
                  <c:v>0.71319156940500839</c:v>
                </c:pt>
                <c:pt idx="33">
                  <c:v>0.73039587245988757</c:v>
                </c:pt>
                <c:pt idx="34">
                  <c:v>0.74684167623591202</c:v>
                </c:pt>
                <c:pt idx="35">
                  <c:v>0.76253757111567722</c:v>
                </c:pt>
                <c:pt idx="36">
                  <c:v>0.77749470905861462</c:v>
                </c:pt>
                <c:pt idx="37">
                  <c:v>0.79172649977975429</c:v>
                </c:pt>
                <c:pt idx="38">
                  <c:v>0.80524832325308815</c:v>
                </c:pt>
                <c:pt idx="39">
                  <c:v>0.81807725875604675</c:v>
                </c:pt>
                <c:pt idx="40">
                  <c:v>0.83023183055266525</c:v>
                </c:pt>
                <c:pt idx="41">
                  <c:v>0.84173177019978185</c:v>
                </c:pt>
                <c:pt idx="42">
                  <c:v>0.85259779535461155</c:v>
                </c:pt>
                <c:pt idx="43">
                  <c:v>0.8628514048643916</c:v>
                </c:pt>
                <c:pt idx="44">
                  <c:v>0.87251468983019842</c:v>
                </c:pt>
                <c:pt idx="45">
                  <c:v>0.8816101602579195</c:v>
                </c:pt>
                <c:pt idx="46">
                  <c:v>0.89016058683986776</c:v>
                </c:pt>
                <c:pt idx="47">
                  <c:v>0.89818885735063358</c:v>
                </c:pt>
                <c:pt idx="48">
                  <c:v>0.90571784709026482</c:v>
                </c:pt>
                <c:pt idx="49">
                  <c:v>0.91277030276644222</c:v>
                </c:pt>
                <c:pt idx="50">
                  <c:v>0.91936873917454298</c:v>
                </c:pt>
                <c:pt idx="51">
                  <c:v>0.92553534800987447</c:v>
                </c:pt>
                <c:pt idx="52">
                  <c:v>0.93129191812935497</c:v>
                </c:pt>
                <c:pt idx="53">
                  <c:v>0.9366597665699502</c:v>
                </c:pt>
                <c:pt idx="54">
                  <c:v>0.94165967962761954</c:v>
                </c:pt>
                <c:pt idx="55">
                  <c:v>0.94631186330278094</c:v>
                </c:pt>
                <c:pt idx="56">
                  <c:v>0.95063590242575446</c:v>
                </c:pt>
                <c:pt idx="57">
                  <c:v>0.95465072778767213</c:v>
                </c:pt>
                <c:pt idx="58">
                  <c:v>0.95837459061838082</c:v>
                </c:pt>
                <c:pt idx="59">
                  <c:v>0.96182504377232025</c:v>
                </c:pt>
                <c:pt idx="60">
                  <c:v>0.96501892900571751</c:v>
                </c:pt>
                <c:pt idx="61">
                  <c:v>0.96797236975317469</c:v>
                </c:pt>
                <c:pt idx="62">
                  <c:v>0.97070076883836287</c:v>
                </c:pt>
                <c:pt idx="63">
                  <c:v>0.97321881058164161</c:v>
                </c:pt>
                <c:pt idx="64">
                  <c:v>0.97554046679657747</c:v>
                </c:pt>
                <c:pt idx="65">
                  <c:v>0.97767900619717651</c:v>
                </c:pt>
                <c:pt idx="66">
                  <c:v>0.97964700676783434</c:v>
                </c:pt>
                <c:pt idx="67">
                  <c:v>0.98145637067824287</c:v>
                </c:pt>
                <c:pt idx="68">
                  <c:v>0.98311834135551301</c:v>
                </c:pt>
                <c:pt idx="69">
                  <c:v>0.9846435223553428</c:v>
                </c:pt>
                <c:pt idx="70">
                  <c:v>0.98604189770297412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EEB-41B2-B250-FDE269E65CA9}"/>
            </c:ext>
          </c:extLst>
        </c:ser>
        <c:ser>
          <c:idx val="3"/>
          <c:order val="3"/>
          <c:tx>
            <c:strRef>
              <c:f>Calcs!$B$30</c:f>
              <c:strCache>
                <c:ptCount val="1"/>
                <c:pt idx="0">
                  <c:v> Paper and paper products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Calcs!$C$26:$BU$26</c:f>
              <c:numCache>
                <c:formatCode>General</c:formatCode>
                <c:ptCount val="7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</c:numCache>
            </c:numRef>
          </c:xVal>
          <c:yVal>
            <c:numRef>
              <c:f>Calcs!$C$30:$BU$30</c:f>
              <c:numCache>
                <c:formatCode>General</c:formatCode>
                <c:ptCount val="71"/>
                <c:pt idx="0">
                  <c:v>0</c:v>
                </c:pt>
                <c:pt idx="1">
                  <c:v>9.8448121211891504E-3</c:v>
                </c:pt>
                <c:pt idx="2">
                  <c:v>2.6377838067318971E-2</c:v>
                </c:pt>
                <c:pt idx="3">
                  <c:v>4.6687951077522549E-2</c:v>
                </c:pt>
                <c:pt idx="4">
                  <c:v>6.968162255711674E-2</c:v>
                </c:pt>
                <c:pt idx="5">
                  <c:v>9.4679759194752688E-2</c:v>
                </c:pt>
                <c:pt idx="6">
                  <c:v>0.12119146098603251</c:v>
                </c:pt>
                <c:pt idx="7">
                  <c:v>0.148833815121997</c:v>
                </c:pt>
                <c:pt idx="8">
                  <c:v>0.17729486269442052</c:v>
                </c:pt>
                <c:pt idx="9">
                  <c:v>0.20631365372277499</c:v>
                </c:pt>
                <c:pt idx="10">
                  <c:v>0.23566831193132698</c:v>
                </c:pt>
                <c:pt idx="11">
                  <c:v>0.26516830427008498</c:v>
                </c:pt>
                <c:pt idx="12">
                  <c:v>0.29464910703699376</c:v>
                </c:pt>
                <c:pt idx="13">
                  <c:v>0.3239683271700603</c:v>
                </c:pt>
                <c:pt idx="14">
                  <c:v>0.353002753211065</c:v>
                </c:pt>
                <c:pt idx="15">
                  <c:v>0.3816460261123249</c:v>
                </c:pt>
                <c:pt idx="16">
                  <c:v>0.40980673898648023</c:v>
                </c:pt>
                <c:pt idx="17">
                  <c:v>0.43740684384545547</c:v>
                </c:pt>
                <c:pt idx="18">
                  <c:v>0.46438028503018758</c:v>
                </c:pt>
                <c:pt idx="19">
                  <c:v>0.49067180508219699</c:v>
                </c:pt>
                <c:pt idx="20">
                  <c:v>0.51623588557666078</c:v>
                </c:pt>
                <c:pt idx="21">
                  <c:v>0.54103579649744182</c:v>
                </c:pt>
                <c:pt idx="22">
                  <c:v>0.56504273518193737</c:v>
                </c:pt>
                <c:pt idx="23">
                  <c:v>0.58823504096555768</c:v>
                </c:pt>
                <c:pt idx="24">
                  <c:v>0.61059747520179752</c:v>
                </c:pt>
                <c:pt idx="25">
                  <c:v>0.63212055882855767</c:v>
                </c:pt>
                <c:pt idx="26">
                  <c:v>0.65279996142398367</c:v>
                </c:pt>
                <c:pt idx="27">
                  <c:v>0.67263593696506629</c:v>
                </c:pt>
                <c:pt idx="28">
                  <c:v>0.69163280241838199</c:v>
                </c:pt>
                <c:pt idx="29">
                  <c:v>0.70979845595714475</c:v>
                </c:pt>
                <c:pt idx="30">
                  <c:v>0.72714393208378769</c:v>
                </c:pt>
                <c:pt idx="31">
                  <c:v>0.74368299129318571</c:v>
                </c:pt>
                <c:pt idx="32">
                  <c:v>0.75943174217451881</c:v>
                </c:pt>
                <c:pt idx="33">
                  <c:v>0.77440829404567679</c:v>
                </c:pt>
                <c:pt idx="34">
                  <c:v>0.78863243836191743</c:v>
                </c:pt>
                <c:pt idx="35">
                  <c:v>0.80212535725394385</c:v>
                </c:pt>
                <c:pt idx="36">
                  <c:v>0.8149093576397417</c:v>
                </c:pt>
                <c:pt idx="37">
                  <c:v>0.82700762942674588</c:v>
                </c:pt>
                <c:pt idx="38">
                  <c:v>0.83844402638157223</c:v>
                </c:pt>
                <c:pt idx="39">
                  <c:v>0.84924286829754037</c:v>
                </c:pt>
                <c:pt idx="40">
                  <c:v>0.85942876313834915</c:v>
                </c:pt>
                <c:pt idx="41">
                  <c:v>0.86902644788151817</c:v>
                </c:pt>
                <c:pt idx="42">
                  <c:v>0.87806064682899243</c:v>
                </c:pt>
                <c:pt idx="43">
                  <c:v>0.88655594619552058</c:v>
                </c:pt>
                <c:pt idx="44">
                  <c:v>0.89453668382867857</c:v>
                </c:pt>
                <c:pt idx="45">
                  <c:v>0.90202685295804941</c:v>
                </c:pt>
                <c:pt idx="46">
                  <c:v>0.90905001891524617</c:v>
                </c:pt>
                <c:pt idx="47">
                  <c:v>0.91562924781121535</c:v>
                </c:pt>
                <c:pt idx="48">
                  <c:v>0.92178704620250052</c:v>
                </c:pt>
                <c:pt idx="49">
                  <c:v>0.92754531082376901</c:v>
                </c:pt>
                <c:pt idx="50">
                  <c:v>0.93292528750971915</c:v>
                </c:pt>
                <c:pt idx="51">
                  <c:v>0.93794753847531709</c:v>
                </c:pt>
                <c:pt idx="52">
                  <c:v>0.94263191716893568</c:v>
                </c:pt>
                <c:pt idx="53">
                  <c:v>0.94699754995819962</c:v>
                </c:pt>
                <c:pt idx="54">
                  <c:v>0.95106282395296082</c:v>
                </c:pt>
                <c:pt idx="55">
                  <c:v>0.95484538031367028</c:v>
                </c:pt>
                <c:pt idx="56">
                  <c:v>0.95836211243628178</c:v>
                </c:pt>
                <c:pt idx="57">
                  <c:v>0.96162916844659097</c:v>
                </c:pt>
                <c:pt idx="58">
                  <c:v>0.96466195747741545</c:v>
                </c:pt>
                <c:pt idx="59">
                  <c:v>0.96747515924116601</c:v>
                </c:pt>
                <c:pt idx="60">
                  <c:v>0.97008273644803078</c:v>
                </c:pt>
                <c:pt idx="61">
                  <c:v>0.97249794965612546</c:v>
                </c:pt>
                <c:pt idx="62">
                  <c:v>0.97473337417448247</c:v>
                </c:pt>
                <c:pt idx="63">
                  <c:v>0.97680091867262675</c:v>
                </c:pt>
                <c:pt idx="64">
                  <c:v>0.97871184518168008</c:v>
                </c:pt>
                <c:pt idx="65">
                  <c:v>0.98047679020143785</c:v>
                </c:pt>
                <c:pt idx="66">
                  <c:v>0.98210578665567527</c:v>
                </c:pt>
                <c:pt idx="67">
                  <c:v>0.98360828646406739</c:v>
                </c:pt>
                <c:pt idx="68">
                  <c:v>0.98499318352358534</c:v>
                </c:pt>
                <c:pt idx="69">
                  <c:v>0.98626883691507128</c:v>
                </c:pt>
                <c:pt idx="70">
                  <c:v>0.98744309417195952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EEB-41B2-B250-FDE269E65CA9}"/>
            </c:ext>
          </c:extLst>
        </c:ser>
        <c:ser>
          <c:idx val="4"/>
          <c:order val="4"/>
          <c:tx>
            <c:strRef>
              <c:f>Calcs!$B$31</c:f>
              <c:strCache>
                <c:ptCount val="1"/>
                <c:pt idx="0">
                  <c:v>Publishing and printing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Calcs!$C$26:$BU$26</c:f>
              <c:numCache>
                <c:formatCode>General</c:formatCode>
                <c:ptCount val="7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</c:numCache>
            </c:numRef>
          </c:xVal>
          <c:yVal>
            <c:numRef>
              <c:f>Calcs!$C$31:$BU$31</c:f>
              <c:numCache>
                <c:formatCode>General</c:formatCode>
                <c:ptCount val="71"/>
                <c:pt idx="0">
                  <c:v>0</c:v>
                </c:pt>
                <c:pt idx="1">
                  <c:v>4.2046030896577546E-3</c:v>
                </c:pt>
                <c:pt idx="2">
                  <c:v>1.6724128136870964E-2</c:v>
                </c:pt>
                <c:pt idx="3">
                  <c:v>3.7251331394180909E-2</c:v>
                </c:pt>
                <c:pt idx="4">
                  <c:v>6.5280691080149666E-2</c:v>
                </c:pt>
                <c:pt idx="5">
                  <c:v>0.10013124275284069</c:v>
                </c:pt>
                <c:pt idx="6">
                  <c:v>0.14097465203926773</c:v>
                </c:pt>
                <c:pt idx="7">
                  <c:v>0.18686817865874461</c:v>
                </c:pt>
                <c:pt idx="8">
                  <c:v>0.23679090049284457</c:v>
                </c:pt>
                <c:pt idx="9">
                  <c:v>0.28968132207012431</c:v>
                </c:pt>
                <c:pt idx="10">
                  <c:v>0.34447447278363841</c:v>
                </c:pt>
                <c:pt idx="11">
                  <c:v>0.40013672618824647</c:v>
                </c:pt>
                <c:pt idx="12">
                  <c:v>0.45569681112455607</c:v>
                </c:pt>
                <c:pt idx="13">
                  <c:v>0.51027180947316975</c:v>
                </c:pt>
                <c:pt idx="14">
                  <c:v>0.56308731310671289</c:v>
                </c:pt>
                <c:pt idx="15">
                  <c:v>0.61349131200415297</c:v>
                </c:pt>
                <c:pt idx="16">
                  <c:v>0.66096177571501147</c:v>
                </c:pt>
                <c:pt idx="17">
                  <c:v>0.70510824427892715</c:v>
                </c:pt>
                <c:pt idx="18">
                  <c:v>0.74566804081035176</c:v>
                </c:pt>
                <c:pt idx="19">
                  <c:v>0.78249794162342734</c:v>
                </c:pt>
                <c:pt idx="20">
                  <c:v>0.81556228374665352</c:v>
                </c:pt>
                <c:pt idx="21">
                  <c:v>0.84491855383135395</c:v>
                </c:pt>
                <c:pt idx="22">
                  <c:v>0.87070149290022658</c:v>
                </c:pt>
                <c:pt idx="23">
                  <c:v>0.89310667910713448</c:v>
                </c:pt>
                <c:pt idx="24">
                  <c:v>0.91237442994841644</c:v>
                </c:pt>
                <c:pt idx="25">
                  <c:v>0.9287747120188985</c:v>
                </c:pt>
                <c:pt idx="26">
                  <c:v>0.9425935762799782</c:v>
                </c:pt>
                <c:pt idx="27">
                  <c:v>0.95412146440782586</c:v>
                </c:pt>
                <c:pt idx="28">
                  <c:v>0.96364356930031503</c:v>
                </c:pt>
                <c:pt idx="29">
                  <c:v>0.97143228949521165</c:v>
                </c:pt>
                <c:pt idx="30">
                  <c:v>0.97774169917880771</c:v>
                </c:pt>
                <c:pt idx="31">
                  <c:v>0.98280386566386002</c:v>
                </c:pt>
                <c:pt idx="32">
                  <c:v>0.98682678499201804</c:v>
                </c:pt>
                <c:pt idx="33">
                  <c:v>0.98999367178141473</c:v>
                </c:pt>
                <c:pt idx="34">
                  <c:v>0.99246332812882943</c:v>
                </c:pt>
                <c:pt idx="35">
                  <c:v>0.99437132386615334</c:v>
                </c:pt>
                <c:pt idx="36">
                  <c:v>0.99583174195622448</c:v>
                </c:pt>
                <c:pt idx="37">
                  <c:v>0.99693927357791712</c:v>
                </c:pt>
                <c:pt idx="38">
                  <c:v>0.99777148322773179</c:v>
                </c:pt>
                <c:pt idx="39">
                  <c:v>0.99839110136971798</c:v>
                </c:pt>
                <c:pt idx="40">
                  <c:v>0.99884823801039335</c:v>
                </c:pt>
                <c:pt idx="41">
                  <c:v>0.99918244308987747</c:v>
                </c:pt>
                <c:pt idx="42">
                  <c:v>0.99942456755369091</c:v>
                </c:pt>
                <c:pt idx="43">
                  <c:v>0.99959840184269855</c:v>
                </c:pt>
                <c:pt idx="44">
                  <c:v>0.99972208627056514</c:v>
                </c:pt>
                <c:pt idx="45">
                  <c:v>0.9998093006844917</c:v>
                </c:pt>
                <c:pt idx="46">
                  <c:v>0.99987024950461734</c:v>
                </c:pt>
                <c:pt idx="47">
                  <c:v>0.99991246341643414</c:v>
                </c:pt>
                <c:pt idx="48">
                  <c:v>0.99994144139002461</c:v>
                </c:pt>
                <c:pt idx="49">
                  <c:v>0.99996115702845523</c:v>
                </c:pt>
                <c:pt idx="50">
                  <c:v>0.99997445213695924</c:v>
                </c:pt>
                <c:pt idx="51">
                  <c:v>0.99998333838547315</c:v>
                </c:pt>
                <c:pt idx="52">
                  <c:v>0.99998922543156432</c:v>
                </c:pt>
                <c:pt idx="53">
                  <c:v>0.99999309119537017</c:v>
                </c:pt>
                <c:pt idx="54">
                  <c:v>0.99999560735510695</c:v>
                </c:pt>
                <c:pt idx="55">
                  <c:v>0.99999723070406998</c:v>
                </c:pt>
                <c:pt idx="56">
                  <c:v>0.9999982688581357</c:v>
                </c:pt>
                <c:pt idx="57">
                  <c:v>0.99999892696001758</c:v>
                </c:pt>
                <c:pt idx="58">
                  <c:v>0.99999934049356354</c:v>
                </c:pt>
                <c:pt idx="59">
                  <c:v>0.99999959807779815</c:v>
                </c:pt>
                <c:pt idx="60">
                  <c:v>0.99999975712393541</c:v>
                </c:pt>
                <c:pt idx="61">
                  <c:v>0.99999985447180684</c:v>
                </c:pt>
                <c:pt idx="62">
                  <c:v>0.99999991353721984</c:v>
                </c:pt>
                <c:pt idx="63">
                  <c:v>0.99999994906329659</c:v>
                </c:pt>
                <c:pt idx="64">
                  <c:v>0.99999997024554554</c:v>
                </c:pt>
                <c:pt idx="65">
                  <c:v>0.99999998276574109</c:v>
                </c:pt>
                <c:pt idx="66">
                  <c:v>0.99999999010188168</c:v>
                </c:pt>
                <c:pt idx="67">
                  <c:v>0.99999999436320797</c:v>
                </c:pt>
                <c:pt idx="68">
                  <c:v>0.99999999681704366</c:v>
                </c:pt>
                <c:pt idx="69">
                  <c:v>0.99999999821783225</c:v>
                </c:pt>
                <c:pt idx="70">
                  <c:v>0.99999999901056857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EEB-41B2-B250-FDE269E65CA9}"/>
            </c:ext>
          </c:extLst>
        </c:ser>
        <c:ser>
          <c:idx val="5"/>
          <c:order val="5"/>
          <c:tx>
            <c:strRef>
              <c:f>Calcs!$B$32</c:f>
              <c:strCache>
                <c:ptCount val="1"/>
                <c:pt idx="0">
                  <c:v>Petroleum products; cokes, and nuclear fuel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Calcs!$C$26:$BU$26</c:f>
              <c:numCache>
                <c:formatCode>General</c:formatCode>
                <c:ptCount val="7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</c:numCache>
            </c:numRef>
          </c:xVal>
          <c:yVal>
            <c:numRef>
              <c:f>Calcs!$C$32:$BU$32</c:f>
              <c:numCache>
                <c:formatCode>General</c:formatCode>
                <c:ptCount val="71"/>
                <c:pt idx="0">
                  <c:v>0</c:v>
                </c:pt>
                <c:pt idx="1">
                  <c:v>8.443648916244606E-3</c:v>
                </c:pt>
                <c:pt idx="2">
                  <c:v>2.0761965839989571E-2</c:v>
                </c:pt>
                <c:pt idx="3">
                  <c:v>3.5014745368381561E-2</c:v>
                </c:pt>
                <c:pt idx="4">
                  <c:v>5.0586999933200927E-2</c:v>
                </c:pt>
                <c:pt idx="5">
                  <c:v>6.7130784223653039E-2</c:v>
                </c:pt>
                <c:pt idx="6">
                  <c:v>8.4412080125140121E-2</c:v>
                </c:pt>
                <c:pt idx="7">
                  <c:v>0.10225851965704136</c:v>
                </c:pt>
                <c:pt idx="8">
                  <c:v>0.12053587732015381</c:v>
                </c:pt>
                <c:pt idx="9">
                  <c:v>0.13913569619051303</c:v>
                </c:pt>
                <c:pt idx="10">
                  <c:v>0.15796805416452131</c:v>
                </c:pt>
                <c:pt idx="11">
                  <c:v>0.17695700152758143</c:v>
                </c:pt>
                <c:pt idx="12">
                  <c:v>0.19603751146971105</c:v>
                </c:pt>
                <c:pt idx="13">
                  <c:v>0.21515334571341305</c:v>
                </c:pt>
                <c:pt idx="14">
                  <c:v>0.23425550327875133</c:v>
                </c:pt>
                <c:pt idx="15">
                  <c:v>0.25330105698568861</c:v>
                </c:pt>
                <c:pt idx="16">
                  <c:v>0.2722522570791539</c:v>
                </c:pt>
                <c:pt idx="17">
                  <c:v>0.29107582451420844</c:v>
                </c:pt>
                <c:pt idx="18">
                  <c:v>0.30974238245233399</c:v>
                </c:pt>
                <c:pt idx="19">
                  <c:v>0.3282259907965106</c:v>
                </c:pt>
                <c:pt idx="20">
                  <c:v>0.34650375910856501</c:v>
                </c:pt>
                <c:pt idx="21">
                  <c:v>0.36455552023838134</c:v>
                </c:pt>
                <c:pt idx="22">
                  <c:v>0.38236355175089287</c:v>
                </c:pt>
                <c:pt idx="23">
                  <c:v>0.39991233554608874</c:v>
                </c:pt>
                <c:pt idx="24">
                  <c:v>0.41718834841485519</c:v>
                </c:pt>
                <c:pt idx="25">
                  <c:v>0.43417987796803559</c:v>
                </c:pt>
                <c:pt idx="26">
                  <c:v>0.45087685961867119</c:v>
                </c:pt>
                <c:pt idx="27">
                  <c:v>0.46727073122162011</c:v>
                </c:pt>
                <c:pt idx="28">
                  <c:v>0.48335430267121804</c:v>
                </c:pt>
                <c:pt idx="29">
                  <c:v>0.49912163828877243</c:v>
                </c:pt>
                <c:pt idx="30">
                  <c:v>0.51456795024119284</c:v>
                </c:pt>
                <c:pt idx="31">
                  <c:v>0.52968950155103456</c:v>
                </c:pt>
                <c:pt idx="32">
                  <c:v>0.5444835175090359</c:v>
                </c:pt>
                <c:pt idx="33">
                  <c:v>0.55894810449917554</c:v>
                </c:pt>
                <c:pt idx="34">
                  <c:v>0.57308217540539197</c:v>
                </c:pt>
                <c:pt idx="35">
                  <c:v>0.58688538089735887</c:v>
                </c:pt>
                <c:pt idx="36">
                  <c:v>0.60035804599683884</c:v>
                </c:pt>
                <c:pt idx="37">
                  <c:v>0.61350111141127572</c:v>
                </c:pt>
                <c:pt idx="38">
                  <c:v>0.62631607919135102</c:v>
                </c:pt>
                <c:pt idx="39">
                  <c:v>0.63880496232726458</c:v>
                </c:pt>
                <c:pt idx="40">
                  <c:v>0.65097023794685327</c:v>
                </c:pt>
                <c:pt idx="41">
                  <c:v>0.662814803819197</c:v>
                </c:pt>
                <c:pt idx="42">
                  <c:v>0.67434193790152452</c:v>
                </c:pt>
                <c:pt idx="43">
                  <c:v>0.68555526069619477</c:v>
                </c:pt>
                <c:pt idx="44">
                  <c:v>0.69645870020920719</c:v>
                </c:pt>
                <c:pt idx="45">
                  <c:v>0.70705645932284311</c:v>
                </c:pt>
                <c:pt idx="46">
                  <c:v>0.71735298541324344</c:v>
                </c:pt>
                <c:pt idx="47">
                  <c:v>0.72735294205949241</c:v>
                </c:pt>
                <c:pt idx="48">
                  <c:v>0.73706118270448795</c:v>
                </c:pt>
                <c:pt idx="49">
                  <c:v>0.74648272613985889</c:v>
                </c:pt>
                <c:pt idx="50">
                  <c:v>0.75562273369772837</c:v>
                </c:pt>
                <c:pt idx="51">
                  <c:v>0.76448648804140196</c:v>
                </c:pt>
                <c:pt idx="52">
                  <c:v>0.77307937345531597</c:v>
                </c:pt>
                <c:pt idx="53">
                  <c:v>0.7814068575419082</c:v>
                </c:pt>
                <c:pt idx="54">
                  <c:v>0.789474474239658</c:v>
                </c:pt>
                <c:pt idx="55">
                  <c:v>0.7972878080824376</c:v>
                </c:pt>
                <c:pt idx="56">
                  <c:v>0.8048524796256552</c:v>
                </c:pt>
                <c:pt idx="57">
                  <c:v>0.81217413196950039</c:v>
                </c:pt>
                <c:pt idx="58">
                  <c:v>0.8192584183140017</c:v>
                </c:pt>
                <c:pt idx="59">
                  <c:v>0.82611099048462411</c:v>
                </c:pt>
                <c:pt idx="60">
                  <c:v>0.8327374883708194</c:v>
                </c:pt>
                <c:pt idx="61">
                  <c:v>0.83914353022333432</c:v>
                </c:pt>
                <c:pt idx="62">
                  <c:v>0.84533470375920883</c:v>
                </c:pt>
                <c:pt idx="63">
                  <c:v>0.85131655802630024</c:v>
                </c:pt>
                <c:pt idx="64">
                  <c:v>0.85709459598185966</c:v>
                </c:pt>
                <c:pt idx="65">
                  <c:v>0.86267426774219658</c:v>
                </c:pt>
                <c:pt idx="66">
                  <c:v>0.86806096446281167</c:v>
                </c:pt>
                <c:pt idx="67">
                  <c:v>0.87326001281056853</c:v>
                </c:pt>
                <c:pt idx="68">
                  <c:v>0.87827666999153575</c:v>
                </c:pt>
                <c:pt idx="69">
                  <c:v>0.88311611930006295</c:v>
                </c:pt>
                <c:pt idx="70">
                  <c:v>0.8877834661564773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EEB-41B2-B250-FDE269E65CA9}"/>
            </c:ext>
          </c:extLst>
        </c:ser>
        <c:ser>
          <c:idx val="6"/>
          <c:order val="6"/>
          <c:tx>
            <c:strRef>
              <c:f>Calcs!$B$33</c:f>
              <c:strCache>
                <c:ptCount val="1"/>
                <c:pt idx="0">
                  <c:v>Basic chemicals and man-made fibers</c:v>
                </c:pt>
              </c:strCache>
            </c:strRef>
          </c:tx>
          <c:spPr>
            <a:ln w="34925" cap="rnd">
              <a:solidFill>
                <a:sysClr val="windowText" lastClr="000000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Calcs!$C$26:$BU$26</c:f>
              <c:numCache>
                <c:formatCode>General</c:formatCode>
                <c:ptCount val="7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</c:numCache>
            </c:numRef>
          </c:xVal>
          <c:yVal>
            <c:numRef>
              <c:f>Calcs!$C$33:$BU$33</c:f>
              <c:numCache>
                <c:formatCode>General</c:formatCode>
                <c:ptCount val="71"/>
                <c:pt idx="0">
                  <c:v>0</c:v>
                </c:pt>
                <c:pt idx="1">
                  <c:v>3.2710361017206369E-3</c:v>
                </c:pt>
                <c:pt idx="2">
                  <c:v>1.0743008063662352E-2</c:v>
                </c:pt>
                <c:pt idx="3">
                  <c:v>2.1469307325642895E-2</c:v>
                </c:pt>
                <c:pt idx="4">
                  <c:v>3.4981039840806027E-2</c:v>
                </c:pt>
                <c:pt idx="5">
                  <c:v>5.0935583047708621E-2</c:v>
                </c:pt>
                <c:pt idx="6">
                  <c:v>6.9048011530093989E-2</c:v>
                </c:pt>
                <c:pt idx="7">
                  <c:v>8.9065862250202965E-2</c:v>
                </c:pt>
                <c:pt idx="8">
                  <c:v>0.11075767998781472</c:v>
                </c:pt>
                <c:pt idx="9">
                  <c:v>0.13390725180618213</c:v>
                </c:pt>
                <c:pt idx="10">
                  <c:v>0.15831056327792181</c:v>
                </c:pt>
                <c:pt idx="11">
                  <c:v>0.18377418121866018</c:v>
                </c:pt>
                <c:pt idx="12">
                  <c:v>0.21011442625097765</c:v>
                </c:pt>
                <c:pt idx="13">
                  <c:v>0.23715699396004575</c:v>
                </c:pt>
                <c:pt idx="14">
                  <c:v>0.26473682946709953</c:v>
                </c:pt>
                <c:pt idx="15">
                  <c:v>0.29269813820997537</c:v>
                </c:pt>
                <c:pt idx="16">
                  <c:v>0.32089446002997024</c:v>
                </c:pt>
                <c:pt idx="17">
                  <c:v>0.34918876021780199</c:v>
                </c:pt>
                <c:pt idx="18">
                  <c:v>0.37745350782475973</c:v>
                </c:pt>
                <c:pt idx="19">
                  <c:v>0.40557072240755698</c:v>
                </c:pt>
                <c:pt idx="20">
                  <c:v>0.43343197770198083</c:v>
                </c:pt>
                <c:pt idx="21">
                  <c:v>0.46093835580098075</c:v>
                </c:pt>
                <c:pt idx="22">
                  <c:v>0.48800034901254785</c:v>
                </c:pt>
                <c:pt idx="23">
                  <c:v>0.51453770916090202</c:v>
                </c:pt>
                <c:pt idx="24">
                  <c:v>0.54047924596807484</c:v>
                </c:pt>
                <c:pt idx="25">
                  <c:v>0.56576257750556591</c:v>
                </c:pt>
                <c:pt idx="26">
                  <c:v>0.59033383666754835</c:v>
                </c:pt>
                <c:pt idx="27">
                  <c:v>0.61414733827837109</c:v>
                </c:pt>
                <c:pt idx="28">
                  <c:v>0.63716521187250885</c:v>
                </c:pt>
                <c:pt idx="29">
                  <c:v>0.65935700542254438</c:v>
                </c:pt>
                <c:pt idx="30">
                  <c:v>0.68069926537685976</c:v>
                </c:pt>
                <c:pt idx="31">
                  <c:v>0.7011750983324454</c:v>
                </c:pt>
                <c:pt idx="32">
                  <c:v>0.72077371953315561</c:v>
                </c:pt>
                <c:pt idx="33">
                  <c:v>0.73948999316948338</c:v>
                </c:pt>
                <c:pt idx="34">
                  <c:v>0.75732396917921152</c:v>
                </c:pt>
                <c:pt idx="35">
                  <c:v>0.774280420923533</c:v>
                </c:pt>
                <c:pt idx="36">
                  <c:v>0.79036838775298213</c:v>
                </c:pt>
                <c:pt idx="37">
                  <c:v>0.80560072609278599</c:v>
                </c:pt>
                <c:pt idx="38">
                  <c:v>0.81999367227765896</c:v>
                </c:pt>
                <c:pt idx="39">
                  <c:v>0.83356641996006009</c:v>
                </c:pt>
                <c:pt idx="40">
                  <c:v>0.84634071451079929</c:v>
                </c:pt>
                <c:pt idx="41">
                  <c:v>0.85834046643292061</c:v>
                </c:pt>
                <c:pt idx="42">
                  <c:v>0.86959138542429937</c:v>
                </c:pt>
                <c:pt idx="43">
                  <c:v>0.88012063635582927</c:v>
                </c:pt>
                <c:pt idx="44">
                  <c:v>0.88995651808400378</c:v>
                </c:pt>
                <c:pt idx="45">
                  <c:v>0.89912816569196352</c:v>
                </c:pt>
                <c:pt idx="46">
                  <c:v>0.90766527645377681</c:v>
                </c:pt>
                <c:pt idx="47">
                  <c:v>0.91559785954430717</c:v>
                </c:pt>
                <c:pt idx="48">
                  <c:v>0.9229560092723571</c:v>
                </c:pt>
                <c:pt idx="49">
                  <c:v>0.92976970139819914</c:v>
                </c:pt>
                <c:pt idx="50">
                  <c:v>0.93606861190797397</c:v>
                </c:pt>
                <c:pt idx="51">
                  <c:v>0.94188195745621428</c:v>
                </c:pt>
                <c:pt idx="52">
                  <c:v>0.94723835655304933</c:v>
                </c:pt>
                <c:pt idx="53">
                  <c:v>0.95216571046327669</c:v>
                </c:pt>
                <c:pt idx="54">
                  <c:v>0.95669110269905189</c:v>
                </c:pt>
                <c:pt idx="55">
                  <c:v>0.96084071592482834</c:v>
                </c:pt>
                <c:pt idx="56">
                  <c:v>0.96463976505065974</c:v>
                </c:pt>
                <c:pt idx="57">
                  <c:v>0.96811244526622009</c:v>
                </c:pt>
                <c:pt idx="58">
                  <c:v>0.97128189376103391</c:v>
                </c:pt>
                <c:pt idx="59">
                  <c:v>0.97417016388453914</c:v>
                </c:pt>
                <c:pt idx="60">
                  <c:v>0.97679821052085991</c:v>
                </c:pt>
                <c:pt idx="61">
                  <c:v>0.97918588548570906</c:v>
                </c:pt>
                <c:pt idx="62">
                  <c:v>0.98135194179489604</c:v>
                </c:pt>
                <c:pt idx="63">
                  <c:v>0.98331404570381864</c:v>
                </c:pt>
                <c:pt idx="64">
                  <c:v>0.98508879547346073</c:v>
                </c:pt>
                <c:pt idx="65">
                  <c:v>0.98669174587935127</c:v>
                </c:pt>
                <c:pt idx="66">
                  <c:v>0.98813743754429495</c:v>
                </c:pt>
                <c:pt idx="67">
                  <c:v>0.9894394302422419</c:v>
                </c:pt>
                <c:pt idx="68">
                  <c:v>0.99061033938831455</c:v>
                </c:pt>
                <c:pt idx="69">
                  <c:v>0.99166187499778524</c:v>
                </c:pt>
                <c:pt idx="70">
                  <c:v>0.99260488246384015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BEEB-41B2-B250-FDE269E65CA9}"/>
            </c:ext>
          </c:extLst>
        </c:ser>
        <c:ser>
          <c:idx val="7"/>
          <c:order val="7"/>
          <c:tx>
            <c:strRef>
              <c:f>Calcs!$B$34</c:f>
              <c:strCache>
                <c:ptCount val="1"/>
                <c:pt idx="0">
                  <c:v>Rubber and plastic products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Calcs!$C$26:$BU$26</c:f>
              <c:numCache>
                <c:formatCode>General</c:formatCode>
                <c:ptCount val="7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</c:numCache>
            </c:numRef>
          </c:xVal>
          <c:yVal>
            <c:numRef>
              <c:f>Calcs!$C$34:$BU$34</c:f>
              <c:numCache>
                <c:formatCode>General</c:formatCode>
                <c:ptCount val="71"/>
                <c:pt idx="0">
                  <c:v>0</c:v>
                </c:pt>
                <c:pt idx="1">
                  <c:v>9.5030176580385151E-3</c:v>
                </c:pt>
                <c:pt idx="2">
                  <c:v>2.3865897627629362E-2</c:v>
                </c:pt>
                <c:pt idx="3">
                  <c:v>4.0719528671841476E-2</c:v>
                </c:pt>
                <c:pt idx="4">
                  <c:v>5.9277512076515881E-2</c:v>
                </c:pt>
                <c:pt idx="5">
                  <c:v>7.9083710542671604E-2</c:v>
                </c:pt>
                <c:pt idx="6">
                  <c:v>9.982545871354509E-2</c:v>
                </c:pt>
                <c:pt idx="7">
                  <c:v>0.12126903663998179</c:v>
                </c:pt>
                <c:pt idx="8">
                  <c:v>0.14323038868648275</c:v>
                </c:pt>
                <c:pt idx="9">
                  <c:v>0.16555958253268899</c:v>
                </c:pt>
                <c:pt idx="10">
                  <c:v>0.18813164838017926</c:v>
                </c:pt>
                <c:pt idx="11">
                  <c:v>0.21084075005746339</c:v>
                </c:pt>
                <c:pt idx="12">
                  <c:v>0.23359625127429384</c:v>
                </c:pt>
                <c:pt idx="13">
                  <c:v>0.25631993269938158</c:v>
                </c:pt>
                <c:pt idx="14">
                  <c:v>0.27894394520622678</c:v>
                </c:pt>
                <c:pt idx="15">
                  <c:v>0.30140925455324019</c:v>
                </c:pt>
                <c:pt idx="16">
                  <c:v>0.32366442608138057</c:v>
                </c:pt>
                <c:pt idx="17">
                  <c:v>0.34566465199463225</c:v>
                </c:pt>
                <c:pt idx="18">
                  <c:v>0.36737095640279405</c:v>
                </c:pt>
                <c:pt idx="19">
                  <c:v>0.38874953375062948</c:v>
                </c:pt>
                <c:pt idx="20">
                  <c:v>0.40977118948623736</c:v>
                </c:pt>
                <c:pt idx="21">
                  <c:v>0.43041086062045786</c:v>
                </c:pt>
                <c:pt idx="22">
                  <c:v>0.45064719982482382</c:v>
                </c:pt>
                <c:pt idx="23">
                  <c:v>0.4704622108893296</c:v>
                </c:pt>
                <c:pt idx="24">
                  <c:v>0.48984092632259602</c:v>
                </c:pt>
                <c:pt idx="25">
                  <c:v>0.5087711200142262</c:v>
                </c:pt>
                <c:pt idx="26">
                  <c:v>0.52724304944551847</c:v>
                </c:pt>
                <c:pt idx="27">
                  <c:v>0.5452492230988577</c:v>
                </c:pt>
                <c:pt idx="28">
                  <c:v>0.56278418959241816</c:v>
                </c:pt>
                <c:pt idx="29">
                  <c:v>0.57984434573423704</c:v>
                </c:pt>
                <c:pt idx="30">
                  <c:v>0.59642776120357177</c:v>
                </c:pt>
                <c:pt idx="31">
                  <c:v>0.61253401796709539</c:v>
                </c:pt>
                <c:pt idx="32">
                  <c:v>0.62816406285124948</c:v>
                </c:pt>
                <c:pt idx="33">
                  <c:v>0.64332007194062868</c:v>
                </c:pt>
                <c:pt idx="34">
                  <c:v>0.65800532567086223</c:v>
                </c:pt>
                <c:pt idx="35">
                  <c:v>0.6722240936444247</c:v>
                </c:pt>
                <c:pt idx="36">
                  <c:v>0.68598152832770753</c:v>
                </c:pt>
                <c:pt idx="37">
                  <c:v>0.69928356689396864</c:v>
                </c:pt>
                <c:pt idx="38">
                  <c:v>0.7121368405644386</c:v>
                </c:pt>
                <c:pt idx="39">
                  <c:v>0.72454859087267698</c:v>
                </c:pt>
                <c:pt idx="40">
                  <c:v>0.73652659233825279</c:v>
                </c:pt>
                <c:pt idx="41">
                  <c:v>0.74807908108724885</c:v>
                </c:pt>
                <c:pt idx="42">
                  <c:v>0.75921468900080269</c:v>
                </c:pt>
                <c:pt idx="43">
                  <c:v>0.76994238301033335</c:v>
                </c:pt>
                <c:pt idx="44">
                  <c:v>0.78027140919040927</c:v>
                </c:pt>
                <c:pt idx="45">
                  <c:v>0.79021124132829357</c:v>
                </c:pt>
                <c:pt idx="46">
                  <c:v>0.79977153367380915</c:v>
                </c:pt>
                <c:pt idx="47">
                  <c:v>0.80896207759487482</c:v>
                </c:pt>
                <c:pt idx="48">
                  <c:v>0.81779276188335381</c:v>
                </c:pt>
                <c:pt idx="49">
                  <c:v>0.82627353647313173</c:v>
                </c:pt>
                <c:pt idx="50">
                  <c:v>0.83441437934789198</c:v>
                </c:pt>
                <c:pt idx="51">
                  <c:v>0.84222526643016882</c:v>
                </c:pt>
                <c:pt idx="52">
                  <c:v>0.84971614425612407</c:v>
                </c:pt>
                <c:pt idx="53">
                  <c:v>0.85689690525229578</c:v>
                </c:pt>
                <c:pt idx="54">
                  <c:v>0.86377736544145345</c:v>
                </c:pt>
                <c:pt idx="55">
                  <c:v>0.87036724441476998</c:v>
                </c:pt>
                <c:pt idx="56">
                  <c:v>0.87667614741690369</c:v>
                </c:pt>
                <c:pt idx="57">
                  <c:v>0.88271354939933766</c:v>
                </c:pt>
                <c:pt idx="58">
                  <c:v>0.88848878090553252</c:v>
                </c:pt>
                <c:pt idx="59">
                  <c:v>0.89401101565915642</c:v>
                </c:pt>
                <c:pt idx="60">
                  <c:v>0.89928925973392848</c:v>
                </c:pt>
                <c:pt idx="61">
                  <c:v>0.90433234219046432</c:v>
                </c:pt>
                <c:pt idx="62">
                  <c:v>0.90914890707201201</c:v>
                </c:pt>
                <c:pt idx="63">
                  <c:v>0.91374740665711085</c:v>
                </c:pt>
                <c:pt idx="64">
                  <c:v>0.91813609587304312</c:v>
                </c:pt>
                <c:pt idx="65">
                  <c:v>0.92232302777949093</c:v>
                </c:pt>
                <c:pt idx="66">
                  <c:v>0.9263160500370754</c:v>
                </c:pt>
                <c:pt idx="67">
                  <c:v>0.93012280228046751</c:v>
                </c:pt>
                <c:pt idx="68">
                  <c:v>0.93375071432052215</c:v>
                </c:pt>
                <c:pt idx="69">
                  <c:v>0.93720700510442634</c:v>
                </c:pt>
                <c:pt idx="70">
                  <c:v>0.94049868236716638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BEEB-41B2-B250-FDE269E65CA9}"/>
            </c:ext>
          </c:extLst>
        </c:ser>
        <c:ser>
          <c:idx val="8"/>
          <c:order val="8"/>
          <c:tx>
            <c:strRef>
              <c:f>Calcs!$B$35</c:f>
              <c:strCache>
                <c:ptCount val="1"/>
                <c:pt idx="0">
                  <c:v>Other non-metallic mineral products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Calcs!$C$26:$BU$26</c:f>
              <c:numCache>
                <c:formatCode>General</c:formatCode>
                <c:ptCount val="7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</c:numCache>
            </c:numRef>
          </c:xVal>
          <c:yVal>
            <c:numRef>
              <c:f>Calcs!$C$35:$BU$35</c:f>
              <c:numCache>
                <c:formatCode>General</c:formatCode>
                <c:ptCount val="71"/>
                <c:pt idx="0">
                  <c:v>0</c:v>
                </c:pt>
                <c:pt idx="1">
                  <c:v>4.3065987058610311E-4</c:v>
                </c:pt>
                <c:pt idx="2">
                  <c:v>2.0201648781231762E-3</c:v>
                </c:pt>
                <c:pt idx="3">
                  <c:v>4.984262250315119E-3</c:v>
                </c:pt>
                <c:pt idx="4">
                  <c:v>9.4485232344636572E-3</c:v>
                </c:pt>
                <c:pt idx="5">
                  <c:v>1.5496834361324874E-2</c:v>
                </c:pt>
                <c:pt idx="6">
                  <c:v>2.3184598797694633E-2</c:v>
                </c:pt>
                <c:pt idx="7">
                  <c:v>3.2544453578946198E-2</c:v>
                </c:pt>
                <c:pt idx="8">
                  <c:v>4.3589296159828428E-2</c:v>
                </c:pt>
                <c:pt idx="9">
                  <c:v>5.6314144688889956E-2</c:v>
                </c:pt>
                <c:pt idx="10">
                  <c:v>7.0697454828773321E-2</c:v>
                </c:pt>
                <c:pt idx="11">
                  <c:v>8.6702188329163099E-2</c:v>
                </c:pt>
                <c:pt idx="12">
                  <c:v>0.10427678705757959</c:v>
                </c:pt>
                <c:pt idx="13">
                  <c:v>0.12335613690639413</c:v>
                </c:pt>
                <c:pt idx="14">
                  <c:v>0.14386256849922008</c:v>
                </c:pt>
                <c:pt idx="15">
                  <c:v>0.16570691954277172</c:v>
                </c:pt>
                <c:pt idx="16">
                  <c:v>0.18878966969748179</c:v>
                </c:pt>
                <c:pt idx="17">
                  <c:v>0.21300214945092721</c:v>
                </c:pt>
                <c:pt idx="18">
                  <c:v>0.23822781787647462</c:v>
                </c:pt>
                <c:pt idx="19">
                  <c:v>0.26434359938663832</c:v>
                </c:pt>
                <c:pt idx="20">
                  <c:v>0.29122126611499877</c:v>
                </c:pt>
                <c:pt idx="21">
                  <c:v>0.31872885007730667</c:v>
                </c:pt>
                <c:pt idx="22">
                  <c:v>0.34673206758960673</c:v>
                </c:pt>
                <c:pt idx="23">
                  <c:v>0.37509573744371483</c:v>
                </c:pt>
                <c:pt idx="24">
                  <c:v>0.40368517397866144</c:v>
                </c:pt>
                <c:pt idx="25">
                  <c:v>0.43236753637891068</c:v>
                </c:pt>
                <c:pt idx="26">
                  <c:v>0.46101311622170904</c:v>
                </c:pt>
                <c:pt idx="27">
                  <c:v>0.48949654643365337</c:v>
                </c:pt>
                <c:pt idx="28">
                  <c:v>0.51769791634552031</c:v>
                </c:pt>
                <c:pt idx="29">
                  <c:v>0.5455037793964419</c:v>
                </c:pt>
                <c:pt idx="30">
                  <c:v>0.57280804217205938</c:v>
                </c:pt>
                <c:pt idx="31">
                  <c:v>0.59951272580184933</c:v>
                </c:pt>
                <c:pt idx="32">
                  <c:v>0.62552859322200294</c:v>
                </c:pt>
                <c:pt idx="33">
                  <c:v>0.65077563836519037</c:v>
                </c:pt>
                <c:pt idx="34">
                  <c:v>0.67518343590131424</c:v>
                </c:pt>
                <c:pt idx="35">
                  <c:v>0.69869135266072735</c:v>
                </c:pt>
                <c:pt idx="36">
                  <c:v>0.72124862426418779</c:v>
                </c:pt>
                <c:pt idx="37">
                  <c:v>0.74281430270855064</c:v>
                </c:pt>
                <c:pt idx="38">
                  <c:v>0.76335708266716629</c:v>
                </c:pt>
                <c:pt idx="39">
                  <c:v>0.7828550160203589</c:v>
                </c:pt>
                <c:pt idx="40">
                  <c:v>0.80129512560403515</c:v>
                </c:pt>
                <c:pt idx="41">
                  <c:v>0.81867293033231125</c:v>
                </c:pt>
                <c:pt idx="42">
                  <c:v>0.83499189470120494</c:v>
                </c:pt>
                <c:pt idx="43">
                  <c:v>0.8502628162121717</c:v>
                </c:pt>
                <c:pt idx="44">
                  <c:v>0.8645031644725184</c:v>
                </c:pt>
                <c:pt idx="45">
                  <c:v>0.87773638564845324</c:v>
                </c:pt>
                <c:pt idx="46">
                  <c:v>0.88999118558684209</c:v>
                </c:pt>
                <c:pt idx="47">
                  <c:v>0.90130080431076631</c:v>
                </c:pt>
                <c:pt idx="48">
                  <c:v>0.91170229376375667</c:v>
                </c:pt>
                <c:pt idx="49">
                  <c:v>0.92123580966374108</c:v>
                </c:pt>
                <c:pt idx="50">
                  <c:v>0.92994392716818641</c:v>
                </c:pt>
                <c:pt idx="51">
                  <c:v>0.93787098878558961</c:v>
                </c:pt>
                <c:pt idx="52">
                  <c:v>0.94506249163407563</c:v>
                </c:pt>
                <c:pt idx="53">
                  <c:v>0.95156451978276479</c:v>
                </c:pt>
                <c:pt idx="54">
                  <c:v>0.95742322605083419</c:v>
                </c:pt>
                <c:pt idx="55">
                  <c:v>0.96268436631466425</c:v>
                </c:pt>
                <c:pt idx="56">
                  <c:v>0.96739288811319846</c:v>
                </c:pt>
                <c:pt idx="57">
                  <c:v>0.97159257416935618</c:v>
                </c:pt>
                <c:pt idx="58">
                  <c:v>0.97532574038015496</c:v>
                </c:pt>
                <c:pt idx="59">
                  <c:v>0.97863298688448197</c:v>
                </c:pt>
                <c:pt idx="60">
                  <c:v>0.9815530000049123</c:v>
                </c:pt>
                <c:pt idx="61">
                  <c:v>0.98412240218376856</c:v>
                </c:pt>
                <c:pt idx="62">
                  <c:v>0.98637564649476772</c:v>
                </c:pt>
                <c:pt idx="63">
                  <c:v>0.98834495190735061</c:v>
                </c:pt>
                <c:pt idx="64">
                  <c:v>0.99006027520507944</c:v>
                </c:pt>
                <c:pt idx="65">
                  <c:v>0.99154931530360169</c:v>
                </c:pt>
                <c:pt idx="66">
                  <c:v>0.99283754566668225</c:v>
                </c:pt>
                <c:pt idx="67">
                  <c:v>0.99394827056824842</c:v>
                </c:pt>
                <c:pt idx="68">
                  <c:v>0.99490270108077061</c:v>
                </c:pt>
                <c:pt idx="69">
                  <c:v>0.99572004687166071</c:v>
                </c:pt>
                <c:pt idx="70">
                  <c:v>0.9964176201456928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BEEB-41B2-B250-FDE269E65CA9}"/>
            </c:ext>
          </c:extLst>
        </c:ser>
        <c:ser>
          <c:idx val="9"/>
          <c:order val="9"/>
          <c:tx>
            <c:strRef>
              <c:f>Calcs!$B$36</c:f>
              <c:strCache>
                <c:ptCount val="1"/>
                <c:pt idx="0">
                  <c:v>Basic metals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Calcs!$C$26:$BU$26</c:f>
              <c:numCache>
                <c:formatCode>General</c:formatCode>
                <c:ptCount val="7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</c:numCache>
            </c:numRef>
          </c:xVal>
          <c:yVal>
            <c:numRef>
              <c:f>Calcs!$C$36:$BU$36</c:f>
              <c:numCache>
                <c:formatCode>General</c:formatCode>
                <c:ptCount val="71"/>
                <c:pt idx="0">
                  <c:v>0</c:v>
                </c:pt>
                <c:pt idx="1">
                  <c:v>2.286365425544501E-4</c:v>
                </c:pt>
                <c:pt idx="2">
                  <c:v>1.141925661216403E-3</c:v>
                </c:pt>
                <c:pt idx="3">
                  <c:v>2.9238698949782815E-3</c:v>
                </c:pt>
                <c:pt idx="4">
                  <c:v>5.692950211362624E-3</c:v>
                </c:pt>
                <c:pt idx="5">
                  <c:v>9.537299065077387E-3</c:v>
                </c:pt>
                <c:pt idx="6">
                  <c:v>1.4524830254354471E-2</c:v>
                </c:pt>
                <c:pt idx="7">
                  <c:v>2.0707703590712279E-2</c:v>
                </c:pt>
                <c:pt idx="8">
                  <c:v>2.8124652560417185E-2</c:v>
                </c:pt>
                <c:pt idx="9">
                  <c:v>3.6802329958726343E-2</c:v>
                </c:pt>
                <c:pt idx="10">
                  <c:v>4.6756155310118452E-2</c:v>
                </c:pt>
                <c:pt idx="11">
                  <c:v>5.7990899829515108E-2</c:v>
                </c:pt>
                <c:pt idx="12">
                  <c:v>7.0501136408896659E-2</c:v>
                </c:pt>
                <c:pt idx="13">
                  <c:v>8.427162889800921E-2</c:v>
                </c:pt>
                <c:pt idx="14">
                  <c:v>9.9277706242745789E-2</c:v>
                </c:pt>
                <c:pt idx="15">
                  <c:v>0.115485650297946</c:v>
                </c:pt>
                <c:pt idx="16">
                  <c:v>0.13285311565408764</c:v>
                </c:pt>
                <c:pt idx="17">
                  <c:v>0.15132959282911262</c:v>
                </c:pt>
                <c:pt idx="18">
                  <c:v>0.17085692123552265</c:v>
                </c:pt>
                <c:pt idx="19">
                  <c:v>0.19136985465589584</c:v>
                </c:pt>
                <c:pt idx="20">
                  <c:v>0.2127966791068775</c:v>
                </c:pt>
                <c:pt idx="21">
                  <c:v>0.23505988068890793</c:v>
                </c:pt>
                <c:pt idx="22">
                  <c:v>0.25807685915825174</c:v>
                </c:pt>
                <c:pt idx="23">
                  <c:v>0.28176068143223709</c:v>
                </c:pt>
                <c:pt idx="24">
                  <c:v>0.30602086799702566</c:v>
                </c:pt>
                <c:pt idx="25">
                  <c:v>0.33076420419997721</c:v>
                </c:pt>
                <c:pt idx="26">
                  <c:v>0.35589556765832853</c:v>
                </c:pt>
                <c:pt idx="27">
                  <c:v>0.38131876249165331</c:v>
                </c:pt>
                <c:pt idx="28">
                  <c:v>0.40693735077959214</c:v>
                </c:pt>
                <c:pt idx="29">
                  <c:v>0.43265547155149275</c:v>
                </c:pt>
                <c:pt idx="30">
                  <c:v>0.45837863772283127</c:v>
                </c:pt>
                <c:pt idx="31">
                  <c:v>0.48401450169473748</c:v>
                </c:pt>
                <c:pt idx="32">
                  <c:v>0.50947358081537097</c:v>
                </c:pt>
                <c:pt idx="33">
                  <c:v>0.53466993455042744</c:v>
                </c:pt>
                <c:pt idx="34">
                  <c:v>0.55952178600716818</c:v>
                </c:pt>
                <c:pt idx="35">
                  <c:v>0.58395208138210164</c:v>
                </c:pt>
                <c:pt idx="36">
                  <c:v>0.60788898193465468</c:v>
                </c:pt>
                <c:pt idx="37">
                  <c:v>0.63126628420400199</c:v>
                </c:pt>
                <c:pt idx="38">
                  <c:v>0.65402376535859363</c:v>
                </c:pt>
                <c:pt idx="39">
                  <c:v>0.67610745177210929</c:v>
                </c:pt>
                <c:pt idx="40">
                  <c:v>0.69746981012978915</c:v>
                </c:pt>
                <c:pt idx="41">
                  <c:v>0.71806986156012531</c:v>
                </c:pt>
                <c:pt idx="42">
                  <c:v>0.73787322043467818</c:v>
                </c:pt>
                <c:pt idx="43">
                  <c:v>0.75685206056089727</c:v>
                </c:pt>
                <c:pt idx="44">
                  <c:v>0.77498501248917073</c:v>
                </c:pt>
                <c:pt idx="45">
                  <c:v>0.79225699654831505</c:v>
                </c:pt>
                <c:pt idx="46">
                  <c:v>0.8086589969988649</c:v>
                </c:pt>
                <c:pt idx="47">
                  <c:v>0.82418778333953724</c:v>
                </c:pt>
                <c:pt idx="48">
                  <c:v>0.83884558531128828</c:v>
                </c:pt>
                <c:pt idx="49">
                  <c:v>0.8526397285110856</c:v>
                </c:pt>
                <c:pt idx="50">
                  <c:v>0.86558223775298893</c:v>
                </c:pt>
                <c:pt idx="51">
                  <c:v>0.87768941539976675</c:v>
                </c:pt>
                <c:pt idx="52">
                  <c:v>0.88898140183962826</c:v>
                </c:pt>
                <c:pt idx="53">
                  <c:v>0.89948172510802948</c:v>
                </c:pt>
                <c:pt idx="54">
                  <c:v>0.90921684636475464</c:v>
                </c:pt>
                <c:pt idx="55">
                  <c:v>0.91821570754440607</c:v>
                </c:pt>
                <c:pt idx="56">
                  <c:v>0.92650928701852153</c:v>
                </c:pt>
                <c:pt idx="57">
                  <c:v>0.93413016855537423</c:v>
                </c:pt>
                <c:pt idx="58">
                  <c:v>0.94111212825536406</c:v>
                </c:pt>
                <c:pt idx="59">
                  <c:v>0.94748974349223625</c:v>
                </c:pt>
                <c:pt idx="60">
                  <c:v>0.95329802721942969</c:v>
                </c:pt>
                <c:pt idx="61">
                  <c:v>0.95857209032224899</c:v>
                </c:pt>
                <c:pt idx="62">
                  <c:v>0.9633468340249064</c:v>
                </c:pt>
                <c:pt idx="63">
                  <c:v>0.96765667371011244</c:v>
                </c:pt>
                <c:pt idx="64">
                  <c:v>0.97153529488959678</c:v>
                </c:pt>
                <c:pt idx="65">
                  <c:v>0.97501544148678121</c:v>
                </c:pt>
                <c:pt idx="66">
                  <c:v>0.97812873606603656</c:v>
                </c:pt>
                <c:pt idx="67">
                  <c:v>0.98090553117286539</c:v>
                </c:pt>
                <c:pt idx="68">
                  <c:v>0.98337479054039856</c:v>
                </c:pt>
                <c:pt idx="69">
                  <c:v>0.9855639985723782</c:v>
                </c:pt>
                <c:pt idx="70">
                  <c:v>0.98749909623218113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BEEB-41B2-B250-FDE269E65CA9}"/>
            </c:ext>
          </c:extLst>
        </c:ser>
        <c:ser>
          <c:idx val="10"/>
          <c:order val="10"/>
          <c:tx>
            <c:strRef>
              <c:f>Calcs!$B$37</c:f>
              <c:strCache>
                <c:ptCount val="1"/>
                <c:pt idx="0">
                  <c:v>Fabricated metal products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Calcs!$C$26:$BU$26</c:f>
              <c:numCache>
                <c:formatCode>General</c:formatCode>
                <c:ptCount val="7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</c:numCache>
            </c:numRef>
          </c:xVal>
          <c:yVal>
            <c:numRef>
              <c:f>Calcs!$C$37:$BU$37</c:f>
              <c:numCache>
                <c:formatCode>General</c:formatCode>
                <c:ptCount val="71"/>
                <c:pt idx="0">
                  <c:v>0</c:v>
                </c:pt>
                <c:pt idx="1">
                  <c:v>7.6953780173609765E-3</c:v>
                </c:pt>
                <c:pt idx="2">
                  <c:v>2.0180362160757248E-2</c:v>
                </c:pt>
                <c:pt idx="3">
                  <c:v>3.5325629028895356E-2</c:v>
                </c:pt>
                <c:pt idx="4">
                  <c:v>5.2379337068521048E-2</c:v>
                </c:pt>
                <c:pt idx="5">
                  <c:v>7.0891698217240617E-2</c:v>
                </c:pt>
                <c:pt idx="6">
                  <c:v>9.0546440313023058E-2</c:v>
                </c:pt>
                <c:pt idx="7">
                  <c:v>0.11110168174709767</c:v>
                </c:pt>
                <c:pt idx="8">
                  <c:v>0.13236286060038294</c:v>
                </c:pt>
                <c:pt idx="9">
                  <c:v>0.15416828743201871</c:v>
                </c:pt>
                <c:pt idx="10">
                  <c:v>0.1763806001134548</c:v>
                </c:pt>
                <c:pt idx="11">
                  <c:v>0.19888131480562432</c:v>
                </c:pt>
                <c:pt idx="12">
                  <c:v>0.2215671426869773</c:v>
                </c:pt>
                <c:pt idx="13">
                  <c:v>0.24434738009582935</c:v>
                </c:pt>
                <c:pt idx="14">
                  <c:v>0.267141985124283</c:v>
                </c:pt>
                <c:pt idx="15">
                  <c:v>0.28988011177278106</c:v>
                </c:pt>
                <c:pt idx="16">
                  <c:v>0.31249895988716381</c:v>
                </c:pt>
                <c:pt idx="17">
                  <c:v>0.33494284963464194</c:v>
                </c:pt>
                <c:pt idx="18">
                  <c:v>0.35716245987271122</c:v>
                </c:pt>
                <c:pt idx="19">
                  <c:v>0.37911418897547922</c:v>
                </c:pt>
                <c:pt idx="20">
                  <c:v>0.40075960912388364</c:v>
                </c:pt>
                <c:pt idx="21">
                  <c:v>0.42206499334440495</c:v>
                </c:pt>
                <c:pt idx="22">
                  <c:v>0.44300090021948424</c:v>
                </c:pt>
                <c:pt idx="23">
                  <c:v>0.46354180511359189</c:v>
                </c:pt>
                <c:pt idx="24">
                  <c:v>0.4836657695352049</c:v>
                </c:pt>
                <c:pt idx="25">
                  <c:v>0.50335414225289465</c:v>
                </c:pt>
                <c:pt idx="26">
                  <c:v>0.52259128724232684</c:v>
                </c:pt>
                <c:pt idx="27">
                  <c:v>0.54136433461960864</c:v>
                </c:pt>
                <c:pt idx="28">
                  <c:v>0.55966295152329559</c:v>
                </c:pt>
                <c:pt idx="29">
                  <c:v>0.57747913051725641</c:v>
                </c:pt>
                <c:pt idx="30">
                  <c:v>0.59480699355192823</c:v>
                </c:pt>
                <c:pt idx="31">
                  <c:v>0.61164260987958152</c:v>
                </c:pt>
                <c:pt idx="32">
                  <c:v>0.62798382659693885</c:v>
                </c:pt>
                <c:pt idx="33">
                  <c:v>0.64383011070545959</c:v>
                </c:pt>
                <c:pt idx="34">
                  <c:v>0.65918240175027198</c:v>
                </c:pt>
                <c:pt idx="35">
                  <c:v>0.67404297423385184</c:v>
                </c:pt>
                <c:pt idx="36">
                  <c:v>0.68841530910821469</c:v>
                </c:pt>
                <c:pt idx="37">
                  <c:v>0.70230397373572018</c:v>
                </c:pt>
                <c:pt idx="38">
                  <c:v>0.71571450977826812</c:v>
                </c:pt>
                <c:pt idx="39">
                  <c:v>0.72865332853128062</c:v>
                </c:pt>
                <c:pt idx="40">
                  <c:v>0.74112761326520982</c:v>
                </c:pt>
                <c:pt idx="41">
                  <c:v>0.75314522817553264</c:v>
                </c:pt>
                <c:pt idx="42">
                  <c:v>0.76471463357399549</c:v>
                </c:pt>
                <c:pt idx="43">
                  <c:v>0.77584480698057712</c:v>
                </c:pt>
                <c:pt idx="44">
                  <c:v>0.78654516979828826</c:v>
                </c:pt>
                <c:pt idx="45">
                  <c:v>0.7968255192723579</c:v>
                </c:pt>
                <c:pt idx="46">
                  <c:v>0.80669596545221189</c:v>
                </c:pt>
                <c:pt idx="47">
                  <c:v>0.81616687288945988</c:v>
                </c:pt>
                <c:pt idx="48">
                  <c:v>0.8252488068182775</c:v>
                </c:pt>
                <c:pt idx="49">
                  <c:v>0.83395248357643115</c:v>
                </c:pt>
                <c:pt idx="50">
                  <c:v>0.84228872503600605</c:v>
                </c:pt>
                <c:pt idx="51">
                  <c:v>0.85026841682286836</c:v>
                </c:pt>
                <c:pt idx="52">
                  <c:v>0.85790247011318266</c:v>
                </c:pt>
                <c:pt idx="53">
                  <c:v>0.86520178680404514</c:v>
                </c:pt>
                <c:pt idx="54">
                  <c:v>0.8721772278635872</c:v>
                </c:pt>
                <c:pt idx="55">
                  <c:v>0.87883958467382306</c:v>
                </c:pt>
                <c:pt idx="56">
                  <c:v>0.8851995531871284</c:v>
                </c:pt>
                <c:pt idx="57">
                  <c:v>0.89126771072458866</c:v>
                </c:pt>
                <c:pt idx="58">
                  <c:v>0.89705449525157688</c:v>
                </c:pt>
                <c:pt idx="59">
                  <c:v>0.90257018697284741</c:v>
                </c:pt>
                <c:pt idx="60">
                  <c:v>0.90782489209617467</c:v>
                </c:pt>
                <c:pt idx="61">
                  <c:v>0.91282852862013975</c:v>
                </c:pt>
                <c:pt idx="62">
                  <c:v>0.91759081400808551</c:v>
                </c:pt>
                <c:pt idx="63">
                  <c:v>0.92212125461653094</c:v>
                </c:pt>
                <c:pt idx="64">
                  <c:v>0.92642913675244132</c:v>
                </c:pt>
                <c:pt idx="65">
                  <c:v>0.93052351923972942</c:v>
                </c:pt>
                <c:pt idx="66">
                  <c:v>0.93441322738117416</c:v>
                </c:pt>
                <c:pt idx="67">
                  <c:v>0.93810684820762003</c:v>
                </c:pt>
                <c:pt idx="68">
                  <c:v>0.94161272691183262</c:v>
                </c:pt>
                <c:pt idx="69">
                  <c:v>0.94493896436976099</c:v>
                </c:pt>
                <c:pt idx="70">
                  <c:v>0.94809341565716188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BEEB-41B2-B250-FDE269E65CA9}"/>
            </c:ext>
          </c:extLst>
        </c:ser>
        <c:ser>
          <c:idx val="11"/>
          <c:order val="11"/>
          <c:tx>
            <c:strRef>
              <c:f>Calcs!$B$38</c:f>
              <c:strCache>
                <c:ptCount val="1"/>
                <c:pt idx="0">
                  <c:v>Machinery and equipment n.e.c.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Calcs!$C$26:$BU$26</c:f>
              <c:numCache>
                <c:formatCode>General</c:formatCode>
                <c:ptCount val="7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</c:numCache>
            </c:numRef>
          </c:xVal>
          <c:yVal>
            <c:numRef>
              <c:f>Calcs!$C$38:$BU$38</c:f>
              <c:numCache>
                <c:formatCode>General</c:formatCode>
                <c:ptCount val="71"/>
                <c:pt idx="0">
                  <c:v>0</c:v>
                </c:pt>
                <c:pt idx="1">
                  <c:v>4.0436337383380483E-2</c:v>
                </c:pt>
                <c:pt idx="2">
                  <c:v>8.2679037905410091E-2</c:v>
                </c:pt>
                <c:pt idx="3">
                  <c:v>0.12440345530805097</c:v>
                </c:pt>
                <c:pt idx="4">
                  <c:v>0.16508442600713213</c:v>
                </c:pt>
                <c:pt idx="5">
                  <c:v>0.20449233200146821</c:v>
                </c:pt>
                <c:pt idx="6">
                  <c:v>0.24251525847370536</c:v>
                </c:pt>
                <c:pt idx="7">
                  <c:v>0.27910125527064999</c:v>
                </c:pt>
                <c:pt idx="8">
                  <c:v>0.31423309561810853</c:v>
                </c:pt>
                <c:pt idx="9">
                  <c:v>0.34791523667257296</c:v>
                </c:pt>
                <c:pt idx="10">
                  <c:v>0.3801663101141427</c:v>
                </c:pt>
                <c:pt idx="11">
                  <c:v>0.41101445509100754</c:v>
                </c:pt>
                <c:pt idx="12">
                  <c:v>0.44049425135621301</c:v>
                </c:pt>
                <c:pt idx="13">
                  <c:v>0.4686446178344581</c:v>
                </c:pt>
                <c:pt idx="14">
                  <c:v>0.49550732619067961</c:v>
                </c:pt>
                <c:pt idx="15">
                  <c:v>0.52112592366652544</c:v>
                </c:pt>
                <c:pt idx="16">
                  <c:v>0.54554493817345073</c:v>
                </c:pt>
                <c:pt idx="17">
                  <c:v>0.56880928387769014</c:v>
                </c:pt>
                <c:pt idx="18">
                  <c:v>0.59096381274226784</c:v>
                </c:pt>
                <c:pt idx="19">
                  <c:v>0.61205297453309981</c:v>
                </c:pt>
                <c:pt idx="20">
                  <c:v>0.63212055882855767</c:v>
                </c:pt>
                <c:pt idx="21">
                  <c:v>0.65120949992751065</c:v>
                </c:pt>
                <c:pt idx="22">
                  <c:v>0.6693617305840337</c:v>
                </c:pt>
                <c:pt idx="23">
                  <c:v>0.6866180740211838</c:v>
                </c:pt>
                <c:pt idx="24">
                  <c:v>0.70301816619507751</c:v>
                </c:pt>
                <c:pt idx="25">
                  <c:v>0.71860040211424892</c:v>
                </c:pt>
                <c:pt idx="26">
                  <c:v>0.7334019013766131</c:v>
                </c:pt>
                <c:pt idx="27">
                  <c:v>0.74745848910623991</c:v>
                </c:pt>
                <c:pt idx="28">
                  <c:v>0.76080468924896472</c:v>
                </c:pt>
                <c:pt idx="29">
                  <c:v>0.77347372778488532</c:v>
                </c:pt>
                <c:pt idx="30">
                  <c:v>0.78549754388292925</c:v>
                </c:pt>
                <c:pt idx="31">
                  <c:v>0.79690680739069142</c:v>
                </c:pt>
                <c:pt idx="32">
                  <c:v>0.80773094134537793</c:v>
                </c:pt>
                <c:pt idx="33">
                  <c:v>0.8179981484263521</c:v>
                </c:pt>
                <c:pt idx="34">
                  <c:v>0.82773544045940195</c:v>
                </c:pt>
                <c:pt idx="35">
                  <c:v>0.83696867023714283</c:v>
                </c:pt>
                <c:pt idx="36">
                  <c:v>0.84572256504630394</c:v>
                </c:pt>
                <c:pt idx="37">
                  <c:v>0.85402076139668581</c:v>
                </c:pt>
                <c:pt idx="38">
                  <c:v>0.8618858405326798</c:v>
                </c:pt>
                <c:pt idx="39">
                  <c:v>0.86933936437982717</c:v>
                </c:pt>
                <c:pt idx="40">
                  <c:v>0.87640191163865722</c:v>
                </c:pt>
                <c:pt idx="41">
                  <c:v>0.88309311378810351</c:v>
                </c:pt>
                <c:pt idx="42">
                  <c:v>0.88943169080285789</c:v>
                </c:pt>
                <c:pt idx="43">
                  <c:v>0.89543548642446447</c:v>
                </c:pt>
                <c:pt idx="44">
                  <c:v>0.90112150285586368</c:v>
                </c:pt>
                <c:pt idx="45">
                  <c:v>0.90650593477440145</c:v>
                </c:pt>
                <c:pt idx="46">
                  <c:v>0.91160420257974151</c:v>
                </c:pt>
                <c:pt idx="47">
                  <c:v>0.91643098481126439</c:v>
                </c:pt>
                <c:pt idx="48">
                  <c:v>0.92100024968493688</c:v>
                </c:pt>
                <c:pt idx="49">
                  <c:v>0.92532528571266648</c:v>
                </c:pt>
                <c:pt idx="50">
                  <c:v>0.9294187313782144</c:v>
                </c:pt>
                <c:pt idx="51">
                  <c:v>0.93329260385307677</c:v>
                </c:pt>
                <c:pt idx="52">
                  <c:v>0.93695832674364299</c:v>
                </c:pt>
                <c:pt idx="53">
                  <c:v>0.9404267568675827</c:v>
                </c:pt>
                <c:pt idx="54">
                  <c:v>0.94370821006298944</c:v>
                </c:pt>
                <c:pt idx="55">
                  <c:v>0.94681248603847801</c:v>
                </c:pt>
                <c:pt idx="56">
                  <c:v>0.94974889227629455</c:v>
                </c:pt>
                <c:pt idx="57">
                  <c:v>0.95252626700370446</c:v>
                </c:pt>
                <c:pt idx="58">
                  <c:v>0.95515300125052682</c:v>
                </c:pt>
                <c:pt idx="59">
                  <c:v>0.95763706001279514</c:v>
                </c:pt>
                <c:pt idx="60">
                  <c:v>0.95998600254420485</c:v>
                </c:pt>
                <c:pt idx="61">
                  <c:v>0.96220700179830632</c:v>
                </c:pt>
                <c:pt idx="62">
                  <c:v>0.9643068630453927</c:v>
                </c:pt>
                <c:pt idx="63">
                  <c:v>0.96629204168874105</c:v>
                </c:pt>
                <c:pt idx="64">
                  <c:v>0.96816866030534021</c:v>
                </c:pt>
                <c:pt idx="65">
                  <c:v>0.96994252493651767</c:v>
                </c:pt>
                <c:pt idx="66">
                  <c:v>0.97161914065397537</c:v>
                </c:pt>
                <c:pt idx="67">
                  <c:v>0.97320372642670872</c:v>
                </c:pt>
                <c:pt idx="68">
                  <c:v>0.97470122931411463</c:v>
                </c:pt>
                <c:pt idx="69">
                  <c:v>0.97611633801032582</c:v>
                </c:pt>
                <c:pt idx="70">
                  <c:v>0.97745349576445428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BEEB-41B2-B250-FDE269E65CA9}"/>
            </c:ext>
          </c:extLst>
        </c:ser>
        <c:ser>
          <c:idx val="12"/>
          <c:order val="12"/>
          <c:tx>
            <c:strRef>
              <c:f>Calcs!$B$39</c:f>
              <c:strCache>
                <c:ptCount val="1"/>
                <c:pt idx="0">
                  <c:v>Office machinery &amp; computers, radio, TV &amp; communication equipment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Calcs!$C$26:$BU$26</c:f>
              <c:numCache>
                <c:formatCode>General</c:formatCode>
                <c:ptCount val="7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</c:numCache>
            </c:numRef>
          </c:xVal>
          <c:yVal>
            <c:numRef>
              <c:f>Calcs!$C$39:$BU$39</c:f>
              <c:numCache>
                <c:formatCode>General</c:formatCode>
                <c:ptCount val="71"/>
                <c:pt idx="0">
                  <c:v>0</c:v>
                </c:pt>
                <c:pt idx="1">
                  <c:v>1.7189662041358744E-2</c:v>
                </c:pt>
                <c:pt idx="2">
                  <c:v>4.4666533921239537E-2</c:v>
                </c:pt>
                <c:pt idx="3">
                  <c:v>7.7387293945463287E-2</c:v>
                </c:pt>
                <c:pt idx="4">
                  <c:v>0.11345402826351725</c:v>
                </c:pt>
                <c:pt idx="5">
                  <c:v>0.15168905640138219</c:v>
                </c:pt>
                <c:pt idx="6">
                  <c:v>0.19125126952506011</c:v>
                </c:pt>
                <c:pt idx="7">
                  <c:v>0.2314995193463848</c:v>
                </c:pt>
                <c:pt idx="8">
                  <c:v>0.27192855264814775</c:v>
                </c:pt>
                <c:pt idx="9">
                  <c:v>0.3121335771490682</c:v>
                </c:pt>
                <c:pt idx="10">
                  <c:v>0.35178825585629692</c:v>
                </c:pt>
                <c:pt idx="11">
                  <c:v>0.39062978815128491</c:v>
                </c:pt>
                <c:pt idx="12">
                  <c:v>0.42844807831787413</c:v>
                </c:pt>
                <c:pt idx="13">
                  <c:v>0.46507743750946595</c:v>
                </c:pt>
                <c:pt idx="14">
                  <c:v>0.50038995571522649</c:v>
                </c:pt>
                <c:pt idx="15">
                  <c:v>0.53429003637328132</c:v>
                </c:pt>
                <c:pt idx="16">
                  <c:v>0.56670978122489979</c:v>
                </c:pt>
                <c:pt idx="17">
                  <c:v>0.59760502497562884</c:v>
                </c:pt>
                <c:pt idx="18">
                  <c:v>0.62695188620542153</c:v>
                </c:pt>
                <c:pt idx="19">
                  <c:v>0.6547437422239244</c:v>
                </c:pt>
                <c:pt idx="20">
                  <c:v>0.68098856171948519</c:v>
                </c:pt>
                <c:pt idx="21">
                  <c:v>0.70570654602746652</c:v>
                </c:pt>
                <c:pt idx="22">
                  <c:v>0.7289280411047665</c:v>
                </c:pt>
                <c:pt idx="23">
                  <c:v>0.75069168992498869</c:v>
                </c:pt>
                <c:pt idx="24">
                  <c:v>0.77104280028803474</c:v>
                </c:pt>
                <c:pt idx="25">
                  <c:v>0.79003190678016755</c:v>
                </c:pt>
                <c:pt idx="26">
                  <c:v>0.80771350834685851</c:v>
                </c:pt>
                <c:pt idx="27">
                  <c:v>0.82414496499038681</c:v>
                </c:pt>
                <c:pt idx="28">
                  <c:v>0.83938553870071742</c:v>
                </c:pt>
                <c:pt idx="29">
                  <c:v>0.85349556501976798</c:v>
                </c:pt>
                <c:pt idx="30">
                  <c:v>0.86653574272436862</c:v>
                </c:pt>
                <c:pt idx="31">
                  <c:v>0.87856653005747121</c:v>
                </c:pt>
                <c:pt idx="32">
                  <c:v>0.88964763678378123</c:v>
                </c:pt>
                <c:pt idx="33">
                  <c:v>0.89983760212320696</c:v>
                </c:pt>
                <c:pt idx="34">
                  <c:v>0.90919344934151436</c:v>
                </c:pt>
                <c:pt idx="35">
                  <c:v>0.91777040846362179</c:v>
                </c:pt>
                <c:pt idx="36">
                  <c:v>0.92562169922781834</c:v>
                </c:pt>
                <c:pt idx="37">
                  <c:v>0.93279836702256524</c:v>
                </c:pt>
                <c:pt idx="38">
                  <c:v>0.93934916514326183</c:v>
                </c:pt>
                <c:pt idx="39">
                  <c:v>0.94532047727505952</c:v>
                </c:pt>
                <c:pt idx="40">
                  <c:v>0.95075627464944745</c:v>
                </c:pt>
                <c:pt idx="41">
                  <c:v>0.95569810283657453</c:v>
                </c:pt>
                <c:pt idx="42">
                  <c:v>0.96018509362167137</c:v>
                </c:pt>
                <c:pt idx="43">
                  <c:v>0.96425399787209609</c:v>
                </c:pt>
                <c:pt idx="44">
                  <c:v>0.96793923573124618</c:v>
                </c:pt>
                <c:pt idx="45">
                  <c:v>0.97127296087678927</c:v>
                </c:pt>
                <c:pt idx="46">
                  <c:v>0.9742851359535657</c:v>
                </c:pt>
                <c:pt idx="47">
                  <c:v>0.97700361663650326</c:v>
                </c:pt>
                <c:pt idx="48">
                  <c:v>0.97945424209655707</c:v>
                </c:pt>
                <c:pt idx="49">
                  <c:v>0.98166092993383414</c:v>
                </c:pt>
                <c:pt idx="50">
                  <c:v>0.98364577390764507</c:v>
                </c:pt>
                <c:pt idx="51">
                  <c:v>0.98542914303430618</c:v>
                </c:pt>
                <c:pt idx="52">
                  <c:v>0.98702978084130499</c:v>
                </c:pt>
                <c:pt idx="53">
                  <c:v>0.98846490376219065</c:v>
                </c:pt>
                <c:pt idx="54">
                  <c:v>0.98975029783159807</c:v>
                </c:pt>
                <c:pt idx="55">
                  <c:v>0.99090041299549636</c:v>
                </c:pt>
                <c:pt idx="56">
                  <c:v>0.99192845448945399</c:v>
                </c:pt>
                <c:pt idx="57">
                  <c:v>0.99284647085877709</c:v>
                </c:pt>
                <c:pt idx="58">
                  <c:v>0.99366543830014886</c:v>
                </c:pt>
                <c:pt idx="59">
                  <c:v>0.99439534109618211</c:v>
                </c:pt>
                <c:pt idx="60">
                  <c:v>0.99504524799333538</c:v>
                </c:pt>
                <c:pt idx="61">
                  <c:v>0.99562338444116238</c:v>
                </c:pt>
                <c:pt idx="62">
                  <c:v>0.9961372006679805</c:v>
                </c:pt>
                <c:pt idx="63">
                  <c:v>0.99659343561586011</c:v>
                </c:pt>
                <c:pt idx="64">
                  <c:v>0.99699817679734271</c:v>
                </c:pt>
                <c:pt idx="65">
                  <c:v>0.99735691616845246</c:v>
                </c:pt>
                <c:pt idx="66">
                  <c:v>0.99767460213822823</c:v>
                </c:pt>
                <c:pt idx="67">
                  <c:v>0.99795568785498823</c:v>
                </c:pt>
                <c:pt idx="68">
                  <c:v>0.99820417592457544</c:v>
                </c:pt>
                <c:pt idx="69">
                  <c:v>0.99842365972659286</c:v>
                </c:pt>
                <c:pt idx="70">
                  <c:v>0.99861736150173053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BEEB-41B2-B250-FDE269E65CA9}"/>
            </c:ext>
          </c:extLst>
        </c:ser>
        <c:ser>
          <c:idx val="13"/>
          <c:order val="13"/>
          <c:tx>
            <c:strRef>
              <c:f>Calcs!$B$40</c:f>
              <c:strCache>
                <c:ptCount val="1"/>
                <c:pt idx="0">
                  <c:v>Electrical machinery n.e.c.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Calcs!$C$26:$BU$26</c:f>
              <c:numCache>
                <c:formatCode>General</c:formatCode>
                <c:ptCount val="7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</c:numCache>
            </c:numRef>
          </c:xVal>
          <c:yVal>
            <c:numRef>
              <c:f>Calcs!$C$40:$BU$40</c:f>
              <c:numCache>
                <c:formatCode>General</c:formatCode>
                <c:ptCount val="71"/>
                <c:pt idx="0">
                  <c:v>0</c:v>
                </c:pt>
                <c:pt idx="1">
                  <c:v>2.1388034483053708E-2</c:v>
                </c:pt>
                <c:pt idx="2">
                  <c:v>4.3129822782738914E-2</c:v>
                </c:pt>
                <c:pt idx="3">
                  <c:v>6.4698552236643891E-2</c:v>
                </c:pt>
                <c:pt idx="4">
                  <c:v>8.5980280858848124E-2</c:v>
                </c:pt>
                <c:pt idx="5">
                  <c:v>0.10692370073557311</c:v>
                </c:pt>
                <c:pt idx="6">
                  <c:v>0.12750157677069163</c:v>
                </c:pt>
                <c:pt idx="7">
                  <c:v>0.14769867608334308</c:v>
                </c:pt>
                <c:pt idx="8">
                  <c:v>0.16750665622617067</c:v>
                </c:pt>
                <c:pt idx="9">
                  <c:v>0.18692149899743482</c:v>
                </c:pt>
                <c:pt idx="10">
                  <c:v>0.2059420696624803</c:v>
                </c:pt>
                <c:pt idx="11">
                  <c:v>0.22456924076334639</c:v>
                </c:pt>
                <c:pt idx="12">
                  <c:v>0.24280532629816798</c:v>
                </c:pt>
                <c:pt idx="13">
                  <c:v>0.26065369883393963</c:v>
                </c:pt>
                <c:pt idx="14">
                  <c:v>0.27811852054251229</c:v>
                </c:pt>
                <c:pt idx="15">
                  <c:v>0.29520454842371557</c:v>
                </c:pt>
                <c:pt idx="16">
                  <c:v>0.31191698966038373</c:v>
                </c:pt>
                <c:pt idx="17">
                  <c:v>0.32826139192239123</c:v>
                </c:pt>
                <c:pt idx="18">
                  <c:v>0.34424355869203316</c:v>
                </c:pt>
                <c:pt idx="19">
                  <c:v>0.35986948291933329</c:v>
                </c:pt>
                <c:pt idx="20">
                  <c:v>0.37514529437671751</c:v>
                </c:pt>
                <c:pt idx="21">
                  <c:v>0.39007721743371759</c:v>
                </c:pt>
                <c:pt idx="22">
                  <c:v>0.4046715368813445</c:v>
                </c:pt>
                <c:pt idx="23">
                  <c:v>0.41893457006131896</c:v>
                </c:pt>
                <c:pt idx="24">
                  <c:v>0.43287264399467629</c:v>
                </c:pt>
                <c:pt idx="25">
                  <c:v>0.44649207651849798</c:v>
                </c:pt>
                <c:pt idx="26">
                  <c:v>0.4597991606680244</c:v>
                </c:pt>
                <c:pt idx="27">
                  <c:v>0.47280015171006573</c:v>
                </c:pt>
                <c:pt idx="28">
                  <c:v>0.48550125635985242</c:v>
                </c:pt>
                <c:pt idx="29">
                  <c:v>0.49790862380910716</c:v>
                </c:pt>
                <c:pt idx="30">
                  <c:v>0.51002833826643768</c:v>
                </c:pt>
                <c:pt idx="31">
                  <c:v>0.52186641276795442</c:v>
                </c:pt>
                <c:pt idx="32">
                  <c:v>0.53342878406046346</c:v>
                </c:pt>
                <c:pt idx="33">
                  <c:v>0.54472130839468069</c:v>
                </c:pt>
                <c:pt idx="34">
                  <c:v>0.55574975809386573</c:v>
                </c:pt>
                <c:pt idx="35">
                  <c:v>0.5665198187857079</c:v>
                </c:pt>
                <c:pt idx="36">
                  <c:v>0.5770370872034476</c:v>
                </c:pt>
                <c:pt idx="37">
                  <c:v>0.58730706947699218</c:v>
                </c:pt>
                <c:pt idx="38">
                  <c:v>0.59733517984689821</c:v>
                </c:pt>
                <c:pt idx="39">
                  <c:v>0.60712673974408993</c:v>
                </c:pt>
                <c:pt idx="40">
                  <c:v>0.61668697718646359</c:v>
                </c:pt>
                <c:pt idx="41">
                  <c:v>0.62602102645045155</c:v>
                </c:pt>
                <c:pt idx="42">
                  <c:v>0.63513392798140722</c:v>
                </c:pt>
                <c:pt idx="43">
                  <c:v>0.64403062851156445</c:v>
                </c:pt>
                <c:pt idx="44">
                  <c:v>0.65271598135845199</c:v>
                </c:pt>
                <c:pt idx="45">
                  <c:v>0.66119474688016344</c:v>
                </c:pt>
                <c:pt idx="46">
                  <c:v>0.6694715930668762</c:v>
                </c:pt>
                <c:pt idx="47">
                  <c:v>0.67755109625059207</c:v>
                </c:pt>
                <c:pt idx="48">
                  <c:v>0.68543774191727413</c:v>
                </c:pt>
                <c:pt idx="49">
                  <c:v>0.69313592560747084</c:v>
                </c:pt>
                <c:pt idx="50">
                  <c:v>0.70064995389316675</c:v>
                </c:pt>
                <c:pt idx="51">
                  <c:v>0.70798404542003601</c:v>
                </c:pt>
                <c:pt idx="52">
                  <c:v>0.71514233200552768</c:v>
                </c:pt>
                <c:pt idx="53">
                  <c:v>0.72212885978430541</c:v>
                </c:pt>
                <c:pt idx="54">
                  <c:v>0.72894759039352053</c:v>
                </c:pt>
                <c:pt idx="55">
                  <c:v>0.73560240219124273</c:v>
                </c:pt>
                <c:pt idx="56">
                  <c:v>0.74209709150211034</c:v>
                </c:pt>
                <c:pt idx="57">
                  <c:v>0.74843537388492165</c:v>
                </c:pt>
                <c:pt idx="58">
                  <c:v>0.75462088541746386</c:v>
                </c:pt>
                <c:pt idx="59">
                  <c:v>0.76065718399439075</c:v>
                </c:pt>
                <c:pt idx="60">
                  <c:v>0.76654775063441782</c:v>
                </c:pt>
                <c:pt idx="61">
                  <c:v>0.77229599079350819</c:v>
                </c:pt>
                <c:pt idx="62">
                  <c:v>0.77790523568108405</c:v>
                </c:pt>
                <c:pt idx="63">
                  <c:v>0.78337874357662418</c:v>
                </c:pt>
                <c:pt idx="64">
                  <c:v>0.78871970114429202</c:v>
                </c:pt>
                <c:pt idx="65">
                  <c:v>0.79393122474350375</c:v>
                </c:pt>
                <c:pt idx="66">
                  <c:v>0.79901636173357427</c:v>
                </c:pt>
                <c:pt idx="67">
                  <c:v>0.8039780917707865</c:v>
                </c:pt>
                <c:pt idx="68">
                  <c:v>0.80881932809642121</c:v>
                </c:pt>
                <c:pt idx="69">
                  <c:v>0.81354291881444873</c:v>
                </c:pt>
                <c:pt idx="70">
                  <c:v>0.81815164815773878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BEEB-41B2-B250-FDE269E65CA9}"/>
            </c:ext>
          </c:extLst>
        </c:ser>
        <c:ser>
          <c:idx val="14"/>
          <c:order val="14"/>
          <c:tx>
            <c:strRef>
              <c:f>Calcs!$B$41</c:f>
              <c:strCache>
                <c:ptCount val="1"/>
                <c:pt idx="0">
                  <c:v>Transport equipment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Calcs!$C$26:$BU$26</c:f>
              <c:numCache>
                <c:formatCode>General</c:formatCode>
                <c:ptCount val="7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</c:numCache>
            </c:numRef>
          </c:xVal>
          <c:yVal>
            <c:numRef>
              <c:f>Calcs!$C$41:$BU$41</c:f>
              <c:numCache>
                <c:formatCode>General</c:formatCode>
                <c:ptCount val="71"/>
                <c:pt idx="0">
                  <c:v>0</c:v>
                </c:pt>
                <c:pt idx="1">
                  <c:v>1.3804104672058948E-2</c:v>
                </c:pt>
                <c:pt idx="2">
                  <c:v>3.4062531878760405E-2</c:v>
                </c:pt>
                <c:pt idx="3">
                  <c:v>5.7423614823430613E-2</c:v>
                </c:pt>
                <c:pt idx="4">
                  <c:v>8.2777199871442941E-2</c:v>
                </c:pt>
                <c:pt idx="5">
                  <c:v>0.1094790309146324</c:v>
                </c:pt>
                <c:pt idx="6">
                  <c:v>0.13708906300653434</c:v>
                </c:pt>
                <c:pt idx="7">
                  <c:v>0.16528101105762016</c:v>
                </c:pt>
                <c:pt idx="8">
                  <c:v>0.1938011284576876</c:v>
                </c:pt>
                <c:pt idx="9">
                  <c:v>0.2224461679950791</c:v>
                </c:pt>
                <c:pt idx="10">
                  <c:v>0.251050258669264</c:v>
                </c:pt>
                <c:pt idx="11">
                  <c:v>0.27947644927203408</c:v>
                </c:pt>
                <c:pt idx="12">
                  <c:v>0.30761091617275182</c:v>
                </c:pt>
                <c:pt idx="13">
                  <c:v>0.33535879743377306</c:v>
                </c:pt>
                <c:pt idx="14">
                  <c:v>0.36264107457867445</c:v>
                </c:pt>
                <c:pt idx="15">
                  <c:v>0.38939216002335197</c:v>
                </c:pt>
                <c:pt idx="16">
                  <c:v>0.41555797818765472</c:v>
                </c:pt>
                <c:pt idx="17">
                  <c:v>0.44109440353444451</c:v>
                </c:pt>
                <c:pt idx="18">
                  <c:v>0.4659659642509244</c:v>
                </c:pt>
                <c:pt idx="19">
                  <c:v>0.49014474880172521</c:v>
                </c:pt>
                <c:pt idx="20">
                  <c:v>0.51360947104332633</c:v>
                </c:pt>
                <c:pt idx="21">
                  <c:v>0.53634466187552099</c:v>
                </c:pt>
                <c:pt idx="22">
                  <c:v>0.55833996378422635</c:v>
                </c:pt>
                <c:pt idx="23">
                  <c:v>0.57958951046876228</c:v>
                </c:pt>
                <c:pt idx="24">
                  <c:v>0.60009137789552369</c:v>
                </c:pt>
                <c:pt idx="25">
                  <c:v>0.61984709612033306</c:v>
                </c:pt>
                <c:pt idx="26">
                  <c:v>0.63886121342695767</c:v>
                </c:pt>
                <c:pt idx="27">
                  <c:v>0.65714090597447739</c:v>
                </c:pt>
                <c:pt idx="28">
                  <c:v>0.674695627390962</c:v>
                </c:pt>
                <c:pt idx="29">
                  <c:v>0.6915367937052932</c:v>
                </c:pt>
                <c:pt idx="30">
                  <c:v>0.70767749975007099</c:v>
                </c:pt>
                <c:pt idx="31">
                  <c:v>0.72313226375112494</c:v>
                </c:pt>
                <c:pt idx="32">
                  <c:v>0.73791679728264337</c:v>
                </c:pt>
                <c:pt idx="33">
                  <c:v>0.75204779813999112</c:v>
                </c:pt>
                <c:pt idx="34">
                  <c:v>0.76554276398605614</c:v>
                </c:pt>
                <c:pt idx="35">
                  <c:v>0.7784198248771077</c:v>
                </c:pt>
                <c:pt idx="36">
                  <c:v>0.79069759298243658</c:v>
                </c:pt>
                <c:pt idx="37">
                  <c:v>0.80239502798738782</c:v>
                </c:pt>
                <c:pt idx="38">
                  <c:v>0.8135313168185524</c:v>
                </c:pt>
                <c:pt idx="39">
                  <c:v>0.82412576645808255</c:v>
                </c:pt>
                <c:pt idx="40">
                  <c:v>0.83419770872534083</c:v>
                </c:pt>
                <c:pt idx="41">
                  <c:v>0.84376641600154156</c:v>
                </c:pt>
                <c:pt idx="42">
                  <c:v>0.85285102695912252</c:v>
                </c:pt>
                <c:pt idx="43">
                  <c:v>0.8614704814342431</c:v>
                </c:pt>
                <c:pt idx="44">
                  <c:v>0.8696434636495689</c:v>
                </c:pt>
                <c:pt idx="45">
                  <c:v>0.87738835305658358</c:v>
                </c:pt>
                <c:pt idx="46">
                  <c:v>0.88472318212305412</c:v>
                </c:pt>
                <c:pt idx="47">
                  <c:v>0.89166560044274468</c:v>
                </c:pt>
                <c:pt idx="48">
                  <c:v>0.89823284459167463</c:v>
                </c:pt>
                <c:pt idx="49">
                  <c:v>0.90444171319865707</c:v>
                </c:pt>
                <c:pt idx="50">
                  <c:v>0.91030854673798012</c:v>
                </c:pt>
                <c:pt idx="51">
                  <c:v>0.91584921158924804</c:v>
                </c:pt>
                <c:pt idx="52">
                  <c:v>0.9210790879438796</c:v>
                </c:pt>
                <c:pt idx="53">
                  <c:v>0.9260130611698274</c:v>
                </c:pt>
                <c:pt idx="54">
                  <c:v>0.9306655162759323</c:v>
                </c:pt>
                <c:pt idx="55">
                  <c:v>0.9350503351451529</c:v>
                </c:pt>
                <c:pt idx="56">
                  <c:v>0.93918089623186396</c:v>
                </c:pt>
                <c:pt idx="57">
                  <c:v>0.94307007644263618</c:v>
                </c:pt>
                <c:pt idx="58">
                  <c:v>0.9467302549425225</c:v>
                </c:pt>
                <c:pt idx="59">
                  <c:v>0.95017331864997145</c:v>
                </c:pt>
                <c:pt idx="60">
                  <c:v>0.95341066920319106</c:v>
                </c:pt>
                <c:pt idx="61">
                  <c:v>0.95645323119915615</c:v>
                </c:pt>
                <c:pt idx="62">
                  <c:v>0.95931146152358804</c:v>
                </c:pt>
                <c:pt idx="63">
                  <c:v>0.96199535960620752</c:v>
                </c:pt>
                <c:pt idx="64">
                  <c:v>0.96451447845042815</c:v>
                </c:pt>
                <c:pt idx="65">
                  <c:v>0.96687793630049934</c:v>
                </c:pt>
                <c:pt idx="66">
                  <c:v>0.96909442882196961</c:v>
                </c:pt>
                <c:pt idx="67">
                  <c:v>0.97117224168328764</c:v>
                </c:pt>
                <c:pt idx="68">
                  <c:v>0.97311926343743893</c:v>
                </c:pt>
                <c:pt idx="69">
                  <c:v>0.97494299861278511</c:v>
                </c:pt>
                <c:pt idx="70">
                  <c:v>0.97665058093177115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BEEB-41B2-B250-FDE269E65C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61023056"/>
        <c:axId val="1361027856"/>
      </c:scatterChart>
      <c:valAx>
        <c:axId val="13610230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1027856"/>
        <c:crosses val="autoZero"/>
        <c:crossBetween val="midCat"/>
      </c:valAx>
      <c:valAx>
        <c:axId val="1361027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102305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Calcs!$B$33</c:f>
              <c:strCache>
                <c:ptCount val="1"/>
                <c:pt idx="0">
                  <c:v>Basic chemicals and man-made fibers</c:v>
                </c:pt>
              </c:strCache>
            </c:strRef>
          </c:tx>
          <c:spPr>
            <a:ln w="34925" cap="rnd">
              <a:solidFill>
                <a:sysClr val="windowText" lastClr="000000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Calcs!$C$26:$BU$26</c:f>
              <c:numCache>
                <c:formatCode>General</c:formatCode>
                <c:ptCount val="7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</c:numCache>
            </c:numRef>
          </c:xVal>
          <c:yVal>
            <c:numRef>
              <c:f>Calcs!$C$33:$BU$33</c:f>
              <c:numCache>
                <c:formatCode>General</c:formatCode>
                <c:ptCount val="71"/>
                <c:pt idx="0">
                  <c:v>0</c:v>
                </c:pt>
                <c:pt idx="1">
                  <c:v>3.2710361017206369E-3</c:v>
                </c:pt>
                <c:pt idx="2">
                  <c:v>1.0743008063662352E-2</c:v>
                </c:pt>
                <c:pt idx="3">
                  <c:v>2.1469307325642895E-2</c:v>
                </c:pt>
                <c:pt idx="4">
                  <c:v>3.4981039840806027E-2</c:v>
                </c:pt>
                <c:pt idx="5">
                  <c:v>5.0935583047708621E-2</c:v>
                </c:pt>
                <c:pt idx="6">
                  <c:v>6.9048011530093989E-2</c:v>
                </c:pt>
                <c:pt idx="7">
                  <c:v>8.9065862250202965E-2</c:v>
                </c:pt>
                <c:pt idx="8">
                  <c:v>0.11075767998781472</c:v>
                </c:pt>
                <c:pt idx="9">
                  <c:v>0.13390725180618213</c:v>
                </c:pt>
                <c:pt idx="10">
                  <c:v>0.15831056327792181</c:v>
                </c:pt>
                <c:pt idx="11">
                  <c:v>0.18377418121866018</c:v>
                </c:pt>
                <c:pt idx="12">
                  <c:v>0.21011442625097765</c:v>
                </c:pt>
                <c:pt idx="13">
                  <c:v>0.23715699396004575</c:v>
                </c:pt>
                <c:pt idx="14">
                  <c:v>0.26473682946709953</c:v>
                </c:pt>
                <c:pt idx="15">
                  <c:v>0.29269813820997537</c:v>
                </c:pt>
                <c:pt idx="16">
                  <c:v>0.32089446002997024</c:v>
                </c:pt>
                <c:pt idx="17">
                  <c:v>0.34918876021780199</c:v>
                </c:pt>
                <c:pt idx="18">
                  <c:v>0.37745350782475973</c:v>
                </c:pt>
                <c:pt idx="19">
                  <c:v>0.40557072240755698</c:v>
                </c:pt>
                <c:pt idx="20">
                  <c:v>0.43343197770198083</c:v>
                </c:pt>
                <c:pt idx="21">
                  <c:v>0.46093835580098075</c:v>
                </c:pt>
                <c:pt idx="22">
                  <c:v>0.48800034901254785</c:v>
                </c:pt>
                <c:pt idx="23">
                  <c:v>0.51453770916090202</c:v>
                </c:pt>
                <c:pt idx="24">
                  <c:v>0.54047924596807484</c:v>
                </c:pt>
                <c:pt idx="25">
                  <c:v>0.56576257750556591</c:v>
                </c:pt>
                <c:pt idx="26">
                  <c:v>0.59033383666754835</c:v>
                </c:pt>
                <c:pt idx="27">
                  <c:v>0.61414733827837109</c:v>
                </c:pt>
                <c:pt idx="28">
                  <c:v>0.63716521187250885</c:v>
                </c:pt>
                <c:pt idx="29">
                  <c:v>0.65935700542254438</c:v>
                </c:pt>
                <c:pt idx="30">
                  <c:v>0.68069926537685976</c:v>
                </c:pt>
                <c:pt idx="31">
                  <c:v>0.7011750983324454</c:v>
                </c:pt>
                <c:pt idx="32">
                  <c:v>0.72077371953315561</c:v>
                </c:pt>
                <c:pt idx="33">
                  <c:v>0.73948999316948338</c:v>
                </c:pt>
                <c:pt idx="34">
                  <c:v>0.75732396917921152</c:v>
                </c:pt>
                <c:pt idx="35">
                  <c:v>0.774280420923533</c:v>
                </c:pt>
                <c:pt idx="36">
                  <c:v>0.79036838775298213</c:v>
                </c:pt>
                <c:pt idx="37">
                  <c:v>0.80560072609278599</c:v>
                </c:pt>
                <c:pt idx="38">
                  <c:v>0.81999367227765896</c:v>
                </c:pt>
                <c:pt idx="39">
                  <c:v>0.83356641996006009</c:v>
                </c:pt>
                <c:pt idx="40">
                  <c:v>0.84634071451079929</c:v>
                </c:pt>
                <c:pt idx="41">
                  <c:v>0.85834046643292061</c:v>
                </c:pt>
                <c:pt idx="42">
                  <c:v>0.86959138542429937</c:v>
                </c:pt>
                <c:pt idx="43">
                  <c:v>0.88012063635582927</c:v>
                </c:pt>
                <c:pt idx="44">
                  <c:v>0.88995651808400378</c:v>
                </c:pt>
                <c:pt idx="45">
                  <c:v>0.89912816569196352</c:v>
                </c:pt>
                <c:pt idx="46">
                  <c:v>0.90766527645377681</c:v>
                </c:pt>
                <c:pt idx="47">
                  <c:v>0.91559785954430717</c:v>
                </c:pt>
                <c:pt idx="48">
                  <c:v>0.9229560092723571</c:v>
                </c:pt>
                <c:pt idx="49">
                  <c:v>0.92976970139819914</c:v>
                </c:pt>
                <c:pt idx="50">
                  <c:v>0.93606861190797397</c:v>
                </c:pt>
                <c:pt idx="51">
                  <c:v>0.94188195745621428</c:v>
                </c:pt>
                <c:pt idx="52">
                  <c:v>0.94723835655304933</c:v>
                </c:pt>
                <c:pt idx="53">
                  <c:v>0.95216571046327669</c:v>
                </c:pt>
                <c:pt idx="54">
                  <c:v>0.95669110269905189</c:v>
                </c:pt>
                <c:pt idx="55">
                  <c:v>0.96084071592482834</c:v>
                </c:pt>
                <c:pt idx="56">
                  <c:v>0.96463976505065974</c:v>
                </c:pt>
                <c:pt idx="57">
                  <c:v>0.96811244526622009</c:v>
                </c:pt>
                <c:pt idx="58">
                  <c:v>0.97128189376103391</c:v>
                </c:pt>
                <c:pt idx="59">
                  <c:v>0.97417016388453914</c:v>
                </c:pt>
                <c:pt idx="60">
                  <c:v>0.97679821052085991</c:v>
                </c:pt>
                <c:pt idx="61">
                  <c:v>0.97918588548570906</c:v>
                </c:pt>
                <c:pt idx="62">
                  <c:v>0.98135194179489604</c:v>
                </c:pt>
                <c:pt idx="63">
                  <c:v>0.98331404570381864</c:v>
                </c:pt>
                <c:pt idx="64">
                  <c:v>0.98508879547346073</c:v>
                </c:pt>
                <c:pt idx="65">
                  <c:v>0.98669174587935127</c:v>
                </c:pt>
                <c:pt idx="66">
                  <c:v>0.98813743754429495</c:v>
                </c:pt>
                <c:pt idx="67">
                  <c:v>0.9894394302422419</c:v>
                </c:pt>
                <c:pt idx="68">
                  <c:v>0.99061033938831455</c:v>
                </c:pt>
                <c:pt idx="69">
                  <c:v>0.99166187499778524</c:v>
                </c:pt>
                <c:pt idx="70">
                  <c:v>0.99260488246384015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126-4145-A50A-4CDF6EC426E5}"/>
            </c:ext>
          </c:extLst>
        </c:ser>
        <c:ser>
          <c:idx val="1"/>
          <c:order val="1"/>
          <c:tx>
            <c:strRef>
              <c:f>Calcs!$B$42</c:f>
              <c:strCache>
                <c:ptCount val="1"/>
                <c:pt idx="0">
                  <c:v>HYDROGEN EQUIPMENT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Calcs!$C$26:$BU$26</c:f>
              <c:numCache>
                <c:formatCode>General</c:formatCode>
                <c:ptCount val="7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</c:numCache>
            </c:numRef>
          </c:xVal>
          <c:yVal>
            <c:numRef>
              <c:f>Calcs!$C$42:$BU$42</c:f>
              <c:numCache>
                <c:formatCode>0.00</c:formatCode>
                <c:ptCount val="71"/>
                <c:pt idx="0" formatCode="General">
                  <c:v>0</c:v>
                </c:pt>
                <c:pt idx="1">
                  <c:v>3.9891959044233705E-3</c:v>
                </c:pt>
                <c:pt idx="2" formatCode="General">
                  <c:v>1.3090836720029642E-2</c:v>
                </c:pt>
                <c:pt idx="3" formatCode="General">
                  <c:v>2.6130148439008849E-2</c:v>
                </c:pt>
                <c:pt idx="4" formatCode="General">
                  <c:v>4.2510810308873603E-2</c:v>
                </c:pt>
                <c:pt idx="5" formatCode="General">
                  <c:v>6.1788053575748791E-2</c:v>
                </c:pt>
                <c:pt idx="6" formatCode="General">
                  <c:v>8.3586281765549941E-2</c:v>
                </c:pt>
                <c:pt idx="7" formatCode="General">
                  <c:v>0.10756930773951801</c:v>
                </c:pt>
                <c:pt idx="8" formatCode="General">
                  <c:v>0.13342723697845371</c:v>
                </c:pt>
                <c:pt idx="9" formatCode="General">
                  <c:v>0.16087016175473157</c:v>
                </c:pt>
                <c:pt idx="10" formatCode="General">
                  <c:v>0.1896250624448006</c:v>
                </c:pt>
                <c:pt idx="11" formatCode="General">
                  <c:v>0.21943434431788056</c:v>
                </c:pt>
                <c:pt idx="12" formatCode="General">
                  <c:v>0.25005523851587608</c:v>
                </c:pt>
                <c:pt idx="13" formatCode="General">
                  <c:v>0.28125965538667108</c:v>
                </c:pt>
                <c:pt idx="14" formatCode="General">
                  <c:v>0.31283425652818309</c:v>
                </c:pt>
                <c:pt idx="15" formatCode="General">
                  <c:v>0.34458060746666508</c:v>
                </c:pt>
                <c:pt idx="16" formatCode="General">
                  <c:v>0.37631532758206554</c:v>
                </c:pt>
                <c:pt idx="17" formatCode="General">
                  <c:v>0.40787018694804844</c:v>
                </c:pt>
                <c:pt idx="18" formatCode="General">
                  <c:v>0.43909212067274117</c:v>
                </c:pt>
                <c:pt idx="19" formatCode="General">
                  <c:v>0.46984314507255331</c:v>
                </c:pt>
                <c:pt idx="20" formatCode="General">
                  <c:v>0.50000016931000169</c:v>
                </c:pt>
                <c:pt idx="21" formatCode="General">
                  <c:v>0.5294547025390417</c:v>
                </c:pt>
                <c:pt idx="22" formatCode="General">
                  <c:v>0.55811246105950096</c:v>
                </c:pt>
                <c:pt idx="23" formatCode="General">
                  <c:v>0.58589288306340803</c:v>
                </c:pt>
                <c:pt idx="24" formatCode="General">
                  <c:v>0.61272856063248793</c:v>
                </c:pt>
                <c:pt idx="25" formatCode="General">
                  <c:v>0.63856459996747428</c:v>
                </c:pt>
                <c:pt idx="26" formatCode="General">
                  <c:v>0.66335792157066176</c:v>
                </c:pt>
                <c:pt idx="27" formatCode="General">
                  <c:v>0.68707651239050826</c:v>
                </c:pt>
                <c:pt idx="28" formatCode="General">
                  <c:v>0.7096986418677439</c:v>
                </c:pt>
                <c:pt idx="29" formatCode="General">
                  <c:v>0.73121205347251839</c:v>
                </c:pt>
                <c:pt idx="30" formatCode="General">
                  <c:v>0.75161314275371716</c:v>
                </c:pt>
                <c:pt idx="31" formatCode="General">
                  <c:v>0.77090613218641491</c:v>
                </c:pt>
                <c:pt idx="32" formatCode="General">
                  <c:v>0.78910225224554265</c:v>
                </c:pt>
                <c:pt idx="33" formatCode="General">
                  <c:v>0.80621893719093762</c:v>
                </c:pt>
                <c:pt idx="34" formatCode="General">
                  <c:v>0.82227904305358157</c:v>
                </c:pt>
                <c:pt idx="35" formatCode="General">
                  <c:v>0.83731009429298475</c:v>
                </c:pt>
                <c:pt idx="36" formatCode="General">
                  <c:v>0.85134356457528459</c:v>
                </c:pt>
                <c:pt idx="37" formatCode="General">
                  <c:v>0.86441419612091897</c:v>
                </c:pt>
                <c:pt idx="38" formatCode="General">
                  <c:v>0.87655936110648791</c:v>
                </c:pt>
                <c:pt idx="39" formatCode="General">
                  <c:v>0.88781846769128914</c:v>
                </c:pt>
                <c:pt idx="40" formatCode="General">
                  <c:v>0.89823241238569429</c:v>
                </c:pt>
                <c:pt idx="41" formatCode="General">
                  <c:v>0.90784307969406108</c:v>
                </c:pt>
                <c:pt idx="42" formatCode="General">
                  <c:v>0.9166928892548345</c:v>
                </c:pt>
                <c:pt idx="43" formatCode="General">
                  <c:v>0.92482439006826223</c:v>
                </c:pt>
                <c:pt idx="44" formatCode="General">
                  <c:v>0.93227990084918</c:v>
                </c:pt>
                <c:pt idx="45" formatCode="General">
                  <c:v>0.93910119506833878</c:v>
                </c:pt>
                <c:pt idx="46" formatCode="General">
                  <c:v>0.9453292288490216</c:v>
                </c:pt>
                <c:pt idx="47" formatCode="General">
                  <c:v>0.95100390956330016</c:v>
                </c:pt>
                <c:pt idx="48" formatCode="General">
                  <c:v>0.95616390272023855</c:v>
                </c:pt>
                <c:pt idx="49" formatCode="General">
                  <c:v>0.96084647455198258</c:v>
                </c:pt>
                <c:pt idx="50" formatCode="General">
                  <c:v>0.9650873675776398</c:v>
                </c:pt>
                <c:pt idx="51" formatCode="General">
                  <c:v>0.96892070635350469</c:v>
                </c:pt>
                <c:pt idx="52" formatCode="General">
                  <c:v>0.97237893059556191</c:v>
                </c:pt>
                <c:pt idx="53" formatCode="General">
                  <c:v>0.97549275288034443</c:v>
                </c:pt>
                <c:pt idx="54" formatCode="General">
                  <c:v>0.9782911381871563</c:v>
                </c:pt>
                <c:pt idx="55" formatCode="General">
                  <c:v>0.98080130263261089</c:v>
                </c:pt>
                <c:pt idx="56" formatCode="General">
                  <c:v>0.98304872886184469</c:v>
                </c:pt>
                <c:pt idx="57" formatCode="General">
                  <c:v>0.98505719569439809</c:v>
                </c:pt>
                <c:pt idx="58" formatCode="General">
                  <c:v>0.98684881977177319</c:v>
                </c:pt>
                <c:pt idx="59" formatCode="General">
                  <c:v>0.98844410711362385</c:v>
                </c:pt>
                <c:pt idx="60" formatCode="General">
                  <c:v>0.9898620126564146</c:v>
                </c:pt>
                <c:pt idx="61" formatCode="General">
                  <c:v>0.9911200060186347</c:v>
                </c:pt>
                <c:pt idx="62" formatCode="General">
                  <c:v>0.99223414190717352</c:v>
                </c:pt>
                <c:pt idx="63" formatCode="General">
                  <c:v>0.99321913374759019</c:v>
                </c:pt>
                <c:pt idx="64" formatCode="General">
                  <c:v>0.99408842928451069</c:v>
                </c:pt>
                <c:pt idx="65" formatCode="General">
                  <c:v>0.99485428705542678</c:v>
                </c:pt>
                <c:pt idx="66" formatCode="General">
                  <c:v>0.99552785279031275</c:v>
                </c:pt>
                <c:pt idx="67" formatCode="General">
                  <c:v>0.99611923492960586</c:v>
                </c:pt>
                <c:pt idx="68" formatCode="General">
                  <c:v>0.99663757858344082</c:v>
                </c:pt>
                <c:pt idx="69" formatCode="General">
                  <c:v>0.99709113737507393</c:v>
                </c:pt>
                <c:pt idx="70" formatCode="General">
                  <c:v>0.99748734272093731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C126-4145-A50A-4CDF6EC426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61023056"/>
        <c:axId val="1361027856"/>
      </c:scatterChart>
      <c:valAx>
        <c:axId val="13610230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1027856"/>
        <c:crosses val="autoZero"/>
        <c:crossBetween val="midCat"/>
      </c:valAx>
      <c:valAx>
        <c:axId val="1361027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102305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Start Year Share of Industrial Equipment by 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yVal>
            <c:numRef>
              <c:f>Calcs!$C$88:$BU$88</c:f>
              <c:numCache>
                <c:formatCode>General</c:formatCode>
                <c:ptCount val="71"/>
                <c:pt idx="0">
                  <c:v>4.4355689542047459E-2</c:v>
                </c:pt>
                <c:pt idx="1">
                  <c:v>4.4178746006988449E-2</c:v>
                </c:pt>
                <c:pt idx="2">
                  <c:v>4.3775036452648193E-2</c:v>
                </c:pt>
                <c:pt idx="3">
                  <c:v>4.3196668790199171E-2</c:v>
                </c:pt>
                <c:pt idx="4">
                  <c:v>4.2470093237806192E-2</c:v>
                </c:pt>
                <c:pt idx="5">
                  <c:v>4.1615037820234152E-2</c:v>
                </c:pt>
                <c:pt idx="6">
                  <c:v>4.0648162378080624E-2</c:v>
                </c:pt>
                <c:pt idx="7">
                  <c:v>3.9584378723700436E-2</c:v>
                </c:pt>
                <c:pt idx="8">
                  <c:v>3.8437432442177975E-2</c:v>
                </c:pt>
                <c:pt idx="9">
                  <c:v>3.7220182590675631E-2</c:v>
                </c:pt>
                <c:pt idx="10">
                  <c:v>3.5944739142854523E-2</c:v>
                </c:pt>
                <c:pt idx="11">
                  <c:v>3.4622527890620806E-2</c:v>
                </c:pt>
                <c:pt idx="12">
                  <c:v>3.3264317014074632E-2</c:v>
                </c:pt>
                <c:pt idx="13">
                  <c:v>3.1880223587013021E-2</c:v>
                </c:pt>
                <c:pt idx="14">
                  <c:v>3.047971038136614E-2</c:v>
                </c:pt>
                <c:pt idx="15">
                  <c:v>2.9071579095045944E-2</c:v>
                </c:pt>
                <c:pt idx="16">
                  <c:v>2.7663963701903473E-2</c:v>
                </c:pt>
                <c:pt idx="17">
                  <c:v>2.6264326156322966E-2</c:v>
                </c:pt>
                <c:pt idx="18">
                  <c:v>2.4879455757128115E-2</c:v>
                </c:pt>
                <c:pt idx="19">
                  <c:v>2.351547286575012E-2</c:v>
                </c:pt>
                <c:pt idx="20">
                  <c:v>2.2177837261161858E-2</c:v>
                </c:pt>
                <c:pt idx="21">
                  <c:v>2.0871361129648641E-2</c:v>
                </c:pt>
                <c:pt idx="22">
                  <c:v>1.9600226489744185E-2</c:v>
                </c:pt>
                <c:pt idx="23">
                  <c:v>1.8368006715991817E-2</c:v>
                </c:pt>
                <c:pt idx="24">
                  <c:v>1.7177691733087225E-2</c:v>
                </c:pt>
                <c:pt idx="25">
                  <c:v>1.6031716393348442E-2</c:v>
                </c:pt>
                <c:pt idx="26">
                  <c:v>1.493199151760132E-2</c:v>
                </c:pt>
                <c:pt idx="27">
                  <c:v>1.3879937066821351E-2</c:v>
                </c:pt>
                <c:pt idx="28">
                  <c:v>1.2876516914949086E-2</c:v>
                </c:pt>
                <c:pt idx="29">
                  <c:v>1.1922274708817428E-2</c:v>
                </c:pt>
                <c:pt idx="30">
                  <c:v>1.1017370326340984E-2</c:v>
                </c:pt>
                <c:pt idx="31">
                  <c:v>1.016161647672624E-2</c:v>
                </c:pt>
                <c:pt idx="32">
                  <c:v>9.3545150245137477E-3</c:v>
                </c:pt>
                <c:pt idx="33">
                  <c:v>8.5952926610867713E-3</c:v>
                </c:pt>
                <c:pt idx="34">
                  <c:v>7.8829355914309188E-3</c:v>
                </c:pt>
                <c:pt idx="35">
                  <c:v>7.216222949165344E-3</c:v>
                </c:pt>
                <c:pt idx="36">
                  <c:v>6.5937586981261028E-3</c:v>
                </c:pt>
                <c:pt idx="37">
                  <c:v>6.0140018231694533E-3</c:v>
                </c:pt>
                <c:pt idx="38">
                  <c:v>5.475294655632611E-3</c:v>
                </c:pt>
                <c:pt idx="39">
                  <c:v>4.9758892194363457E-3</c:v>
                </c:pt>
                <c:pt idx="40">
                  <c:v>4.5139715216632589E-3</c:v>
                </c:pt>
                <c:pt idx="41">
                  <c:v>4.0876837462414366E-3</c:v>
                </c:pt>
                <c:pt idx="42">
                  <c:v>3.6951443408575271E-3</c:v>
                </c:pt>
                <c:pt idx="43">
                  <c:v>3.3344660152662205E-3</c:v>
                </c:pt>
                <c:pt idx="44">
                  <c:v>3.0037716936904438E-3</c:v>
                </c:pt>
                <c:pt idx="45">
                  <c:v>2.7012084850304742E-3</c:v>
                </c:pt>
                <c:pt idx="46">
                  <c:v>2.4249597521971227E-3</c:v>
                </c:pt>
                <c:pt idx="47">
                  <c:v>2.1732553761843387E-3</c:v>
                </c:pt>
                <c:pt idx="48">
                  <c:v>1.9443803216760904E-3</c:v>
                </c:pt>
                <c:pt idx="49">
                  <c:v>1.7366816192489155E-3</c:v>
                </c:pt>
                <c:pt idx="50">
                  <c:v>1.5485738848218294E-3</c:v>
                </c:pt>
                <c:pt idx="51">
                  <c:v>1.3785435001700741E-3</c:v>
                </c:pt>
                <c:pt idx="52">
                  <c:v>1.2251515793226019E-3</c:v>
                </c:pt>
                <c:pt idx="53">
                  <c:v>1.0870358447696794E-3</c:v>
                </c:pt>
                <c:pt idx="54">
                  <c:v>9.6291153488170501E-4</c:v>
                </c:pt>
                <c:pt idx="55">
                  <c:v>8.5157146003963515E-4</c:v>
                </c:pt>
                <c:pt idx="56">
                  <c:v>7.518853199470865E-4</c:v>
                </c:pt>
                <c:pt idx="57">
                  <c:v>6.6279838866684841E-4</c:v>
                </c:pt>
                <c:pt idx="58">
                  <c:v>5.8332966731474128E-4</c:v>
                </c:pt>
                <c:pt idx="59">
                  <c:v>5.1256959724925531E-4</c:v>
                </c:pt>
                <c:pt idx="60">
                  <c:v>4.4967741919328035E-4</c:v>
                </c:pt>
                <c:pt idx="61">
                  <c:v>3.9387825617268914E-4</c:v>
                </c:pt>
                <c:pt idx="62">
                  <c:v>3.4445999059300831E-4</c:v>
                </c:pt>
                <c:pt idx="63">
                  <c:v>3.0076999831803647E-4</c:v>
                </c:pt>
                <c:pt idx="64">
                  <c:v>2.6221179536210331E-4</c:v>
                </c:pt>
                <c:pt idx="65">
                  <c:v>2.2824164584198472E-4</c:v>
                </c:pt>
                <c:pt idx="66">
                  <c:v>1.9836517321922148E-4</c:v>
                </c:pt>
                <c:pt idx="67">
                  <c:v>1.7213401064802459E-4</c:v>
                </c:pt>
                <c:pt idx="68">
                  <c:v>1.4914252046243045E-4</c:v>
                </c:pt>
                <c:pt idx="69">
                  <c:v>1.2902460751168589E-4</c:v>
                </c:pt>
                <c:pt idx="7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44D-46AB-873F-4B9C7FCEF7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676000"/>
        <c:axId val="92680800"/>
      </c:scatterChart>
      <c:valAx>
        <c:axId val="92676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680800"/>
        <c:crosses val="autoZero"/>
        <c:crossBetween val="midCat"/>
      </c:valAx>
      <c:valAx>
        <c:axId val="92680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6760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268940</xdr:colOff>
      <xdr:row>1</xdr:row>
      <xdr:rowOff>25959</xdr:rowOff>
    </xdr:from>
    <xdr:to>
      <xdr:col>31</xdr:col>
      <xdr:colOff>219261</xdr:colOff>
      <xdr:row>22</xdr:row>
      <xdr:rowOff>56029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156873A-A484-FFC7-2904-21CBB6F9DB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355413</xdr:colOff>
      <xdr:row>43</xdr:row>
      <xdr:rowOff>126440</xdr:rowOff>
    </xdr:from>
    <xdr:to>
      <xdr:col>21</xdr:col>
      <xdr:colOff>392206</xdr:colOff>
      <xdr:row>63</xdr:row>
      <xdr:rowOff>78441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8A32543-4C53-4CA1-9E12-9D2DDB5CCDC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148103</xdr:colOff>
      <xdr:row>89</xdr:row>
      <xdr:rowOff>31562</xdr:rowOff>
    </xdr:from>
    <xdr:to>
      <xdr:col>12</xdr:col>
      <xdr:colOff>132041</xdr:colOff>
      <xdr:row>104</xdr:row>
      <xdr:rowOff>91700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E8EE53B-439A-4909-0B69-647DB18D91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A4E951-0C61-4C70-BCC5-3459910506B3}">
  <dimension ref="A1:B24"/>
  <sheetViews>
    <sheetView tabSelected="1" workbookViewId="0">
      <selection activeCell="A24" sqref="A24"/>
    </sheetView>
  </sheetViews>
  <sheetFormatPr defaultRowHeight="14.5" x14ac:dyDescent="0.35"/>
  <cols>
    <col min="2" max="2" width="65.26953125" bestFit="1" customWidth="1"/>
  </cols>
  <sheetData>
    <row r="1" spans="1:2" x14ac:dyDescent="0.35">
      <c r="A1" s="1" t="s">
        <v>60</v>
      </c>
    </row>
    <row r="3" spans="1:2" x14ac:dyDescent="0.35">
      <c r="A3" s="1" t="s">
        <v>44</v>
      </c>
      <c r="B3" s="6" t="s">
        <v>46</v>
      </c>
    </row>
    <row r="4" spans="1:2" x14ac:dyDescent="0.35">
      <c r="B4" t="s">
        <v>49</v>
      </c>
    </row>
    <row r="5" spans="1:2" x14ac:dyDescent="0.35">
      <c r="B5" s="7">
        <v>2008</v>
      </c>
    </row>
    <row r="6" spans="1:2" x14ac:dyDescent="0.35">
      <c r="B6" t="s">
        <v>47</v>
      </c>
    </row>
    <row r="7" spans="1:2" x14ac:dyDescent="0.35">
      <c r="B7" t="s">
        <v>45</v>
      </c>
    </row>
    <row r="8" spans="1:2" x14ac:dyDescent="0.35">
      <c r="B8" t="s">
        <v>48</v>
      </c>
    </row>
    <row r="10" spans="1:2" x14ac:dyDescent="0.35">
      <c r="B10" s="6" t="s">
        <v>61</v>
      </c>
    </row>
    <row r="11" spans="1:2" x14ac:dyDescent="0.35">
      <c r="B11" t="s">
        <v>62</v>
      </c>
    </row>
    <row r="12" spans="1:2" x14ac:dyDescent="0.35">
      <c r="B12" s="7">
        <v>2001</v>
      </c>
    </row>
    <row r="13" spans="1:2" x14ac:dyDescent="0.35">
      <c r="B13" t="s">
        <v>63</v>
      </c>
    </row>
    <row r="14" spans="1:2" x14ac:dyDescent="0.35">
      <c r="B14" t="s">
        <v>64</v>
      </c>
    </row>
    <row r="15" spans="1:2" x14ac:dyDescent="0.35">
      <c r="B15" t="s">
        <v>65</v>
      </c>
    </row>
    <row r="17" spans="1:2" x14ac:dyDescent="0.35">
      <c r="A17" s="1" t="s">
        <v>50</v>
      </c>
    </row>
    <row r="18" spans="1:2" x14ac:dyDescent="0.35">
      <c r="A18" t="s">
        <v>52</v>
      </c>
    </row>
    <row r="20" spans="1:2" x14ac:dyDescent="0.35">
      <c r="A20" t="s">
        <v>53</v>
      </c>
    </row>
    <row r="21" spans="1:2" x14ac:dyDescent="0.35">
      <c r="A21" t="s">
        <v>54</v>
      </c>
    </row>
    <row r="23" spans="1:2" x14ac:dyDescent="0.35">
      <c r="A23" t="s">
        <v>66</v>
      </c>
    </row>
    <row r="24" spans="1:2" x14ac:dyDescent="0.35">
      <c r="A24">
        <v>20</v>
      </c>
      <c r="B24" t="s">
        <v>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0F6A24-E425-4092-8D01-D6B9CD51ADEB}">
  <dimension ref="A2:BU89"/>
  <sheetViews>
    <sheetView topLeftCell="A82" zoomScale="62" zoomScaleNormal="85" workbookViewId="0">
      <selection activeCell="B58" sqref="B58"/>
    </sheetView>
  </sheetViews>
  <sheetFormatPr defaultRowHeight="14.5" x14ac:dyDescent="0.35"/>
  <cols>
    <col min="1" max="1" width="10.26953125" bestFit="1" customWidth="1"/>
    <col min="2" max="2" width="57.54296875" bestFit="1" customWidth="1"/>
    <col min="3" max="73" width="6.54296875" customWidth="1"/>
  </cols>
  <sheetData>
    <row r="2" spans="1:12" x14ac:dyDescent="0.35">
      <c r="C2" t="s">
        <v>0</v>
      </c>
    </row>
    <row r="3" spans="1:12" x14ac:dyDescent="0.35"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3</v>
      </c>
      <c r="I3" t="s">
        <v>4</v>
      </c>
      <c r="J3" t="s">
        <v>5</v>
      </c>
      <c r="K3" t="s">
        <v>7</v>
      </c>
      <c r="L3" t="s">
        <v>8</v>
      </c>
    </row>
    <row r="4" spans="1:12" x14ac:dyDescent="0.35">
      <c r="A4" t="s">
        <v>26</v>
      </c>
      <c r="B4" t="s">
        <v>27</v>
      </c>
      <c r="C4">
        <v>1.54</v>
      </c>
      <c r="D4">
        <v>0.03</v>
      </c>
      <c r="E4">
        <v>1.48</v>
      </c>
      <c r="F4">
        <v>1.601</v>
      </c>
      <c r="G4">
        <v>3.2000000000000001E-2</v>
      </c>
      <c r="H4">
        <v>0</v>
      </c>
      <c r="I4">
        <v>3.2000000000000001E-2</v>
      </c>
      <c r="J4">
        <v>3.3000000000000002E-2</v>
      </c>
      <c r="K4">
        <v>0.99299999999999999</v>
      </c>
      <c r="L4">
        <v>69</v>
      </c>
    </row>
    <row r="5" spans="1:12" x14ac:dyDescent="0.35">
      <c r="A5" t="s">
        <v>28</v>
      </c>
      <c r="B5" t="s">
        <v>29</v>
      </c>
      <c r="C5">
        <v>1.7050000000000001</v>
      </c>
      <c r="D5">
        <v>4.7E-2</v>
      </c>
      <c r="E5">
        <v>1.61</v>
      </c>
      <c r="F5">
        <v>1.8</v>
      </c>
      <c r="G5">
        <v>3.9E-2</v>
      </c>
      <c r="H5">
        <v>0</v>
      </c>
      <c r="I5">
        <v>3.7999999999999999E-2</v>
      </c>
      <c r="J5">
        <v>0.04</v>
      </c>
      <c r="K5">
        <v>0.98899999999999999</v>
      </c>
      <c r="L5">
        <v>54</v>
      </c>
    </row>
    <row r="6" spans="1:12" x14ac:dyDescent="0.35">
      <c r="A6" t="s">
        <v>11</v>
      </c>
      <c r="B6" t="s">
        <v>42</v>
      </c>
      <c r="C6">
        <v>1.571</v>
      </c>
      <c r="D6">
        <v>7.3999999999999996E-2</v>
      </c>
      <c r="E6">
        <v>1.421</v>
      </c>
      <c r="F6">
        <v>1.72</v>
      </c>
      <c r="G6">
        <v>3.5999999999999997E-2</v>
      </c>
      <c r="H6">
        <v>1E-3</v>
      </c>
      <c r="I6">
        <v>3.5000000000000003E-2</v>
      </c>
      <c r="J6">
        <v>3.6999999999999998E-2</v>
      </c>
      <c r="K6">
        <v>0.96599999999999997</v>
      </c>
      <c r="L6">
        <v>48</v>
      </c>
    </row>
    <row r="7" spans="1:12" x14ac:dyDescent="0.35">
      <c r="A7">
        <v>21</v>
      </c>
      <c r="B7" t="s">
        <v>41</v>
      </c>
      <c r="C7">
        <v>1.4339999999999999</v>
      </c>
      <c r="D7">
        <v>3.1E-2</v>
      </c>
      <c r="E7">
        <v>1.3720000000000001</v>
      </c>
      <c r="F7">
        <v>1.496</v>
      </c>
      <c r="G7">
        <v>0.04</v>
      </c>
      <c r="H7">
        <v>0</v>
      </c>
      <c r="I7">
        <v>0.04</v>
      </c>
      <c r="J7">
        <v>4.1000000000000002E-2</v>
      </c>
      <c r="K7">
        <v>0.99199999999999999</v>
      </c>
      <c r="L7">
        <v>49</v>
      </c>
    </row>
    <row r="8" spans="1:12" x14ac:dyDescent="0.35">
      <c r="A8">
        <v>22</v>
      </c>
      <c r="B8" t="s">
        <v>30</v>
      </c>
      <c r="C8">
        <v>2.0009999999999999</v>
      </c>
      <c r="D8">
        <v>9.1999999999999998E-2</v>
      </c>
      <c r="E8">
        <v>1.8140000000000001</v>
      </c>
      <c r="F8">
        <v>2.1880000000000002</v>
      </c>
      <c r="G8">
        <v>6.5000000000000002E-2</v>
      </c>
      <c r="H8">
        <v>1E-3</v>
      </c>
      <c r="I8">
        <v>6.3E-2</v>
      </c>
      <c r="J8">
        <v>6.7000000000000004E-2</v>
      </c>
      <c r="K8">
        <v>0.98499999999999999</v>
      </c>
      <c r="L8">
        <v>34</v>
      </c>
    </row>
    <row r="9" spans="1:12" x14ac:dyDescent="0.35">
      <c r="A9">
        <v>23</v>
      </c>
      <c r="B9" t="s">
        <v>31</v>
      </c>
      <c r="C9">
        <v>1.3069999999999999</v>
      </c>
      <c r="D9">
        <v>0.13800000000000001</v>
      </c>
      <c r="E9">
        <v>1.03</v>
      </c>
      <c r="F9">
        <v>1.583</v>
      </c>
      <c r="G9">
        <v>2.5999999999999999E-2</v>
      </c>
      <c r="H9">
        <v>1E-3</v>
      </c>
      <c r="I9">
        <v>2.3E-2</v>
      </c>
      <c r="J9">
        <v>2.8000000000000001E-2</v>
      </c>
      <c r="K9">
        <v>0.79500000000000004</v>
      </c>
      <c r="L9">
        <v>54</v>
      </c>
    </row>
    <row r="10" spans="1:12" x14ac:dyDescent="0.35">
      <c r="A10">
        <v>24</v>
      </c>
      <c r="B10" t="s">
        <v>32</v>
      </c>
      <c r="C10">
        <v>1.7210000000000001</v>
      </c>
      <c r="D10">
        <v>5.2999999999999999E-2</v>
      </c>
      <c r="E10">
        <v>1.615</v>
      </c>
      <c r="F10">
        <v>1.8260000000000001</v>
      </c>
      <c r="G10">
        <v>3.5999999999999997E-2</v>
      </c>
      <c r="H10">
        <v>0</v>
      </c>
      <c r="I10">
        <v>3.5000000000000003E-2</v>
      </c>
      <c r="J10">
        <v>3.6999999999999998E-2</v>
      </c>
      <c r="K10">
        <v>0.98599999999999999</v>
      </c>
      <c r="L10">
        <v>57</v>
      </c>
    </row>
    <row r="11" spans="1:12" x14ac:dyDescent="0.35">
      <c r="A11">
        <v>25</v>
      </c>
      <c r="B11" t="s">
        <v>33</v>
      </c>
      <c r="C11">
        <v>1.339</v>
      </c>
      <c r="D11">
        <v>3.2000000000000001E-2</v>
      </c>
      <c r="E11">
        <v>1.2749999999999999</v>
      </c>
      <c r="F11">
        <v>1.4039999999999999</v>
      </c>
      <c r="G11">
        <v>3.1E-2</v>
      </c>
      <c r="H11">
        <v>0</v>
      </c>
      <c r="I11">
        <v>3.1E-2</v>
      </c>
      <c r="J11">
        <v>3.2000000000000001E-2</v>
      </c>
      <c r="K11">
        <v>0.99</v>
      </c>
      <c r="L11">
        <v>44</v>
      </c>
    </row>
    <row r="12" spans="1:12" x14ac:dyDescent="0.35">
      <c r="A12">
        <v>26</v>
      </c>
      <c r="B12" t="s">
        <v>34</v>
      </c>
      <c r="C12">
        <v>2.2309999999999999</v>
      </c>
      <c r="D12">
        <v>0.42899999999999999</v>
      </c>
      <c r="E12">
        <v>1.3680000000000001</v>
      </c>
      <c r="F12">
        <v>3.0939999999999999</v>
      </c>
      <c r="G12">
        <v>3.1E-2</v>
      </c>
      <c r="H12">
        <v>2E-3</v>
      </c>
      <c r="I12">
        <v>2.7E-2</v>
      </c>
      <c r="J12">
        <v>3.4000000000000002E-2</v>
      </c>
      <c r="K12">
        <v>0.67900000000000005</v>
      </c>
      <c r="L12">
        <v>47</v>
      </c>
    </row>
    <row r="13" spans="1:12" x14ac:dyDescent="0.35">
      <c r="A13">
        <v>27</v>
      </c>
      <c r="B13" t="s">
        <v>35</v>
      </c>
      <c r="C13">
        <v>2.3210000000000002</v>
      </c>
      <c r="D13">
        <v>5.5E-2</v>
      </c>
      <c r="E13">
        <v>2.21</v>
      </c>
      <c r="F13">
        <v>2.431</v>
      </c>
      <c r="G13">
        <v>2.7E-2</v>
      </c>
      <c r="H13">
        <v>0</v>
      </c>
      <c r="I13">
        <v>2.7E-2</v>
      </c>
      <c r="J13">
        <v>2.7E-2</v>
      </c>
      <c r="K13">
        <v>0.99199999999999999</v>
      </c>
      <c r="L13">
        <v>55</v>
      </c>
    </row>
    <row r="14" spans="1:12" x14ac:dyDescent="0.35">
      <c r="A14">
        <v>28</v>
      </c>
      <c r="B14" t="s">
        <v>36</v>
      </c>
      <c r="C14">
        <v>1.4</v>
      </c>
      <c r="D14">
        <v>4.7E-2</v>
      </c>
      <c r="E14">
        <v>1.306</v>
      </c>
      <c r="F14">
        <v>1.494</v>
      </c>
      <c r="G14">
        <v>3.1E-2</v>
      </c>
      <c r="H14">
        <v>0</v>
      </c>
      <c r="I14">
        <v>0.03</v>
      </c>
      <c r="J14">
        <v>3.2000000000000001E-2</v>
      </c>
      <c r="K14">
        <v>0.97599999999999998</v>
      </c>
      <c r="L14">
        <v>65</v>
      </c>
    </row>
    <row r="15" spans="1:12" x14ac:dyDescent="0.35">
      <c r="A15">
        <v>29</v>
      </c>
      <c r="B15" t="s">
        <v>37</v>
      </c>
      <c r="C15">
        <v>1.0640000000000001</v>
      </c>
      <c r="D15">
        <v>4.7E-2</v>
      </c>
      <c r="E15">
        <v>0.96899999999999997</v>
      </c>
      <c r="F15">
        <v>1.159</v>
      </c>
      <c r="G15">
        <v>0.05</v>
      </c>
      <c r="H15">
        <v>1E-3</v>
      </c>
      <c r="I15">
        <v>4.7E-2</v>
      </c>
      <c r="J15">
        <v>5.1999999999999998E-2</v>
      </c>
      <c r="K15">
        <v>0.95699999999999996</v>
      </c>
      <c r="L15">
        <v>49</v>
      </c>
    </row>
    <row r="16" spans="1:12" x14ac:dyDescent="0.35">
      <c r="A16" t="s">
        <v>12</v>
      </c>
      <c r="B16" t="s">
        <v>38</v>
      </c>
      <c r="C16">
        <v>1.3979999999999999</v>
      </c>
      <c r="D16">
        <v>1.0999999999999999E-2</v>
      </c>
      <c r="E16">
        <v>1.375</v>
      </c>
      <c r="F16">
        <v>1.421</v>
      </c>
      <c r="G16">
        <v>5.5E-2</v>
      </c>
      <c r="H16">
        <v>0</v>
      </c>
      <c r="I16">
        <v>5.3999999999999999E-2</v>
      </c>
      <c r="J16">
        <v>5.5E-2</v>
      </c>
      <c r="K16">
        <v>0.999</v>
      </c>
      <c r="L16">
        <v>65</v>
      </c>
    </row>
    <row r="17" spans="1:73" x14ac:dyDescent="0.35">
      <c r="A17">
        <v>31</v>
      </c>
      <c r="B17" t="s">
        <v>39</v>
      </c>
      <c r="C17">
        <v>1.028</v>
      </c>
      <c r="D17">
        <v>2.8000000000000001E-2</v>
      </c>
      <c r="E17">
        <v>0.97199999999999998</v>
      </c>
      <c r="F17">
        <v>1.0840000000000001</v>
      </c>
      <c r="G17">
        <v>2.4E-2</v>
      </c>
      <c r="H17">
        <v>0</v>
      </c>
      <c r="I17">
        <v>2.3E-2</v>
      </c>
      <c r="J17">
        <v>2.5000000000000001E-2</v>
      </c>
      <c r="K17">
        <v>0.98299999999999998</v>
      </c>
      <c r="L17">
        <v>54</v>
      </c>
    </row>
    <row r="18" spans="1:73" x14ac:dyDescent="0.35">
      <c r="A18" t="s">
        <v>13</v>
      </c>
      <c r="B18" t="s">
        <v>40</v>
      </c>
      <c r="C18">
        <v>1.3180000000000001</v>
      </c>
      <c r="D18">
        <v>6.2E-2</v>
      </c>
      <c r="E18">
        <v>1.1930000000000001</v>
      </c>
      <c r="F18">
        <v>1.4419999999999999</v>
      </c>
      <c r="G18">
        <v>3.9E-2</v>
      </c>
      <c r="H18">
        <v>1E-3</v>
      </c>
      <c r="I18">
        <v>3.6999999999999998E-2</v>
      </c>
      <c r="J18">
        <v>0.04</v>
      </c>
      <c r="K18">
        <v>0.96099999999999997</v>
      </c>
      <c r="L18">
        <v>47</v>
      </c>
    </row>
    <row r="19" spans="1:73" x14ac:dyDescent="0.35">
      <c r="B19" s="1" t="s">
        <v>43</v>
      </c>
      <c r="C19">
        <v>1.7210000000000001</v>
      </c>
      <c r="G19" s="8">
        <v>4.0409228976360727E-2</v>
      </c>
    </row>
    <row r="21" spans="1:73" x14ac:dyDescent="0.35">
      <c r="B21" t="s">
        <v>14</v>
      </c>
    </row>
    <row r="22" spans="1:73" ht="22" x14ac:dyDescent="0.55000000000000004">
      <c r="B22" s="3" t="s">
        <v>17</v>
      </c>
    </row>
    <row r="26" spans="1:73" x14ac:dyDescent="0.35">
      <c r="C26">
        <v>0</v>
      </c>
      <c r="D26">
        <v>1</v>
      </c>
      <c r="E26">
        <v>2</v>
      </c>
      <c r="F26">
        <v>3</v>
      </c>
      <c r="G26">
        <v>4</v>
      </c>
      <c r="H26">
        <v>5</v>
      </c>
      <c r="I26">
        <v>6</v>
      </c>
      <c r="J26">
        <v>7</v>
      </c>
      <c r="K26">
        <v>8</v>
      </c>
      <c r="L26">
        <v>9</v>
      </c>
      <c r="M26">
        <v>10</v>
      </c>
      <c r="N26">
        <v>11</v>
      </c>
      <c r="O26">
        <v>12</v>
      </c>
      <c r="P26">
        <v>13</v>
      </c>
      <c r="Q26">
        <v>14</v>
      </c>
      <c r="R26">
        <v>15</v>
      </c>
      <c r="S26">
        <v>16</v>
      </c>
      <c r="T26">
        <v>17</v>
      </c>
      <c r="U26">
        <v>18</v>
      </c>
      <c r="V26">
        <v>19</v>
      </c>
      <c r="W26">
        <v>20</v>
      </c>
      <c r="X26">
        <v>21</v>
      </c>
      <c r="Y26">
        <v>22</v>
      </c>
      <c r="Z26">
        <v>23</v>
      </c>
      <c r="AA26">
        <v>24</v>
      </c>
      <c r="AB26">
        <v>25</v>
      </c>
      <c r="AC26">
        <v>26</v>
      </c>
      <c r="AD26">
        <v>27</v>
      </c>
      <c r="AE26">
        <v>28</v>
      </c>
      <c r="AF26">
        <v>29</v>
      </c>
      <c r="AG26">
        <v>30</v>
      </c>
      <c r="AH26">
        <v>31</v>
      </c>
      <c r="AI26">
        <v>32</v>
      </c>
      <c r="AJ26">
        <v>33</v>
      </c>
      <c r="AK26">
        <v>34</v>
      </c>
      <c r="AL26">
        <v>35</v>
      </c>
      <c r="AM26">
        <v>36</v>
      </c>
      <c r="AN26">
        <v>37</v>
      </c>
      <c r="AO26">
        <v>38</v>
      </c>
      <c r="AP26">
        <v>39</v>
      </c>
      <c r="AQ26">
        <v>40</v>
      </c>
      <c r="AR26">
        <v>41</v>
      </c>
      <c r="AS26">
        <v>42</v>
      </c>
      <c r="AT26">
        <v>43</v>
      </c>
      <c r="AU26">
        <v>44</v>
      </c>
      <c r="AV26">
        <v>45</v>
      </c>
      <c r="AW26">
        <v>46</v>
      </c>
      <c r="AX26">
        <v>47</v>
      </c>
      <c r="AY26">
        <v>48</v>
      </c>
      <c r="AZ26">
        <v>49</v>
      </c>
      <c r="BA26">
        <v>50</v>
      </c>
      <c r="BB26">
        <v>51</v>
      </c>
      <c r="BC26">
        <v>52</v>
      </c>
      <c r="BD26">
        <v>53</v>
      </c>
      <c r="BE26">
        <v>54</v>
      </c>
      <c r="BF26">
        <v>55</v>
      </c>
      <c r="BG26">
        <v>56</v>
      </c>
      <c r="BH26">
        <v>57</v>
      </c>
      <c r="BI26">
        <v>58</v>
      </c>
      <c r="BJ26">
        <v>59</v>
      </c>
      <c r="BK26">
        <v>60</v>
      </c>
      <c r="BL26">
        <v>61</v>
      </c>
      <c r="BM26">
        <v>62</v>
      </c>
      <c r="BN26">
        <v>63</v>
      </c>
      <c r="BO26">
        <v>64</v>
      </c>
      <c r="BP26">
        <v>65</v>
      </c>
      <c r="BQ26">
        <v>66</v>
      </c>
      <c r="BR26">
        <v>67</v>
      </c>
      <c r="BS26">
        <v>68</v>
      </c>
      <c r="BT26">
        <v>69</v>
      </c>
      <c r="BU26">
        <v>70</v>
      </c>
    </row>
    <row r="27" spans="1:73" x14ac:dyDescent="0.35">
      <c r="B27" t="s">
        <v>27</v>
      </c>
      <c r="C27">
        <f t="shared" ref="C27:BN28" si="0">1-EXP(-(($G4*C$26)^$C4))</f>
        <v>0</v>
      </c>
      <c r="D27">
        <f t="shared" si="0"/>
        <v>4.9756322620657656E-3</v>
      </c>
      <c r="E27">
        <f t="shared" si="0"/>
        <v>1.4400290409667393E-2</v>
      </c>
      <c r="F27">
        <f t="shared" si="0"/>
        <v>2.6719600500281659E-2</v>
      </c>
      <c r="G27">
        <f t="shared" si="0"/>
        <v>4.1302500437225831E-2</v>
      </c>
      <c r="H27">
        <f t="shared" si="0"/>
        <v>5.7742242254798737E-2</v>
      </c>
      <c r="I27">
        <f t="shared" si="0"/>
        <v>7.5734622848616318E-2</v>
      </c>
      <c r="J27">
        <f t="shared" si="0"/>
        <v>9.5033895465707729E-2</v>
      </c>
      <c r="K27">
        <f t="shared" si="0"/>
        <v>0.11543228553360829</v>
      </c>
      <c r="L27">
        <f t="shared" si="0"/>
        <v>0.13674901150210128</v>
      </c>
      <c r="M27">
        <f t="shared" si="0"/>
        <v>0.15882381118685751</v>
      </c>
      <c r="N27">
        <f t="shared" si="0"/>
        <v>0.18151284841634263</v>
      </c>
      <c r="O27">
        <f t="shared" si="0"/>
        <v>0.2046859784913313</v>
      </c>
      <c r="P27">
        <f t="shared" si="0"/>
        <v>0.22822483547022321</v>
      </c>
      <c r="Q27">
        <f t="shared" si="0"/>
        <v>0.25202143905298635</v>
      </c>
      <c r="R27">
        <f t="shared" si="0"/>
        <v>0.27597714161127374</v>
      </c>
      <c r="S27">
        <f t="shared" si="0"/>
        <v>0.30000180415913491</v>
      </c>
      <c r="T27">
        <f t="shared" si="0"/>
        <v>0.32401312993548637</v>
      </c>
      <c r="U27">
        <f t="shared" si="0"/>
        <v>0.34793610855672552</v>
      </c>
      <c r="V27">
        <f t="shared" si="0"/>
        <v>0.37170253901610273</v>
      </c>
      <c r="W27">
        <f t="shared" si="0"/>
        <v>0.39525060975834403</v>
      </c>
      <c r="X27">
        <f t="shared" si="0"/>
        <v>0.4185245206884356</v>
      </c>
      <c r="Y27">
        <f t="shared" si="0"/>
        <v>0.44147413648637568</v>
      </c>
      <c r="Z27">
        <f t="shared" si="0"/>
        <v>0.46405466372694881</v>
      </c>
      <c r="AA27">
        <f t="shared" si="0"/>
        <v>0.48622634650297269</v>
      </c>
      <c r="AB27">
        <f t="shared" si="0"/>
        <v>0.507954176815687</v>
      </c>
      <c r="AC27">
        <f t="shared" si="0"/>
        <v>0.52920761711974229</v>
      </c>
      <c r="AD27">
        <f t="shared" si="0"/>
        <v>0.54996033322179683</v>
      </c>
      <c r="AE27">
        <f t="shared" si="0"/>
        <v>0.5701899363192473</v>
      </c>
      <c r="AF27">
        <f t="shared" si="0"/>
        <v>0.58987773339041571</v>
      </c>
      <c r="AG27">
        <f t="shared" si="0"/>
        <v>0.60900848545287267</v>
      </c>
      <c r="AH27">
        <f t="shared" si="0"/>
        <v>0.62757017342350929</v>
      </c>
      <c r="AI27">
        <f t="shared" si="0"/>
        <v>0.64555377146502257</v>
      </c>
      <c r="AJ27">
        <f t="shared" si="0"/>
        <v>0.66295302780520926</v>
      </c>
      <c r="AK27">
        <f t="shared" si="0"/>
        <v>0.67976425308021948</v>
      </c>
      <c r="AL27">
        <f t="shared" si="0"/>
        <v>0.69598611628995921</v>
      </c>
      <c r="AM27">
        <f t="shared" si="0"/>
        <v>0.71161944847020298</v>
      </c>
      <c r="AN27">
        <f t="shared" si="0"/>
        <v>0.72666705418705524</v>
      </c>
      <c r="AO27">
        <f t="shared" si="0"/>
        <v>0.74113353094932966</v>
      </c>
      <c r="AP27">
        <f t="shared" si="0"/>
        <v>0.75502509661641504</v>
      </c>
      <c r="AQ27">
        <f t="shared" si="0"/>
        <v>0.76834942485576296</v>
      </c>
      <c r="AR27">
        <f t="shared" si="0"/>
        <v>0.78111548867719771</v>
      </c>
      <c r="AS27">
        <f t="shared" si="0"/>
        <v>0.79333341204235008</v>
      </c>
      <c r="AT27">
        <f t="shared" si="0"/>
        <v>0.80501432951781371</v>
      </c>
      <c r="AU27">
        <f t="shared" si="0"/>
        <v>0.8161702539110367</v>
      </c>
      <c r="AV27">
        <f t="shared" si="0"/>
        <v>0.82681395179919037</v>
      </c>
      <c r="AW27">
        <f t="shared" si="0"/>
        <v>0.83695882683382095</v>
      </c>
      <c r="AX27">
        <f t="shared" si="0"/>
        <v>0.84661881067839051</v>
      </c>
      <c r="AY27">
        <f t="shared" si="0"/>
        <v>0.85580826141211619</v>
      </c>
      <c r="AZ27">
        <f t="shared" si="0"/>
        <v>0.8645418692120177</v>
      </c>
      <c r="BA27">
        <f t="shared" si="0"/>
        <v>0.87283456910589274</v>
      </c>
      <c r="BB27">
        <f t="shared" si="0"/>
        <v>0.88070146057211707</v>
      </c>
      <c r="BC27">
        <f t="shared" si="0"/>
        <v>0.88815773374770846</v>
      </c>
      <c r="BD27">
        <f t="shared" si="0"/>
        <v>0.89521860199398184</v>
      </c>
      <c r="BE27">
        <f t="shared" si="0"/>
        <v>0.90189924055928472</v>
      </c>
      <c r="BF27">
        <f t="shared" si="0"/>
        <v>0.90821473107065442</v>
      </c>
      <c r="BG27">
        <f t="shared" si="0"/>
        <v>0.91418001158067608</v>
      </c>
      <c r="BH27">
        <f t="shared" si="0"/>
        <v>0.9198098318922231</v>
      </c>
      <c r="BI27">
        <f t="shared" si="0"/>
        <v>0.92511871388200095</v>
      </c>
      <c r="BJ27">
        <f t="shared" si="0"/>
        <v>0.93012091654375351</v>
      </c>
      <c r="BK27">
        <f t="shared" si="0"/>
        <v>0.93483040547349172</v>
      </c>
      <c r="BL27">
        <f t="shared" si="0"/>
        <v>0.93926082652201937</v>
      </c>
      <c r="BM27">
        <f t="shared" si="0"/>
        <v>0.94342548334422738</v>
      </c>
      <c r="BN27">
        <f t="shared" si="0"/>
        <v>0.9473373185799624</v>
      </c>
      <c r="BO27">
        <f t="shared" ref="BO27:BU27" si="1">1-EXP(-(($G4*BO$26)^$C4))</f>
        <v>0.95100889840760827</v>
      </c>
      <c r="BP27">
        <f t="shared" si="1"/>
        <v>0.95445240021873046</v>
      </c>
      <c r="BQ27">
        <f t="shared" si="1"/>
        <v>0.95767960317008327</v>
      </c>
      <c r="BR27">
        <f t="shared" si="1"/>
        <v>0.96070188137786505</v>
      </c>
      <c r="BS27">
        <f t="shared" si="1"/>
        <v>0.96353019952819186</v>
      </c>
      <c r="BT27">
        <f t="shared" si="1"/>
        <v>0.96617511068726958</v>
      </c>
      <c r="BU27">
        <f t="shared" si="1"/>
        <v>0.96864675610454498</v>
      </c>
    </row>
    <row r="28" spans="1:73" x14ac:dyDescent="0.35">
      <c r="B28" t="s">
        <v>29</v>
      </c>
      <c r="C28">
        <f t="shared" si="0"/>
        <v>0</v>
      </c>
      <c r="D28">
        <f t="shared" si="0"/>
        <v>3.9528050635669887E-3</v>
      </c>
      <c r="E28">
        <f t="shared" si="0"/>
        <v>1.2829813116390199E-2</v>
      </c>
      <c r="F28">
        <f t="shared" si="0"/>
        <v>2.5449027953730496E-2</v>
      </c>
      <c r="G28">
        <f t="shared" si="0"/>
        <v>4.1225668907024615E-2</v>
      </c>
      <c r="H28">
        <f t="shared" si="0"/>
        <v>5.9731523307701262E-2</v>
      </c>
      <c r="I28">
        <f t="shared" si="0"/>
        <v>8.0610322943769797E-2</v>
      </c>
      <c r="J28">
        <f t="shared" si="0"/>
        <v>0.10354694346808369</v>
      </c>
      <c r="K28">
        <f t="shared" si="0"/>
        <v>0.12825358807115927</v>
      </c>
      <c r="L28">
        <f t="shared" si="0"/>
        <v>0.15446292515499094</v>
      </c>
      <c r="M28">
        <f t="shared" si="0"/>
        <v>0.18192451673516996</v>
      </c>
      <c r="N28">
        <f t="shared" si="0"/>
        <v>0.21040294468372323</v>
      </c>
      <c r="O28">
        <f t="shared" si="0"/>
        <v>0.23967685529196914</v>
      </c>
      <c r="P28">
        <f t="shared" si="0"/>
        <v>0.26953850685006964</v>
      </c>
      <c r="Q28">
        <f t="shared" si="0"/>
        <v>0.29979358481830343</v>
      </c>
      <c r="R28">
        <f t="shared" si="0"/>
        <v>0.33026114513955973</v>
      </c>
      <c r="S28">
        <f t="shared" si="0"/>
        <v>0.36077360079140885</v>
      </c>
      <c r="T28">
        <f t="shared" si="0"/>
        <v>0.39117669936325228</v>
      </c>
      <c r="U28">
        <f t="shared" si="0"/>
        <v>0.42132945992251258</v>
      </c>
      <c r="V28">
        <f t="shared" si="0"/>
        <v>0.45110405074680449</v>
      </c>
      <c r="W28">
        <f t="shared" si="0"/>
        <v>0.48038559841300432</v>
      </c>
      <c r="X28">
        <f t="shared" si="0"/>
        <v>0.50907192483268937</v>
      </c>
      <c r="Y28">
        <f t="shared" si="0"/>
        <v>0.53707321304857669</v>
      </c>
      <c r="Z28">
        <f t="shared" si="0"/>
        <v>0.56431160553922632</v>
      </c>
      <c r="AA28">
        <f t="shared" si="0"/>
        <v>0.59072074079021397</v>
      </c>
      <c r="AB28">
        <f t="shared" si="0"/>
        <v>0.61624523522427865</v>
      </c>
      <c r="AC28">
        <f t="shared" si="0"/>
        <v>0.64084011840842969</v>
      </c>
      <c r="AD28">
        <f t="shared" si="0"/>
        <v>0.66447022989168147</v>
      </c>
      <c r="AE28">
        <f t="shared" si="0"/>
        <v>0.68710958616054008</v>
      </c>
      <c r="AF28">
        <f t="shared" si="0"/>
        <v>0.70874072609724625</v>
      </c>
      <c r="AG28">
        <f t="shared" si="0"/>
        <v>0.7293540430404617</v>
      </c>
      <c r="AH28">
        <f t="shared" si="0"/>
        <v>0.74894711112182355</v>
      </c>
      <c r="AI28">
        <f t="shared" si="0"/>
        <v>0.76752401301952722</v>
      </c>
      <c r="AJ28">
        <f t="shared" si="0"/>
        <v>0.78509467566104696</v>
      </c>
      <c r="AK28">
        <f t="shared" si="0"/>
        <v>0.80167421974609532</v>
      </c>
      <c r="AL28">
        <f t="shared" si="0"/>
        <v>0.81728232826905012</v>
      </c>
      <c r="AM28">
        <f t="shared" si="0"/>
        <v>0.83194263851530204</v>
      </c>
      <c r="AN28">
        <f t="shared" si="0"/>
        <v>0.84568216130350982</v>
      </c>
      <c r="AO28">
        <f t="shared" si="0"/>
        <v>0.85853073055834139</v>
      </c>
      <c r="AP28">
        <f t="shared" si="0"/>
        <v>0.87052048563645124</v>
      </c>
      <c r="AQ28">
        <f t="shared" si="0"/>
        <v>0.88168538820070141</v>
      </c>
      <c r="AR28">
        <f t="shared" si="0"/>
        <v>0.89206077485064361</v>
      </c>
      <c r="AS28">
        <f t="shared" si="0"/>
        <v>0.90168294617603595</v>
      </c>
      <c r="AT28">
        <f t="shared" si="0"/>
        <v>0.91058879240815072</v>
      </c>
      <c r="AU28">
        <f t="shared" si="0"/>
        <v>0.91881545540298404</v>
      </c>
      <c r="AV28">
        <f t="shared" si="0"/>
        <v>0.92640002630214402</v>
      </c>
      <c r="AW28">
        <f t="shared" si="0"/>
        <v>0.9333792778810599</v>
      </c>
      <c r="AX28">
        <f t="shared" si="0"/>
        <v>0.939789430309245</v>
      </c>
      <c r="AY28">
        <f t="shared" si="0"/>
        <v>0.94566594881188815</v>
      </c>
      <c r="AZ28">
        <f t="shared" si="0"/>
        <v>0.95104337153367891</v>
      </c>
      <c r="BA28">
        <f t="shared" si="0"/>
        <v>0.95595516576163764</v>
      </c>
      <c r="BB28">
        <f t="shared" si="0"/>
        <v>0.96043361056056353</v>
      </c>
      <c r="BC28">
        <f t="shared" si="0"/>
        <v>0.96450970380904688</v>
      </c>
      <c r="BD28">
        <f t="shared" si="0"/>
        <v>0.96821309159214042</v>
      </c>
      <c r="BE28">
        <f t="shared" si="0"/>
        <v>0.97157201790499326</v>
      </c>
      <c r="BF28">
        <f t="shared" si="0"/>
        <v>0.97461329264627683</v>
      </c>
      <c r="BG28">
        <f t="shared" si="0"/>
        <v>0.97736227592738711</v>
      </c>
      <c r="BH28">
        <f t="shared" si="0"/>
        <v>0.97984287678961812</v>
      </c>
      <c r="BI28">
        <f t="shared" si="0"/>
        <v>0.98207756450338357</v>
      </c>
      <c r="BJ28">
        <f t="shared" si="0"/>
        <v>0.98408739071789753</v>
      </c>
      <c r="BK28">
        <f t="shared" si="0"/>
        <v>0.98589202083357574</v>
      </c>
      <c r="BL28">
        <f t="shared" si="0"/>
        <v>0.98750977308003629</v>
      </c>
      <c r="BM28">
        <f t="shared" si="0"/>
        <v>0.98895766389753603</v>
      </c>
      <c r="BN28">
        <f t="shared" si="0"/>
        <v>0.9902514583367733</v>
      </c>
      <c r="BO28">
        <f t="shared" ref="BO28:BU28" si="2">1-EXP(-(($G5*BO$26)^$C5))</f>
        <v>0.99140572430930485</v>
      </c>
      <c r="BP28">
        <f t="shared" si="2"/>
        <v>0.99243388963670376</v>
      </c>
      <c r="BQ28">
        <f t="shared" si="2"/>
        <v>0.99334830095962512</v>
      </c>
      <c r="BR28">
        <f t="shared" si="2"/>
        <v>0.99416028367697928</v>
      </c>
      <c r="BS28">
        <f t="shared" si="2"/>
        <v>0.99488020218949735</v>
      </c>
      <c r="BT28">
        <f t="shared" si="2"/>
        <v>0.99551751982038583</v>
      </c>
      <c r="BU28">
        <f t="shared" si="2"/>
        <v>0.9960808578779623</v>
      </c>
    </row>
    <row r="29" spans="1:73" x14ac:dyDescent="0.35">
      <c r="B29" t="s">
        <v>42</v>
      </c>
      <c r="C29">
        <f t="shared" ref="C29:BN29" si="3">1-EXP(-(($G6*C$26)^$C6))</f>
        <v>0</v>
      </c>
      <c r="D29">
        <f t="shared" si="3"/>
        <v>5.3799761998686302E-3</v>
      </c>
      <c r="E29">
        <f t="shared" si="3"/>
        <v>1.5899872596344955E-2</v>
      </c>
      <c r="F29">
        <f t="shared" si="3"/>
        <v>2.985003023982935E-2</v>
      </c>
      <c r="G29">
        <f t="shared" si="3"/>
        <v>4.6503752942413379E-2</v>
      </c>
      <c r="H29">
        <f t="shared" si="3"/>
        <v>6.5378319536461116E-2</v>
      </c>
      <c r="I29">
        <f t="shared" si="3"/>
        <v>8.6103733593628884E-2</v>
      </c>
      <c r="J29">
        <f t="shared" si="3"/>
        <v>0.10837507981066463</v>
      </c>
      <c r="K29">
        <f t="shared" si="3"/>
        <v>0.13193044580973545</v>
      </c>
      <c r="L29">
        <f t="shared" si="3"/>
        <v>0.15653915971004984</v>
      </c>
      <c r="M29">
        <f t="shared" si="3"/>
        <v>0.18199491040843985</v>
      </c>
      <c r="N29">
        <f t="shared" si="3"/>
        <v>0.20811143425595413</v>
      </c>
      <c r="O29">
        <f t="shared" si="3"/>
        <v>0.23471965320625754</v>
      </c>
      <c r="P29">
        <f t="shared" si="3"/>
        <v>0.26166567847536415</v>
      </c>
      <c r="Q29">
        <f t="shared" si="3"/>
        <v>0.28880935067097635</v>
      </c>
      <c r="R29">
        <f t="shared" si="3"/>
        <v>0.31602312197215265</v>
      </c>
      <c r="S29">
        <f t="shared" si="3"/>
        <v>0.34319116088129198</v>
      </c>
      <c r="T29">
        <f t="shared" si="3"/>
        <v>0.37020860389660881</v>
      </c>
      <c r="U29">
        <f t="shared" si="3"/>
        <v>0.39698090514709716</v>
      </c>
      <c r="V29">
        <f t="shared" si="3"/>
        <v>0.42342325184839658</v>
      </c>
      <c r="W29">
        <f t="shared" si="3"/>
        <v>0.44946002433098664</v>
      </c>
      <c r="X29">
        <f t="shared" si="3"/>
        <v>0.4750242866095965</v>
      </c>
      <c r="Y29">
        <f t="shared" si="3"/>
        <v>0.50005729833038148</v>
      </c>
      <c r="Z29">
        <f t="shared" si="3"/>
        <v>0.52450804225794601</v>
      </c>
      <c r="AA29">
        <f t="shared" si="3"/>
        <v>0.54833276375418016</v>
      </c>
      <c r="AB29">
        <f t="shared" si="3"/>
        <v>0.57149452028113445</v>
      </c>
      <c r="AC29">
        <f t="shared" si="3"/>
        <v>0.59396274004569105</v>
      </c>
      <c r="AD29">
        <f t="shared" si="3"/>
        <v>0.61571278963938669</v>
      </c>
      <c r="AE29">
        <f t="shared" si="3"/>
        <v>0.63672555101191841</v>
      </c>
      <c r="AF29">
        <f t="shared" si="3"/>
        <v>0.65698700842133584</v>
      </c>
      <c r="AG29">
        <f t="shared" si="3"/>
        <v>0.67648784617733759</v>
      </c>
      <c r="AH29">
        <f t="shared" si="3"/>
        <v>0.69522305807239426</v>
      </c>
      <c r="AI29">
        <f t="shared" si="3"/>
        <v>0.71319156940500839</v>
      </c>
      <c r="AJ29">
        <f t="shared" si="3"/>
        <v>0.73039587245988757</v>
      </c>
      <c r="AK29">
        <f t="shared" si="3"/>
        <v>0.74684167623591202</v>
      </c>
      <c r="AL29">
        <f t="shared" si="3"/>
        <v>0.76253757111567722</v>
      </c>
      <c r="AM29">
        <f t="shared" si="3"/>
        <v>0.77749470905861462</v>
      </c>
      <c r="AN29">
        <f t="shared" si="3"/>
        <v>0.79172649977975429</v>
      </c>
      <c r="AO29">
        <f t="shared" si="3"/>
        <v>0.80524832325308815</v>
      </c>
      <c r="AP29">
        <f t="shared" si="3"/>
        <v>0.81807725875604675</v>
      </c>
      <c r="AQ29">
        <f t="shared" si="3"/>
        <v>0.83023183055266525</v>
      </c>
      <c r="AR29">
        <f t="shared" si="3"/>
        <v>0.84173177019978185</v>
      </c>
      <c r="AS29">
        <f t="shared" si="3"/>
        <v>0.85259779535461155</v>
      </c>
      <c r="AT29">
        <f t="shared" si="3"/>
        <v>0.8628514048643916</v>
      </c>
      <c r="AU29">
        <f t="shared" si="3"/>
        <v>0.87251468983019842</v>
      </c>
      <c r="AV29">
        <f t="shared" si="3"/>
        <v>0.8816101602579195</v>
      </c>
      <c r="AW29">
        <f t="shared" si="3"/>
        <v>0.89016058683986776</v>
      </c>
      <c r="AX29">
        <f t="shared" si="3"/>
        <v>0.89818885735063358</v>
      </c>
      <c r="AY29">
        <f t="shared" si="3"/>
        <v>0.90571784709026482</v>
      </c>
      <c r="AZ29">
        <f t="shared" si="3"/>
        <v>0.91277030276644222</v>
      </c>
      <c r="BA29">
        <f t="shared" si="3"/>
        <v>0.91936873917454298</v>
      </c>
      <c r="BB29">
        <f t="shared" si="3"/>
        <v>0.92553534800987447</v>
      </c>
      <c r="BC29">
        <f t="shared" si="3"/>
        <v>0.93129191812935497</v>
      </c>
      <c r="BD29">
        <f t="shared" si="3"/>
        <v>0.9366597665699502</v>
      </c>
      <c r="BE29">
        <f t="shared" si="3"/>
        <v>0.94165967962761954</v>
      </c>
      <c r="BF29">
        <f t="shared" si="3"/>
        <v>0.94631186330278094</v>
      </c>
      <c r="BG29">
        <f t="shared" si="3"/>
        <v>0.95063590242575446</v>
      </c>
      <c r="BH29">
        <f t="shared" si="3"/>
        <v>0.95465072778767213</v>
      </c>
      <c r="BI29">
        <f t="shared" si="3"/>
        <v>0.95837459061838082</v>
      </c>
      <c r="BJ29">
        <f t="shared" si="3"/>
        <v>0.96182504377232025</v>
      </c>
      <c r="BK29">
        <f t="shared" si="3"/>
        <v>0.96501892900571751</v>
      </c>
      <c r="BL29">
        <f t="shared" si="3"/>
        <v>0.96797236975317469</v>
      </c>
      <c r="BM29">
        <f t="shared" si="3"/>
        <v>0.97070076883836287</v>
      </c>
      <c r="BN29">
        <f t="shared" si="3"/>
        <v>0.97321881058164161</v>
      </c>
      <c r="BO29">
        <f t="shared" ref="BO29:BU29" si="4">1-EXP(-(($G6*BO$26)^$C6))</f>
        <v>0.97554046679657747</v>
      </c>
      <c r="BP29">
        <f t="shared" si="4"/>
        <v>0.97767900619717651</v>
      </c>
      <c r="BQ29">
        <f t="shared" si="4"/>
        <v>0.97964700676783434</v>
      </c>
      <c r="BR29">
        <f t="shared" si="4"/>
        <v>0.98145637067824287</v>
      </c>
      <c r="BS29">
        <f t="shared" si="4"/>
        <v>0.98311834135551301</v>
      </c>
      <c r="BT29">
        <f t="shared" si="4"/>
        <v>0.9846435223553428</v>
      </c>
      <c r="BU29">
        <f t="shared" si="4"/>
        <v>0.98604189770297412</v>
      </c>
    </row>
    <row r="30" spans="1:73" x14ac:dyDescent="0.35">
      <c r="B30" t="s">
        <v>41</v>
      </c>
      <c r="C30">
        <f t="shared" ref="C30:BN30" si="5">1-EXP(-(($G7*C$26)^$C7))</f>
        <v>0</v>
      </c>
      <c r="D30">
        <f t="shared" si="5"/>
        <v>9.8448121211891504E-3</v>
      </c>
      <c r="E30">
        <f t="shared" si="5"/>
        <v>2.6377838067318971E-2</v>
      </c>
      <c r="F30">
        <f t="shared" si="5"/>
        <v>4.6687951077522549E-2</v>
      </c>
      <c r="G30">
        <f t="shared" si="5"/>
        <v>6.968162255711674E-2</v>
      </c>
      <c r="H30">
        <f t="shared" si="5"/>
        <v>9.4679759194752688E-2</v>
      </c>
      <c r="I30">
        <f t="shared" si="5"/>
        <v>0.12119146098603251</v>
      </c>
      <c r="J30">
        <f t="shared" si="5"/>
        <v>0.148833815121997</v>
      </c>
      <c r="K30">
        <f t="shared" si="5"/>
        <v>0.17729486269442052</v>
      </c>
      <c r="L30">
        <f t="shared" si="5"/>
        <v>0.20631365372277499</v>
      </c>
      <c r="M30">
        <f t="shared" si="5"/>
        <v>0.23566831193132698</v>
      </c>
      <c r="N30">
        <f t="shared" si="5"/>
        <v>0.26516830427008498</v>
      </c>
      <c r="O30">
        <f t="shared" si="5"/>
        <v>0.29464910703699376</v>
      </c>
      <c r="P30">
        <f t="shared" si="5"/>
        <v>0.3239683271700603</v>
      </c>
      <c r="Q30">
        <f t="shared" si="5"/>
        <v>0.353002753211065</v>
      </c>
      <c r="R30">
        <f t="shared" si="5"/>
        <v>0.3816460261123249</v>
      </c>
      <c r="S30">
        <f t="shared" si="5"/>
        <v>0.40980673898648023</v>
      </c>
      <c r="T30">
        <f t="shared" si="5"/>
        <v>0.43740684384545547</v>
      </c>
      <c r="U30">
        <f t="shared" si="5"/>
        <v>0.46438028503018758</v>
      </c>
      <c r="V30">
        <f t="shared" si="5"/>
        <v>0.49067180508219699</v>
      </c>
      <c r="W30">
        <f t="shared" si="5"/>
        <v>0.51623588557666078</v>
      </c>
      <c r="X30">
        <f t="shared" si="5"/>
        <v>0.54103579649744182</v>
      </c>
      <c r="Y30">
        <f t="shared" si="5"/>
        <v>0.56504273518193737</v>
      </c>
      <c r="Z30">
        <f t="shared" si="5"/>
        <v>0.58823504096555768</v>
      </c>
      <c r="AA30">
        <f t="shared" si="5"/>
        <v>0.61059747520179752</v>
      </c>
      <c r="AB30">
        <f t="shared" si="5"/>
        <v>0.63212055882855767</v>
      </c>
      <c r="AC30">
        <f t="shared" si="5"/>
        <v>0.65279996142398367</v>
      </c>
      <c r="AD30">
        <f t="shared" si="5"/>
        <v>0.67263593696506629</v>
      </c>
      <c r="AE30">
        <f t="shared" si="5"/>
        <v>0.69163280241838199</v>
      </c>
      <c r="AF30">
        <f t="shared" si="5"/>
        <v>0.70979845595714475</v>
      </c>
      <c r="AG30">
        <f t="shared" si="5"/>
        <v>0.72714393208378769</v>
      </c>
      <c r="AH30">
        <f t="shared" si="5"/>
        <v>0.74368299129318571</v>
      </c>
      <c r="AI30">
        <f t="shared" si="5"/>
        <v>0.75943174217451881</v>
      </c>
      <c r="AJ30">
        <f t="shared" si="5"/>
        <v>0.77440829404567679</v>
      </c>
      <c r="AK30">
        <f t="shared" si="5"/>
        <v>0.78863243836191743</v>
      </c>
      <c r="AL30">
        <f t="shared" si="5"/>
        <v>0.80212535725394385</v>
      </c>
      <c r="AM30">
        <f t="shared" si="5"/>
        <v>0.8149093576397417</v>
      </c>
      <c r="AN30">
        <f t="shared" si="5"/>
        <v>0.82700762942674588</v>
      </c>
      <c r="AO30">
        <f t="shared" si="5"/>
        <v>0.83844402638157223</v>
      </c>
      <c r="AP30">
        <f t="shared" si="5"/>
        <v>0.84924286829754037</v>
      </c>
      <c r="AQ30">
        <f t="shared" si="5"/>
        <v>0.85942876313834915</v>
      </c>
      <c r="AR30">
        <f t="shared" si="5"/>
        <v>0.86902644788151817</v>
      </c>
      <c r="AS30">
        <f t="shared" si="5"/>
        <v>0.87806064682899243</v>
      </c>
      <c r="AT30">
        <f t="shared" si="5"/>
        <v>0.88655594619552058</v>
      </c>
      <c r="AU30">
        <f t="shared" si="5"/>
        <v>0.89453668382867857</v>
      </c>
      <c r="AV30">
        <f t="shared" si="5"/>
        <v>0.90202685295804941</v>
      </c>
      <c r="AW30">
        <f t="shared" si="5"/>
        <v>0.90905001891524617</v>
      </c>
      <c r="AX30">
        <f t="shared" si="5"/>
        <v>0.91562924781121535</v>
      </c>
      <c r="AY30">
        <f t="shared" si="5"/>
        <v>0.92178704620250052</v>
      </c>
      <c r="AZ30">
        <f t="shared" si="5"/>
        <v>0.92754531082376901</v>
      </c>
      <c r="BA30">
        <f t="shared" si="5"/>
        <v>0.93292528750971915</v>
      </c>
      <c r="BB30">
        <f t="shared" si="5"/>
        <v>0.93794753847531709</v>
      </c>
      <c r="BC30">
        <f t="shared" si="5"/>
        <v>0.94263191716893568</v>
      </c>
      <c r="BD30">
        <f t="shared" si="5"/>
        <v>0.94699754995819962</v>
      </c>
      <c r="BE30">
        <f t="shared" si="5"/>
        <v>0.95106282395296082</v>
      </c>
      <c r="BF30">
        <f t="shared" si="5"/>
        <v>0.95484538031367028</v>
      </c>
      <c r="BG30">
        <f t="shared" si="5"/>
        <v>0.95836211243628178</v>
      </c>
      <c r="BH30">
        <f t="shared" si="5"/>
        <v>0.96162916844659097</v>
      </c>
      <c r="BI30">
        <f t="shared" si="5"/>
        <v>0.96466195747741545</v>
      </c>
      <c r="BJ30">
        <f t="shared" si="5"/>
        <v>0.96747515924116601</v>
      </c>
      <c r="BK30">
        <f t="shared" si="5"/>
        <v>0.97008273644803078</v>
      </c>
      <c r="BL30">
        <f t="shared" si="5"/>
        <v>0.97249794965612546</v>
      </c>
      <c r="BM30">
        <f t="shared" si="5"/>
        <v>0.97473337417448247</v>
      </c>
      <c r="BN30">
        <f t="shared" si="5"/>
        <v>0.97680091867262675</v>
      </c>
      <c r="BO30">
        <f t="shared" ref="BO30:BU30" si="6">1-EXP(-(($G7*BO$26)^$C7))</f>
        <v>0.97871184518168008</v>
      </c>
      <c r="BP30">
        <f t="shared" si="6"/>
        <v>0.98047679020143785</v>
      </c>
      <c r="BQ30">
        <f t="shared" si="6"/>
        <v>0.98210578665567527</v>
      </c>
      <c r="BR30">
        <f t="shared" si="6"/>
        <v>0.98360828646406739</v>
      </c>
      <c r="BS30">
        <f t="shared" si="6"/>
        <v>0.98499318352358534</v>
      </c>
      <c r="BT30">
        <f t="shared" si="6"/>
        <v>0.98626883691507128</v>
      </c>
      <c r="BU30">
        <f t="shared" si="6"/>
        <v>0.98744309417195952</v>
      </c>
    </row>
    <row r="31" spans="1:73" x14ac:dyDescent="0.35">
      <c r="B31" t="s">
        <v>30</v>
      </c>
      <c r="C31">
        <f t="shared" ref="C31:BN31" si="7">1-EXP(-(($G8*C$26)^$C8))</f>
        <v>0</v>
      </c>
      <c r="D31">
        <f t="shared" si="7"/>
        <v>4.2046030896577546E-3</v>
      </c>
      <c r="E31">
        <f t="shared" si="7"/>
        <v>1.6724128136870964E-2</v>
      </c>
      <c r="F31">
        <f t="shared" si="7"/>
        <v>3.7251331394180909E-2</v>
      </c>
      <c r="G31">
        <f t="shared" si="7"/>
        <v>6.5280691080149666E-2</v>
      </c>
      <c r="H31">
        <f t="shared" si="7"/>
        <v>0.10013124275284069</v>
      </c>
      <c r="I31">
        <f t="shared" si="7"/>
        <v>0.14097465203926773</v>
      </c>
      <c r="J31">
        <f t="shared" si="7"/>
        <v>0.18686817865874461</v>
      </c>
      <c r="K31">
        <f t="shared" si="7"/>
        <v>0.23679090049284457</v>
      </c>
      <c r="L31">
        <f t="shared" si="7"/>
        <v>0.28968132207012431</v>
      </c>
      <c r="M31">
        <f t="shared" si="7"/>
        <v>0.34447447278363841</v>
      </c>
      <c r="N31">
        <f t="shared" si="7"/>
        <v>0.40013672618824647</v>
      </c>
      <c r="O31">
        <f t="shared" si="7"/>
        <v>0.45569681112455607</v>
      </c>
      <c r="P31">
        <f t="shared" si="7"/>
        <v>0.51027180947316975</v>
      </c>
      <c r="Q31">
        <f t="shared" si="7"/>
        <v>0.56308731310671289</v>
      </c>
      <c r="R31">
        <f t="shared" si="7"/>
        <v>0.61349131200415297</v>
      </c>
      <c r="S31">
        <f t="shared" si="7"/>
        <v>0.66096177571501147</v>
      </c>
      <c r="T31">
        <f t="shared" si="7"/>
        <v>0.70510824427892715</v>
      </c>
      <c r="U31">
        <f t="shared" si="7"/>
        <v>0.74566804081035176</v>
      </c>
      <c r="V31">
        <f t="shared" si="7"/>
        <v>0.78249794162342734</v>
      </c>
      <c r="W31">
        <f t="shared" si="7"/>
        <v>0.81556228374665352</v>
      </c>
      <c r="X31">
        <f t="shared" si="7"/>
        <v>0.84491855383135395</v>
      </c>
      <c r="Y31">
        <f t="shared" si="7"/>
        <v>0.87070149290022658</v>
      </c>
      <c r="Z31">
        <f t="shared" si="7"/>
        <v>0.89310667910713448</v>
      </c>
      <c r="AA31">
        <f t="shared" si="7"/>
        <v>0.91237442994841644</v>
      </c>
      <c r="AB31">
        <f t="shared" si="7"/>
        <v>0.9287747120188985</v>
      </c>
      <c r="AC31">
        <f t="shared" si="7"/>
        <v>0.9425935762799782</v>
      </c>
      <c r="AD31">
        <f t="shared" si="7"/>
        <v>0.95412146440782586</v>
      </c>
      <c r="AE31">
        <f t="shared" si="7"/>
        <v>0.96364356930031503</v>
      </c>
      <c r="AF31">
        <f t="shared" si="7"/>
        <v>0.97143228949521165</v>
      </c>
      <c r="AG31">
        <f t="shared" si="7"/>
        <v>0.97774169917880771</v>
      </c>
      <c r="AH31">
        <f t="shared" si="7"/>
        <v>0.98280386566386002</v>
      </c>
      <c r="AI31">
        <f t="shared" si="7"/>
        <v>0.98682678499201804</v>
      </c>
      <c r="AJ31">
        <f t="shared" si="7"/>
        <v>0.98999367178141473</v>
      </c>
      <c r="AK31">
        <f t="shared" si="7"/>
        <v>0.99246332812882943</v>
      </c>
      <c r="AL31">
        <f t="shared" si="7"/>
        <v>0.99437132386615334</v>
      </c>
      <c r="AM31">
        <f t="shared" si="7"/>
        <v>0.99583174195622448</v>
      </c>
      <c r="AN31">
        <f t="shared" si="7"/>
        <v>0.99693927357791712</v>
      </c>
      <c r="AO31">
        <f t="shared" si="7"/>
        <v>0.99777148322773179</v>
      </c>
      <c r="AP31">
        <f t="shared" si="7"/>
        <v>0.99839110136971798</v>
      </c>
      <c r="AQ31">
        <f t="shared" si="7"/>
        <v>0.99884823801039335</v>
      </c>
      <c r="AR31">
        <f t="shared" si="7"/>
        <v>0.99918244308987747</v>
      </c>
      <c r="AS31">
        <f t="shared" si="7"/>
        <v>0.99942456755369091</v>
      </c>
      <c r="AT31">
        <f t="shared" si="7"/>
        <v>0.99959840184269855</v>
      </c>
      <c r="AU31">
        <f t="shared" si="7"/>
        <v>0.99972208627056514</v>
      </c>
      <c r="AV31">
        <f t="shared" si="7"/>
        <v>0.9998093006844917</v>
      </c>
      <c r="AW31">
        <f t="shared" si="7"/>
        <v>0.99987024950461734</v>
      </c>
      <c r="AX31">
        <f t="shared" si="7"/>
        <v>0.99991246341643414</v>
      </c>
      <c r="AY31">
        <f t="shared" si="7"/>
        <v>0.99994144139002461</v>
      </c>
      <c r="AZ31">
        <f t="shared" si="7"/>
        <v>0.99996115702845523</v>
      </c>
      <c r="BA31">
        <f t="shared" si="7"/>
        <v>0.99997445213695924</v>
      </c>
      <c r="BB31">
        <f t="shared" si="7"/>
        <v>0.99998333838547315</v>
      </c>
      <c r="BC31">
        <f t="shared" si="7"/>
        <v>0.99998922543156432</v>
      </c>
      <c r="BD31">
        <f t="shared" si="7"/>
        <v>0.99999309119537017</v>
      </c>
      <c r="BE31">
        <f t="shared" si="7"/>
        <v>0.99999560735510695</v>
      </c>
      <c r="BF31">
        <f t="shared" si="7"/>
        <v>0.99999723070406998</v>
      </c>
      <c r="BG31">
        <f t="shared" si="7"/>
        <v>0.9999982688581357</v>
      </c>
      <c r="BH31">
        <f t="shared" si="7"/>
        <v>0.99999892696001758</v>
      </c>
      <c r="BI31">
        <f t="shared" si="7"/>
        <v>0.99999934049356354</v>
      </c>
      <c r="BJ31">
        <f t="shared" si="7"/>
        <v>0.99999959807779815</v>
      </c>
      <c r="BK31">
        <f t="shared" si="7"/>
        <v>0.99999975712393541</v>
      </c>
      <c r="BL31">
        <f t="shared" si="7"/>
        <v>0.99999985447180684</v>
      </c>
      <c r="BM31">
        <f t="shared" si="7"/>
        <v>0.99999991353721984</v>
      </c>
      <c r="BN31">
        <f t="shared" si="7"/>
        <v>0.99999994906329659</v>
      </c>
      <c r="BO31">
        <f t="shared" ref="BO31:BU31" si="8">1-EXP(-(($G8*BO$26)^$C8))</f>
        <v>0.99999997024554554</v>
      </c>
      <c r="BP31">
        <f t="shared" si="8"/>
        <v>0.99999998276574109</v>
      </c>
      <c r="BQ31">
        <f t="shared" si="8"/>
        <v>0.99999999010188168</v>
      </c>
      <c r="BR31">
        <f t="shared" si="8"/>
        <v>0.99999999436320797</v>
      </c>
      <c r="BS31">
        <f t="shared" si="8"/>
        <v>0.99999999681704366</v>
      </c>
      <c r="BT31">
        <f t="shared" si="8"/>
        <v>0.99999999821783225</v>
      </c>
      <c r="BU31">
        <f t="shared" si="8"/>
        <v>0.99999999901056857</v>
      </c>
    </row>
    <row r="32" spans="1:73" x14ac:dyDescent="0.35">
      <c r="B32" t="s">
        <v>31</v>
      </c>
      <c r="C32">
        <f t="shared" ref="C32:BN32" si="9">1-EXP(-(($G9*C$26)^$C9))</f>
        <v>0</v>
      </c>
      <c r="D32">
        <f t="shared" si="9"/>
        <v>8.443648916244606E-3</v>
      </c>
      <c r="E32">
        <f t="shared" si="9"/>
        <v>2.0761965839989571E-2</v>
      </c>
      <c r="F32">
        <f t="shared" si="9"/>
        <v>3.5014745368381561E-2</v>
      </c>
      <c r="G32">
        <f t="shared" si="9"/>
        <v>5.0586999933200927E-2</v>
      </c>
      <c r="H32">
        <f t="shared" si="9"/>
        <v>6.7130784223653039E-2</v>
      </c>
      <c r="I32">
        <f t="shared" si="9"/>
        <v>8.4412080125140121E-2</v>
      </c>
      <c r="J32">
        <f t="shared" si="9"/>
        <v>0.10225851965704136</v>
      </c>
      <c r="K32">
        <f t="shared" si="9"/>
        <v>0.12053587732015381</v>
      </c>
      <c r="L32">
        <f t="shared" si="9"/>
        <v>0.13913569619051303</v>
      </c>
      <c r="M32">
        <f t="shared" si="9"/>
        <v>0.15796805416452131</v>
      </c>
      <c r="N32">
        <f t="shared" si="9"/>
        <v>0.17695700152758143</v>
      </c>
      <c r="O32">
        <f t="shared" si="9"/>
        <v>0.19603751146971105</v>
      </c>
      <c r="P32">
        <f t="shared" si="9"/>
        <v>0.21515334571341305</v>
      </c>
      <c r="Q32">
        <f t="shared" si="9"/>
        <v>0.23425550327875133</v>
      </c>
      <c r="R32">
        <f t="shared" si="9"/>
        <v>0.25330105698568861</v>
      </c>
      <c r="S32">
        <f t="shared" si="9"/>
        <v>0.2722522570791539</v>
      </c>
      <c r="T32">
        <f t="shared" si="9"/>
        <v>0.29107582451420844</v>
      </c>
      <c r="U32">
        <f t="shared" si="9"/>
        <v>0.30974238245233399</v>
      </c>
      <c r="V32">
        <f t="shared" si="9"/>
        <v>0.3282259907965106</v>
      </c>
      <c r="W32">
        <f t="shared" si="9"/>
        <v>0.34650375910856501</v>
      </c>
      <c r="X32">
        <f t="shared" si="9"/>
        <v>0.36455552023838134</v>
      </c>
      <c r="Y32">
        <f t="shared" si="9"/>
        <v>0.38236355175089287</v>
      </c>
      <c r="Z32">
        <f t="shared" si="9"/>
        <v>0.39991233554608874</v>
      </c>
      <c r="AA32">
        <f t="shared" si="9"/>
        <v>0.41718834841485519</v>
      </c>
      <c r="AB32">
        <f t="shared" si="9"/>
        <v>0.43417987796803559</v>
      </c>
      <c r="AC32">
        <f t="shared" si="9"/>
        <v>0.45087685961867119</v>
      </c>
      <c r="AD32">
        <f t="shared" si="9"/>
        <v>0.46727073122162011</v>
      </c>
      <c r="AE32">
        <f t="shared" si="9"/>
        <v>0.48335430267121804</v>
      </c>
      <c r="AF32">
        <f t="shared" si="9"/>
        <v>0.49912163828877243</v>
      </c>
      <c r="AG32">
        <f t="shared" si="9"/>
        <v>0.51456795024119284</v>
      </c>
      <c r="AH32">
        <f t="shared" si="9"/>
        <v>0.52968950155103456</v>
      </c>
      <c r="AI32">
        <f t="shared" si="9"/>
        <v>0.5444835175090359</v>
      </c>
      <c r="AJ32">
        <f t="shared" si="9"/>
        <v>0.55894810449917554</v>
      </c>
      <c r="AK32">
        <f t="shared" si="9"/>
        <v>0.57308217540539197</v>
      </c>
      <c r="AL32">
        <f t="shared" si="9"/>
        <v>0.58688538089735887</v>
      </c>
      <c r="AM32">
        <f t="shared" si="9"/>
        <v>0.60035804599683884</v>
      </c>
      <c r="AN32">
        <f t="shared" si="9"/>
        <v>0.61350111141127572</v>
      </c>
      <c r="AO32">
        <f t="shared" si="9"/>
        <v>0.62631607919135102</v>
      </c>
      <c r="AP32">
        <f t="shared" si="9"/>
        <v>0.63880496232726458</v>
      </c>
      <c r="AQ32">
        <f t="shared" si="9"/>
        <v>0.65097023794685327</v>
      </c>
      <c r="AR32">
        <f t="shared" si="9"/>
        <v>0.662814803819197</v>
      </c>
      <c r="AS32">
        <f t="shared" si="9"/>
        <v>0.67434193790152452</v>
      </c>
      <c r="AT32">
        <f t="shared" si="9"/>
        <v>0.68555526069619477</v>
      </c>
      <c r="AU32">
        <f t="shared" si="9"/>
        <v>0.69645870020920719</v>
      </c>
      <c r="AV32">
        <f t="shared" si="9"/>
        <v>0.70705645932284311</v>
      </c>
      <c r="AW32">
        <f t="shared" si="9"/>
        <v>0.71735298541324344</v>
      </c>
      <c r="AX32">
        <f t="shared" si="9"/>
        <v>0.72735294205949241</v>
      </c>
      <c r="AY32">
        <f t="shared" si="9"/>
        <v>0.73706118270448795</v>
      </c>
      <c r="AZ32">
        <f t="shared" si="9"/>
        <v>0.74648272613985889</v>
      </c>
      <c r="BA32">
        <f t="shared" si="9"/>
        <v>0.75562273369772837</v>
      </c>
      <c r="BB32">
        <f t="shared" si="9"/>
        <v>0.76448648804140196</v>
      </c>
      <c r="BC32">
        <f t="shared" si="9"/>
        <v>0.77307937345531597</v>
      </c>
      <c r="BD32">
        <f t="shared" si="9"/>
        <v>0.7814068575419082</v>
      </c>
      <c r="BE32">
        <f t="shared" si="9"/>
        <v>0.789474474239658</v>
      </c>
      <c r="BF32">
        <f t="shared" si="9"/>
        <v>0.7972878080824376</v>
      </c>
      <c r="BG32">
        <f t="shared" si="9"/>
        <v>0.8048524796256552</v>
      </c>
      <c r="BH32">
        <f t="shared" si="9"/>
        <v>0.81217413196950039</v>
      </c>
      <c r="BI32">
        <f t="shared" si="9"/>
        <v>0.8192584183140017</v>
      </c>
      <c r="BJ32">
        <f t="shared" si="9"/>
        <v>0.82611099048462411</v>
      </c>
      <c r="BK32">
        <f t="shared" si="9"/>
        <v>0.8327374883708194</v>
      </c>
      <c r="BL32">
        <f t="shared" si="9"/>
        <v>0.83914353022333432</v>
      </c>
      <c r="BM32">
        <f t="shared" si="9"/>
        <v>0.84533470375920883</v>
      </c>
      <c r="BN32">
        <f t="shared" si="9"/>
        <v>0.85131655802630024</v>
      </c>
      <c r="BO32">
        <f t="shared" ref="BO32:BU32" si="10">1-EXP(-(($G9*BO$26)^$C9))</f>
        <v>0.85709459598185966</v>
      </c>
      <c r="BP32">
        <f t="shared" si="10"/>
        <v>0.86267426774219658</v>
      </c>
      <c r="BQ32">
        <f t="shared" si="10"/>
        <v>0.86806096446281167</v>
      </c>
      <c r="BR32">
        <f t="shared" si="10"/>
        <v>0.87326001281056853</v>
      </c>
      <c r="BS32">
        <f t="shared" si="10"/>
        <v>0.87827666999153575</v>
      </c>
      <c r="BT32">
        <f t="shared" si="10"/>
        <v>0.88311611930006295</v>
      </c>
      <c r="BU32">
        <f t="shared" si="10"/>
        <v>0.8877834661564773</v>
      </c>
    </row>
    <row r="33" spans="2:73" x14ac:dyDescent="0.35">
      <c r="B33" t="s">
        <v>32</v>
      </c>
      <c r="C33">
        <f t="shared" ref="C33:BN33" si="11">1-EXP(-(($G10*C$26)^$C10))</f>
        <v>0</v>
      </c>
      <c r="D33">
        <f t="shared" si="11"/>
        <v>3.2710361017206369E-3</v>
      </c>
      <c r="E33">
        <f t="shared" si="11"/>
        <v>1.0743008063662352E-2</v>
      </c>
      <c r="F33">
        <f t="shared" si="11"/>
        <v>2.1469307325642895E-2</v>
      </c>
      <c r="G33">
        <f t="shared" si="11"/>
        <v>3.4981039840806027E-2</v>
      </c>
      <c r="H33">
        <f t="shared" si="11"/>
        <v>5.0935583047708621E-2</v>
      </c>
      <c r="I33">
        <f t="shared" si="11"/>
        <v>6.9048011530093989E-2</v>
      </c>
      <c r="J33">
        <f t="shared" si="11"/>
        <v>8.9065862250202965E-2</v>
      </c>
      <c r="K33">
        <f t="shared" si="11"/>
        <v>0.11075767998781472</v>
      </c>
      <c r="L33">
        <f t="shared" si="11"/>
        <v>0.13390725180618213</v>
      </c>
      <c r="M33">
        <f t="shared" si="11"/>
        <v>0.15831056327792181</v>
      </c>
      <c r="N33">
        <f t="shared" si="11"/>
        <v>0.18377418121866018</v>
      </c>
      <c r="O33">
        <f t="shared" si="11"/>
        <v>0.21011442625097765</v>
      </c>
      <c r="P33">
        <f t="shared" si="11"/>
        <v>0.23715699396004575</v>
      </c>
      <c r="Q33">
        <f t="shared" si="11"/>
        <v>0.26473682946709953</v>
      </c>
      <c r="R33">
        <f t="shared" si="11"/>
        <v>0.29269813820997537</v>
      </c>
      <c r="S33">
        <f t="shared" si="11"/>
        <v>0.32089446002997024</v>
      </c>
      <c r="T33">
        <f t="shared" si="11"/>
        <v>0.34918876021780199</v>
      </c>
      <c r="U33">
        <f t="shared" si="11"/>
        <v>0.37745350782475973</v>
      </c>
      <c r="V33">
        <f t="shared" si="11"/>
        <v>0.40557072240755698</v>
      </c>
      <c r="W33">
        <f t="shared" si="11"/>
        <v>0.43343197770198083</v>
      </c>
      <c r="X33">
        <f t="shared" si="11"/>
        <v>0.46093835580098075</v>
      </c>
      <c r="Y33">
        <f t="shared" si="11"/>
        <v>0.48800034901254785</v>
      </c>
      <c r="Z33">
        <f t="shared" si="11"/>
        <v>0.51453770916090202</v>
      </c>
      <c r="AA33">
        <f t="shared" si="11"/>
        <v>0.54047924596807484</v>
      </c>
      <c r="AB33">
        <f t="shared" si="11"/>
        <v>0.56576257750556591</v>
      </c>
      <c r="AC33">
        <f t="shared" si="11"/>
        <v>0.59033383666754835</v>
      </c>
      <c r="AD33">
        <f t="shared" si="11"/>
        <v>0.61414733827837109</v>
      </c>
      <c r="AE33">
        <f t="shared" si="11"/>
        <v>0.63716521187250885</v>
      </c>
      <c r="AF33">
        <f t="shared" si="11"/>
        <v>0.65935700542254438</v>
      </c>
      <c r="AG33">
        <f t="shared" si="11"/>
        <v>0.68069926537685976</v>
      </c>
      <c r="AH33">
        <f t="shared" si="11"/>
        <v>0.7011750983324454</v>
      </c>
      <c r="AI33">
        <f t="shared" si="11"/>
        <v>0.72077371953315561</v>
      </c>
      <c r="AJ33">
        <f t="shared" si="11"/>
        <v>0.73948999316948338</v>
      </c>
      <c r="AK33">
        <f t="shared" si="11"/>
        <v>0.75732396917921152</v>
      </c>
      <c r="AL33">
        <f t="shared" si="11"/>
        <v>0.774280420923533</v>
      </c>
      <c r="AM33">
        <f t="shared" si="11"/>
        <v>0.79036838775298213</v>
      </c>
      <c r="AN33">
        <f t="shared" si="11"/>
        <v>0.80560072609278599</v>
      </c>
      <c r="AO33">
        <f t="shared" si="11"/>
        <v>0.81999367227765896</v>
      </c>
      <c r="AP33">
        <f t="shared" si="11"/>
        <v>0.83356641996006009</v>
      </c>
      <c r="AQ33">
        <f t="shared" si="11"/>
        <v>0.84634071451079929</v>
      </c>
      <c r="AR33">
        <f t="shared" si="11"/>
        <v>0.85834046643292061</v>
      </c>
      <c r="AS33">
        <f t="shared" si="11"/>
        <v>0.86959138542429937</v>
      </c>
      <c r="AT33">
        <f t="shared" si="11"/>
        <v>0.88012063635582927</v>
      </c>
      <c r="AU33">
        <f t="shared" si="11"/>
        <v>0.88995651808400378</v>
      </c>
      <c r="AV33">
        <f t="shared" si="11"/>
        <v>0.89912816569196352</v>
      </c>
      <c r="AW33">
        <f t="shared" si="11"/>
        <v>0.90766527645377681</v>
      </c>
      <c r="AX33">
        <f t="shared" si="11"/>
        <v>0.91559785954430717</v>
      </c>
      <c r="AY33">
        <f t="shared" si="11"/>
        <v>0.9229560092723571</v>
      </c>
      <c r="AZ33">
        <f t="shared" si="11"/>
        <v>0.92976970139819914</v>
      </c>
      <c r="BA33">
        <f t="shared" si="11"/>
        <v>0.93606861190797397</v>
      </c>
      <c r="BB33">
        <f t="shared" si="11"/>
        <v>0.94188195745621428</v>
      </c>
      <c r="BC33">
        <f t="shared" si="11"/>
        <v>0.94723835655304933</v>
      </c>
      <c r="BD33">
        <f t="shared" si="11"/>
        <v>0.95216571046327669</v>
      </c>
      <c r="BE33">
        <f t="shared" si="11"/>
        <v>0.95669110269905189</v>
      </c>
      <c r="BF33">
        <f t="shared" si="11"/>
        <v>0.96084071592482834</v>
      </c>
      <c r="BG33">
        <f t="shared" si="11"/>
        <v>0.96463976505065974</v>
      </c>
      <c r="BH33">
        <f t="shared" si="11"/>
        <v>0.96811244526622009</v>
      </c>
      <c r="BI33">
        <f t="shared" si="11"/>
        <v>0.97128189376103391</v>
      </c>
      <c r="BJ33">
        <f t="shared" si="11"/>
        <v>0.97417016388453914</v>
      </c>
      <c r="BK33">
        <f t="shared" si="11"/>
        <v>0.97679821052085991</v>
      </c>
      <c r="BL33">
        <f t="shared" si="11"/>
        <v>0.97918588548570906</v>
      </c>
      <c r="BM33">
        <f t="shared" si="11"/>
        <v>0.98135194179489604</v>
      </c>
      <c r="BN33">
        <f t="shared" si="11"/>
        <v>0.98331404570381864</v>
      </c>
      <c r="BO33">
        <f t="shared" ref="BO33:BU33" si="12">1-EXP(-(($G10*BO$26)^$C10))</f>
        <v>0.98508879547346073</v>
      </c>
      <c r="BP33">
        <f t="shared" si="12"/>
        <v>0.98669174587935127</v>
      </c>
      <c r="BQ33">
        <f t="shared" si="12"/>
        <v>0.98813743754429495</v>
      </c>
      <c r="BR33">
        <f t="shared" si="12"/>
        <v>0.9894394302422419</v>
      </c>
      <c r="BS33">
        <f t="shared" si="12"/>
        <v>0.99061033938831455</v>
      </c>
      <c r="BT33">
        <f t="shared" si="12"/>
        <v>0.99166187499778524</v>
      </c>
      <c r="BU33">
        <f t="shared" si="12"/>
        <v>0.99260488246384015</v>
      </c>
    </row>
    <row r="34" spans="2:73" x14ac:dyDescent="0.35">
      <c r="B34" t="s">
        <v>33</v>
      </c>
      <c r="C34">
        <f t="shared" ref="C34:BN34" si="13">1-EXP(-(($G11*C$26)^$C11))</f>
        <v>0</v>
      </c>
      <c r="D34">
        <f t="shared" si="13"/>
        <v>9.5030176580385151E-3</v>
      </c>
      <c r="E34">
        <f t="shared" si="13"/>
        <v>2.3865897627629362E-2</v>
      </c>
      <c r="F34">
        <f t="shared" si="13"/>
        <v>4.0719528671841476E-2</v>
      </c>
      <c r="G34">
        <f t="shared" si="13"/>
        <v>5.9277512076515881E-2</v>
      </c>
      <c r="H34">
        <f t="shared" si="13"/>
        <v>7.9083710542671604E-2</v>
      </c>
      <c r="I34">
        <f t="shared" si="13"/>
        <v>9.982545871354509E-2</v>
      </c>
      <c r="J34">
        <f t="shared" si="13"/>
        <v>0.12126903663998179</v>
      </c>
      <c r="K34">
        <f t="shared" si="13"/>
        <v>0.14323038868648275</v>
      </c>
      <c r="L34">
        <f t="shared" si="13"/>
        <v>0.16555958253268899</v>
      </c>
      <c r="M34">
        <f t="shared" si="13"/>
        <v>0.18813164838017926</v>
      </c>
      <c r="N34">
        <f t="shared" si="13"/>
        <v>0.21084075005746339</v>
      </c>
      <c r="O34">
        <f t="shared" si="13"/>
        <v>0.23359625127429384</v>
      </c>
      <c r="P34">
        <f t="shared" si="13"/>
        <v>0.25631993269938158</v>
      </c>
      <c r="Q34">
        <f t="shared" si="13"/>
        <v>0.27894394520622678</v>
      </c>
      <c r="R34">
        <f t="shared" si="13"/>
        <v>0.30140925455324019</v>
      </c>
      <c r="S34">
        <f t="shared" si="13"/>
        <v>0.32366442608138057</v>
      </c>
      <c r="T34">
        <f t="shared" si="13"/>
        <v>0.34566465199463225</v>
      </c>
      <c r="U34">
        <f t="shared" si="13"/>
        <v>0.36737095640279405</v>
      </c>
      <c r="V34">
        <f t="shared" si="13"/>
        <v>0.38874953375062948</v>
      </c>
      <c r="W34">
        <f t="shared" si="13"/>
        <v>0.40977118948623736</v>
      </c>
      <c r="X34">
        <f t="shared" si="13"/>
        <v>0.43041086062045786</v>
      </c>
      <c r="Y34">
        <f t="shared" si="13"/>
        <v>0.45064719982482382</v>
      </c>
      <c r="Z34">
        <f t="shared" si="13"/>
        <v>0.4704622108893296</v>
      </c>
      <c r="AA34">
        <f t="shared" si="13"/>
        <v>0.48984092632259602</v>
      </c>
      <c r="AB34">
        <f t="shared" si="13"/>
        <v>0.5087711200142262</v>
      </c>
      <c r="AC34">
        <f t="shared" si="13"/>
        <v>0.52724304944551847</v>
      </c>
      <c r="AD34">
        <f t="shared" si="13"/>
        <v>0.5452492230988577</v>
      </c>
      <c r="AE34">
        <f t="shared" si="13"/>
        <v>0.56278418959241816</v>
      </c>
      <c r="AF34">
        <f t="shared" si="13"/>
        <v>0.57984434573423704</v>
      </c>
      <c r="AG34">
        <f t="shared" si="13"/>
        <v>0.59642776120357177</v>
      </c>
      <c r="AH34">
        <f t="shared" si="13"/>
        <v>0.61253401796709539</v>
      </c>
      <c r="AI34">
        <f t="shared" si="13"/>
        <v>0.62816406285124948</v>
      </c>
      <c r="AJ34">
        <f t="shared" si="13"/>
        <v>0.64332007194062868</v>
      </c>
      <c r="AK34">
        <f t="shared" si="13"/>
        <v>0.65800532567086223</v>
      </c>
      <c r="AL34">
        <f t="shared" si="13"/>
        <v>0.6722240936444247</v>
      </c>
      <c r="AM34">
        <f t="shared" si="13"/>
        <v>0.68598152832770753</v>
      </c>
      <c r="AN34">
        <f t="shared" si="13"/>
        <v>0.69928356689396864</v>
      </c>
      <c r="AO34">
        <f t="shared" si="13"/>
        <v>0.7121368405644386</v>
      </c>
      <c r="AP34">
        <f t="shared" si="13"/>
        <v>0.72454859087267698</v>
      </c>
      <c r="AQ34">
        <f t="shared" si="13"/>
        <v>0.73652659233825279</v>
      </c>
      <c r="AR34">
        <f t="shared" si="13"/>
        <v>0.74807908108724885</v>
      </c>
      <c r="AS34">
        <f t="shared" si="13"/>
        <v>0.75921468900080269</v>
      </c>
      <c r="AT34">
        <f t="shared" si="13"/>
        <v>0.76994238301033335</v>
      </c>
      <c r="AU34">
        <f t="shared" si="13"/>
        <v>0.78027140919040927</v>
      </c>
      <c r="AV34">
        <f t="shared" si="13"/>
        <v>0.79021124132829357</v>
      </c>
      <c r="AW34">
        <f t="shared" si="13"/>
        <v>0.79977153367380915</v>
      </c>
      <c r="AX34">
        <f t="shared" si="13"/>
        <v>0.80896207759487482</v>
      </c>
      <c r="AY34">
        <f t="shared" si="13"/>
        <v>0.81779276188335381</v>
      </c>
      <c r="AZ34">
        <f t="shared" si="13"/>
        <v>0.82627353647313173</v>
      </c>
      <c r="BA34">
        <f t="shared" si="13"/>
        <v>0.83441437934789198</v>
      </c>
      <c r="BB34">
        <f t="shared" si="13"/>
        <v>0.84222526643016882</v>
      </c>
      <c r="BC34">
        <f t="shared" si="13"/>
        <v>0.84971614425612407</v>
      </c>
      <c r="BD34">
        <f t="shared" si="13"/>
        <v>0.85689690525229578</v>
      </c>
      <c r="BE34">
        <f t="shared" si="13"/>
        <v>0.86377736544145345</v>
      </c>
      <c r="BF34">
        <f t="shared" si="13"/>
        <v>0.87036724441476998</v>
      </c>
      <c r="BG34">
        <f t="shared" si="13"/>
        <v>0.87667614741690369</v>
      </c>
      <c r="BH34">
        <f t="shared" si="13"/>
        <v>0.88271354939933766</v>
      </c>
      <c r="BI34">
        <f t="shared" si="13"/>
        <v>0.88848878090553252</v>
      </c>
      <c r="BJ34">
        <f t="shared" si="13"/>
        <v>0.89401101565915642</v>
      </c>
      <c r="BK34">
        <f t="shared" si="13"/>
        <v>0.89928925973392848</v>
      </c>
      <c r="BL34">
        <f t="shared" si="13"/>
        <v>0.90433234219046432</v>
      </c>
      <c r="BM34">
        <f t="shared" si="13"/>
        <v>0.90914890707201201</v>
      </c>
      <c r="BN34">
        <f t="shared" si="13"/>
        <v>0.91374740665711085</v>
      </c>
      <c r="BO34">
        <f t="shared" ref="BO34:BU34" si="14">1-EXP(-(($G11*BO$26)^$C11))</f>
        <v>0.91813609587304312</v>
      </c>
      <c r="BP34">
        <f t="shared" si="14"/>
        <v>0.92232302777949093</v>
      </c>
      <c r="BQ34">
        <f t="shared" si="14"/>
        <v>0.9263160500370754</v>
      </c>
      <c r="BR34">
        <f t="shared" si="14"/>
        <v>0.93012280228046751</v>
      </c>
      <c r="BS34">
        <f t="shared" si="14"/>
        <v>0.93375071432052215</v>
      </c>
      <c r="BT34">
        <f t="shared" si="14"/>
        <v>0.93720700510442634</v>
      </c>
      <c r="BU34">
        <f t="shared" si="14"/>
        <v>0.94049868236716638</v>
      </c>
    </row>
    <row r="35" spans="2:73" x14ac:dyDescent="0.35">
      <c r="B35" t="s">
        <v>34</v>
      </c>
      <c r="C35">
        <f t="shared" ref="C35:BN35" si="15">1-EXP(-(($G12*C$26)^$C12))</f>
        <v>0</v>
      </c>
      <c r="D35">
        <f t="shared" si="15"/>
        <v>4.3065987058610311E-4</v>
      </c>
      <c r="E35">
        <f t="shared" si="15"/>
        <v>2.0201648781231762E-3</v>
      </c>
      <c r="F35">
        <f t="shared" si="15"/>
        <v>4.984262250315119E-3</v>
      </c>
      <c r="G35">
        <f t="shared" si="15"/>
        <v>9.4485232344636572E-3</v>
      </c>
      <c r="H35">
        <f t="shared" si="15"/>
        <v>1.5496834361324874E-2</v>
      </c>
      <c r="I35">
        <f t="shared" si="15"/>
        <v>2.3184598797694633E-2</v>
      </c>
      <c r="J35">
        <f t="shared" si="15"/>
        <v>3.2544453578946198E-2</v>
      </c>
      <c r="K35">
        <f t="shared" si="15"/>
        <v>4.3589296159828428E-2</v>
      </c>
      <c r="L35">
        <f t="shared" si="15"/>
        <v>5.6314144688889956E-2</v>
      </c>
      <c r="M35">
        <f t="shared" si="15"/>
        <v>7.0697454828773321E-2</v>
      </c>
      <c r="N35">
        <f t="shared" si="15"/>
        <v>8.6702188329163099E-2</v>
      </c>
      <c r="O35">
        <f t="shared" si="15"/>
        <v>0.10427678705757959</v>
      </c>
      <c r="P35">
        <f t="shared" si="15"/>
        <v>0.12335613690639413</v>
      </c>
      <c r="Q35">
        <f t="shared" si="15"/>
        <v>0.14386256849922008</v>
      </c>
      <c r="R35">
        <f t="shared" si="15"/>
        <v>0.16570691954277172</v>
      </c>
      <c r="S35">
        <f t="shared" si="15"/>
        <v>0.18878966969748179</v>
      </c>
      <c r="T35">
        <f t="shared" si="15"/>
        <v>0.21300214945092721</v>
      </c>
      <c r="U35">
        <f t="shared" si="15"/>
        <v>0.23822781787647462</v>
      </c>
      <c r="V35">
        <f t="shared" si="15"/>
        <v>0.26434359938663832</v>
      </c>
      <c r="W35">
        <f t="shared" si="15"/>
        <v>0.29122126611499877</v>
      </c>
      <c r="X35">
        <f t="shared" si="15"/>
        <v>0.31872885007730667</v>
      </c>
      <c r="Y35">
        <f t="shared" si="15"/>
        <v>0.34673206758960673</v>
      </c>
      <c r="Z35">
        <f t="shared" si="15"/>
        <v>0.37509573744371483</v>
      </c>
      <c r="AA35">
        <f t="shared" si="15"/>
        <v>0.40368517397866144</v>
      </c>
      <c r="AB35">
        <f t="shared" si="15"/>
        <v>0.43236753637891068</v>
      </c>
      <c r="AC35">
        <f t="shared" si="15"/>
        <v>0.46101311622170904</v>
      </c>
      <c r="AD35">
        <f t="shared" si="15"/>
        <v>0.48949654643365337</v>
      </c>
      <c r="AE35">
        <f t="shared" si="15"/>
        <v>0.51769791634552031</v>
      </c>
      <c r="AF35">
        <f t="shared" si="15"/>
        <v>0.5455037793964419</v>
      </c>
      <c r="AG35">
        <f t="shared" si="15"/>
        <v>0.57280804217205938</v>
      </c>
      <c r="AH35">
        <f t="shared" si="15"/>
        <v>0.59951272580184933</v>
      </c>
      <c r="AI35">
        <f t="shared" si="15"/>
        <v>0.62552859322200294</v>
      </c>
      <c r="AJ35">
        <f t="shared" si="15"/>
        <v>0.65077563836519037</v>
      </c>
      <c r="AK35">
        <f t="shared" si="15"/>
        <v>0.67518343590131424</v>
      </c>
      <c r="AL35">
        <f t="shared" si="15"/>
        <v>0.69869135266072735</v>
      </c>
      <c r="AM35">
        <f t="shared" si="15"/>
        <v>0.72124862426418779</v>
      </c>
      <c r="AN35">
        <f t="shared" si="15"/>
        <v>0.74281430270855064</v>
      </c>
      <c r="AO35">
        <f t="shared" si="15"/>
        <v>0.76335708266716629</v>
      </c>
      <c r="AP35">
        <f t="shared" si="15"/>
        <v>0.7828550160203589</v>
      </c>
      <c r="AQ35">
        <f t="shared" si="15"/>
        <v>0.80129512560403515</v>
      </c>
      <c r="AR35">
        <f t="shared" si="15"/>
        <v>0.81867293033231125</v>
      </c>
      <c r="AS35">
        <f t="shared" si="15"/>
        <v>0.83499189470120494</v>
      </c>
      <c r="AT35">
        <f t="shared" si="15"/>
        <v>0.8502628162121717</v>
      </c>
      <c r="AU35">
        <f t="shared" si="15"/>
        <v>0.8645031644725184</v>
      </c>
      <c r="AV35">
        <f t="shared" si="15"/>
        <v>0.87773638564845324</v>
      </c>
      <c r="AW35">
        <f t="shared" si="15"/>
        <v>0.88999118558684209</v>
      </c>
      <c r="AX35">
        <f t="shared" si="15"/>
        <v>0.90130080431076631</v>
      </c>
      <c r="AY35">
        <f t="shared" si="15"/>
        <v>0.91170229376375667</v>
      </c>
      <c r="AZ35">
        <f t="shared" si="15"/>
        <v>0.92123580966374108</v>
      </c>
      <c r="BA35">
        <f t="shared" si="15"/>
        <v>0.92994392716818641</v>
      </c>
      <c r="BB35">
        <f t="shared" si="15"/>
        <v>0.93787098878558961</v>
      </c>
      <c r="BC35">
        <f t="shared" si="15"/>
        <v>0.94506249163407563</v>
      </c>
      <c r="BD35">
        <f t="shared" si="15"/>
        <v>0.95156451978276479</v>
      </c>
      <c r="BE35">
        <f t="shared" si="15"/>
        <v>0.95742322605083419</v>
      </c>
      <c r="BF35">
        <f t="shared" si="15"/>
        <v>0.96268436631466425</v>
      </c>
      <c r="BG35">
        <f t="shared" si="15"/>
        <v>0.96739288811319846</v>
      </c>
      <c r="BH35">
        <f t="shared" si="15"/>
        <v>0.97159257416935618</v>
      </c>
      <c r="BI35">
        <f t="shared" si="15"/>
        <v>0.97532574038015496</v>
      </c>
      <c r="BJ35">
        <f t="shared" si="15"/>
        <v>0.97863298688448197</v>
      </c>
      <c r="BK35">
        <f t="shared" si="15"/>
        <v>0.9815530000049123</v>
      </c>
      <c r="BL35">
        <f t="shared" si="15"/>
        <v>0.98412240218376856</v>
      </c>
      <c r="BM35">
        <f t="shared" si="15"/>
        <v>0.98637564649476772</v>
      </c>
      <c r="BN35">
        <f t="shared" si="15"/>
        <v>0.98834495190735061</v>
      </c>
      <c r="BO35">
        <f t="shared" ref="BO35:BU35" si="16">1-EXP(-(($G12*BO$26)^$C12))</f>
        <v>0.99006027520507944</v>
      </c>
      <c r="BP35">
        <f t="shared" si="16"/>
        <v>0.99154931530360169</v>
      </c>
      <c r="BQ35">
        <f t="shared" si="16"/>
        <v>0.99283754566668225</v>
      </c>
      <c r="BR35">
        <f t="shared" si="16"/>
        <v>0.99394827056824842</v>
      </c>
      <c r="BS35">
        <f t="shared" si="16"/>
        <v>0.99490270108077061</v>
      </c>
      <c r="BT35">
        <f t="shared" si="16"/>
        <v>0.99572004687166071</v>
      </c>
      <c r="BU35">
        <f t="shared" si="16"/>
        <v>0.9964176201456928</v>
      </c>
    </row>
    <row r="36" spans="2:73" x14ac:dyDescent="0.35">
      <c r="B36" t="s">
        <v>35</v>
      </c>
      <c r="C36">
        <f t="shared" ref="C36:BN36" si="17">1-EXP(-(($G13*C$26)^$C13))</f>
        <v>0</v>
      </c>
      <c r="D36">
        <f t="shared" si="17"/>
        <v>2.286365425544501E-4</v>
      </c>
      <c r="E36">
        <f t="shared" si="17"/>
        <v>1.141925661216403E-3</v>
      </c>
      <c r="F36">
        <f t="shared" si="17"/>
        <v>2.9238698949782815E-3</v>
      </c>
      <c r="G36">
        <f t="shared" si="17"/>
        <v>5.692950211362624E-3</v>
      </c>
      <c r="H36">
        <f t="shared" si="17"/>
        <v>9.537299065077387E-3</v>
      </c>
      <c r="I36">
        <f t="shared" si="17"/>
        <v>1.4524830254354471E-2</v>
      </c>
      <c r="J36">
        <f t="shared" si="17"/>
        <v>2.0707703590712279E-2</v>
      </c>
      <c r="K36">
        <f t="shared" si="17"/>
        <v>2.8124652560417185E-2</v>
      </c>
      <c r="L36">
        <f t="shared" si="17"/>
        <v>3.6802329958726343E-2</v>
      </c>
      <c r="M36">
        <f t="shared" si="17"/>
        <v>4.6756155310118452E-2</v>
      </c>
      <c r="N36">
        <f t="shared" si="17"/>
        <v>5.7990899829515108E-2</v>
      </c>
      <c r="O36">
        <f t="shared" si="17"/>
        <v>7.0501136408896659E-2</v>
      </c>
      <c r="P36">
        <f t="shared" si="17"/>
        <v>8.427162889800921E-2</v>
      </c>
      <c r="Q36">
        <f t="shared" si="17"/>
        <v>9.9277706242745789E-2</v>
      </c>
      <c r="R36">
        <f t="shared" si="17"/>
        <v>0.115485650297946</v>
      </c>
      <c r="S36">
        <f t="shared" si="17"/>
        <v>0.13285311565408764</v>
      </c>
      <c r="T36">
        <f t="shared" si="17"/>
        <v>0.15132959282911262</v>
      </c>
      <c r="U36">
        <f t="shared" si="17"/>
        <v>0.17085692123552265</v>
      </c>
      <c r="V36">
        <f t="shared" si="17"/>
        <v>0.19136985465589584</v>
      </c>
      <c r="W36">
        <f t="shared" si="17"/>
        <v>0.2127966791068775</v>
      </c>
      <c r="X36">
        <f t="shared" si="17"/>
        <v>0.23505988068890793</v>
      </c>
      <c r="Y36">
        <f t="shared" si="17"/>
        <v>0.25807685915825174</v>
      </c>
      <c r="Z36">
        <f t="shared" si="17"/>
        <v>0.28176068143223709</v>
      </c>
      <c r="AA36">
        <f t="shared" si="17"/>
        <v>0.30602086799702566</v>
      </c>
      <c r="AB36">
        <f t="shared" si="17"/>
        <v>0.33076420419997721</v>
      </c>
      <c r="AC36">
        <f t="shared" si="17"/>
        <v>0.35589556765832853</v>
      </c>
      <c r="AD36">
        <f t="shared" si="17"/>
        <v>0.38131876249165331</v>
      </c>
      <c r="AE36">
        <f t="shared" si="17"/>
        <v>0.40693735077959214</v>
      </c>
      <c r="AF36">
        <f t="shared" si="17"/>
        <v>0.43265547155149275</v>
      </c>
      <c r="AG36">
        <f t="shared" si="17"/>
        <v>0.45837863772283127</v>
      </c>
      <c r="AH36">
        <f t="shared" si="17"/>
        <v>0.48401450169473748</v>
      </c>
      <c r="AI36">
        <f t="shared" si="17"/>
        <v>0.50947358081537097</v>
      </c>
      <c r="AJ36">
        <f t="shared" si="17"/>
        <v>0.53466993455042744</v>
      </c>
      <c r="AK36">
        <f t="shared" si="17"/>
        <v>0.55952178600716818</v>
      </c>
      <c r="AL36">
        <f t="shared" si="17"/>
        <v>0.58395208138210164</v>
      </c>
      <c r="AM36">
        <f t="shared" si="17"/>
        <v>0.60788898193465468</v>
      </c>
      <c r="AN36">
        <f t="shared" si="17"/>
        <v>0.63126628420400199</v>
      </c>
      <c r="AO36">
        <f t="shared" si="17"/>
        <v>0.65402376535859363</v>
      </c>
      <c r="AP36">
        <f t="shared" si="17"/>
        <v>0.67610745177210929</v>
      </c>
      <c r="AQ36">
        <f t="shared" si="17"/>
        <v>0.69746981012978915</v>
      </c>
      <c r="AR36">
        <f t="shared" si="17"/>
        <v>0.71806986156012531</v>
      </c>
      <c r="AS36">
        <f t="shared" si="17"/>
        <v>0.73787322043467818</v>
      </c>
      <c r="AT36">
        <f t="shared" si="17"/>
        <v>0.75685206056089727</v>
      </c>
      <c r="AU36">
        <f t="shared" si="17"/>
        <v>0.77498501248917073</v>
      </c>
      <c r="AV36">
        <f t="shared" si="17"/>
        <v>0.79225699654831505</v>
      </c>
      <c r="AW36">
        <f t="shared" si="17"/>
        <v>0.8086589969988649</v>
      </c>
      <c r="AX36">
        <f t="shared" si="17"/>
        <v>0.82418778333953724</v>
      </c>
      <c r="AY36">
        <f t="shared" si="17"/>
        <v>0.83884558531128828</v>
      </c>
      <c r="AZ36">
        <f t="shared" si="17"/>
        <v>0.8526397285110856</v>
      </c>
      <c r="BA36">
        <f t="shared" si="17"/>
        <v>0.86558223775298893</v>
      </c>
      <c r="BB36">
        <f t="shared" si="17"/>
        <v>0.87768941539976675</v>
      </c>
      <c r="BC36">
        <f t="shared" si="17"/>
        <v>0.88898140183962826</v>
      </c>
      <c r="BD36">
        <f t="shared" si="17"/>
        <v>0.89948172510802948</v>
      </c>
      <c r="BE36">
        <f t="shared" si="17"/>
        <v>0.90921684636475464</v>
      </c>
      <c r="BF36">
        <f t="shared" si="17"/>
        <v>0.91821570754440607</v>
      </c>
      <c r="BG36">
        <f t="shared" si="17"/>
        <v>0.92650928701852153</v>
      </c>
      <c r="BH36">
        <f t="shared" si="17"/>
        <v>0.93413016855537423</v>
      </c>
      <c r="BI36">
        <f t="shared" si="17"/>
        <v>0.94111212825536406</v>
      </c>
      <c r="BJ36">
        <f t="shared" si="17"/>
        <v>0.94748974349223625</v>
      </c>
      <c r="BK36">
        <f t="shared" si="17"/>
        <v>0.95329802721942969</v>
      </c>
      <c r="BL36">
        <f t="shared" si="17"/>
        <v>0.95857209032224899</v>
      </c>
      <c r="BM36">
        <f t="shared" si="17"/>
        <v>0.9633468340249064</v>
      </c>
      <c r="BN36">
        <f t="shared" si="17"/>
        <v>0.96765667371011244</v>
      </c>
      <c r="BO36">
        <f t="shared" ref="BO36:BU36" si="18">1-EXP(-(($G13*BO$26)^$C13))</f>
        <v>0.97153529488959678</v>
      </c>
      <c r="BP36">
        <f t="shared" si="18"/>
        <v>0.97501544148678121</v>
      </c>
      <c r="BQ36">
        <f t="shared" si="18"/>
        <v>0.97812873606603656</v>
      </c>
      <c r="BR36">
        <f t="shared" si="18"/>
        <v>0.98090553117286539</v>
      </c>
      <c r="BS36">
        <f t="shared" si="18"/>
        <v>0.98337479054039856</v>
      </c>
      <c r="BT36">
        <f t="shared" si="18"/>
        <v>0.9855639985723782</v>
      </c>
      <c r="BU36">
        <f t="shared" si="18"/>
        <v>0.98749909623218113</v>
      </c>
    </row>
    <row r="37" spans="2:73" x14ac:dyDescent="0.35">
      <c r="B37" t="s">
        <v>36</v>
      </c>
      <c r="C37">
        <f t="shared" ref="C37:BN37" si="19">1-EXP(-(($G14*C$26)^$C14))</f>
        <v>0</v>
      </c>
      <c r="D37">
        <f t="shared" si="19"/>
        <v>7.6953780173609765E-3</v>
      </c>
      <c r="E37">
        <f t="shared" si="19"/>
        <v>2.0180362160757248E-2</v>
      </c>
      <c r="F37">
        <f t="shared" si="19"/>
        <v>3.5325629028895356E-2</v>
      </c>
      <c r="G37">
        <f t="shared" si="19"/>
        <v>5.2379337068521048E-2</v>
      </c>
      <c r="H37">
        <f t="shared" si="19"/>
        <v>7.0891698217240617E-2</v>
      </c>
      <c r="I37">
        <f t="shared" si="19"/>
        <v>9.0546440313023058E-2</v>
      </c>
      <c r="J37">
        <f t="shared" si="19"/>
        <v>0.11110168174709767</v>
      </c>
      <c r="K37">
        <f t="shared" si="19"/>
        <v>0.13236286060038294</v>
      </c>
      <c r="L37">
        <f t="shared" si="19"/>
        <v>0.15416828743201871</v>
      </c>
      <c r="M37">
        <f t="shared" si="19"/>
        <v>0.1763806001134548</v>
      </c>
      <c r="N37">
        <f t="shared" si="19"/>
        <v>0.19888131480562432</v>
      </c>
      <c r="O37">
        <f t="shared" si="19"/>
        <v>0.2215671426869773</v>
      </c>
      <c r="P37">
        <f t="shared" si="19"/>
        <v>0.24434738009582935</v>
      </c>
      <c r="Q37">
        <f t="shared" si="19"/>
        <v>0.267141985124283</v>
      </c>
      <c r="R37">
        <f t="shared" si="19"/>
        <v>0.28988011177278106</v>
      </c>
      <c r="S37">
        <f t="shared" si="19"/>
        <v>0.31249895988716381</v>
      </c>
      <c r="T37">
        <f t="shared" si="19"/>
        <v>0.33494284963464194</v>
      </c>
      <c r="U37">
        <f t="shared" si="19"/>
        <v>0.35716245987271122</v>
      </c>
      <c r="V37">
        <f t="shared" si="19"/>
        <v>0.37911418897547922</v>
      </c>
      <c r="W37">
        <f t="shared" si="19"/>
        <v>0.40075960912388364</v>
      </c>
      <c r="X37">
        <f t="shared" si="19"/>
        <v>0.42206499334440495</v>
      </c>
      <c r="Y37">
        <f t="shared" si="19"/>
        <v>0.44300090021948424</v>
      </c>
      <c r="Z37">
        <f t="shared" si="19"/>
        <v>0.46354180511359189</v>
      </c>
      <c r="AA37">
        <f t="shared" si="19"/>
        <v>0.4836657695352049</v>
      </c>
      <c r="AB37">
        <f t="shared" si="19"/>
        <v>0.50335414225289465</v>
      </c>
      <c r="AC37">
        <f t="shared" si="19"/>
        <v>0.52259128724232684</v>
      </c>
      <c r="AD37">
        <f t="shared" si="19"/>
        <v>0.54136433461960864</v>
      </c>
      <c r="AE37">
        <f t="shared" si="19"/>
        <v>0.55966295152329559</v>
      </c>
      <c r="AF37">
        <f t="shared" si="19"/>
        <v>0.57747913051725641</v>
      </c>
      <c r="AG37">
        <f t="shared" si="19"/>
        <v>0.59480699355192823</v>
      </c>
      <c r="AH37">
        <f t="shared" si="19"/>
        <v>0.61164260987958152</v>
      </c>
      <c r="AI37">
        <f t="shared" si="19"/>
        <v>0.62798382659693885</v>
      </c>
      <c r="AJ37">
        <f t="shared" si="19"/>
        <v>0.64383011070545959</v>
      </c>
      <c r="AK37">
        <f t="shared" si="19"/>
        <v>0.65918240175027198</v>
      </c>
      <c r="AL37">
        <f t="shared" si="19"/>
        <v>0.67404297423385184</v>
      </c>
      <c r="AM37">
        <f t="shared" si="19"/>
        <v>0.68841530910821469</v>
      </c>
      <c r="AN37">
        <f t="shared" si="19"/>
        <v>0.70230397373572018</v>
      </c>
      <c r="AO37">
        <f t="shared" si="19"/>
        <v>0.71571450977826812</v>
      </c>
      <c r="AP37">
        <f t="shared" si="19"/>
        <v>0.72865332853128062</v>
      </c>
      <c r="AQ37">
        <f t="shared" si="19"/>
        <v>0.74112761326520982</v>
      </c>
      <c r="AR37">
        <f t="shared" si="19"/>
        <v>0.75314522817553264</v>
      </c>
      <c r="AS37">
        <f t="shared" si="19"/>
        <v>0.76471463357399549</v>
      </c>
      <c r="AT37">
        <f t="shared" si="19"/>
        <v>0.77584480698057712</v>
      </c>
      <c r="AU37">
        <f t="shared" si="19"/>
        <v>0.78654516979828826</v>
      </c>
      <c r="AV37">
        <f t="shared" si="19"/>
        <v>0.7968255192723579</v>
      </c>
      <c r="AW37">
        <f t="shared" si="19"/>
        <v>0.80669596545221189</v>
      </c>
      <c r="AX37">
        <f t="shared" si="19"/>
        <v>0.81616687288945988</v>
      </c>
      <c r="AY37">
        <f t="shared" si="19"/>
        <v>0.8252488068182775</v>
      </c>
      <c r="AZ37">
        <f t="shared" si="19"/>
        <v>0.83395248357643115</v>
      </c>
      <c r="BA37">
        <f t="shared" si="19"/>
        <v>0.84228872503600605</v>
      </c>
      <c r="BB37">
        <f t="shared" si="19"/>
        <v>0.85026841682286836</v>
      </c>
      <c r="BC37">
        <f t="shared" si="19"/>
        <v>0.85790247011318266</v>
      </c>
      <c r="BD37">
        <f t="shared" si="19"/>
        <v>0.86520178680404514</v>
      </c>
      <c r="BE37">
        <f t="shared" si="19"/>
        <v>0.8721772278635872</v>
      </c>
      <c r="BF37">
        <f t="shared" si="19"/>
        <v>0.87883958467382306</v>
      </c>
      <c r="BG37">
        <f t="shared" si="19"/>
        <v>0.8851995531871284</v>
      </c>
      <c r="BH37">
        <f t="shared" si="19"/>
        <v>0.89126771072458866</v>
      </c>
      <c r="BI37">
        <f t="shared" si="19"/>
        <v>0.89705449525157688</v>
      </c>
      <c r="BJ37">
        <f t="shared" si="19"/>
        <v>0.90257018697284741</v>
      </c>
      <c r="BK37">
        <f t="shared" si="19"/>
        <v>0.90782489209617467</v>
      </c>
      <c r="BL37">
        <f t="shared" si="19"/>
        <v>0.91282852862013975</v>
      </c>
      <c r="BM37">
        <f t="shared" si="19"/>
        <v>0.91759081400808551</v>
      </c>
      <c r="BN37">
        <f t="shared" si="19"/>
        <v>0.92212125461653094</v>
      </c>
      <c r="BO37">
        <f t="shared" ref="BO37:BU37" si="20">1-EXP(-(($G14*BO$26)^$C14))</f>
        <v>0.92642913675244132</v>
      </c>
      <c r="BP37">
        <f t="shared" si="20"/>
        <v>0.93052351923972942</v>
      </c>
      <c r="BQ37">
        <f t="shared" si="20"/>
        <v>0.93441322738117416</v>
      </c>
      <c r="BR37">
        <f t="shared" si="20"/>
        <v>0.93810684820762003</v>
      </c>
      <c r="BS37">
        <f t="shared" si="20"/>
        <v>0.94161272691183262</v>
      </c>
      <c r="BT37">
        <f t="shared" si="20"/>
        <v>0.94493896436976099</v>
      </c>
      <c r="BU37">
        <f t="shared" si="20"/>
        <v>0.94809341565716188</v>
      </c>
    </row>
    <row r="38" spans="2:73" x14ac:dyDescent="0.35">
      <c r="B38" t="s">
        <v>37</v>
      </c>
      <c r="C38">
        <f t="shared" ref="C38:BN38" si="21">1-EXP(-(($G15*C$26)^$C15))</f>
        <v>0</v>
      </c>
      <c r="D38">
        <f t="shared" si="21"/>
        <v>4.0436337383380483E-2</v>
      </c>
      <c r="E38">
        <f t="shared" si="21"/>
        <v>8.2679037905410091E-2</v>
      </c>
      <c r="F38">
        <f t="shared" si="21"/>
        <v>0.12440345530805097</v>
      </c>
      <c r="G38">
        <f t="shared" si="21"/>
        <v>0.16508442600713213</v>
      </c>
      <c r="H38">
        <f t="shared" si="21"/>
        <v>0.20449233200146821</v>
      </c>
      <c r="I38">
        <f t="shared" si="21"/>
        <v>0.24251525847370536</v>
      </c>
      <c r="J38">
        <f t="shared" si="21"/>
        <v>0.27910125527064999</v>
      </c>
      <c r="K38">
        <f t="shared" si="21"/>
        <v>0.31423309561810853</v>
      </c>
      <c r="L38">
        <f t="shared" si="21"/>
        <v>0.34791523667257296</v>
      </c>
      <c r="M38">
        <f t="shared" si="21"/>
        <v>0.3801663101141427</v>
      </c>
      <c r="N38">
        <f t="shared" si="21"/>
        <v>0.41101445509100754</v>
      </c>
      <c r="O38">
        <f t="shared" si="21"/>
        <v>0.44049425135621301</v>
      </c>
      <c r="P38">
        <f t="shared" si="21"/>
        <v>0.4686446178344581</v>
      </c>
      <c r="Q38">
        <f t="shared" si="21"/>
        <v>0.49550732619067961</v>
      </c>
      <c r="R38">
        <f t="shared" si="21"/>
        <v>0.52112592366652544</v>
      </c>
      <c r="S38">
        <f t="shared" si="21"/>
        <v>0.54554493817345073</v>
      </c>
      <c r="T38">
        <f t="shared" si="21"/>
        <v>0.56880928387769014</v>
      </c>
      <c r="U38">
        <f t="shared" si="21"/>
        <v>0.59096381274226784</v>
      </c>
      <c r="V38">
        <f t="shared" si="21"/>
        <v>0.61205297453309981</v>
      </c>
      <c r="W38">
        <f t="shared" si="21"/>
        <v>0.63212055882855767</v>
      </c>
      <c r="X38">
        <f t="shared" si="21"/>
        <v>0.65120949992751065</v>
      </c>
      <c r="Y38">
        <f t="shared" si="21"/>
        <v>0.6693617305840337</v>
      </c>
      <c r="Z38">
        <f t="shared" si="21"/>
        <v>0.6866180740211838</v>
      </c>
      <c r="AA38">
        <f t="shared" si="21"/>
        <v>0.70301816619507751</v>
      </c>
      <c r="AB38">
        <f t="shared" si="21"/>
        <v>0.71860040211424892</v>
      </c>
      <c r="AC38">
        <f t="shared" si="21"/>
        <v>0.7334019013766131</v>
      </c>
      <c r="AD38">
        <f t="shared" si="21"/>
        <v>0.74745848910623991</v>
      </c>
      <c r="AE38">
        <f t="shared" si="21"/>
        <v>0.76080468924896472</v>
      </c>
      <c r="AF38">
        <f t="shared" si="21"/>
        <v>0.77347372778488532</v>
      </c>
      <c r="AG38">
        <f t="shared" si="21"/>
        <v>0.78549754388292925</v>
      </c>
      <c r="AH38">
        <f t="shared" si="21"/>
        <v>0.79690680739069142</v>
      </c>
      <c r="AI38">
        <f t="shared" si="21"/>
        <v>0.80773094134537793</v>
      </c>
      <c r="AJ38">
        <f t="shared" si="21"/>
        <v>0.8179981484263521</v>
      </c>
      <c r="AK38">
        <f t="shared" si="21"/>
        <v>0.82773544045940195</v>
      </c>
      <c r="AL38">
        <f t="shared" si="21"/>
        <v>0.83696867023714283</v>
      </c>
      <c r="AM38">
        <f t="shared" si="21"/>
        <v>0.84572256504630394</v>
      </c>
      <c r="AN38">
        <f t="shared" si="21"/>
        <v>0.85402076139668581</v>
      </c>
      <c r="AO38">
        <f t="shared" si="21"/>
        <v>0.8618858405326798</v>
      </c>
      <c r="AP38">
        <f t="shared" si="21"/>
        <v>0.86933936437982717</v>
      </c>
      <c r="AQ38">
        <f t="shared" si="21"/>
        <v>0.87640191163865722</v>
      </c>
      <c r="AR38">
        <f t="shared" si="21"/>
        <v>0.88309311378810351</v>
      </c>
      <c r="AS38">
        <f t="shared" si="21"/>
        <v>0.88943169080285789</v>
      </c>
      <c r="AT38">
        <f t="shared" si="21"/>
        <v>0.89543548642446447</v>
      </c>
      <c r="AU38">
        <f t="shared" si="21"/>
        <v>0.90112150285586368</v>
      </c>
      <c r="AV38">
        <f t="shared" si="21"/>
        <v>0.90650593477440145</v>
      </c>
      <c r="AW38">
        <f t="shared" si="21"/>
        <v>0.91160420257974151</v>
      </c>
      <c r="AX38">
        <f t="shared" si="21"/>
        <v>0.91643098481126439</v>
      </c>
      <c r="AY38">
        <f t="shared" si="21"/>
        <v>0.92100024968493688</v>
      </c>
      <c r="AZ38">
        <f t="shared" si="21"/>
        <v>0.92532528571266648</v>
      </c>
      <c r="BA38">
        <f t="shared" si="21"/>
        <v>0.9294187313782144</v>
      </c>
      <c r="BB38">
        <f t="shared" si="21"/>
        <v>0.93329260385307677</v>
      </c>
      <c r="BC38">
        <f t="shared" si="21"/>
        <v>0.93695832674364299</v>
      </c>
      <c r="BD38">
        <f t="shared" si="21"/>
        <v>0.9404267568675827</v>
      </c>
      <c r="BE38">
        <f t="shared" si="21"/>
        <v>0.94370821006298944</v>
      </c>
      <c r="BF38">
        <f t="shared" si="21"/>
        <v>0.94681248603847801</v>
      </c>
      <c r="BG38">
        <f t="shared" si="21"/>
        <v>0.94974889227629455</v>
      </c>
      <c r="BH38">
        <f t="shared" si="21"/>
        <v>0.95252626700370446</v>
      </c>
      <c r="BI38">
        <f t="shared" si="21"/>
        <v>0.95515300125052682</v>
      </c>
      <c r="BJ38">
        <f t="shared" si="21"/>
        <v>0.95763706001279514</v>
      </c>
      <c r="BK38">
        <f t="shared" si="21"/>
        <v>0.95998600254420485</v>
      </c>
      <c r="BL38">
        <f t="shared" si="21"/>
        <v>0.96220700179830632</v>
      </c>
      <c r="BM38">
        <f t="shared" si="21"/>
        <v>0.9643068630453927</v>
      </c>
      <c r="BN38">
        <f t="shared" si="21"/>
        <v>0.96629204168874105</v>
      </c>
      <c r="BO38">
        <f t="shared" ref="BO38:BU38" si="22">1-EXP(-(($G15*BO$26)^$C15))</f>
        <v>0.96816866030534021</v>
      </c>
      <c r="BP38">
        <f t="shared" si="22"/>
        <v>0.96994252493651767</v>
      </c>
      <c r="BQ38">
        <f t="shared" si="22"/>
        <v>0.97161914065397537</v>
      </c>
      <c r="BR38">
        <f t="shared" si="22"/>
        <v>0.97320372642670872</v>
      </c>
      <c r="BS38">
        <f t="shared" si="22"/>
        <v>0.97470122931411463</v>
      </c>
      <c r="BT38">
        <f t="shared" si="22"/>
        <v>0.97611633801032582</v>
      </c>
      <c r="BU38">
        <f t="shared" si="22"/>
        <v>0.97745349576445428</v>
      </c>
    </row>
    <row r="39" spans="2:73" x14ac:dyDescent="0.35">
      <c r="B39" t="s">
        <v>38</v>
      </c>
      <c r="C39">
        <f t="shared" ref="C39:BN39" si="23">1-EXP(-(($G16*C$26)^$C16))</f>
        <v>0</v>
      </c>
      <c r="D39">
        <f t="shared" si="23"/>
        <v>1.7189662041358744E-2</v>
      </c>
      <c r="E39">
        <f t="shared" si="23"/>
        <v>4.4666533921239537E-2</v>
      </c>
      <c r="F39">
        <f t="shared" si="23"/>
        <v>7.7387293945463287E-2</v>
      </c>
      <c r="G39">
        <f t="shared" si="23"/>
        <v>0.11345402826351725</v>
      </c>
      <c r="H39">
        <f t="shared" si="23"/>
        <v>0.15168905640138219</v>
      </c>
      <c r="I39">
        <f t="shared" si="23"/>
        <v>0.19125126952506011</v>
      </c>
      <c r="J39">
        <f t="shared" si="23"/>
        <v>0.2314995193463848</v>
      </c>
      <c r="K39">
        <f t="shared" si="23"/>
        <v>0.27192855264814775</v>
      </c>
      <c r="L39">
        <f t="shared" si="23"/>
        <v>0.3121335771490682</v>
      </c>
      <c r="M39">
        <f t="shared" si="23"/>
        <v>0.35178825585629692</v>
      </c>
      <c r="N39">
        <f t="shared" si="23"/>
        <v>0.39062978815128491</v>
      </c>
      <c r="O39">
        <f t="shared" si="23"/>
        <v>0.42844807831787413</v>
      </c>
      <c r="P39">
        <f t="shared" si="23"/>
        <v>0.46507743750946595</v>
      </c>
      <c r="Q39">
        <f t="shared" si="23"/>
        <v>0.50038995571522649</v>
      </c>
      <c r="R39">
        <f t="shared" si="23"/>
        <v>0.53429003637328132</v>
      </c>
      <c r="S39">
        <f t="shared" si="23"/>
        <v>0.56670978122489979</v>
      </c>
      <c r="T39">
        <f t="shared" si="23"/>
        <v>0.59760502497562884</v>
      </c>
      <c r="U39">
        <f t="shared" si="23"/>
        <v>0.62695188620542153</v>
      </c>
      <c r="V39">
        <f t="shared" si="23"/>
        <v>0.6547437422239244</v>
      </c>
      <c r="W39">
        <f t="shared" si="23"/>
        <v>0.68098856171948519</v>
      </c>
      <c r="X39">
        <f t="shared" si="23"/>
        <v>0.70570654602746652</v>
      </c>
      <c r="Y39">
        <f t="shared" si="23"/>
        <v>0.7289280411047665</v>
      </c>
      <c r="Z39">
        <f t="shared" si="23"/>
        <v>0.75069168992498869</v>
      </c>
      <c r="AA39">
        <f t="shared" si="23"/>
        <v>0.77104280028803474</v>
      </c>
      <c r="AB39">
        <f t="shared" si="23"/>
        <v>0.79003190678016755</v>
      </c>
      <c r="AC39">
        <f t="shared" si="23"/>
        <v>0.80771350834685851</v>
      </c>
      <c r="AD39">
        <f t="shared" si="23"/>
        <v>0.82414496499038681</v>
      </c>
      <c r="AE39">
        <f t="shared" si="23"/>
        <v>0.83938553870071742</v>
      </c>
      <c r="AF39">
        <f t="shared" si="23"/>
        <v>0.85349556501976798</v>
      </c>
      <c r="AG39">
        <f t="shared" si="23"/>
        <v>0.86653574272436862</v>
      </c>
      <c r="AH39">
        <f t="shared" si="23"/>
        <v>0.87856653005747121</v>
      </c>
      <c r="AI39">
        <f t="shared" si="23"/>
        <v>0.88964763678378123</v>
      </c>
      <c r="AJ39">
        <f t="shared" si="23"/>
        <v>0.89983760212320696</v>
      </c>
      <c r="AK39">
        <f t="shared" si="23"/>
        <v>0.90919344934151436</v>
      </c>
      <c r="AL39">
        <f t="shared" si="23"/>
        <v>0.91777040846362179</v>
      </c>
      <c r="AM39">
        <f t="shared" si="23"/>
        <v>0.92562169922781834</v>
      </c>
      <c r="AN39">
        <f t="shared" si="23"/>
        <v>0.93279836702256524</v>
      </c>
      <c r="AO39">
        <f t="shared" si="23"/>
        <v>0.93934916514326183</v>
      </c>
      <c r="AP39">
        <f t="shared" si="23"/>
        <v>0.94532047727505952</v>
      </c>
      <c r="AQ39">
        <f t="shared" si="23"/>
        <v>0.95075627464944745</v>
      </c>
      <c r="AR39">
        <f t="shared" si="23"/>
        <v>0.95569810283657453</v>
      </c>
      <c r="AS39">
        <f t="shared" si="23"/>
        <v>0.96018509362167137</v>
      </c>
      <c r="AT39">
        <f t="shared" si="23"/>
        <v>0.96425399787209609</v>
      </c>
      <c r="AU39">
        <f t="shared" si="23"/>
        <v>0.96793923573124618</v>
      </c>
      <c r="AV39">
        <f t="shared" si="23"/>
        <v>0.97127296087678927</v>
      </c>
      <c r="AW39">
        <f t="shared" si="23"/>
        <v>0.9742851359535657</v>
      </c>
      <c r="AX39">
        <f t="shared" si="23"/>
        <v>0.97700361663650326</v>
      </c>
      <c r="AY39">
        <f t="shared" si="23"/>
        <v>0.97945424209655707</v>
      </c>
      <c r="AZ39">
        <f t="shared" si="23"/>
        <v>0.98166092993383414</v>
      </c>
      <c r="BA39">
        <f t="shared" si="23"/>
        <v>0.98364577390764507</v>
      </c>
      <c r="BB39">
        <f t="shared" si="23"/>
        <v>0.98542914303430618</v>
      </c>
      <c r="BC39">
        <f t="shared" si="23"/>
        <v>0.98702978084130499</v>
      </c>
      <c r="BD39">
        <f t="shared" si="23"/>
        <v>0.98846490376219065</v>
      </c>
      <c r="BE39">
        <f t="shared" si="23"/>
        <v>0.98975029783159807</v>
      </c>
      <c r="BF39">
        <f t="shared" si="23"/>
        <v>0.99090041299549636</v>
      </c>
      <c r="BG39">
        <f t="shared" si="23"/>
        <v>0.99192845448945399</v>
      </c>
      <c r="BH39">
        <f t="shared" si="23"/>
        <v>0.99284647085877709</v>
      </c>
      <c r="BI39">
        <f t="shared" si="23"/>
        <v>0.99366543830014886</v>
      </c>
      <c r="BJ39">
        <f t="shared" si="23"/>
        <v>0.99439534109618211</v>
      </c>
      <c r="BK39">
        <f t="shared" si="23"/>
        <v>0.99504524799333538</v>
      </c>
      <c r="BL39">
        <f t="shared" si="23"/>
        <v>0.99562338444116238</v>
      </c>
      <c r="BM39">
        <f t="shared" si="23"/>
        <v>0.9961372006679805</v>
      </c>
      <c r="BN39">
        <f t="shared" si="23"/>
        <v>0.99659343561586011</v>
      </c>
      <c r="BO39">
        <f t="shared" ref="BO39:BU39" si="24">1-EXP(-(($G16*BO$26)^$C16))</f>
        <v>0.99699817679734271</v>
      </c>
      <c r="BP39">
        <f t="shared" si="24"/>
        <v>0.99735691616845246</v>
      </c>
      <c r="BQ39">
        <f t="shared" si="24"/>
        <v>0.99767460213822823</v>
      </c>
      <c r="BR39">
        <f t="shared" si="24"/>
        <v>0.99795568785498823</v>
      </c>
      <c r="BS39">
        <f t="shared" si="24"/>
        <v>0.99820417592457544</v>
      </c>
      <c r="BT39">
        <f t="shared" si="24"/>
        <v>0.99842365972659286</v>
      </c>
      <c r="BU39">
        <f t="shared" si="24"/>
        <v>0.99861736150173053</v>
      </c>
    </row>
    <row r="40" spans="2:73" x14ac:dyDescent="0.35">
      <c r="B40" t="s">
        <v>39</v>
      </c>
      <c r="C40">
        <f t="shared" ref="C40:BN40" si="25">1-EXP(-(($G17*C$26)^$C17))</f>
        <v>0</v>
      </c>
      <c r="D40">
        <f t="shared" si="25"/>
        <v>2.1388034483053708E-2</v>
      </c>
      <c r="E40">
        <f t="shared" si="25"/>
        <v>4.3129822782738914E-2</v>
      </c>
      <c r="F40">
        <f t="shared" si="25"/>
        <v>6.4698552236643891E-2</v>
      </c>
      <c r="G40">
        <f t="shared" si="25"/>
        <v>8.5980280858848124E-2</v>
      </c>
      <c r="H40">
        <f t="shared" si="25"/>
        <v>0.10692370073557311</v>
      </c>
      <c r="I40">
        <f t="shared" si="25"/>
        <v>0.12750157677069163</v>
      </c>
      <c r="J40">
        <f t="shared" si="25"/>
        <v>0.14769867608334308</v>
      </c>
      <c r="K40">
        <f t="shared" si="25"/>
        <v>0.16750665622617067</v>
      </c>
      <c r="L40">
        <f t="shared" si="25"/>
        <v>0.18692149899743482</v>
      </c>
      <c r="M40">
        <f t="shared" si="25"/>
        <v>0.2059420696624803</v>
      </c>
      <c r="N40">
        <f t="shared" si="25"/>
        <v>0.22456924076334639</v>
      </c>
      <c r="O40">
        <f t="shared" si="25"/>
        <v>0.24280532629816798</v>
      </c>
      <c r="P40">
        <f t="shared" si="25"/>
        <v>0.26065369883393963</v>
      </c>
      <c r="Q40">
        <f t="shared" si="25"/>
        <v>0.27811852054251229</v>
      </c>
      <c r="R40">
        <f t="shared" si="25"/>
        <v>0.29520454842371557</v>
      </c>
      <c r="S40">
        <f t="shared" si="25"/>
        <v>0.31191698966038373</v>
      </c>
      <c r="T40">
        <f t="shared" si="25"/>
        <v>0.32826139192239123</v>
      </c>
      <c r="U40">
        <f t="shared" si="25"/>
        <v>0.34424355869203316</v>
      </c>
      <c r="V40">
        <f t="shared" si="25"/>
        <v>0.35986948291933329</v>
      </c>
      <c r="W40">
        <f t="shared" si="25"/>
        <v>0.37514529437671751</v>
      </c>
      <c r="X40">
        <f t="shared" si="25"/>
        <v>0.39007721743371759</v>
      </c>
      <c r="Y40">
        <f t="shared" si="25"/>
        <v>0.4046715368813445</v>
      </c>
      <c r="Z40">
        <f t="shared" si="25"/>
        <v>0.41893457006131896</v>
      </c>
      <c r="AA40">
        <f t="shared" si="25"/>
        <v>0.43287264399467629</v>
      </c>
      <c r="AB40">
        <f t="shared" si="25"/>
        <v>0.44649207651849798</v>
      </c>
      <c r="AC40">
        <f t="shared" si="25"/>
        <v>0.4597991606680244</v>
      </c>
      <c r="AD40">
        <f t="shared" si="25"/>
        <v>0.47280015171006573</v>
      </c>
      <c r="AE40">
        <f t="shared" si="25"/>
        <v>0.48550125635985242</v>
      </c>
      <c r="AF40">
        <f t="shared" si="25"/>
        <v>0.49790862380910716</v>
      </c>
      <c r="AG40">
        <f t="shared" si="25"/>
        <v>0.51002833826643768</v>
      </c>
      <c r="AH40">
        <f t="shared" si="25"/>
        <v>0.52186641276795442</v>
      </c>
      <c r="AI40">
        <f t="shared" si="25"/>
        <v>0.53342878406046346</v>
      </c>
      <c r="AJ40">
        <f t="shared" si="25"/>
        <v>0.54472130839468069</v>
      </c>
      <c r="AK40">
        <f t="shared" si="25"/>
        <v>0.55574975809386573</v>
      </c>
      <c r="AL40">
        <f t="shared" si="25"/>
        <v>0.5665198187857079</v>
      </c>
      <c r="AM40">
        <f t="shared" si="25"/>
        <v>0.5770370872034476</v>
      </c>
      <c r="AN40">
        <f t="shared" si="25"/>
        <v>0.58730706947699218</v>
      </c>
      <c r="AO40">
        <f t="shared" si="25"/>
        <v>0.59733517984689821</v>
      </c>
      <c r="AP40">
        <f t="shared" si="25"/>
        <v>0.60712673974408993</v>
      </c>
      <c r="AQ40">
        <f t="shared" si="25"/>
        <v>0.61668697718646359</v>
      </c>
      <c r="AR40">
        <f t="shared" si="25"/>
        <v>0.62602102645045155</v>
      </c>
      <c r="AS40">
        <f t="shared" si="25"/>
        <v>0.63513392798140722</v>
      </c>
      <c r="AT40">
        <f t="shared" si="25"/>
        <v>0.64403062851156445</v>
      </c>
      <c r="AU40">
        <f t="shared" si="25"/>
        <v>0.65271598135845199</v>
      </c>
      <c r="AV40">
        <f t="shared" si="25"/>
        <v>0.66119474688016344</v>
      </c>
      <c r="AW40">
        <f t="shared" si="25"/>
        <v>0.6694715930668762</v>
      </c>
      <c r="AX40">
        <f t="shared" si="25"/>
        <v>0.67755109625059207</v>
      </c>
      <c r="AY40">
        <f t="shared" si="25"/>
        <v>0.68543774191727413</v>
      </c>
      <c r="AZ40">
        <f t="shared" si="25"/>
        <v>0.69313592560747084</v>
      </c>
      <c r="BA40">
        <f t="shared" si="25"/>
        <v>0.70064995389316675</v>
      </c>
      <c r="BB40">
        <f t="shared" si="25"/>
        <v>0.70798404542003601</v>
      </c>
      <c r="BC40">
        <f t="shared" si="25"/>
        <v>0.71514233200552768</v>
      </c>
      <c r="BD40">
        <f t="shared" si="25"/>
        <v>0.72212885978430541</v>
      </c>
      <c r="BE40">
        <f t="shared" si="25"/>
        <v>0.72894759039352053</v>
      </c>
      <c r="BF40">
        <f t="shared" si="25"/>
        <v>0.73560240219124273</v>
      </c>
      <c r="BG40">
        <f t="shared" si="25"/>
        <v>0.74209709150211034</v>
      </c>
      <c r="BH40">
        <f t="shared" si="25"/>
        <v>0.74843537388492165</v>
      </c>
      <c r="BI40">
        <f t="shared" si="25"/>
        <v>0.75462088541746386</v>
      </c>
      <c r="BJ40">
        <f t="shared" si="25"/>
        <v>0.76065718399439075</v>
      </c>
      <c r="BK40">
        <f t="shared" si="25"/>
        <v>0.76654775063441782</v>
      </c>
      <c r="BL40">
        <f t="shared" si="25"/>
        <v>0.77229599079350819</v>
      </c>
      <c r="BM40">
        <f t="shared" si="25"/>
        <v>0.77790523568108405</v>
      </c>
      <c r="BN40">
        <f t="shared" si="25"/>
        <v>0.78337874357662418</v>
      </c>
      <c r="BO40">
        <f t="shared" ref="BO40:BU40" si="26">1-EXP(-(($G17*BO$26)^$C17))</f>
        <v>0.78871970114429202</v>
      </c>
      <c r="BP40">
        <f t="shared" si="26"/>
        <v>0.79393122474350375</v>
      </c>
      <c r="BQ40">
        <f t="shared" si="26"/>
        <v>0.79901636173357427</v>
      </c>
      <c r="BR40">
        <f t="shared" si="26"/>
        <v>0.8039780917707865</v>
      </c>
      <c r="BS40">
        <f t="shared" si="26"/>
        <v>0.80881932809642121</v>
      </c>
      <c r="BT40">
        <f t="shared" si="26"/>
        <v>0.81354291881444873</v>
      </c>
      <c r="BU40">
        <f t="shared" si="26"/>
        <v>0.81815164815773878</v>
      </c>
    </row>
    <row r="41" spans="2:73" x14ac:dyDescent="0.35">
      <c r="B41" t="s">
        <v>40</v>
      </c>
      <c r="C41">
        <f t="shared" ref="C41:BN42" si="27">1-EXP(-(($G18*C$26)^$C18))</f>
        <v>0</v>
      </c>
      <c r="D41">
        <f t="shared" si="27"/>
        <v>1.3804104672058948E-2</v>
      </c>
      <c r="E41">
        <f t="shared" si="27"/>
        <v>3.4062531878760405E-2</v>
      </c>
      <c r="F41">
        <f t="shared" si="27"/>
        <v>5.7423614823430613E-2</v>
      </c>
      <c r="G41">
        <f t="shared" si="27"/>
        <v>8.2777199871442941E-2</v>
      </c>
      <c r="H41">
        <f t="shared" si="27"/>
        <v>0.1094790309146324</v>
      </c>
      <c r="I41">
        <f t="shared" si="27"/>
        <v>0.13708906300653434</v>
      </c>
      <c r="J41">
        <f t="shared" si="27"/>
        <v>0.16528101105762016</v>
      </c>
      <c r="K41">
        <f t="shared" si="27"/>
        <v>0.1938011284576876</v>
      </c>
      <c r="L41">
        <f t="shared" si="27"/>
        <v>0.2224461679950791</v>
      </c>
      <c r="M41">
        <f t="shared" si="27"/>
        <v>0.251050258669264</v>
      </c>
      <c r="N41">
        <f t="shared" si="27"/>
        <v>0.27947644927203408</v>
      </c>
      <c r="O41">
        <f t="shared" si="27"/>
        <v>0.30761091617275182</v>
      </c>
      <c r="P41">
        <f t="shared" si="27"/>
        <v>0.33535879743377306</v>
      </c>
      <c r="Q41">
        <f t="shared" si="27"/>
        <v>0.36264107457867445</v>
      </c>
      <c r="R41">
        <f t="shared" si="27"/>
        <v>0.38939216002335197</v>
      </c>
      <c r="S41">
        <f t="shared" si="27"/>
        <v>0.41555797818765472</v>
      </c>
      <c r="T41">
        <f t="shared" si="27"/>
        <v>0.44109440353444451</v>
      </c>
      <c r="U41">
        <f t="shared" si="27"/>
        <v>0.4659659642509244</v>
      </c>
      <c r="V41">
        <f t="shared" si="27"/>
        <v>0.49014474880172521</v>
      </c>
      <c r="W41">
        <f t="shared" si="27"/>
        <v>0.51360947104332633</v>
      </c>
      <c r="X41">
        <f t="shared" si="27"/>
        <v>0.53634466187552099</v>
      </c>
      <c r="Y41">
        <f t="shared" si="27"/>
        <v>0.55833996378422635</v>
      </c>
      <c r="Z41">
        <f t="shared" si="27"/>
        <v>0.57958951046876228</v>
      </c>
      <c r="AA41">
        <f t="shared" si="27"/>
        <v>0.60009137789552369</v>
      </c>
      <c r="AB41">
        <f t="shared" si="27"/>
        <v>0.61984709612033306</v>
      </c>
      <c r="AC41">
        <f t="shared" si="27"/>
        <v>0.63886121342695767</v>
      </c>
      <c r="AD41">
        <f t="shared" si="27"/>
        <v>0.65714090597447739</v>
      </c>
      <c r="AE41">
        <f t="shared" si="27"/>
        <v>0.674695627390962</v>
      </c>
      <c r="AF41">
        <f t="shared" si="27"/>
        <v>0.6915367937052932</v>
      </c>
      <c r="AG41">
        <f t="shared" si="27"/>
        <v>0.70767749975007099</v>
      </c>
      <c r="AH41">
        <f t="shared" si="27"/>
        <v>0.72313226375112494</v>
      </c>
      <c r="AI41">
        <f t="shared" si="27"/>
        <v>0.73791679728264337</v>
      </c>
      <c r="AJ41">
        <f t="shared" si="27"/>
        <v>0.75204779813999112</v>
      </c>
      <c r="AK41">
        <f t="shared" si="27"/>
        <v>0.76554276398605614</v>
      </c>
      <c r="AL41">
        <f t="shared" si="27"/>
        <v>0.7784198248771077</v>
      </c>
      <c r="AM41">
        <f t="shared" si="27"/>
        <v>0.79069759298243658</v>
      </c>
      <c r="AN41">
        <f t="shared" si="27"/>
        <v>0.80239502798738782</v>
      </c>
      <c r="AO41">
        <f t="shared" si="27"/>
        <v>0.8135313168185524</v>
      </c>
      <c r="AP41">
        <f t="shared" si="27"/>
        <v>0.82412576645808255</v>
      </c>
      <c r="AQ41">
        <f t="shared" si="27"/>
        <v>0.83419770872534083</v>
      </c>
      <c r="AR41">
        <f t="shared" si="27"/>
        <v>0.84376641600154156</v>
      </c>
      <c r="AS41">
        <f t="shared" si="27"/>
        <v>0.85285102695912252</v>
      </c>
      <c r="AT41">
        <f t="shared" si="27"/>
        <v>0.8614704814342431</v>
      </c>
      <c r="AU41">
        <f t="shared" si="27"/>
        <v>0.8696434636495689</v>
      </c>
      <c r="AV41">
        <f t="shared" si="27"/>
        <v>0.87738835305658358</v>
      </c>
      <c r="AW41">
        <f t="shared" si="27"/>
        <v>0.88472318212305412</v>
      </c>
      <c r="AX41">
        <f t="shared" si="27"/>
        <v>0.89166560044274468</v>
      </c>
      <c r="AY41">
        <f t="shared" si="27"/>
        <v>0.89823284459167463</v>
      </c>
      <c r="AZ41">
        <f t="shared" si="27"/>
        <v>0.90444171319865707</v>
      </c>
      <c r="BA41">
        <f t="shared" si="27"/>
        <v>0.91030854673798012</v>
      </c>
      <c r="BB41">
        <f t="shared" si="27"/>
        <v>0.91584921158924804</v>
      </c>
      <c r="BC41">
        <f t="shared" si="27"/>
        <v>0.9210790879438796</v>
      </c>
      <c r="BD41">
        <f t="shared" si="27"/>
        <v>0.9260130611698274</v>
      </c>
      <c r="BE41">
        <f t="shared" si="27"/>
        <v>0.9306655162759323</v>
      </c>
      <c r="BF41">
        <f t="shared" si="27"/>
        <v>0.9350503351451529</v>
      </c>
      <c r="BG41">
        <f t="shared" si="27"/>
        <v>0.93918089623186396</v>
      </c>
      <c r="BH41">
        <f t="shared" si="27"/>
        <v>0.94307007644263618</v>
      </c>
      <c r="BI41">
        <f t="shared" si="27"/>
        <v>0.9467302549425225</v>
      </c>
      <c r="BJ41">
        <f t="shared" si="27"/>
        <v>0.95017331864997145</v>
      </c>
      <c r="BK41">
        <f t="shared" si="27"/>
        <v>0.95341066920319106</v>
      </c>
      <c r="BL41">
        <f t="shared" si="27"/>
        <v>0.95645323119915615</v>
      </c>
      <c r="BM41">
        <f t="shared" si="27"/>
        <v>0.95931146152358804</v>
      </c>
      <c r="BN41">
        <f t="shared" si="27"/>
        <v>0.96199535960620752</v>
      </c>
      <c r="BO41">
        <f t="shared" ref="BO41:BU42" si="28">1-EXP(-(($G18*BO$26)^$C18))</f>
        <v>0.96451447845042815</v>
      </c>
      <c r="BP41">
        <f t="shared" si="28"/>
        <v>0.96687793630049934</v>
      </c>
      <c r="BQ41">
        <f t="shared" si="28"/>
        <v>0.96909442882196961</v>
      </c>
      <c r="BR41">
        <f t="shared" si="28"/>
        <v>0.97117224168328764</v>
      </c>
      <c r="BS41">
        <f t="shared" si="28"/>
        <v>0.97311926343743893</v>
      </c>
      <c r="BT41">
        <f t="shared" si="28"/>
        <v>0.97494299861278511</v>
      </c>
      <c r="BU41">
        <f t="shared" si="28"/>
        <v>0.97665058093177115</v>
      </c>
    </row>
    <row r="42" spans="2:73" x14ac:dyDescent="0.35">
      <c r="B42" s="1" t="s">
        <v>43</v>
      </c>
      <c r="C42">
        <f t="shared" si="27"/>
        <v>0</v>
      </c>
      <c r="D42" s="11">
        <f t="shared" si="27"/>
        <v>3.9891959044233705E-3</v>
      </c>
      <c r="E42">
        <f t="shared" si="27"/>
        <v>1.3090836720029642E-2</v>
      </c>
      <c r="F42">
        <f t="shared" si="27"/>
        <v>2.6130148439008849E-2</v>
      </c>
      <c r="G42">
        <f t="shared" si="27"/>
        <v>4.2510810308873603E-2</v>
      </c>
      <c r="H42">
        <f t="shared" si="27"/>
        <v>6.1788053575748791E-2</v>
      </c>
      <c r="I42">
        <f t="shared" si="27"/>
        <v>8.3586281765549941E-2</v>
      </c>
      <c r="J42">
        <f t="shared" si="27"/>
        <v>0.10756930773951801</v>
      </c>
      <c r="K42">
        <f t="shared" si="27"/>
        <v>0.13342723697845371</v>
      </c>
      <c r="L42">
        <f t="shared" si="27"/>
        <v>0.16087016175473157</v>
      </c>
      <c r="M42">
        <f t="shared" si="27"/>
        <v>0.1896250624448006</v>
      </c>
      <c r="N42">
        <f t="shared" si="27"/>
        <v>0.21943434431788056</v>
      </c>
      <c r="O42">
        <f t="shared" si="27"/>
        <v>0.25005523851587608</v>
      </c>
      <c r="P42">
        <f t="shared" si="27"/>
        <v>0.28125965538667108</v>
      </c>
      <c r="Q42">
        <f t="shared" si="27"/>
        <v>0.31283425652818309</v>
      </c>
      <c r="R42">
        <f t="shared" si="27"/>
        <v>0.34458060746666508</v>
      </c>
      <c r="S42">
        <f t="shared" si="27"/>
        <v>0.37631532758206554</v>
      </c>
      <c r="T42">
        <f t="shared" si="27"/>
        <v>0.40787018694804844</v>
      </c>
      <c r="U42">
        <f t="shared" si="27"/>
        <v>0.43909212067274117</v>
      </c>
      <c r="V42">
        <f t="shared" si="27"/>
        <v>0.46984314507255331</v>
      </c>
      <c r="W42" s="8">
        <f t="shared" si="27"/>
        <v>0.50000016931000169</v>
      </c>
      <c r="X42">
        <f t="shared" si="27"/>
        <v>0.5294547025390417</v>
      </c>
      <c r="Y42">
        <f t="shared" si="27"/>
        <v>0.55811246105950096</v>
      </c>
      <c r="Z42">
        <f t="shared" si="27"/>
        <v>0.58589288306340803</v>
      </c>
      <c r="AA42">
        <f t="shared" si="27"/>
        <v>0.61272856063248793</v>
      </c>
      <c r="AB42">
        <f t="shared" si="27"/>
        <v>0.63856459996747428</v>
      </c>
      <c r="AC42">
        <f t="shared" si="27"/>
        <v>0.66335792157066176</v>
      </c>
      <c r="AD42">
        <f t="shared" si="27"/>
        <v>0.68707651239050826</v>
      </c>
      <c r="AE42">
        <f t="shared" si="27"/>
        <v>0.7096986418677439</v>
      </c>
      <c r="AF42">
        <f t="shared" si="27"/>
        <v>0.73121205347251839</v>
      </c>
      <c r="AG42">
        <f t="shared" si="27"/>
        <v>0.75161314275371716</v>
      </c>
      <c r="AH42">
        <f t="shared" si="27"/>
        <v>0.77090613218641491</v>
      </c>
      <c r="AI42">
        <f t="shared" si="27"/>
        <v>0.78910225224554265</v>
      </c>
      <c r="AJ42">
        <f t="shared" si="27"/>
        <v>0.80621893719093762</v>
      </c>
      <c r="AK42">
        <f t="shared" si="27"/>
        <v>0.82227904305358157</v>
      </c>
      <c r="AL42">
        <f t="shared" si="27"/>
        <v>0.83731009429298475</v>
      </c>
      <c r="AM42">
        <f t="shared" si="27"/>
        <v>0.85134356457528459</v>
      </c>
      <c r="AN42">
        <f t="shared" si="27"/>
        <v>0.86441419612091897</v>
      </c>
      <c r="AO42">
        <f t="shared" si="27"/>
        <v>0.87655936110648791</v>
      </c>
      <c r="AP42">
        <f t="shared" si="27"/>
        <v>0.88781846769128914</v>
      </c>
      <c r="AQ42">
        <f t="shared" si="27"/>
        <v>0.89823241238569429</v>
      </c>
      <c r="AR42">
        <f t="shared" si="27"/>
        <v>0.90784307969406108</v>
      </c>
      <c r="AS42">
        <f t="shared" si="27"/>
        <v>0.9166928892548345</v>
      </c>
      <c r="AT42">
        <f t="shared" si="27"/>
        <v>0.92482439006826223</v>
      </c>
      <c r="AU42">
        <f t="shared" si="27"/>
        <v>0.93227990084918</v>
      </c>
      <c r="AV42">
        <f t="shared" si="27"/>
        <v>0.93910119506833878</v>
      </c>
      <c r="AW42">
        <f t="shared" si="27"/>
        <v>0.9453292288490216</v>
      </c>
      <c r="AX42">
        <f t="shared" si="27"/>
        <v>0.95100390956330016</v>
      </c>
      <c r="AY42">
        <f t="shared" si="27"/>
        <v>0.95616390272023855</v>
      </c>
      <c r="AZ42">
        <f t="shared" si="27"/>
        <v>0.96084647455198258</v>
      </c>
      <c r="BA42">
        <f t="shared" si="27"/>
        <v>0.9650873675776398</v>
      </c>
      <c r="BB42">
        <f t="shared" si="27"/>
        <v>0.96892070635350469</v>
      </c>
      <c r="BC42">
        <f t="shared" si="27"/>
        <v>0.97237893059556191</v>
      </c>
      <c r="BD42">
        <f t="shared" si="27"/>
        <v>0.97549275288034443</v>
      </c>
      <c r="BE42">
        <f t="shared" si="27"/>
        <v>0.9782911381871563</v>
      </c>
      <c r="BF42">
        <f t="shared" si="27"/>
        <v>0.98080130263261089</v>
      </c>
      <c r="BG42">
        <f t="shared" si="27"/>
        <v>0.98304872886184469</v>
      </c>
      <c r="BH42">
        <f t="shared" si="27"/>
        <v>0.98505719569439809</v>
      </c>
      <c r="BI42">
        <f t="shared" si="27"/>
        <v>0.98684881977177319</v>
      </c>
      <c r="BJ42">
        <f t="shared" si="27"/>
        <v>0.98844410711362385</v>
      </c>
      <c r="BK42">
        <f t="shared" si="27"/>
        <v>0.9898620126564146</v>
      </c>
      <c r="BL42">
        <f t="shared" si="27"/>
        <v>0.9911200060186347</v>
      </c>
      <c r="BM42">
        <f t="shared" si="27"/>
        <v>0.99223414190717352</v>
      </c>
      <c r="BN42">
        <f t="shared" si="27"/>
        <v>0.99321913374759019</v>
      </c>
      <c r="BO42">
        <f t="shared" si="28"/>
        <v>0.99408842928451069</v>
      </c>
      <c r="BP42">
        <f t="shared" si="28"/>
        <v>0.99485428705542678</v>
      </c>
      <c r="BQ42">
        <f t="shared" si="28"/>
        <v>0.99552785279031275</v>
      </c>
      <c r="BR42">
        <f t="shared" si="28"/>
        <v>0.99611923492960586</v>
      </c>
      <c r="BS42">
        <f t="shared" si="28"/>
        <v>0.99663757858344082</v>
      </c>
      <c r="BT42">
        <f t="shared" si="28"/>
        <v>0.99709113737507393</v>
      </c>
      <c r="BU42">
        <f t="shared" si="28"/>
        <v>0.99748734272093731</v>
      </c>
    </row>
    <row r="43" spans="2:73" x14ac:dyDescent="0.35">
      <c r="W43" s="9" t="s">
        <v>56</v>
      </c>
    </row>
    <row r="44" spans="2:73" x14ac:dyDescent="0.35">
      <c r="B44" t="s">
        <v>15</v>
      </c>
    </row>
    <row r="45" spans="2:73" ht="22" x14ac:dyDescent="0.55000000000000004">
      <c r="B45" s="2" t="s">
        <v>16</v>
      </c>
    </row>
    <row r="46" spans="2:73" ht="17.5" x14ac:dyDescent="0.45">
      <c r="B46" t="s">
        <v>18</v>
      </c>
    </row>
    <row r="48" spans="2:73" x14ac:dyDescent="0.35">
      <c r="B48" t="s">
        <v>19</v>
      </c>
    </row>
    <row r="49" spans="2:4" ht="20.5" x14ac:dyDescent="0.55000000000000004">
      <c r="B49" s="2" t="s">
        <v>20</v>
      </c>
    </row>
    <row r="52" spans="2:4" x14ac:dyDescent="0.35">
      <c r="C52" t="s">
        <v>21</v>
      </c>
    </row>
    <row r="53" spans="2:4" x14ac:dyDescent="0.35">
      <c r="B53" t="s">
        <v>9</v>
      </c>
      <c r="C53">
        <v>27.9</v>
      </c>
    </row>
    <row r="54" spans="2:4" x14ac:dyDescent="0.35">
      <c r="B54" t="s">
        <v>10</v>
      </c>
      <c r="C54">
        <v>22.8</v>
      </c>
    </row>
    <row r="55" spans="2:4" x14ac:dyDescent="0.35">
      <c r="B55" t="s">
        <v>11</v>
      </c>
      <c r="C55">
        <v>24.9</v>
      </c>
    </row>
    <row r="56" spans="2:4" x14ac:dyDescent="0.35">
      <c r="B56">
        <v>21</v>
      </c>
      <c r="C56">
        <v>22.5</v>
      </c>
    </row>
    <row r="57" spans="2:4" x14ac:dyDescent="0.35">
      <c r="B57">
        <v>22</v>
      </c>
      <c r="C57">
        <v>13.6</v>
      </c>
    </row>
    <row r="58" spans="2:4" x14ac:dyDescent="0.35">
      <c r="B58">
        <v>23</v>
      </c>
      <c r="C58" s="4" t="s">
        <v>22</v>
      </c>
      <c r="D58" s="4" t="s">
        <v>25</v>
      </c>
    </row>
    <row r="59" spans="2:4" x14ac:dyDescent="0.35">
      <c r="B59">
        <v>24</v>
      </c>
      <c r="C59">
        <v>24.7</v>
      </c>
    </row>
    <row r="60" spans="2:4" x14ac:dyDescent="0.35">
      <c r="B60">
        <v>25</v>
      </c>
      <c r="C60">
        <v>29.5</v>
      </c>
    </row>
    <row r="61" spans="2:4" x14ac:dyDescent="0.35">
      <c r="B61">
        <v>26</v>
      </c>
      <c r="C61">
        <v>28.7</v>
      </c>
    </row>
    <row r="62" spans="2:4" x14ac:dyDescent="0.35">
      <c r="B62">
        <v>27</v>
      </c>
      <c r="C62">
        <v>33</v>
      </c>
    </row>
    <row r="63" spans="2:4" x14ac:dyDescent="0.35">
      <c r="B63">
        <v>28</v>
      </c>
      <c r="C63">
        <v>29.2</v>
      </c>
    </row>
    <row r="64" spans="2:4" x14ac:dyDescent="0.35">
      <c r="B64">
        <v>29</v>
      </c>
      <c r="C64">
        <v>19.600000000000001</v>
      </c>
    </row>
    <row r="65" spans="1:73" x14ac:dyDescent="0.35">
      <c r="B65" t="s">
        <v>12</v>
      </c>
      <c r="C65">
        <v>16.7</v>
      </c>
    </row>
    <row r="66" spans="1:73" x14ac:dyDescent="0.35">
      <c r="B66">
        <v>31</v>
      </c>
      <c r="C66">
        <v>41</v>
      </c>
    </row>
    <row r="67" spans="1:73" x14ac:dyDescent="0.35">
      <c r="B67" t="s">
        <v>13</v>
      </c>
      <c r="C67">
        <v>23.7</v>
      </c>
    </row>
    <row r="68" spans="1:73" x14ac:dyDescent="0.35">
      <c r="B68" t="s">
        <v>23</v>
      </c>
      <c r="C68" s="5">
        <f>AVERAGE(C53:C67)</f>
        <v>25.557142857142853</v>
      </c>
      <c r="D68" t="s">
        <v>24</v>
      </c>
    </row>
    <row r="70" spans="1:73" x14ac:dyDescent="0.35">
      <c r="A70" t="s">
        <v>57</v>
      </c>
    </row>
    <row r="71" spans="1:73" x14ac:dyDescent="0.35">
      <c r="C71">
        <v>0</v>
      </c>
      <c r="D71">
        <v>1</v>
      </c>
      <c r="E71">
        <v>2</v>
      </c>
      <c r="F71">
        <v>3</v>
      </c>
      <c r="G71">
        <v>4</v>
      </c>
      <c r="H71">
        <v>5</v>
      </c>
      <c r="I71">
        <v>6</v>
      </c>
      <c r="J71">
        <v>7</v>
      </c>
      <c r="K71">
        <v>8</v>
      </c>
      <c r="L71">
        <v>9</v>
      </c>
      <c r="M71">
        <v>10</v>
      </c>
      <c r="N71">
        <v>11</v>
      </c>
      <c r="O71">
        <v>12</v>
      </c>
      <c r="P71">
        <v>13</v>
      </c>
      <c r="Q71">
        <v>14</v>
      </c>
      <c r="R71">
        <v>15</v>
      </c>
      <c r="S71">
        <v>16</v>
      </c>
      <c r="T71">
        <v>17</v>
      </c>
      <c r="U71">
        <v>18</v>
      </c>
      <c r="V71">
        <v>19</v>
      </c>
      <c r="W71">
        <v>20</v>
      </c>
      <c r="X71">
        <v>21</v>
      </c>
      <c r="Y71">
        <v>22</v>
      </c>
      <c r="Z71">
        <v>23</v>
      </c>
      <c r="AA71">
        <v>24</v>
      </c>
      <c r="AB71">
        <v>25</v>
      </c>
      <c r="AC71">
        <v>26</v>
      </c>
      <c r="AD71">
        <v>27</v>
      </c>
      <c r="AE71">
        <v>28</v>
      </c>
      <c r="AF71">
        <v>29</v>
      </c>
      <c r="AG71">
        <v>30</v>
      </c>
      <c r="AH71">
        <v>31</v>
      </c>
      <c r="AI71">
        <v>32</v>
      </c>
      <c r="AJ71">
        <v>33</v>
      </c>
      <c r="AK71">
        <v>34</v>
      </c>
      <c r="AL71">
        <v>35</v>
      </c>
      <c r="AM71">
        <v>36</v>
      </c>
      <c r="AN71">
        <v>37</v>
      </c>
      <c r="AO71">
        <v>38</v>
      </c>
      <c r="AP71">
        <v>39</v>
      </c>
      <c r="AQ71">
        <v>40</v>
      </c>
      <c r="AR71">
        <v>41</v>
      </c>
      <c r="AS71">
        <v>42</v>
      </c>
      <c r="AT71">
        <v>43</v>
      </c>
      <c r="AU71">
        <v>44</v>
      </c>
      <c r="AV71">
        <v>45</v>
      </c>
      <c r="AW71">
        <v>46</v>
      </c>
      <c r="AX71">
        <v>47</v>
      </c>
      <c r="AY71">
        <v>48</v>
      </c>
      <c r="AZ71">
        <v>49</v>
      </c>
      <c r="BA71">
        <v>50</v>
      </c>
      <c r="BB71">
        <v>51</v>
      </c>
      <c r="BC71">
        <v>52</v>
      </c>
      <c r="BD71">
        <v>53</v>
      </c>
      <c r="BE71">
        <v>54</v>
      </c>
      <c r="BF71">
        <v>55</v>
      </c>
      <c r="BG71">
        <v>56</v>
      </c>
      <c r="BH71">
        <v>57</v>
      </c>
      <c r="BI71">
        <v>58</v>
      </c>
      <c r="BJ71">
        <v>59</v>
      </c>
      <c r="BK71">
        <v>60</v>
      </c>
      <c r="BL71">
        <v>61</v>
      </c>
      <c r="BM71">
        <v>62</v>
      </c>
      <c r="BN71">
        <v>63</v>
      </c>
      <c r="BO71">
        <v>64</v>
      </c>
      <c r="BP71">
        <v>65</v>
      </c>
      <c r="BQ71">
        <v>66</v>
      </c>
      <c r="BR71">
        <v>67</v>
      </c>
      <c r="BS71">
        <v>68</v>
      </c>
      <c r="BT71">
        <v>69</v>
      </c>
      <c r="BU71">
        <v>70</v>
      </c>
    </row>
    <row r="72" spans="1:73" x14ac:dyDescent="0.35">
      <c r="B72" t="s">
        <v>27</v>
      </c>
      <c r="C72">
        <f>1-C27</f>
        <v>1</v>
      </c>
      <c r="D72">
        <f t="shared" ref="D72:BO72" si="29">1-D27</f>
        <v>0.99502436773793423</v>
      </c>
      <c r="E72">
        <f t="shared" si="29"/>
        <v>0.98559970959033261</v>
      </c>
      <c r="F72">
        <f t="shared" si="29"/>
        <v>0.97328039949971834</v>
      </c>
      <c r="G72">
        <f t="shared" si="29"/>
        <v>0.95869749956277417</v>
      </c>
      <c r="H72">
        <f t="shared" si="29"/>
        <v>0.94225775774520126</v>
      </c>
      <c r="I72">
        <f t="shared" si="29"/>
        <v>0.92426537715138368</v>
      </c>
      <c r="J72">
        <f t="shared" si="29"/>
        <v>0.90496610453429227</v>
      </c>
      <c r="K72">
        <f t="shared" si="29"/>
        <v>0.88456771446639171</v>
      </c>
      <c r="L72">
        <f t="shared" si="29"/>
        <v>0.86325098849789872</v>
      </c>
      <c r="M72">
        <f t="shared" si="29"/>
        <v>0.84117618881314249</v>
      </c>
      <c r="N72">
        <f t="shared" si="29"/>
        <v>0.81848715158365737</v>
      </c>
      <c r="O72">
        <f t="shared" si="29"/>
        <v>0.7953140215086687</v>
      </c>
      <c r="P72">
        <f t="shared" si="29"/>
        <v>0.77177516452977679</v>
      </c>
      <c r="Q72">
        <f t="shared" si="29"/>
        <v>0.74797856094701365</v>
      </c>
      <c r="R72">
        <f t="shared" si="29"/>
        <v>0.72402285838872626</v>
      </c>
      <c r="S72">
        <f t="shared" si="29"/>
        <v>0.69999819584086509</v>
      </c>
      <c r="T72">
        <f t="shared" si="29"/>
        <v>0.67598687006451363</v>
      </c>
      <c r="U72">
        <f t="shared" si="29"/>
        <v>0.65206389144327448</v>
      </c>
      <c r="V72">
        <f t="shared" si="29"/>
        <v>0.62829746098389727</v>
      </c>
      <c r="W72">
        <f t="shared" si="29"/>
        <v>0.60474939024165597</v>
      </c>
      <c r="X72">
        <f t="shared" si="29"/>
        <v>0.5814754793115644</v>
      </c>
      <c r="Y72">
        <f t="shared" si="29"/>
        <v>0.55852586351362432</v>
      </c>
      <c r="Z72">
        <f t="shared" si="29"/>
        <v>0.53594533627305119</v>
      </c>
      <c r="AA72">
        <f t="shared" si="29"/>
        <v>0.51377365349702731</v>
      </c>
      <c r="AB72">
        <f t="shared" si="29"/>
        <v>0.492045823184313</v>
      </c>
      <c r="AC72">
        <f t="shared" si="29"/>
        <v>0.47079238288025771</v>
      </c>
      <c r="AD72">
        <f t="shared" si="29"/>
        <v>0.45003966677820317</v>
      </c>
      <c r="AE72">
        <f t="shared" si="29"/>
        <v>0.4298100636807527</v>
      </c>
      <c r="AF72">
        <f t="shared" si="29"/>
        <v>0.41012226660958429</v>
      </c>
      <c r="AG72">
        <f t="shared" si="29"/>
        <v>0.39099151454712733</v>
      </c>
      <c r="AH72">
        <f t="shared" si="29"/>
        <v>0.37242982657649071</v>
      </c>
      <c r="AI72">
        <f t="shared" si="29"/>
        <v>0.35444622853497743</v>
      </c>
      <c r="AJ72">
        <f t="shared" si="29"/>
        <v>0.33704697219479074</v>
      </c>
      <c r="AK72">
        <f t="shared" si="29"/>
        <v>0.32023574691978052</v>
      </c>
      <c r="AL72">
        <f t="shared" si="29"/>
        <v>0.30401388371004079</v>
      </c>
      <c r="AM72">
        <f t="shared" si="29"/>
        <v>0.28838055152979702</v>
      </c>
      <c r="AN72">
        <f t="shared" si="29"/>
        <v>0.27333294581294476</v>
      </c>
      <c r="AO72">
        <f t="shared" si="29"/>
        <v>0.25886646905067034</v>
      </c>
      <c r="AP72">
        <f t="shared" si="29"/>
        <v>0.24497490338358496</v>
      </c>
      <c r="AQ72">
        <f t="shared" si="29"/>
        <v>0.23165057514423704</v>
      </c>
      <c r="AR72">
        <f t="shared" si="29"/>
        <v>0.21888451132280229</v>
      </c>
      <c r="AS72">
        <f t="shared" si="29"/>
        <v>0.20666658795764992</v>
      </c>
      <c r="AT72">
        <f t="shared" si="29"/>
        <v>0.19498567048218629</v>
      </c>
      <c r="AU72">
        <f t="shared" si="29"/>
        <v>0.1838297460889633</v>
      </c>
      <c r="AV72">
        <f t="shared" si="29"/>
        <v>0.17318604820080963</v>
      </c>
      <c r="AW72">
        <f t="shared" si="29"/>
        <v>0.16304117316617905</v>
      </c>
      <c r="AX72">
        <f t="shared" si="29"/>
        <v>0.15338118932160949</v>
      </c>
      <c r="AY72">
        <f t="shared" si="29"/>
        <v>0.14419173858788381</v>
      </c>
      <c r="AZ72">
        <f t="shared" si="29"/>
        <v>0.1354581307879823</v>
      </c>
      <c r="BA72">
        <f t="shared" si="29"/>
        <v>0.12716543089410726</v>
      </c>
      <c r="BB72">
        <f t="shared" si="29"/>
        <v>0.11929853942788293</v>
      </c>
      <c r="BC72">
        <f t="shared" si="29"/>
        <v>0.11184226625229154</v>
      </c>
      <c r="BD72">
        <f t="shared" si="29"/>
        <v>0.10478139800601816</v>
      </c>
      <c r="BE72">
        <f t="shared" si="29"/>
        <v>9.8100759440715279E-2</v>
      </c>
      <c r="BF72">
        <f t="shared" si="29"/>
        <v>9.1785268929345576E-2</v>
      </c>
      <c r="BG72">
        <f t="shared" si="29"/>
        <v>8.5819988419323923E-2</v>
      </c>
      <c r="BH72">
        <f t="shared" si="29"/>
        <v>8.0190168107776905E-2</v>
      </c>
      <c r="BI72">
        <f t="shared" si="29"/>
        <v>7.4881286117999046E-2</v>
      </c>
      <c r="BJ72">
        <f t="shared" si="29"/>
        <v>6.9879083456246494E-2</v>
      </c>
      <c r="BK72">
        <f t="shared" si="29"/>
        <v>6.5169594526508279E-2</v>
      </c>
      <c r="BL72">
        <f t="shared" si="29"/>
        <v>6.0739173477980635E-2</v>
      </c>
      <c r="BM72">
        <f t="shared" si="29"/>
        <v>5.6574516655772622E-2</v>
      </c>
      <c r="BN72">
        <f t="shared" si="29"/>
        <v>5.2662681420037605E-2</v>
      </c>
      <c r="BO72">
        <f t="shared" si="29"/>
        <v>4.8991101592391728E-2</v>
      </c>
      <c r="BP72">
        <f t="shared" ref="BP72:BU72" si="30">1-BP27</f>
        <v>4.5547599781269543E-2</v>
      </c>
      <c r="BQ72">
        <f t="shared" si="30"/>
        <v>4.2320396829916729E-2</v>
      </c>
      <c r="BR72">
        <f t="shared" si="30"/>
        <v>3.9298118622134948E-2</v>
      </c>
      <c r="BS72">
        <f t="shared" si="30"/>
        <v>3.6469800471808145E-2</v>
      </c>
      <c r="BT72">
        <f t="shared" si="30"/>
        <v>3.3824889312730422E-2</v>
      </c>
      <c r="BU72">
        <f t="shared" si="30"/>
        <v>3.1353243895455019E-2</v>
      </c>
    </row>
    <row r="73" spans="1:73" x14ac:dyDescent="0.35">
      <c r="B73" t="s">
        <v>29</v>
      </c>
      <c r="C73">
        <f t="shared" ref="C73:BN73" si="31">1-C28</f>
        <v>1</v>
      </c>
      <c r="D73">
        <f t="shared" si="31"/>
        <v>0.99604719493643301</v>
      </c>
      <c r="E73">
        <f t="shared" si="31"/>
        <v>0.9871701868836098</v>
      </c>
      <c r="F73">
        <f t="shared" si="31"/>
        <v>0.9745509720462695</v>
      </c>
      <c r="G73">
        <f t="shared" si="31"/>
        <v>0.95877433109297538</v>
      </c>
      <c r="H73">
        <f t="shared" si="31"/>
        <v>0.94026847669229874</v>
      </c>
      <c r="I73">
        <f t="shared" si="31"/>
        <v>0.9193896770562302</v>
      </c>
      <c r="J73">
        <f t="shared" si="31"/>
        <v>0.89645305653191631</v>
      </c>
      <c r="K73">
        <f t="shared" si="31"/>
        <v>0.87174641192884073</v>
      </c>
      <c r="L73">
        <f t="shared" si="31"/>
        <v>0.84553707484500906</v>
      </c>
      <c r="M73">
        <f t="shared" si="31"/>
        <v>0.81807548326483004</v>
      </c>
      <c r="N73">
        <f t="shared" si="31"/>
        <v>0.78959705531627677</v>
      </c>
      <c r="O73">
        <f t="shared" si="31"/>
        <v>0.76032314470803086</v>
      </c>
      <c r="P73">
        <f t="shared" si="31"/>
        <v>0.73046149314993036</v>
      </c>
      <c r="Q73">
        <f t="shared" si="31"/>
        <v>0.70020641518169657</v>
      </c>
      <c r="R73">
        <f t="shared" si="31"/>
        <v>0.66973885486044027</v>
      </c>
      <c r="S73">
        <f t="shared" si="31"/>
        <v>0.63922639920859115</v>
      </c>
      <c r="T73">
        <f t="shared" si="31"/>
        <v>0.60882330063674772</v>
      </c>
      <c r="U73">
        <f t="shared" si="31"/>
        <v>0.57867054007748742</v>
      </c>
      <c r="V73">
        <f t="shared" si="31"/>
        <v>0.54889594925319551</v>
      </c>
      <c r="W73">
        <f t="shared" si="31"/>
        <v>0.51961440158699568</v>
      </c>
      <c r="X73">
        <f t="shared" si="31"/>
        <v>0.49092807516731063</v>
      </c>
      <c r="Y73">
        <f t="shared" si="31"/>
        <v>0.46292678695142331</v>
      </c>
      <c r="Z73">
        <f t="shared" si="31"/>
        <v>0.43568839446077368</v>
      </c>
      <c r="AA73">
        <f t="shared" si="31"/>
        <v>0.40927925920978603</v>
      </c>
      <c r="AB73">
        <f t="shared" si="31"/>
        <v>0.38375476477572135</v>
      </c>
      <c r="AC73">
        <f t="shared" si="31"/>
        <v>0.35915988159157031</v>
      </c>
      <c r="AD73">
        <f t="shared" si="31"/>
        <v>0.33552977010831853</v>
      </c>
      <c r="AE73">
        <f t="shared" si="31"/>
        <v>0.31289041383945992</v>
      </c>
      <c r="AF73">
        <f t="shared" si="31"/>
        <v>0.29125927390275375</v>
      </c>
      <c r="AG73">
        <f t="shared" si="31"/>
        <v>0.2706459569595383</v>
      </c>
      <c r="AH73">
        <f t="shared" si="31"/>
        <v>0.25105288887817645</v>
      </c>
      <c r="AI73">
        <f t="shared" si="31"/>
        <v>0.23247598698047278</v>
      </c>
      <c r="AJ73">
        <f t="shared" si="31"/>
        <v>0.21490532433895304</v>
      </c>
      <c r="AK73">
        <f t="shared" si="31"/>
        <v>0.19832578025390468</v>
      </c>
      <c r="AL73">
        <f t="shared" si="31"/>
        <v>0.18271767173094988</v>
      </c>
      <c r="AM73">
        <f t="shared" si="31"/>
        <v>0.16805736148469796</v>
      </c>
      <c r="AN73">
        <f t="shared" si="31"/>
        <v>0.15431783869649018</v>
      </c>
      <c r="AO73">
        <f t="shared" si="31"/>
        <v>0.14146926944165861</v>
      </c>
      <c r="AP73">
        <f t="shared" si="31"/>
        <v>0.12947951436354876</v>
      </c>
      <c r="AQ73">
        <f t="shared" si="31"/>
        <v>0.11831461179929859</v>
      </c>
      <c r="AR73">
        <f t="shared" si="31"/>
        <v>0.10793922514935639</v>
      </c>
      <c r="AS73">
        <f t="shared" si="31"/>
        <v>9.8317053823964051E-2</v>
      </c>
      <c r="AT73">
        <f t="shared" si="31"/>
        <v>8.9411207591849284E-2</v>
      </c>
      <c r="AU73">
        <f t="shared" si="31"/>
        <v>8.1184544597015962E-2</v>
      </c>
      <c r="AV73">
        <f t="shared" si="31"/>
        <v>7.359997369785598E-2</v>
      </c>
      <c r="AW73">
        <f t="shared" si="31"/>
        <v>6.6620722118940101E-2</v>
      </c>
      <c r="AX73">
        <f t="shared" si="31"/>
        <v>6.0210569690755E-2</v>
      </c>
      <c r="AY73">
        <f t="shared" si="31"/>
        <v>5.4334051188111854E-2</v>
      </c>
      <c r="AZ73">
        <f t="shared" si="31"/>
        <v>4.8956628466321095E-2</v>
      </c>
      <c r="BA73">
        <f t="shared" si="31"/>
        <v>4.4044834238362363E-2</v>
      </c>
      <c r="BB73">
        <f t="shared" si="31"/>
        <v>3.9566389439436467E-2</v>
      </c>
      <c r="BC73">
        <f t="shared" si="31"/>
        <v>3.5490296190953119E-2</v>
      </c>
      <c r="BD73">
        <f t="shared" si="31"/>
        <v>3.1786908407859582E-2</v>
      </c>
      <c r="BE73">
        <f t="shared" si="31"/>
        <v>2.8427982095006743E-2</v>
      </c>
      <c r="BF73">
        <f t="shared" si="31"/>
        <v>2.538670735372317E-2</v>
      </c>
      <c r="BG73">
        <f t="shared" si="31"/>
        <v>2.2637724072612886E-2</v>
      </c>
      <c r="BH73">
        <f t="shared" si="31"/>
        <v>2.0157123210381878E-2</v>
      </c>
      <c r="BI73">
        <f t="shared" si="31"/>
        <v>1.7922435496616429E-2</v>
      </c>
      <c r="BJ73">
        <f t="shared" si="31"/>
        <v>1.5912609282102474E-2</v>
      </c>
      <c r="BK73">
        <f t="shared" si="31"/>
        <v>1.4107979166424256E-2</v>
      </c>
      <c r="BL73">
        <f t="shared" si="31"/>
        <v>1.2490226919963709E-2</v>
      </c>
      <c r="BM73">
        <f t="shared" si="31"/>
        <v>1.1042336102463968E-2</v>
      </c>
      <c r="BN73">
        <f t="shared" si="31"/>
        <v>9.7485416632266952E-3</v>
      </c>
      <c r="BO73">
        <f t="shared" ref="BO73:BU73" si="32">1-BO28</f>
        <v>8.5942756906951523E-3</v>
      </c>
      <c r="BP73">
        <f t="shared" si="32"/>
        <v>7.5661103632962412E-3</v>
      </c>
      <c r="BQ73">
        <f t="shared" si="32"/>
        <v>6.651699040374881E-3</v>
      </c>
      <c r="BR73">
        <f t="shared" si="32"/>
        <v>5.8397163230207161E-3</v>
      </c>
      <c r="BS73">
        <f t="shared" si="32"/>
        <v>5.1197978105026465E-3</v>
      </c>
      <c r="BT73">
        <f t="shared" si="32"/>
        <v>4.4824801796141678E-3</v>
      </c>
      <c r="BU73">
        <f t="shared" si="32"/>
        <v>3.9191421220376998E-3</v>
      </c>
    </row>
    <row r="74" spans="1:73" x14ac:dyDescent="0.35">
      <c r="B74" t="s">
        <v>42</v>
      </c>
      <c r="C74">
        <f t="shared" ref="C74:BN74" si="33">1-C29</f>
        <v>1</v>
      </c>
      <c r="D74">
        <f t="shared" si="33"/>
        <v>0.99462002380013137</v>
      </c>
      <c r="E74">
        <f t="shared" si="33"/>
        <v>0.98410012740365505</v>
      </c>
      <c r="F74">
        <f t="shared" si="33"/>
        <v>0.97014996976017065</v>
      </c>
      <c r="G74">
        <f t="shared" si="33"/>
        <v>0.95349624705758662</v>
      </c>
      <c r="H74">
        <f t="shared" si="33"/>
        <v>0.93462168046353888</v>
      </c>
      <c r="I74">
        <f t="shared" si="33"/>
        <v>0.91389626640637112</v>
      </c>
      <c r="J74">
        <f t="shared" si="33"/>
        <v>0.89162492018933537</v>
      </c>
      <c r="K74">
        <f t="shared" si="33"/>
        <v>0.86806955419026455</v>
      </c>
      <c r="L74">
        <f t="shared" si="33"/>
        <v>0.84346084028995016</v>
      </c>
      <c r="M74">
        <f t="shared" si="33"/>
        <v>0.81800508959156015</v>
      </c>
      <c r="N74">
        <f t="shared" si="33"/>
        <v>0.79188856574404587</v>
      </c>
      <c r="O74">
        <f t="shared" si="33"/>
        <v>0.76528034679374246</v>
      </c>
      <c r="P74">
        <f t="shared" si="33"/>
        <v>0.73833432152463585</v>
      </c>
      <c r="Q74">
        <f t="shared" si="33"/>
        <v>0.71119064932902365</v>
      </c>
      <c r="R74">
        <f t="shared" si="33"/>
        <v>0.68397687802784735</v>
      </c>
      <c r="S74">
        <f t="shared" si="33"/>
        <v>0.65680883911870802</v>
      </c>
      <c r="T74">
        <f t="shared" si="33"/>
        <v>0.62979139610339119</v>
      </c>
      <c r="U74">
        <f t="shared" si="33"/>
        <v>0.60301909485290284</v>
      </c>
      <c r="V74">
        <f t="shared" si="33"/>
        <v>0.57657674815160342</v>
      </c>
      <c r="W74">
        <f t="shared" si="33"/>
        <v>0.55053997566901336</v>
      </c>
      <c r="X74">
        <f t="shared" si="33"/>
        <v>0.5249757133904035</v>
      </c>
      <c r="Y74">
        <f t="shared" si="33"/>
        <v>0.49994270166961852</v>
      </c>
      <c r="Z74">
        <f t="shared" si="33"/>
        <v>0.47549195774205399</v>
      </c>
      <c r="AA74">
        <f t="shared" si="33"/>
        <v>0.45166723624581984</v>
      </c>
      <c r="AB74">
        <f t="shared" si="33"/>
        <v>0.42850547971886555</v>
      </c>
      <c r="AC74">
        <f t="shared" si="33"/>
        <v>0.40603725995430895</v>
      </c>
      <c r="AD74">
        <f t="shared" si="33"/>
        <v>0.38428721036061331</v>
      </c>
      <c r="AE74">
        <f t="shared" si="33"/>
        <v>0.36327444898808159</v>
      </c>
      <c r="AF74">
        <f t="shared" si="33"/>
        <v>0.34301299157866416</v>
      </c>
      <c r="AG74">
        <f t="shared" si="33"/>
        <v>0.32351215382266241</v>
      </c>
      <c r="AH74">
        <f t="shared" si="33"/>
        <v>0.30477694192760574</v>
      </c>
      <c r="AI74">
        <f t="shared" si="33"/>
        <v>0.28680843059499161</v>
      </c>
      <c r="AJ74">
        <f t="shared" si="33"/>
        <v>0.26960412754011243</v>
      </c>
      <c r="AK74">
        <f t="shared" si="33"/>
        <v>0.25315832376408798</v>
      </c>
      <c r="AL74">
        <f t="shared" si="33"/>
        <v>0.23746242888432278</v>
      </c>
      <c r="AM74">
        <f t="shared" si="33"/>
        <v>0.22250529094138538</v>
      </c>
      <c r="AN74">
        <f t="shared" si="33"/>
        <v>0.20827350022024571</v>
      </c>
      <c r="AO74">
        <f t="shared" si="33"/>
        <v>0.19475167674691185</v>
      </c>
      <c r="AP74">
        <f t="shared" si="33"/>
        <v>0.18192274124395325</v>
      </c>
      <c r="AQ74">
        <f t="shared" si="33"/>
        <v>0.16976816944733475</v>
      </c>
      <c r="AR74">
        <f t="shared" si="33"/>
        <v>0.15826822980021815</v>
      </c>
      <c r="AS74">
        <f t="shared" si="33"/>
        <v>0.14740220464538845</v>
      </c>
      <c r="AT74">
        <f t="shared" si="33"/>
        <v>0.1371485951356084</v>
      </c>
      <c r="AU74">
        <f t="shared" si="33"/>
        <v>0.12748531016980158</v>
      </c>
      <c r="AV74">
        <f t="shared" si="33"/>
        <v>0.1183898397420805</v>
      </c>
      <c r="AW74">
        <f t="shared" si="33"/>
        <v>0.10983941316013224</v>
      </c>
      <c r="AX74">
        <f t="shared" si="33"/>
        <v>0.10181114264936642</v>
      </c>
      <c r="AY74">
        <f t="shared" si="33"/>
        <v>9.4282152909735184E-2</v>
      </c>
      <c r="AZ74">
        <f t="shared" si="33"/>
        <v>8.7229697233557779E-2</v>
      </c>
      <c r="BA74">
        <f t="shared" si="33"/>
        <v>8.0631260825457018E-2</v>
      </c>
      <c r="BB74">
        <f t="shared" si="33"/>
        <v>7.446465199012553E-2</v>
      </c>
      <c r="BC74">
        <f t="shared" si="33"/>
        <v>6.8708081870645032E-2</v>
      </c>
      <c r="BD74">
        <f t="shared" si="33"/>
        <v>6.3340233430049797E-2</v>
      </c>
      <c r="BE74">
        <f t="shared" si="33"/>
        <v>5.8340320372380461E-2</v>
      </c>
      <c r="BF74">
        <f t="shared" si="33"/>
        <v>5.3688136697219058E-2</v>
      </c>
      <c r="BG74">
        <f t="shared" si="33"/>
        <v>4.9364097574245536E-2</v>
      </c>
      <c r="BH74">
        <f t="shared" si="33"/>
        <v>4.5349272212327874E-2</v>
      </c>
      <c r="BI74">
        <f t="shared" si="33"/>
        <v>4.1625409381619183E-2</v>
      </c>
      <c r="BJ74">
        <f t="shared" si="33"/>
        <v>3.8174956227679746E-2</v>
      </c>
      <c r="BK74">
        <f t="shared" si="33"/>
        <v>3.4981070994282493E-2</v>
      </c>
      <c r="BL74">
        <f t="shared" si="33"/>
        <v>3.2027630246825312E-2</v>
      </c>
      <c r="BM74">
        <f t="shared" si="33"/>
        <v>2.9299231161637129E-2</v>
      </c>
      <c r="BN74">
        <f t="shared" si="33"/>
        <v>2.6781189418358387E-2</v>
      </c>
      <c r="BO74">
        <f t="shared" ref="BO74:BU74" si="34">1-BO29</f>
        <v>2.4459533203422534E-2</v>
      </c>
      <c r="BP74">
        <f t="shared" si="34"/>
        <v>2.2320993802823486E-2</v>
      </c>
      <c r="BQ74">
        <f t="shared" si="34"/>
        <v>2.0352993232165661E-2</v>
      </c>
      <c r="BR74">
        <f t="shared" si="34"/>
        <v>1.8543629321757127E-2</v>
      </c>
      <c r="BS74">
        <f t="shared" si="34"/>
        <v>1.6881658644486985E-2</v>
      </c>
      <c r="BT74">
        <f t="shared" si="34"/>
        <v>1.5356477644657196E-2</v>
      </c>
      <c r="BU74">
        <f t="shared" si="34"/>
        <v>1.3958102297025876E-2</v>
      </c>
    </row>
    <row r="75" spans="1:73" x14ac:dyDescent="0.35">
      <c r="B75" t="s">
        <v>41</v>
      </c>
      <c r="C75">
        <f t="shared" ref="C75:BN75" si="35">1-C30</f>
        <v>1</v>
      </c>
      <c r="D75">
        <f t="shared" si="35"/>
        <v>0.99015518787881085</v>
      </c>
      <c r="E75">
        <f t="shared" si="35"/>
        <v>0.97362216193268103</v>
      </c>
      <c r="F75">
        <f t="shared" si="35"/>
        <v>0.95331204892247745</v>
      </c>
      <c r="G75">
        <f t="shared" si="35"/>
        <v>0.93031837744288326</v>
      </c>
      <c r="H75">
        <f t="shared" si="35"/>
        <v>0.90532024080524731</v>
      </c>
      <c r="I75">
        <f t="shared" si="35"/>
        <v>0.87880853901396749</v>
      </c>
      <c r="J75">
        <f t="shared" si="35"/>
        <v>0.851166184878003</v>
      </c>
      <c r="K75">
        <f t="shared" si="35"/>
        <v>0.82270513730557948</v>
      </c>
      <c r="L75">
        <f t="shared" si="35"/>
        <v>0.79368634627722501</v>
      </c>
      <c r="M75">
        <f t="shared" si="35"/>
        <v>0.76433168806867302</v>
      </c>
      <c r="N75">
        <f t="shared" si="35"/>
        <v>0.73483169572991502</v>
      </c>
      <c r="O75">
        <f t="shared" si="35"/>
        <v>0.70535089296300624</v>
      </c>
      <c r="P75">
        <f t="shared" si="35"/>
        <v>0.6760316728299397</v>
      </c>
      <c r="Q75">
        <f t="shared" si="35"/>
        <v>0.646997246788935</v>
      </c>
      <c r="R75">
        <f t="shared" si="35"/>
        <v>0.6183539738876751</v>
      </c>
      <c r="S75">
        <f t="shared" si="35"/>
        <v>0.59019326101351977</v>
      </c>
      <c r="T75">
        <f t="shared" si="35"/>
        <v>0.56259315615454453</v>
      </c>
      <c r="U75">
        <f t="shared" si="35"/>
        <v>0.53561971496981242</v>
      </c>
      <c r="V75">
        <f t="shared" si="35"/>
        <v>0.50932819491780301</v>
      </c>
      <c r="W75">
        <f t="shared" si="35"/>
        <v>0.48376411442333922</v>
      </c>
      <c r="X75">
        <f t="shared" si="35"/>
        <v>0.45896420350255818</v>
      </c>
      <c r="Y75">
        <f t="shared" si="35"/>
        <v>0.43495726481806263</v>
      </c>
      <c r="Z75">
        <f t="shared" si="35"/>
        <v>0.41176495903444232</v>
      </c>
      <c r="AA75">
        <f t="shared" si="35"/>
        <v>0.38940252479820248</v>
      </c>
      <c r="AB75">
        <f t="shared" si="35"/>
        <v>0.36787944117144233</v>
      </c>
      <c r="AC75">
        <f t="shared" si="35"/>
        <v>0.34720003857601633</v>
      </c>
      <c r="AD75">
        <f t="shared" si="35"/>
        <v>0.32736406303493371</v>
      </c>
      <c r="AE75">
        <f t="shared" si="35"/>
        <v>0.30836719758161801</v>
      </c>
      <c r="AF75">
        <f t="shared" si="35"/>
        <v>0.29020154404285525</v>
      </c>
      <c r="AG75">
        <f t="shared" si="35"/>
        <v>0.27285606791621231</v>
      </c>
      <c r="AH75">
        <f t="shared" si="35"/>
        <v>0.25631700870681429</v>
      </c>
      <c r="AI75">
        <f t="shared" si="35"/>
        <v>0.24056825782548119</v>
      </c>
      <c r="AJ75">
        <f t="shared" si="35"/>
        <v>0.22559170595432321</v>
      </c>
      <c r="AK75">
        <f t="shared" si="35"/>
        <v>0.21136756163808257</v>
      </c>
      <c r="AL75">
        <f t="shared" si="35"/>
        <v>0.19787464274605615</v>
      </c>
      <c r="AM75">
        <f t="shared" si="35"/>
        <v>0.1850906423602583</v>
      </c>
      <c r="AN75">
        <f t="shared" si="35"/>
        <v>0.17299237057325412</v>
      </c>
      <c r="AO75">
        <f t="shared" si="35"/>
        <v>0.16155597361842777</v>
      </c>
      <c r="AP75">
        <f t="shared" si="35"/>
        <v>0.15075713170245963</v>
      </c>
      <c r="AQ75">
        <f t="shared" si="35"/>
        <v>0.14057123686165085</v>
      </c>
      <c r="AR75">
        <f t="shared" si="35"/>
        <v>0.13097355211848183</v>
      </c>
      <c r="AS75">
        <f t="shared" si="35"/>
        <v>0.12193935317100757</v>
      </c>
      <c r="AT75">
        <f t="shared" si="35"/>
        <v>0.11344405380447942</v>
      </c>
      <c r="AU75">
        <f t="shared" si="35"/>
        <v>0.10546331617132143</v>
      </c>
      <c r="AV75">
        <f t="shared" si="35"/>
        <v>9.7973147041950592E-2</v>
      </c>
      <c r="AW75">
        <f t="shared" si="35"/>
        <v>9.0949981084753828E-2</v>
      </c>
      <c r="AX75">
        <f t="shared" si="35"/>
        <v>8.4370752188784648E-2</v>
      </c>
      <c r="AY75">
        <f t="shared" si="35"/>
        <v>7.8212953797499485E-2</v>
      </c>
      <c r="AZ75">
        <f t="shared" si="35"/>
        <v>7.2454689176230991E-2</v>
      </c>
      <c r="BA75">
        <f t="shared" si="35"/>
        <v>6.7074712490280852E-2</v>
      </c>
      <c r="BB75">
        <f t="shared" si="35"/>
        <v>6.2052461524682911E-2</v>
      </c>
      <c r="BC75">
        <f t="shared" si="35"/>
        <v>5.7368082831064315E-2</v>
      </c>
      <c r="BD75">
        <f t="shared" si="35"/>
        <v>5.3002450041800375E-2</v>
      </c>
      <c r="BE75">
        <f t="shared" si="35"/>
        <v>4.8937176047039177E-2</v>
      </c>
      <c r="BF75">
        <f t="shared" si="35"/>
        <v>4.5154619686329722E-2</v>
      </c>
      <c r="BG75">
        <f t="shared" si="35"/>
        <v>4.1637887563718223E-2</v>
      </c>
      <c r="BH75">
        <f t="shared" si="35"/>
        <v>3.8370831553409035E-2</v>
      </c>
      <c r="BI75">
        <f t="shared" si="35"/>
        <v>3.5338042522584545E-2</v>
      </c>
      <c r="BJ75">
        <f t="shared" si="35"/>
        <v>3.2524840758833995E-2</v>
      </c>
      <c r="BK75">
        <f t="shared" si="35"/>
        <v>2.991726355196922E-2</v>
      </c>
      <c r="BL75">
        <f t="shared" si="35"/>
        <v>2.750205034387454E-2</v>
      </c>
      <c r="BM75">
        <f t="shared" si="35"/>
        <v>2.526662582551753E-2</v>
      </c>
      <c r="BN75">
        <f t="shared" si="35"/>
        <v>2.319908132737325E-2</v>
      </c>
      <c r="BO75">
        <f t="shared" ref="BO75:BU75" si="36">1-BO30</f>
        <v>2.1288154818319915E-2</v>
      </c>
      <c r="BP75">
        <f t="shared" si="36"/>
        <v>1.9523209798562147E-2</v>
      </c>
      <c r="BQ75">
        <f t="shared" si="36"/>
        <v>1.7894213344324728E-2</v>
      </c>
      <c r="BR75">
        <f t="shared" si="36"/>
        <v>1.6391713535932606E-2</v>
      </c>
      <c r="BS75">
        <f t="shared" si="36"/>
        <v>1.5006816476414664E-2</v>
      </c>
      <c r="BT75">
        <f t="shared" si="36"/>
        <v>1.3731163084928721E-2</v>
      </c>
      <c r="BU75">
        <f t="shared" si="36"/>
        <v>1.2556905828040477E-2</v>
      </c>
    </row>
    <row r="76" spans="1:73" x14ac:dyDescent="0.35">
      <c r="B76" t="s">
        <v>30</v>
      </c>
      <c r="C76">
        <f t="shared" ref="C76:BN76" si="37">1-C31</f>
        <v>1</v>
      </c>
      <c r="D76">
        <f t="shared" si="37"/>
        <v>0.99579539691034225</v>
      </c>
      <c r="E76">
        <f t="shared" si="37"/>
        <v>0.98327587186312904</v>
      </c>
      <c r="F76">
        <f t="shared" si="37"/>
        <v>0.96274866860581909</v>
      </c>
      <c r="G76">
        <f t="shared" si="37"/>
        <v>0.93471930891985033</v>
      </c>
      <c r="H76">
        <f t="shared" si="37"/>
        <v>0.89986875724715931</v>
      </c>
      <c r="I76">
        <f t="shared" si="37"/>
        <v>0.85902534796073227</v>
      </c>
      <c r="J76">
        <f t="shared" si="37"/>
        <v>0.81313182134125539</v>
      </c>
      <c r="K76">
        <f t="shared" si="37"/>
        <v>0.76320909950715543</v>
      </c>
      <c r="L76">
        <f t="shared" si="37"/>
        <v>0.71031867792987569</v>
      </c>
      <c r="M76">
        <f t="shared" si="37"/>
        <v>0.65552552721636159</v>
      </c>
      <c r="N76">
        <f t="shared" si="37"/>
        <v>0.59986327381175353</v>
      </c>
      <c r="O76">
        <f t="shared" si="37"/>
        <v>0.54430318887544393</v>
      </c>
      <c r="P76">
        <f t="shared" si="37"/>
        <v>0.48972819052683025</v>
      </c>
      <c r="Q76">
        <f t="shared" si="37"/>
        <v>0.43691268689328711</v>
      </c>
      <c r="R76">
        <f t="shared" si="37"/>
        <v>0.38650868799584703</v>
      </c>
      <c r="S76">
        <f t="shared" si="37"/>
        <v>0.33903822428498853</v>
      </c>
      <c r="T76">
        <f t="shared" si="37"/>
        <v>0.29489175572107285</v>
      </c>
      <c r="U76">
        <f t="shared" si="37"/>
        <v>0.25433195918964824</v>
      </c>
      <c r="V76">
        <f t="shared" si="37"/>
        <v>0.21750205837657266</v>
      </c>
      <c r="W76">
        <f t="shared" si="37"/>
        <v>0.18443771625334648</v>
      </c>
      <c r="X76">
        <f t="shared" si="37"/>
        <v>0.15508144616864605</v>
      </c>
      <c r="Y76">
        <f t="shared" si="37"/>
        <v>0.12929850709977342</v>
      </c>
      <c r="Z76">
        <f t="shared" si="37"/>
        <v>0.10689332089286552</v>
      </c>
      <c r="AA76">
        <f t="shared" si="37"/>
        <v>8.7625570051583557E-2</v>
      </c>
      <c r="AB76">
        <f t="shared" si="37"/>
        <v>7.1225287981101504E-2</v>
      </c>
      <c r="AC76">
        <f t="shared" si="37"/>
        <v>5.7406423720021804E-2</v>
      </c>
      <c r="AD76">
        <f t="shared" si="37"/>
        <v>4.5878535592174141E-2</v>
      </c>
      <c r="AE76">
        <f t="shared" si="37"/>
        <v>3.6356430699684972E-2</v>
      </c>
      <c r="AF76">
        <f t="shared" si="37"/>
        <v>2.8567710504788346E-2</v>
      </c>
      <c r="AG76">
        <f t="shared" si="37"/>
        <v>2.2258300821192289E-2</v>
      </c>
      <c r="AH76">
        <f t="shared" si="37"/>
        <v>1.7196134336139979E-2</v>
      </c>
      <c r="AI76">
        <f t="shared" si="37"/>
        <v>1.3173215007981964E-2</v>
      </c>
      <c r="AJ76">
        <f t="shared" si="37"/>
        <v>1.000632821858527E-2</v>
      </c>
      <c r="AK76">
        <f t="shared" si="37"/>
        <v>7.5366718711705749E-3</v>
      </c>
      <c r="AL76">
        <f t="shared" si="37"/>
        <v>5.6286761338466551E-3</v>
      </c>
      <c r="AM76">
        <f t="shared" si="37"/>
        <v>4.168258043775519E-3</v>
      </c>
      <c r="AN76">
        <f t="shared" si="37"/>
        <v>3.0607264220828823E-3</v>
      </c>
      <c r="AO76">
        <f t="shared" si="37"/>
        <v>2.2285167722682075E-3</v>
      </c>
      <c r="AP76">
        <f t="shared" si="37"/>
        <v>1.6088986302820185E-3</v>
      </c>
      <c r="AQ76">
        <f t="shared" si="37"/>
        <v>1.1517619896066478E-3</v>
      </c>
      <c r="AR76">
        <f t="shared" si="37"/>
        <v>8.1755691012252996E-4</v>
      </c>
      <c r="AS76">
        <f t="shared" si="37"/>
        <v>5.7543244630908763E-4</v>
      </c>
      <c r="AT76">
        <f t="shared" si="37"/>
        <v>4.0159815730145265E-4</v>
      </c>
      <c r="AU76">
        <f t="shared" si="37"/>
        <v>2.7791372943486436E-4</v>
      </c>
      <c r="AV76">
        <f t="shared" si="37"/>
        <v>1.9069931550830255E-4</v>
      </c>
      <c r="AW76">
        <f t="shared" si="37"/>
        <v>1.2975049538266337E-4</v>
      </c>
      <c r="AX76">
        <f t="shared" si="37"/>
        <v>8.753658356586147E-5</v>
      </c>
      <c r="AY76">
        <f t="shared" si="37"/>
        <v>5.8558609975389864E-5</v>
      </c>
      <c r="AZ76">
        <f t="shared" si="37"/>
        <v>3.8842971544772453E-5</v>
      </c>
      <c r="BA76">
        <f t="shared" si="37"/>
        <v>2.5547863040764618E-5</v>
      </c>
      <c r="BB76">
        <f t="shared" si="37"/>
        <v>1.6661614526847224E-5</v>
      </c>
      <c r="BC76">
        <f t="shared" si="37"/>
        <v>1.0774568435678589E-5</v>
      </c>
      <c r="BD76">
        <f t="shared" si="37"/>
        <v>6.9088046298348971E-6</v>
      </c>
      <c r="BE76">
        <f t="shared" si="37"/>
        <v>4.3926448930475814E-6</v>
      </c>
      <c r="BF76">
        <f t="shared" si="37"/>
        <v>2.7692959300162912E-6</v>
      </c>
      <c r="BG76">
        <f t="shared" si="37"/>
        <v>1.7311418643028986E-6</v>
      </c>
      <c r="BH76">
        <f t="shared" si="37"/>
        <v>1.0730399824243619E-6</v>
      </c>
      <c r="BI76">
        <f t="shared" si="37"/>
        <v>6.5950643646228713E-7</v>
      </c>
      <c r="BJ76">
        <f t="shared" si="37"/>
        <v>4.0192220185364391E-7</v>
      </c>
      <c r="BK76">
        <f t="shared" si="37"/>
        <v>2.4287606459338917E-7</v>
      </c>
      <c r="BL76">
        <f t="shared" si="37"/>
        <v>1.4552819316282495E-7</v>
      </c>
      <c r="BM76">
        <f t="shared" si="37"/>
        <v>8.6462780157781083E-8</v>
      </c>
      <c r="BN76">
        <f t="shared" si="37"/>
        <v>5.0936703410719986E-8</v>
      </c>
      <c r="BO76">
        <f t="shared" ref="BO76:BU76" si="38">1-BO31</f>
        <v>2.9754454455854784E-8</v>
      </c>
      <c r="BP76">
        <f t="shared" si="38"/>
        <v>1.7234258908871425E-8</v>
      </c>
      <c r="BQ76">
        <f t="shared" si="38"/>
        <v>9.8981183249691185E-9</v>
      </c>
      <c r="BR76">
        <f t="shared" si="38"/>
        <v>5.6367920331368282E-9</v>
      </c>
      <c r="BS76">
        <f t="shared" si="38"/>
        <v>3.1829563429397467E-9</v>
      </c>
      <c r="BT76">
        <f t="shared" si="38"/>
        <v>1.7821677467111385E-9</v>
      </c>
      <c r="BU76">
        <f t="shared" si="38"/>
        <v>9.8943142567975428E-10</v>
      </c>
    </row>
    <row r="77" spans="1:73" x14ac:dyDescent="0.35">
      <c r="B77" t="s">
        <v>31</v>
      </c>
      <c r="C77">
        <f t="shared" ref="C77:BN77" si="39">1-C32</f>
        <v>1</v>
      </c>
      <c r="D77">
        <f t="shared" si="39"/>
        <v>0.99155635108375539</v>
      </c>
      <c r="E77">
        <f t="shared" si="39"/>
        <v>0.97923803416001043</v>
      </c>
      <c r="F77">
        <f t="shared" si="39"/>
        <v>0.96498525463161844</v>
      </c>
      <c r="G77">
        <f t="shared" si="39"/>
        <v>0.94941300006679907</v>
      </c>
      <c r="H77">
        <f t="shared" si="39"/>
        <v>0.93286921577634696</v>
      </c>
      <c r="I77">
        <f t="shared" si="39"/>
        <v>0.91558791987485988</v>
      </c>
      <c r="J77">
        <f t="shared" si="39"/>
        <v>0.89774148034295864</v>
      </c>
      <c r="K77">
        <f t="shared" si="39"/>
        <v>0.87946412267984619</v>
      </c>
      <c r="L77">
        <f t="shared" si="39"/>
        <v>0.86086430380948697</v>
      </c>
      <c r="M77">
        <f t="shared" si="39"/>
        <v>0.84203194583547869</v>
      </c>
      <c r="N77">
        <f t="shared" si="39"/>
        <v>0.82304299847241857</v>
      </c>
      <c r="O77">
        <f t="shared" si="39"/>
        <v>0.80396248853028895</v>
      </c>
      <c r="P77">
        <f t="shared" si="39"/>
        <v>0.78484665428658695</v>
      </c>
      <c r="Q77">
        <f t="shared" si="39"/>
        <v>0.76574449672124867</v>
      </c>
      <c r="R77">
        <f t="shared" si="39"/>
        <v>0.74669894301431139</v>
      </c>
      <c r="S77">
        <f t="shared" si="39"/>
        <v>0.7277477429208461</v>
      </c>
      <c r="T77">
        <f t="shared" si="39"/>
        <v>0.70892417548579156</v>
      </c>
      <c r="U77">
        <f t="shared" si="39"/>
        <v>0.69025761754766601</v>
      </c>
      <c r="V77">
        <f t="shared" si="39"/>
        <v>0.6717740092034894</v>
      </c>
      <c r="W77">
        <f t="shared" si="39"/>
        <v>0.65349624089143499</v>
      </c>
      <c r="X77">
        <f t="shared" si="39"/>
        <v>0.63544447976161866</v>
      </c>
      <c r="Y77">
        <f t="shared" si="39"/>
        <v>0.61763644824910713</v>
      </c>
      <c r="Z77">
        <f t="shared" si="39"/>
        <v>0.60008766445391126</v>
      </c>
      <c r="AA77">
        <f t="shared" si="39"/>
        <v>0.58281165158514481</v>
      </c>
      <c r="AB77">
        <f t="shared" si="39"/>
        <v>0.56582012203196441</v>
      </c>
      <c r="AC77">
        <f t="shared" si="39"/>
        <v>0.54912314038132881</v>
      </c>
      <c r="AD77">
        <f t="shared" si="39"/>
        <v>0.53272926877837989</v>
      </c>
      <c r="AE77">
        <f t="shared" si="39"/>
        <v>0.51664569732878196</v>
      </c>
      <c r="AF77">
        <f t="shared" si="39"/>
        <v>0.50087836171122757</v>
      </c>
      <c r="AG77">
        <f t="shared" si="39"/>
        <v>0.48543204975880716</v>
      </c>
      <c r="AH77">
        <f t="shared" si="39"/>
        <v>0.47031049844896544</v>
      </c>
      <c r="AI77">
        <f t="shared" si="39"/>
        <v>0.4555164824909641</v>
      </c>
      <c r="AJ77">
        <f t="shared" si="39"/>
        <v>0.44105189550082446</v>
      </c>
      <c r="AK77">
        <f t="shared" si="39"/>
        <v>0.42691782459460803</v>
      </c>
      <c r="AL77">
        <f t="shared" si="39"/>
        <v>0.41311461910264113</v>
      </c>
      <c r="AM77">
        <f t="shared" si="39"/>
        <v>0.39964195400316116</v>
      </c>
      <c r="AN77">
        <f t="shared" si="39"/>
        <v>0.38649888858872428</v>
      </c>
      <c r="AO77">
        <f t="shared" si="39"/>
        <v>0.37368392080864898</v>
      </c>
      <c r="AP77">
        <f t="shared" si="39"/>
        <v>0.36119503767273542</v>
      </c>
      <c r="AQ77">
        <f t="shared" si="39"/>
        <v>0.34902976205314673</v>
      </c>
      <c r="AR77">
        <f t="shared" si="39"/>
        <v>0.337185196180803</v>
      </c>
      <c r="AS77">
        <f t="shared" si="39"/>
        <v>0.32565806209847548</v>
      </c>
      <c r="AT77">
        <f t="shared" si="39"/>
        <v>0.31444473930380523</v>
      </c>
      <c r="AU77">
        <f t="shared" si="39"/>
        <v>0.30354129979079281</v>
      </c>
      <c r="AV77">
        <f t="shared" si="39"/>
        <v>0.29294354067715689</v>
      </c>
      <c r="AW77">
        <f t="shared" si="39"/>
        <v>0.28264701458675656</v>
      </c>
      <c r="AX77">
        <f t="shared" si="39"/>
        <v>0.27264705794050759</v>
      </c>
      <c r="AY77">
        <f t="shared" si="39"/>
        <v>0.26293881729551205</v>
      </c>
      <c r="AZ77">
        <f t="shared" si="39"/>
        <v>0.25351727386014111</v>
      </c>
      <c r="BA77">
        <f t="shared" si="39"/>
        <v>0.24437726630227163</v>
      </c>
      <c r="BB77">
        <f t="shared" si="39"/>
        <v>0.23551351195859804</v>
      </c>
      <c r="BC77">
        <f t="shared" si="39"/>
        <v>0.22692062654468403</v>
      </c>
      <c r="BD77">
        <f t="shared" si="39"/>
        <v>0.2185931424580918</v>
      </c>
      <c r="BE77">
        <f t="shared" si="39"/>
        <v>0.210525525760342</v>
      </c>
      <c r="BF77">
        <f t="shared" si="39"/>
        <v>0.2027121919175624</v>
      </c>
      <c r="BG77">
        <f t="shared" si="39"/>
        <v>0.1951475203743448</v>
      </c>
      <c r="BH77">
        <f t="shared" si="39"/>
        <v>0.18782586803049961</v>
      </c>
      <c r="BI77">
        <f t="shared" si="39"/>
        <v>0.1807415816859983</v>
      </c>
      <c r="BJ77">
        <f t="shared" si="39"/>
        <v>0.17388900951537589</v>
      </c>
      <c r="BK77">
        <f t="shared" si="39"/>
        <v>0.1672625116291806</v>
      </c>
      <c r="BL77">
        <f t="shared" si="39"/>
        <v>0.16085646977666568</v>
      </c>
      <c r="BM77">
        <f t="shared" si="39"/>
        <v>0.15466529624079117</v>
      </c>
      <c r="BN77">
        <f t="shared" si="39"/>
        <v>0.14868344197369976</v>
      </c>
      <c r="BO77">
        <f t="shared" ref="BO77:BU77" si="40">1-BO32</f>
        <v>0.14290540401814034</v>
      </c>
      <c r="BP77">
        <f t="shared" si="40"/>
        <v>0.13732573225780342</v>
      </c>
      <c r="BQ77">
        <f t="shared" si="40"/>
        <v>0.13193903553718833</v>
      </c>
      <c r="BR77">
        <f t="shared" si="40"/>
        <v>0.12673998718943147</v>
      </c>
      <c r="BS77">
        <f t="shared" si="40"/>
        <v>0.12172333000846425</v>
      </c>
      <c r="BT77">
        <f t="shared" si="40"/>
        <v>0.11688388069993705</v>
      </c>
      <c r="BU77">
        <f t="shared" si="40"/>
        <v>0.1122165338435227</v>
      </c>
    </row>
    <row r="78" spans="1:73" x14ac:dyDescent="0.35">
      <c r="B78" t="s">
        <v>32</v>
      </c>
      <c r="C78">
        <f t="shared" ref="C78:BN78" si="41">1-C33</f>
        <v>1</v>
      </c>
      <c r="D78">
        <f t="shared" si="41"/>
        <v>0.99672896389827936</v>
      </c>
      <c r="E78">
        <f t="shared" si="41"/>
        <v>0.98925699193633765</v>
      </c>
      <c r="F78">
        <f t="shared" si="41"/>
        <v>0.97853069267435711</v>
      </c>
      <c r="G78">
        <f t="shared" si="41"/>
        <v>0.96501896015919397</v>
      </c>
      <c r="H78">
        <f t="shared" si="41"/>
        <v>0.94906441695229138</v>
      </c>
      <c r="I78">
        <f t="shared" si="41"/>
        <v>0.93095198846990601</v>
      </c>
      <c r="J78">
        <f t="shared" si="41"/>
        <v>0.91093413774979703</v>
      </c>
      <c r="K78">
        <f t="shared" si="41"/>
        <v>0.88924232001218528</v>
      </c>
      <c r="L78">
        <f t="shared" si="41"/>
        <v>0.86609274819381787</v>
      </c>
      <c r="M78">
        <f t="shared" si="41"/>
        <v>0.84168943672207819</v>
      </c>
      <c r="N78">
        <f t="shared" si="41"/>
        <v>0.81622581878133982</v>
      </c>
      <c r="O78">
        <f t="shared" si="41"/>
        <v>0.78988557374902235</v>
      </c>
      <c r="P78">
        <f t="shared" si="41"/>
        <v>0.76284300603995425</v>
      </c>
      <c r="Q78">
        <f t="shared" si="41"/>
        <v>0.73526317053290047</v>
      </c>
      <c r="R78">
        <f t="shared" si="41"/>
        <v>0.70730186179002463</v>
      </c>
      <c r="S78">
        <f t="shared" si="41"/>
        <v>0.67910553997002976</v>
      </c>
      <c r="T78">
        <f t="shared" si="41"/>
        <v>0.65081123978219801</v>
      </c>
      <c r="U78">
        <f t="shared" si="41"/>
        <v>0.62254649217524027</v>
      </c>
      <c r="V78">
        <f t="shared" si="41"/>
        <v>0.59442927759244302</v>
      </c>
      <c r="W78">
        <f t="shared" si="41"/>
        <v>0.56656802229801917</v>
      </c>
      <c r="X78">
        <f t="shared" si="41"/>
        <v>0.53906164419901925</v>
      </c>
      <c r="Y78">
        <f t="shared" si="41"/>
        <v>0.51199965098745215</v>
      </c>
      <c r="Z78">
        <f t="shared" si="41"/>
        <v>0.48546229083909798</v>
      </c>
      <c r="AA78">
        <f t="shared" si="41"/>
        <v>0.45952075403192516</v>
      </c>
      <c r="AB78">
        <f t="shared" si="41"/>
        <v>0.43423742249443409</v>
      </c>
      <c r="AC78">
        <f t="shared" si="41"/>
        <v>0.40966616333245165</v>
      </c>
      <c r="AD78">
        <f t="shared" si="41"/>
        <v>0.38585266172162891</v>
      </c>
      <c r="AE78">
        <f t="shared" si="41"/>
        <v>0.36283478812749115</v>
      </c>
      <c r="AF78">
        <f t="shared" si="41"/>
        <v>0.34064299457745562</v>
      </c>
      <c r="AG78">
        <f t="shared" si="41"/>
        <v>0.31930073462314024</v>
      </c>
      <c r="AH78">
        <f t="shared" si="41"/>
        <v>0.2988249016675546</v>
      </c>
      <c r="AI78">
        <f t="shared" si="41"/>
        <v>0.27922628046684439</v>
      </c>
      <c r="AJ78">
        <f t="shared" si="41"/>
        <v>0.26051000683051662</v>
      </c>
      <c r="AK78">
        <f t="shared" si="41"/>
        <v>0.24267603082078848</v>
      </c>
      <c r="AL78">
        <f t="shared" si="41"/>
        <v>0.225719579076467</v>
      </c>
      <c r="AM78">
        <f t="shared" si="41"/>
        <v>0.20963161224701787</v>
      </c>
      <c r="AN78">
        <f t="shared" si="41"/>
        <v>0.19439927390721401</v>
      </c>
      <c r="AO78">
        <f t="shared" si="41"/>
        <v>0.18000632772234104</v>
      </c>
      <c r="AP78">
        <f t="shared" si="41"/>
        <v>0.16643358003993991</v>
      </c>
      <c r="AQ78">
        <f t="shared" si="41"/>
        <v>0.15365928548920071</v>
      </c>
      <c r="AR78">
        <f t="shared" si="41"/>
        <v>0.14165953356707939</v>
      </c>
      <c r="AS78">
        <f t="shared" si="41"/>
        <v>0.13040861457570063</v>
      </c>
      <c r="AT78">
        <f t="shared" si="41"/>
        <v>0.11987936364417073</v>
      </c>
      <c r="AU78">
        <f t="shared" si="41"/>
        <v>0.11004348191599622</v>
      </c>
      <c r="AV78">
        <f t="shared" si="41"/>
        <v>0.10087183430803648</v>
      </c>
      <c r="AW78">
        <f t="shared" si="41"/>
        <v>9.2334723546223185E-2</v>
      </c>
      <c r="AX78">
        <f t="shared" si="41"/>
        <v>8.4402140455692831E-2</v>
      </c>
      <c r="AY78">
        <f t="shared" si="41"/>
        <v>7.7043990727642897E-2</v>
      </c>
      <c r="AZ78">
        <f t="shared" si="41"/>
        <v>7.0230298601800856E-2</v>
      </c>
      <c r="BA78">
        <f t="shared" si="41"/>
        <v>6.3931388092026031E-2</v>
      </c>
      <c r="BB78">
        <f t="shared" si="41"/>
        <v>5.811804254378572E-2</v>
      </c>
      <c r="BC78">
        <f t="shared" si="41"/>
        <v>5.2761643446950668E-2</v>
      </c>
      <c r="BD78">
        <f t="shared" si="41"/>
        <v>4.7834289536723307E-2</v>
      </c>
      <c r="BE78">
        <f t="shared" si="41"/>
        <v>4.3308897300948113E-2</v>
      </c>
      <c r="BF78">
        <f t="shared" si="41"/>
        <v>3.9159284075171663E-2</v>
      </c>
      <c r="BG78">
        <f t="shared" si="41"/>
        <v>3.5360234949340263E-2</v>
      </c>
      <c r="BH78">
        <f t="shared" si="41"/>
        <v>3.188755473377991E-2</v>
      </c>
      <c r="BI78">
        <f t="shared" si="41"/>
        <v>2.871810623896609E-2</v>
      </c>
      <c r="BJ78">
        <f t="shared" si="41"/>
        <v>2.5829836115460858E-2</v>
      </c>
      <c r="BK78">
        <f t="shared" si="41"/>
        <v>2.3201789479140089E-2</v>
      </c>
      <c r="BL78">
        <f t="shared" si="41"/>
        <v>2.0814114514290938E-2</v>
      </c>
      <c r="BM78">
        <f t="shared" si="41"/>
        <v>1.8648058205103957E-2</v>
      </c>
      <c r="BN78">
        <f t="shared" si="41"/>
        <v>1.668595429618136E-2</v>
      </c>
      <c r="BO78">
        <f t="shared" ref="BO78:BU78" si="42">1-BO33</f>
        <v>1.4911204526539268E-2</v>
      </c>
      <c r="BP78">
        <f t="shared" si="42"/>
        <v>1.3308254120648733E-2</v>
      </c>
      <c r="BQ78">
        <f t="shared" si="42"/>
        <v>1.186256245570505E-2</v>
      </c>
      <c r="BR78">
        <f t="shared" si="42"/>
        <v>1.0560569757758098E-2</v>
      </c>
      <c r="BS78">
        <f t="shared" si="42"/>
        <v>9.3896606116854464E-3</v>
      </c>
      <c r="BT78">
        <f t="shared" si="42"/>
        <v>8.3381250022147579E-3</v>
      </c>
      <c r="BU78">
        <f t="shared" si="42"/>
        <v>7.3951175361598454E-3</v>
      </c>
    </row>
    <row r="79" spans="1:73" x14ac:dyDescent="0.35">
      <c r="B79" t="s">
        <v>33</v>
      </c>
      <c r="C79">
        <f t="shared" ref="C79:BN79" si="43">1-C34</f>
        <v>1</v>
      </c>
      <c r="D79">
        <f t="shared" si="43"/>
        <v>0.99049698234196148</v>
      </c>
      <c r="E79">
        <f t="shared" si="43"/>
        <v>0.97613410237237064</v>
      </c>
      <c r="F79">
        <f t="shared" si="43"/>
        <v>0.95928047132815852</v>
      </c>
      <c r="G79">
        <f t="shared" si="43"/>
        <v>0.94072248792348412</v>
      </c>
      <c r="H79">
        <f t="shared" si="43"/>
        <v>0.9209162894573284</v>
      </c>
      <c r="I79">
        <f t="shared" si="43"/>
        <v>0.90017454128645491</v>
      </c>
      <c r="J79">
        <f t="shared" si="43"/>
        <v>0.87873096336001821</v>
      </c>
      <c r="K79">
        <f t="shared" si="43"/>
        <v>0.85676961131351725</v>
      </c>
      <c r="L79">
        <f t="shared" si="43"/>
        <v>0.83444041746731101</v>
      </c>
      <c r="M79">
        <f t="shared" si="43"/>
        <v>0.81186835161982074</v>
      </c>
      <c r="N79">
        <f t="shared" si="43"/>
        <v>0.78915924994253661</v>
      </c>
      <c r="O79">
        <f t="shared" si="43"/>
        <v>0.76640374872570616</v>
      </c>
      <c r="P79">
        <f t="shared" si="43"/>
        <v>0.74368006730061842</v>
      </c>
      <c r="Q79">
        <f t="shared" si="43"/>
        <v>0.72105605479377322</v>
      </c>
      <c r="R79">
        <f t="shared" si="43"/>
        <v>0.69859074544675981</v>
      </c>
      <c r="S79">
        <f t="shared" si="43"/>
        <v>0.67633557391861943</v>
      </c>
      <c r="T79">
        <f t="shared" si="43"/>
        <v>0.65433534800536775</v>
      </c>
      <c r="U79">
        <f t="shared" si="43"/>
        <v>0.63262904359720595</v>
      </c>
      <c r="V79">
        <f t="shared" si="43"/>
        <v>0.61125046624937052</v>
      </c>
      <c r="W79">
        <f t="shared" si="43"/>
        <v>0.59022881051376264</v>
      </c>
      <c r="X79">
        <f t="shared" si="43"/>
        <v>0.56958913937954214</v>
      </c>
      <c r="Y79">
        <f t="shared" si="43"/>
        <v>0.54935280017517618</v>
      </c>
      <c r="Z79">
        <f t="shared" si="43"/>
        <v>0.5295377891106704</v>
      </c>
      <c r="AA79">
        <f t="shared" si="43"/>
        <v>0.51015907367740398</v>
      </c>
      <c r="AB79">
        <f t="shared" si="43"/>
        <v>0.4912288799857738</v>
      </c>
      <c r="AC79">
        <f t="shared" si="43"/>
        <v>0.47275695055448153</v>
      </c>
      <c r="AD79">
        <f t="shared" si="43"/>
        <v>0.4547507769011423</v>
      </c>
      <c r="AE79">
        <f t="shared" si="43"/>
        <v>0.43721581040758184</v>
      </c>
      <c r="AF79">
        <f t="shared" si="43"/>
        <v>0.42015565426576296</v>
      </c>
      <c r="AG79">
        <f t="shared" si="43"/>
        <v>0.40357223879642823</v>
      </c>
      <c r="AH79">
        <f t="shared" si="43"/>
        <v>0.38746598203290461</v>
      </c>
      <c r="AI79">
        <f t="shared" si="43"/>
        <v>0.37183593714875052</v>
      </c>
      <c r="AJ79">
        <f t="shared" si="43"/>
        <v>0.35667992805937132</v>
      </c>
      <c r="AK79">
        <f t="shared" si="43"/>
        <v>0.34199467432913777</v>
      </c>
      <c r="AL79">
        <f t="shared" si="43"/>
        <v>0.3277759063555753</v>
      </c>
      <c r="AM79">
        <f t="shared" si="43"/>
        <v>0.31401847167229247</v>
      </c>
      <c r="AN79">
        <f t="shared" si="43"/>
        <v>0.30071643310603136</v>
      </c>
      <c r="AO79">
        <f t="shared" si="43"/>
        <v>0.2878631594355614</v>
      </c>
      <c r="AP79">
        <f t="shared" si="43"/>
        <v>0.27545140912732302</v>
      </c>
      <c r="AQ79">
        <f t="shared" si="43"/>
        <v>0.26347340766174721</v>
      </c>
      <c r="AR79">
        <f t="shared" si="43"/>
        <v>0.25192091891275115</v>
      </c>
      <c r="AS79">
        <f t="shared" si="43"/>
        <v>0.24078531099919731</v>
      </c>
      <c r="AT79">
        <f t="shared" si="43"/>
        <v>0.23005761698966665</v>
      </c>
      <c r="AU79">
        <f t="shared" si="43"/>
        <v>0.21972859080959073</v>
      </c>
      <c r="AV79">
        <f t="shared" si="43"/>
        <v>0.20978875867170643</v>
      </c>
      <c r="AW79">
        <f t="shared" si="43"/>
        <v>0.20022846632619085</v>
      </c>
      <c r="AX79">
        <f t="shared" si="43"/>
        <v>0.19103792240512518</v>
      </c>
      <c r="AY79">
        <f t="shared" si="43"/>
        <v>0.18220723811664619</v>
      </c>
      <c r="AZ79">
        <f t="shared" si="43"/>
        <v>0.17372646352686827</v>
      </c>
      <c r="BA79">
        <f t="shared" si="43"/>
        <v>0.16558562065210802</v>
      </c>
      <c r="BB79">
        <f t="shared" si="43"/>
        <v>0.15777473356983118</v>
      </c>
      <c r="BC79">
        <f t="shared" si="43"/>
        <v>0.15028385574387593</v>
      </c>
      <c r="BD79">
        <f t="shared" si="43"/>
        <v>0.14310309474770422</v>
      </c>
      <c r="BE79">
        <f t="shared" si="43"/>
        <v>0.13622263455854655</v>
      </c>
      <c r="BF79">
        <f t="shared" si="43"/>
        <v>0.12963275558523002</v>
      </c>
      <c r="BG79">
        <f t="shared" si="43"/>
        <v>0.12332385258309631</v>
      </c>
      <c r="BH79">
        <f t="shared" si="43"/>
        <v>0.11728645060066234</v>
      </c>
      <c r="BI79">
        <f t="shared" si="43"/>
        <v>0.11151121909446748</v>
      </c>
      <c r="BJ79">
        <f t="shared" si="43"/>
        <v>0.10598898434084358</v>
      </c>
      <c r="BK79">
        <f t="shared" si="43"/>
        <v>0.10071074026607152</v>
      </c>
      <c r="BL79">
        <f t="shared" si="43"/>
        <v>9.5667657809535678E-2</v>
      </c>
      <c r="BM79">
        <f t="shared" si="43"/>
        <v>9.0851092927987986E-2</v>
      </c>
      <c r="BN79">
        <f t="shared" si="43"/>
        <v>8.625259334288915E-2</v>
      </c>
      <c r="BO79">
        <f t="shared" ref="BO79:BU79" si="44">1-BO34</f>
        <v>8.1863904126956877E-2</v>
      </c>
      <c r="BP79">
        <f t="shared" si="44"/>
        <v>7.7676972220509066E-2</v>
      </c>
      <c r="BQ79">
        <f t="shared" si="44"/>
        <v>7.36839499629246E-2</v>
      </c>
      <c r="BR79">
        <f t="shared" si="44"/>
        <v>6.9877197719532491E-2</v>
      </c>
      <c r="BS79">
        <f t="shared" si="44"/>
        <v>6.6249285679477854E-2</v>
      </c>
      <c r="BT79">
        <f t="shared" si="44"/>
        <v>6.2792994895573662E-2</v>
      </c>
      <c r="BU79">
        <f t="shared" si="44"/>
        <v>5.9501317632833617E-2</v>
      </c>
    </row>
    <row r="80" spans="1:73" x14ac:dyDescent="0.35">
      <c r="B80" t="s">
        <v>34</v>
      </c>
      <c r="C80">
        <f t="shared" ref="C80:BN80" si="45">1-C35</f>
        <v>1</v>
      </c>
      <c r="D80">
        <f t="shared" si="45"/>
        <v>0.9995693401294139</v>
      </c>
      <c r="E80">
        <f t="shared" si="45"/>
        <v>0.99797983512187682</v>
      </c>
      <c r="F80">
        <f t="shared" si="45"/>
        <v>0.99501573774968488</v>
      </c>
      <c r="G80">
        <f t="shared" si="45"/>
        <v>0.99055147676553634</v>
      </c>
      <c r="H80">
        <f t="shared" si="45"/>
        <v>0.98450316563867513</v>
      </c>
      <c r="I80">
        <f t="shared" si="45"/>
        <v>0.97681540120230537</v>
      </c>
      <c r="J80">
        <f t="shared" si="45"/>
        <v>0.9674555464210538</v>
      </c>
      <c r="K80">
        <f t="shared" si="45"/>
        <v>0.95641070384017157</v>
      </c>
      <c r="L80">
        <f t="shared" si="45"/>
        <v>0.94368585531111004</v>
      </c>
      <c r="M80">
        <f t="shared" si="45"/>
        <v>0.92930254517122668</v>
      </c>
      <c r="N80">
        <f t="shared" si="45"/>
        <v>0.9132978116708369</v>
      </c>
      <c r="O80">
        <f t="shared" si="45"/>
        <v>0.89572321294242041</v>
      </c>
      <c r="P80">
        <f t="shared" si="45"/>
        <v>0.87664386309360587</v>
      </c>
      <c r="Q80">
        <f t="shared" si="45"/>
        <v>0.85613743150077992</v>
      </c>
      <c r="R80">
        <f t="shared" si="45"/>
        <v>0.83429308045722828</v>
      </c>
      <c r="S80">
        <f t="shared" si="45"/>
        <v>0.81121033030251821</v>
      </c>
      <c r="T80">
        <f t="shared" si="45"/>
        <v>0.78699785054907279</v>
      </c>
      <c r="U80">
        <f t="shared" si="45"/>
        <v>0.76177218212352538</v>
      </c>
      <c r="V80">
        <f t="shared" si="45"/>
        <v>0.73565640061336168</v>
      </c>
      <c r="W80">
        <f t="shared" si="45"/>
        <v>0.70877873388500123</v>
      </c>
      <c r="X80">
        <f t="shared" si="45"/>
        <v>0.68127114992269333</v>
      </c>
      <c r="Y80">
        <f t="shared" si="45"/>
        <v>0.65326793241039327</v>
      </c>
      <c r="Z80">
        <f t="shared" si="45"/>
        <v>0.62490426255628517</v>
      </c>
      <c r="AA80">
        <f t="shared" si="45"/>
        <v>0.59631482602133856</v>
      </c>
      <c r="AB80">
        <f t="shared" si="45"/>
        <v>0.56763246362108932</v>
      </c>
      <c r="AC80">
        <f t="shared" si="45"/>
        <v>0.53898688377829096</v>
      </c>
      <c r="AD80">
        <f t="shared" si="45"/>
        <v>0.51050345356634663</v>
      </c>
      <c r="AE80">
        <f t="shared" si="45"/>
        <v>0.48230208365447969</v>
      </c>
      <c r="AF80">
        <f t="shared" si="45"/>
        <v>0.4544962206035581</v>
      </c>
      <c r="AG80">
        <f t="shared" si="45"/>
        <v>0.42719195782794062</v>
      </c>
      <c r="AH80">
        <f t="shared" si="45"/>
        <v>0.40048727419815067</v>
      </c>
      <c r="AI80">
        <f t="shared" si="45"/>
        <v>0.37447140677799706</v>
      </c>
      <c r="AJ80">
        <f t="shared" si="45"/>
        <v>0.34922436163480963</v>
      </c>
      <c r="AK80">
        <f t="shared" si="45"/>
        <v>0.32481656409868576</v>
      </c>
      <c r="AL80">
        <f t="shared" si="45"/>
        <v>0.30130864733927265</v>
      </c>
      <c r="AM80">
        <f t="shared" si="45"/>
        <v>0.27875137573581221</v>
      </c>
      <c r="AN80">
        <f t="shared" si="45"/>
        <v>0.25718569729144936</v>
      </c>
      <c r="AO80">
        <f t="shared" si="45"/>
        <v>0.23664291733283371</v>
      </c>
      <c r="AP80">
        <f t="shared" si="45"/>
        <v>0.2171449839796411</v>
      </c>
      <c r="AQ80">
        <f t="shared" si="45"/>
        <v>0.19870487439596485</v>
      </c>
      <c r="AR80">
        <f t="shared" si="45"/>
        <v>0.18132706966768875</v>
      </c>
      <c r="AS80">
        <f t="shared" si="45"/>
        <v>0.16500810529879506</v>
      </c>
      <c r="AT80">
        <f t="shared" si="45"/>
        <v>0.1497371837878283</v>
      </c>
      <c r="AU80">
        <f t="shared" si="45"/>
        <v>0.1354968355274816</v>
      </c>
      <c r="AV80">
        <f t="shared" si="45"/>
        <v>0.12226361435154676</v>
      </c>
      <c r="AW80">
        <f t="shared" si="45"/>
        <v>0.11000881441315791</v>
      </c>
      <c r="AX80">
        <f t="shared" si="45"/>
        <v>9.8699195689233687E-2</v>
      </c>
      <c r="AY80">
        <f t="shared" si="45"/>
        <v>8.8297706236243334E-2</v>
      </c>
      <c r="AZ80">
        <f t="shared" si="45"/>
        <v>7.8764190336258921E-2</v>
      </c>
      <c r="BA80">
        <f t="shared" si="45"/>
        <v>7.0056072831813587E-2</v>
      </c>
      <c r="BB80">
        <f t="shared" si="45"/>
        <v>6.212901121441039E-2</v>
      </c>
      <c r="BC80">
        <f t="shared" si="45"/>
        <v>5.493750836592437E-2</v>
      </c>
      <c r="BD80">
        <f t="shared" si="45"/>
        <v>4.8435480217235205E-2</v>
      </c>
      <c r="BE80">
        <f t="shared" si="45"/>
        <v>4.2576773949165814E-2</v>
      </c>
      <c r="BF80">
        <f t="shared" si="45"/>
        <v>3.7315633685335747E-2</v>
      </c>
      <c r="BG80">
        <f t="shared" si="45"/>
        <v>3.2607111886801543E-2</v>
      </c>
      <c r="BH80">
        <f t="shared" si="45"/>
        <v>2.8407425830643818E-2</v>
      </c>
      <c r="BI80">
        <f t="shared" si="45"/>
        <v>2.467425961984504E-2</v>
      </c>
      <c r="BJ80">
        <f t="shared" si="45"/>
        <v>2.136701311551803E-2</v>
      </c>
      <c r="BK80">
        <f t="shared" si="45"/>
        <v>1.8446999995087698E-2</v>
      </c>
      <c r="BL80">
        <f t="shared" si="45"/>
        <v>1.5877597816231437E-2</v>
      </c>
      <c r="BM80">
        <f t="shared" si="45"/>
        <v>1.3624353505232278E-2</v>
      </c>
      <c r="BN80">
        <f t="shared" si="45"/>
        <v>1.1655048092649389E-2</v>
      </c>
      <c r="BO80">
        <f t="shared" ref="BO80:BU80" si="46">1-BO35</f>
        <v>9.9397247949205569E-3</v>
      </c>
      <c r="BP80">
        <f t="shared" si="46"/>
        <v>8.450684696398314E-3</v>
      </c>
      <c r="BQ80">
        <f t="shared" si="46"/>
        <v>7.1624543333177471E-3</v>
      </c>
      <c r="BR80">
        <f t="shared" si="46"/>
        <v>6.0517294317515846E-3</v>
      </c>
      <c r="BS80">
        <f t="shared" si="46"/>
        <v>5.0972989192293872E-3</v>
      </c>
      <c r="BT80">
        <f t="shared" si="46"/>
        <v>4.2799531283392866E-3</v>
      </c>
      <c r="BU80">
        <f t="shared" si="46"/>
        <v>3.582379854307205E-3</v>
      </c>
    </row>
    <row r="81" spans="2:73" x14ac:dyDescent="0.35">
      <c r="B81" t="s">
        <v>35</v>
      </c>
      <c r="C81">
        <f t="shared" ref="C81:BN81" si="47">1-C36</f>
        <v>1</v>
      </c>
      <c r="D81">
        <f t="shared" si="47"/>
        <v>0.99977136345744555</v>
      </c>
      <c r="E81">
        <f t="shared" si="47"/>
        <v>0.9988580743387836</v>
      </c>
      <c r="F81">
        <f t="shared" si="47"/>
        <v>0.99707613010502172</v>
      </c>
      <c r="G81">
        <f t="shared" si="47"/>
        <v>0.99430704978863738</v>
      </c>
      <c r="H81">
        <f t="shared" si="47"/>
        <v>0.99046270093492261</v>
      </c>
      <c r="I81">
        <f t="shared" si="47"/>
        <v>0.98547516974564553</v>
      </c>
      <c r="J81">
        <f t="shared" si="47"/>
        <v>0.97929229640928772</v>
      </c>
      <c r="K81">
        <f t="shared" si="47"/>
        <v>0.97187534743958282</v>
      </c>
      <c r="L81">
        <f t="shared" si="47"/>
        <v>0.96319767004127366</v>
      </c>
      <c r="M81">
        <f t="shared" si="47"/>
        <v>0.95324384468988155</v>
      </c>
      <c r="N81">
        <f t="shared" si="47"/>
        <v>0.94200910017048489</v>
      </c>
      <c r="O81">
        <f t="shared" si="47"/>
        <v>0.92949886359110334</v>
      </c>
      <c r="P81">
        <f t="shared" si="47"/>
        <v>0.91572837110199079</v>
      </c>
      <c r="Q81">
        <f t="shared" si="47"/>
        <v>0.90072229375725421</v>
      </c>
      <c r="R81">
        <f t="shared" si="47"/>
        <v>0.884514349702054</v>
      </c>
      <c r="S81">
        <f t="shared" si="47"/>
        <v>0.86714688434591236</v>
      </c>
      <c r="T81">
        <f t="shared" si="47"/>
        <v>0.84867040717088738</v>
      </c>
      <c r="U81">
        <f t="shared" si="47"/>
        <v>0.82914307876447735</v>
      </c>
      <c r="V81">
        <f t="shared" si="47"/>
        <v>0.80863014534410416</v>
      </c>
      <c r="W81">
        <f t="shared" si="47"/>
        <v>0.7872033208931225</v>
      </c>
      <c r="X81">
        <f t="shared" si="47"/>
        <v>0.76494011931109207</v>
      </c>
      <c r="Y81">
        <f t="shared" si="47"/>
        <v>0.74192314084174826</v>
      </c>
      <c r="Z81">
        <f t="shared" si="47"/>
        <v>0.71823931856776291</v>
      </c>
      <c r="AA81">
        <f t="shared" si="47"/>
        <v>0.69397913200297434</v>
      </c>
      <c r="AB81">
        <f t="shared" si="47"/>
        <v>0.66923579580002279</v>
      </c>
      <c r="AC81">
        <f t="shared" si="47"/>
        <v>0.64410443234167147</v>
      </c>
      <c r="AD81">
        <f t="shared" si="47"/>
        <v>0.61868123750834669</v>
      </c>
      <c r="AE81">
        <f t="shared" si="47"/>
        <v>0.59306264922040786</v>
      </c>
      <c r="AF81">
        <f t="shared" si="47"/>
        <v>0.56734452844850725</v>
      </c>
      <c r="AG81">
        <f t="shared" si="47"/>
        <v>0.54162136227716873</v>
      </c>
      <c r="AH81">
        <f t="shared" si="47"/>
        <v>0.51598549830526252</v>
      </c>
      <c r="AI81">
        <f t="shared" si="47"/>
        <v>0.49052641918462903</v>
      </c>
      <c r="AJ81">
        <f t="shared" si="47"/>
        <v>0.46533006544957256</v>
      </c>
      <c r="AK81">
        <f t="shared" si="47"/>
        <v>0.44047821399283182</v>
      </c>
      <c r="AL81">
        <f t="shared" si="47"/>
        <v>0.41604791861789836</v>
      </c>
      <c r="AM81">
        <f t="shared" si="47"/>
        <v>0.39211101806534532</v>
      </c>
      <c r="AN81">
        <f t="shared" si="47"/>
        <v>0.36873371579599801</v>
      </c>
      <c r="AO81">
        <f t="shared" si="47"/>
        <v>0.34597623464140637</v>
      </c>
      <c r="AP81">
        <f t="shared" si="47"/>
        <v>0.32389254822789071</v>
      </c>
      <c r="AQ81">
        <f t="shared" si="47"/>
        <v>0.30253018987021085</v>
      </c>
      <c r="AR81">
        <f t="shared" si="47"/>
        <v>0.28193013843987469</v>
      </c>
      <c r="AS81">
        <f t="shared" si="47"/>
        <v>0.26212677956532182</v>
      </c>
      <c r="AT81">
        <f t="shared" si="47"/>
        <v>0.24314793943910273</v>
      </c>
      <c r="AU81">
        <f t="shared" si="47"/>
        <v>0.22501498751082927</v>
      </c>
      <c r="AV81">
        <f t="shared" si="47"/>
        <v>0.20774300345168495</v>
      </c>
      <c r="AW81">
        <f t="shared" si="47"/>
        <v>0.1913410030011351</v>
      </c>
      <c r="AX81">
        <f t="shared" si="47"/>
        <v>0.17581221666046276</v>
      </c>
      <c r="AY81">
        <f t="shared" si="47"/>
        <v>0.16115441468871172</v>
      </c>
      <c r="AZ81">
        <f t="shared" si="47"/>
        <v>0.1473602714889144</v>
      </c>
      <c r="BA81">
        <f t="shared" si="47"/>
        <v>0.13441776224701107</v>
      </c>
      <c r="BB81">
        <f t="shared" si="47"/>
        <v>0.12231058460023325</v>
      </c>
      <c r="BC81">
        <f t="shared" si="47"/>
        <v>0.11101859816037174</v>
      </c>
      <c r="BD81">
        <f t="shared" si="47"/>
        <v>0.10051827489197052</v>
      </c>
      <c r="BE81">
        <f t="shared" si="47"/>
        <v>9.0783153635245362E-2</v>
      </c>
      <c r="BF81">
        <f t="shared" si="47"/>
        <v>8.1784292455593932E-2</v>
      </c>
      <c r="BG81">
        <f t="shared" si="47"/>
        <v>7.3490712981478468E-2</v>
      </c>
      <c r="BH81">
        <f t="shared" si="47"/>
        <v>6.586983144462577E-2</v>
      </c>
      <c r="BI81">
        <f t="shared" si="47"/>
        <v>5.8887871744635945E-2</v>
      </c>
      <c r="BJ81">
        <f t="shared" si="47"/>
        <v>5.2510256507763753E-2</v>
      </c>
      <c r="BK81">
        <f t="shared" si="47"/>
        <v>4.6701972780570311E-2</v>
      </c>
      <c r="BL81">
        <f t="shared" si="47"/>
        <v>4.1427909677751007E-2</v>
      </c>
      <c r="BM81">
        <f t="shared" si="47"/>
        <v>3.6653165975093605E-2</v>
      </c>
      <c r="BN81">
        <f t="shared" si="47"/>
        <v>3.2343326289887564E-2</v>
      </c>
      <c r="BO81">
        <f t="shared" ref="BO81:BU81" si="48">1-BO36</f>
        <v>2.8464705110403221E-2</v>
      </c>
      <c r="BP81">
        <f t="shared" si="48"/>
        <v>2.4984558513218791E-2</v>
      </c>
      <c r="BQ81">
        <f t="shared" si="48"/>
        <v>2.1871263933963436E-2</v>
      </c>
      <c r="BR81">
        <f t="shared" si="48"/>
        <v>1.9094468827134614E-2</v>
      </c>
      <c r="BS81">
        <f t="shared" si="48"/>
        <v>1.6625209459601442E-2</v>
      </c>
      <c r="BT81">
        <f t="shared" si="48"/>
        <v>1.4436001427621803E-2</v>
      </c>
      <c r="BU81">
        <f t="shared" si="48"/>
        <v>1.2500903767818872E-2</v>
      </c>
    </row>
    <row r="82" spans="2:73" x14ac:dyDescent="0.35">
      <c r="B82" t="s">
        <v>36</v>
      </c>
      <c r="C82">
        <f t="shared" ref="C82:BN82" si="49">1-C37</f>
        <v>1</v>
      </c>
      <c r="D82">
        <f t="shared" si="49"/>
        <v>0.99230462198263902</v>
      </c>
      <c r="E82">
        <f t="shared" si="49"/>
        <v>0.97981963783924275</v>
      </c>
      <c r="F82">
        <f t="shared" si="49"/>
        <v>0.96467437097110464</v>
      </c>
      <c r="G82">
        <f t="shared" si="49"/>
        <v>0.94762066293147895</v>
      </c>
      <c r="H82">
        <f t="shared" si="49"/>
        <v>0.92910830178275938</v>
      </c>
      <c r="I82">
        <f t="shared" si="49"/>
        <v>0.90945355968697694</v>
      </c>
      <c r="J82">
        <f t="shared" si="49"/>
        <v>0.88889831825290233</v>
      </c>
      <c r="K82">
        <f t="shared" si="49"/>
        <v>0.86763713939961706</v>
      </c>
      <c r="L82">
        <f t="shared" si="49"/>
        <v>0.84583171256798129</v>
      </c>
      <c r="M82">
        <f t="shared" si="49"/>
        <v>0.8236193998865452</v>
      </c>
      <c r="N82">
        <f t="shared" si="49"/>
        <v>0.80111868519437568</v>
      </c>
      <c r="O82">
        <f t="shared" si="49"/>
        <v>0.7784328573130227</v>
      </c>
      <c r="P82">
        <f t="shared" si="49"/>
        <v>0.75565261990417065</v>
      </c>
      <c r="Q82">
        <f t="shared" si="49"/>
        <v>0.732858014875717</v>
      </c>
      <c r="R82">
        <f t="shared" si="49"/>
        <v>0.71011988822721894</v>
      </c>
      <c r="S82">
        <f t="shared" si="49"/>
        <v>0.68750104011283619</v>
      </c>
      <c r="T82">
        <f t="shared" si="49"/>
        <v>0.66505715036535806</v>
      </c>
      <c r="U82">
        <f t="shared" si="49"/>
        <v>0.64283754012728878</v>
      </c>
      <c r="V82">
        <f t="shared" si="49"/>
        <v>0.62088581102452078</v>
      </c>
      <c r="W82">
        <f t="shared" si="49"/>
        <v>0.59924039087611636</v>
      </c>
      <c r="X82">
        <f t="shared" si="49"/>
        <v>0.57793500665559505</v>
      </c>
      <c r="Y82">
        <f t="shared" si="49"/>
        <v>0.55699909978051576</v>
      </c>
      <c r="Z82">
        <f t="shared" si="49"/>
        <v>0.53645819488640811</v>
      </c>
      <c r="AA82">
        <f t="shared" si="49"/>
        <v>0.5163342304647951</v>
      </c>
      <c r="AB82">
        <f t="shared" si="49"/>
        <v>0.49664585774710535</v>
      </c>
      <c r="AC82">
        <f t="shared" si="49"/>
        <v>0.47740871275767316</v>
      </c>
      <c r="AD82">
        <f t="shared" si="49"/>
        <v>0.45863566538039136</v>
      </c>
      <c r="AE82">
        <f t="shared" si="49"/>
        <v>0.44033704847670441</v>
      </c>
      <c r="AF82">
        <f t="shared" si="49"/>
        <v>0.42252086948274359</v>
      </c>
      <c r="AG82">
        <f t="shared" si="49"/>
        <v>0.40519300644807177</v>
      </c>
      <c r="AH82">
        <f t="shared" si="49"/>
        <v>0.38835739012041848</v>
      </c>
      <c r="AI82">
        <f t="shared" si="49"/>
        <v>0.37201617340306115</v>
      </c>
      <c r="AJ82">
        <f t="shared" si="49"/>
        <v>0.35616988929454041</v>
      </c>
      <c r="AK82">
        <f t="shared" si="49"/>
        <v>0.34081759824972802</v>
      </c>
      <c r="AL82">
        <f t="shared" si="49"/>
        <v>0.32595702576614816</v>
      </c>
      <c r="AM82">
        <f t="shared" si="49"/>
        <v>0.31158469089178531</v>
      </c>
      <c r="AN82">
        <f t="shared" si="49"/>
        <v>0.29769602626427982</v>
      </c>
      <c r="AO82">
        <f t="shared" si="49"/>
        <v>0.28428549022173188</v>
      </c>
      <c r="AP82">
        <f t="shared" si="49"/>
        <v>0.27134667146871938</v>
      </c>
      <c r="AQ82">
        <f t="shared" si="49"/>
        <v>0.25887238673479018</v>
      </c>
      <c r="AR82">
        <f t="shared" si="49"/>
        <v>0.24685477182446736</v>
      </c>
      <c r="AS82">
        <f t="shared" si="49"/>
        <v>0.23528536642600451</v>
      </c>
      <c r="AT82">
        <f t="shared" si="49"/>
        <v>0.22415519301942288</v>
      </c>
      <c r="AU82">
        <f t="shared" si="49"/>
        <v>0.21345483020171174</v>
      </c>
      <c r="AV82">
        <f t="shared" si="49"/>
        <v>0.2031744807276421</v>
      </c>
      <c r="AW82">
        <f t="shared" si="49"/>
        <v>0.19330403454778811</v>
      </c>
      <c r="AX82">
        <f t="shared" si="49"/>
        <v>0.18383312711054012</v>
      </c>
      <c r="AY82">
        <f t="shared" si="49"/>
        <v>0.1747511931817225</v>
      </c>
      <c r="AZ82">
        <f t="shared" si="49"/>
        <v>0.16604751642356885</v>
      </c>
      <c r="BA82">
        <f t="shared" si="49"/>
        <v>0.15771127496399395</v>
      </c>
      <c r="BB82">
        <f t="shared" si="49"/>
        <v>0.14973158317713164</v>
      </c>
      <c r="BC82">
        <f t="shared" si="49"/>
        <v>0.14209752988681734</v>
      </c>
      <c r="BD82">
        <f t="shared" si="49"/>
        <v>0.13479821319595486</v>
      </c>
      <c r="BE82">
        <f t="shared" si="49"/>
        <v>0.1278227721364128</v>
      </c>
      <c r="BF82">
        <f t="shared" si="49"/>
        <v>0.12116041532617694</v>
      </c>
      <c r="BG82">
        <f t="shared" si="49"/>
        <v>0.1148004468128716</v>
      </c>
      <c r="BH82">
        <f t="shared" si="49"/>
        <v>0.10873228927541134</v>
      </c>
      <c r="BI82">
        <f t="shared" si="49"/>
        <v>0.10294550474842312</v>
      </c>
      <c r="BJ82">
        <f t="shared" si="49"/>
        <v>9.742981302715259E-2</v>
      </c>
      <c r="BK82">
        <f t="shared" si="49"/>
        <v>9.2175107903825326E-2</v>
      </c>
      <c r="BL82">
        <f t="shared" si="49"/>
        <v>8.7171471379860255E-2</v>
      </c>
      <c r="BM82">
        <f t="shared" si="49"/>
        <v>8.2409185991914491E-2</v>
      </c>
      <c r="BN82">
        <f t="shared" si="49"/>
        <v>7.7878745383469061E-2</v>
      </c>
      <c r="BO82">
        <f t="shared" ref="BO82:BU82" si="50">1-BO37</f>
        <v>7.3570863247558682E-2</v>
      </c>
      <c r="BP82">
        <f t="shared" si="50"/>
        <v>6.9476480760270576E-2</v>
      </c>
      <c r="BQ82">
        <f t="shared" si="50"/>
        <v>6.5586772618825839E-2</v>
      </c>
      <c r="BR82">
        <f t="shared" si="50"/>
        <v>6.1893151792379975E-2</v>
      </c>
      <c r="BS82">
        <f t="shared" si="50"/>
        <v>5.838727308816738E-2</v>
      </c>
      <c r="BT82">
        <f t="shared" si="50"/>
        <v>5.5061035630239008E-2</v>
      </c>
      <c r="BU82">
        <f t="shared" si="50"/>
        <v>5.1906584342838125E-2</v>
      </c>
    </row>
    <row r="83" spans="2:73" x14ac:dyDescent="0.35">
      <c r="B83" t="s">
        <v>37</v>
      </c>
      <c r="C83">
        <f t="shared" ref="C83:BN83" si="51">1-C38</f>
        <v>1</v>
      </c>
      <c r="D83">
        <f t="shared" si="51"/>
        <v>0.95956366261661952</v>
      </c>
      <c r="E83">
        <f t="shared" si="51"/>
        <v>0.91732096209458991</v>
      </c>
      <c r="F83">
        <f t="shared" si="51"/>
        <v>0.87559654469194903</v>
      </c>
      <c r="G83">
        <f t="shared" si="51"/>
        <v>0.83491557399286787</v>
      </c>
      <c r="H83">
        <f t="shared" si="51"/>
        <v>0.79550766799853179</v>
      </c>
      <c r="I83">
        <f t="shared" si="51"/>
        <v>0.75748474152629464</v>
      </c>
      <c r="J83">
        <f t="shared" si="51"/>
        <v>0.72089874472935001</v>
      </c>
      <c r="K83">
        <f t="shared" si="51"/>
        <v>0.68576690438189147</v>
      </c>
      <c r="L83">
        <f t="shared" si="51"/>
        <v>0.65208476332742704</v>
      </c>
      <c r="M83">
        <f t="shared" si="51"/>
        <v>0.6198336898858573</v>
      </c>
      <c r="N83">
        <f t="shared" si="51"/>
        <v>0.58898554490899246</v>
      </c>
      <c r="O83">
        <f t="shared" si="51"/>
        <v>0.55950574864378699</v>
      </c>
      <c r="P83">
        <f t="shared" si="51"/>
        <v>0.5313553821655419</v>
      </c>
      <c r="Q83">
        <f t="shared" si="51"/>
        <v>0.50449267380932039</v>
      </c>
      <c r="R83">
        <f t="shared" si="51"/>
        <v>0.47887407633347456</v>
      </c>
      <c r="S83">
        <f t="shared" si="51"/>
        <v>0.45445506182654927</v>
      </c>
      <c r="T83">
        <f t="shared" si="51"/>
        <v>0.43119071612230986</v>
      </c>
      <c r="U83">
        <f t="shared" si="51"/>
        <v>0.40903618725773216</v>
      </c>
      <c r="V83">
        <f t="shared" si="51"/>
        <v>0.38794702546690019</v>
      </c>
      <c r="W83">
        <f t="shared" si="51"/>
        <v>0.36787944117144233</v>
      </c>
      <c r="X83">
        <f t="shared" si="51"/>
        <v>0.34879050007248935</v>
      </c>
      <c r="Y83">
        <f t="shared" si="51"/>
        <v>0.3306382694159663</v>
      </c>
      <c r="Z83">
        <f t="shared" si="51"/>
        <v>0.3133819259788162</v>
      </c>
      <c r="AA83">
        <f t="shared" si="51"/>
        <v>0.29698183380492249</v>
      </c>
      <c r="AB83">
        <f t="shared" si="51"/>
        <v>0.28139959788575108</v>
      </c>
      <c r="AC83">
        <f t="shared" si="51"/>
        <v>0.2665980986233869</v>
      </c>
      <c r="AD83">
        <f t="shared" si="51"/>
        <v>0.25254151089376009</v>
      </c>
      <c r="AE83">
        <f t="shared" si="51"/>
        <v>0.23919531075103528</v>
      </c>
      <c r="AF83">
        <f t="shared" si="51"/>
        <v>0.22652627221511468</v>
      </c>
      <c r="AG83">
        <f t="shared" si="51"/>
        <v>0.21450245611707075</v>
      </c>
      <c r="AH83">
        <f t="shared" si="51"/>
        <v>0.20309319260930858</v>
      </c>
      <c r="AI83">
        <f t="shared" si="51"/>
        <v>0.19226905865462207</v>
      </c>
      <c r="AJ83">
        <f t="shared" si="51"/>
        <v>0.1820018515736479</v>
      </c>
      <c r="AK83">
        <f t="shared" si="51"/>
        <v>0.17226455954059805</v>
      </c>
      <c r="AL83">
        <f t="shared" si="51"/>
        <v>0.16303132976285717</v>
      </c>
      <c r="AM83">
        <f t="shared" si="51"/>
        <v>0.15427743495369606</v>
      </c>
      <c r="AN83">
        <f t="shared" si="51"/>
        <v>0.14597923860331419</v>
      </c>
      <c r="AO83">
        <f t="shared" si="51"/>
        <v>0.1381141594673202</v>
      </c>
      <c r="AP83">
        <f t="shared" si="51"/>
        <v>0.13066063562017283</v>
      </c>
      <c r="AQ83">
        <f t="shared" si="51"/>
        <v>0.12359808836134278</v>
      </c>
      <c r="AR83">
        <f t="shared" si="51"/>
        <v>0.11690688621189649</v>
      </c>
      <c r="AS83">
        <f t="shared" si="51"/>
        <v>0.11056830919714211</v>
      </c>
      <c r="AT83">
        <f t="shared" si="51"/>
        <v>0.10456451357553553</v>
      </c>
      <c r="AU83">
        <f t="shared" si="51"/>
        <v>9.8878497144136324E-2</v>
      </c>
      <c r="AV83">
        <f t="shared" si="51"/>
        <v>9.3494065225598555E-2</v>
      </c>
      <c r="AW83">
        <f t="shared" si="51"/>
        <v>8.8395797420258493E-2</v>
      </c>
      <c r="AX83">
        <f t="shared" si="51"/>
        <v>8.3569015188735607E-2</v>
      </c>
      <c r="AY83">
        <f t="shared" si="51"/>
        <v>7.8999750315063122E-2</v>
      </c>
      <c r="AZ83">
        <f t="shared" si="51"/>
        <v>7.4674714287333521E-2</v>
      </c>
      <c r="BA83">
        <f t="shared" si="51"/>
        <v>7.0581268621785598E-2</v>
      </c>
      <c r="BB83">
        <f t="shared" si="51"/>
        <v>6.6707396146923226E-2</v>
      </c>
      <c r="BC83">
        <f t="shared" si="51"/>
        <v>6.3041673256357011E-2</v>
      </c>
      <c r="BD83">
        <f t="shared" si="51"/>
        <v>5.9573243132417297E-2</v>
      </c>
      <c r="BE83">
        <f t="shared" si="51"/>
        <v>5.6291789937010561E-2</v>
      </c>
      <c r="BF83">
        <f t="shared" si="51"/>
        <v>5.3187513961521993E-2</v>
      </c>
      <c r="BG83">
        <f t="shared" si="51"/>
        <v>5.0251107723705446E-2</v>
      </c>
      <c r="BH83">
        <f t="shared" si="51"/>
        <v>4.7473732996295537E-2</v>
      </c>
      <c r="BI83">
        <f t="shared" si="51"/>
        <v>4.4846998749473177E-2</v>
      </c>
      <c r="BJ83">
        <f t="shared" si="51"/>
        <v>4.2362939987204862E-2</v>
      </c>
      <c r="BK83">
        <f t="shared" si="51"/>
        <v>4.0013997455795147E-2</v>
      </c>
      <c r="BL83">
        <f t="shared" si="51"/>
        <v>3.7792998201693684E-2</v>
      </c>
      <c r="BM83">
        <f t="shared" si="51"/>
        <v>3.5693136954607296E-2</v>
      </c>
      <c r="BN83">
        <f t="shared" si="51"/>
        <v>3.3707958311258945E-2</v>
      </c>
      <c r="BO83">
        <f t="shared" ref="BO83:BU83" si="52">1-BO38</f>
        <v>3.1831339694659788E-2</v>
      </c>
      <c r="BP83">
        <f t="shared" si="52"/>
        <v>3.0057475063482331E-2</v>
      </c>
      <c r="BQ83">
        <f t="shared" si="52"/>
        <v>2.8380859346024634E-2</v>
      </c>
      <c r="BR83">
        <f t="shared" si="52"/>
        <v>2.6796273573291285E-2</v>
      </c>
      <c r="BS83">
        <f t="shared" si="52"/>
        <v>2.5298770685885374E-2</v>
      </c>
      <c r="BT83">
        <f t="shared" si="52"/>
        <v>2.3883661989674176E-2</v>
      </c>
      <c r="BU83">
        <f t="shared" si="52"/>
        <v>2.2546504235545717E-2</v>
      </c>
    </row>
    <row r="84" spans="2:73" x14ac:dyDescent="0.35">
      <c r="B84" t="s">
        <v>38</v>
      </c>
      <c r="C84">
        <f t="shared" ref="C84:BN84" si="53">1-C39</f>
        <v>1</v>
      </c>
      <c r="D84">
        <f t="shared" si="53"/>
        <v>0.98281033795864126</v>
      </c>
      <c r="E84">
        <f t="shared" si="53"/>
        <v>0.95533346607876046</v>
      </c>
      <c r="F84">
        <f t="shared" si="53"/>
        <v>0.92261270605453671</v>
      </c>
      <c r="G84">
        <f t="shared" si="53"/>
        <v>0.88654597173648275</v>
      </c>
      <c r="H84">
        <f t="shared" si="53"/>
        <v>0.84831094359861781</v>
      </c>
      <c r="I84">
        <f t="shared" si="53"/>
        <v>0.80874873047493989</v>
      </c>
      <c r="J84">
        <f t="shared" si="53"/>
        <v>0.7685004806536152</v>
      </c>
      <c r="K84">
        <f t="shared" si="53"/>
        <v>0.72807144735185225</v>
      </c>
      <c r="L84">
        <f t="shared" si="53"/>
        <v>0.6878664228509318</v>
      </c>
      <c r="M84">
        <f t="shared" si="53"/>
        <v>0.64821174414370308</v>
      </c>
      <c r="N84">
        <f t="shared" si="53"/>
        <v>0.60937021184871509</v>
      </c>
      <c r="O84">
        <f t="shared" si="53"/>
        <v>0.57155192168212587</v>
      </c>
      <c r="P84">
        <f t="shared" si="53"/>
        <v>0.53492256249053405</v>
      </c>
      <c r="Q84">
        <f t="shared" si="53"/>
        <v>0.49961004428477351</v>
      </c>
      <c r="R84">
        <f t="shared" si="53"/>
        <v>0.46570996362671868</v>
      </c>
      <c r="S84">
        <f t="shared" si="53"/>
        <v>0.43329021877510021</v>
      </c>
      <c r="T84">
        <f t="shared" si="53"/>
        <v>0.40239497502437116</v>
      </c>
      <c r="U84">
        <f t="shared" si="53"/>
        <v>0.37304811379457847</v>
      </c>
      <c r="V84">
        <f t="shared" si="53"/>
        <v>0.3452562577760756</v>
      </c>
      <c r="W84">
        <f t="shared" si="53"/>
        <v>0.31901143828051481</v>
      </c>
      <c r="X84">
        <f t="shared" si="53"/>
        <v>0.29429345397253348</v>
      </c>
      <c r="Y84">
        <f t="shared" si="53"/>
        <v>0.2710719588952335</v>
      </c>
      <c r="Z84">
        <f t="shared" si="53"/>
        <v>0.24930831007501131</v>
      </c>
      <c r="AA84">
        <f t="shared" si="53"/>
        <v>0.22895719971196526</v>
      </c>
      <c r="AB84">
        <f t="shared" si="53"/>
        <v>0.20996809321983245</v>
      </c>
      <c r="AC84">
        <f t="shared" si="53"/>
        <v>0.19228649165314149</v>
      </c>
      <c r="AD84">
        <f t="shared" si="53"/>
        <v>0.17585503500961319</v>
      </c>
      <c r="AE84">
        <f t="shared" si="53"/>
        <v>0.16061446129928258</v>
      </c>
      <c r="AF84">
        <f t="shared" si="53"/>
        <v>0.14650443498023202</v>
      </c>
      <c r="AG84">
        <f t="shared" si="53"/>
        <v>0.13346425727563138</v>
      </c>
      <c r="AH84">
        <f t="shared" si="53"/>
        <v>0.12143346994252879</v>
      </c>
      <c r="AI84">
        <f t="shared" si="53"/>
        <v>0.11035236321621877</v>
      </c>
      <c r="AJ84">
        <f t="shared" si="53"/>
        <v>0.10016239787679304</v>
      </c>
      <c r="AK84">
        <f t="shared" si="53"/>
        <v>9.0806550658485641E-2</v>
      </c>
      <c r="AL84">
        <f t="shared" si="53"/>
        <v>8.222959153637821E-2</v>
      </c>
      <c r="AM84">
        <f t="shared" si="53"/>
        <v>7.437830077218166E-2</v>
      </c>
      <c r="AN84">
        <f t="shared" si="53"/>
        <v>6.7201632977434755E-2</v>
      </c>
      <c r="AO84">
        <f t="shared" si="53"/>
        <v>6.0650834856738167E-2</v>
      </c>
      <c r="AP84">
        <f t="shared" si="53"/>
        <v>5.4679522724940477E-2</v>
      </c>
      <c r="AQ84">
        <f t="shared" si="53"/>
        <v>4.9243725350552547E-2</v>
      </c>
      <c r="AR84">
        <f t="shared" si="53"/>
        <v>4.4301897163425474E-2</v>
      </c>
      <c r="AS84">
        <f t="shared" si="53"/>
        <v>3.9814906378328629E-2</v>
      </c>
      <c r="AT84">
        <f t="shared" si="53"/>
        <v>3.5746002127903909E-2</v>
      </c>
      <c r="AU84">
        <f t="shared" si="53"/>
        <v>3.2060764268753816E-2</v>
      </c>
      <c r="AV84">
        <f t="shared" si="53"/>
        <v>2.8727039123210729E-2</v>
      </c>
      <c r="AW84">
        <f t="shared" si="53"/>
        <v>2.5714864046434305E-2</v>
      </c>
      <c r="AX84">
        <f t="shared" si="53"/>
        <v>2.2996383363496742E-2</v>
      </c>
      <c r="AY84">
        <f t="shared" si="53"/>
        <v>2.0545757903442929E-2</v>
      </c>
      <c r="AZ84">
        <f t="shared" si="53"/>
        <v>1.8339070066165863E-2</v>
      </c>
      <c r="BA84">
        <f t="shared" si="53"/>
        <v>1.6354226092354929E-2</v>
      </c>
      <c r="BB84">
        <f t="shared" si="53"/>
        <v>1.4570856965693824E-2</v>
      </c>
      <c r="BC84">
        <f t="shared" si="53"/>
        <v>1.2970219158695007E-2</v>
      </c>
      <c r="BD84">
        <f t="shared" si="53"/>
        <v>1.153509623780935E-2</v>
      </c>
      <c r="BE84">
        <f t="shared" si="53"/>
        <v>1.0249702168401931E-2</v>
      </c>
      <c r="BF84">
        <f t="shared" si="53"/>
        <v>9.0995870045036398E-3</v>
      </c>
      <c r="BG84">
        <f t="shared" si="53"/>
        <v>8.0715455105460077E-3</v>
      </c>
      <c r="BH84">
        <f t="shared" si="53"/>
        <v>7.1535291412229141E-3</v>
      </c>
      <c r="BI84">
        <f t="shared" si="53"/>
        <v>6.3345616998511378E-3</v>
      </c>
      <c r="BJ84">
        <f t="shared" si="53"/>
        <v>5.604658903817894E-3</v>
      </c>
      <c r="BK84">
        <f t="shared" si="53"/>
        <v>4.95475200666462E-3</v>
      </c>
      <c r="BL84">
        <f t="shared" si="53"/>
        <v>4.3766155588376154E-3</v>
      </c>
      <c r="BM84">
        <f t="shared" si="53"/>
        <v>3.8627993320194953E-3</v>
      </c>
      <c r="BN84">
        <f t="shared" si="53"/>
        <v>3.4065643841398874E-3</v>
      </c>
      <c r="BO84">
        <f t="shared" ref="BO84:BU84" si="54">1-BO39</f>
        <v>3.0018232026572944E-3</v>
      </c>
      <c r="BP84">
        <f t="shared" si="54"/>
        <v>2.6430838315475436E-3</v>
      </c>
      <c r="BQ84">
        <f t="shared" si="54"/>
        <v>2.3253978617717719E-3</v>
      </c>
      <c r="BR84">
        <f t="shared" si="54"/>
        <v>2.0443121450117729E-3</v>
      </c>
      <c r="BS84">
        <f t="shared" si="54"/>
        <v>1.7958240754245569E-3</v>
      </c>
      <c r="BT84">
        <f t="shared" si="54"/>
        <v>1.5763402734071397E-3</v>
      </c>
      <c r="BU84">
        <f t="shared" si="54"/>
        <v>1.3826384982694728E-3</v>
      </c>
    </row>
    <row r="85" spans="2:73" x14ac:dyDescent="0.35">
      <c r="B85" t="s">
        <v>39</v>
      </c>
      <c r="C85">
        <f t="shared" ref="C85:BN85" si="55">1-C40</f>
        <v>1</v>
      </c>
      <c r="D85">
        <f t="shared" si="55"/>
        <v>0.97861196551694629</v>
      </c>
      <c r="E85">
        <f t="shared" si="55"/>
        <v>0.95687017721726109</v>
      </c>
      <c r="F85">
        <f t="shared" si="55"/>
        <v>0.93530144776335611</v>
      </c>
      <c r="G85">
        <f t="shared" si="55"/>
        <v>0.91401971914115188</v>
      </c>
      <c r="H85">
        <f t="shared" si="55"/>
        <v>0.89307629926442689</v>
      </c>
      <c r="I85">
        <f t="shared" si="55"/>
        <v>0.87249842322930837</v>
      </c>
      <c r="J85">
        <f t="shared" si="55"/>
        <v>0.85230132391665692</v>
      </c>
      <c r="K85">
        <f t="shared" si="55"/>
        <v>0.83249334377382933</v>
      </c>
      <c r="L85">
        <f t="shared" si="55"/>
        <v>0.81307850100256518</v>
      </c>
      <c r="M85">
        <f t="shared" si="55"/>
        <v>0.7940579303375197</v>
      </c>
      <c r="N85">
        <f t="shared" si="55"/>
        <v>0.77543075923665361</v>
      </c>
      <c r="O85">
        <f t="shared" si="55"/>
        <v>0.75719467370183202</v>
      </c>
      <c r="P85">
        <f t="shared" si="55"/>
        <v>0.73934630116606037</v>
      </c>
      <c r="Q85">
        <f t="shared" si="55"/>
        <v>0.72188147945748771</v>
      </c>
      <c r="R85">
        <f t="shared" si="55"/>
        <v>0.70479545157628443</v>
      </c>
      <c r="S85">
        <f t="shared" si="55"/>
        <v>0.68808301033961627</v>
      </c>
      <c r="T85">
        <f t="shared" si="55"/>
        <v>0.67173860807760877</v>
      </c>
      <c r="U85">
        <f t="shared" si="55"/>
        <v>0.65575644130796684</v>
      </c>
      <c r="V85">
        <f t="shared" si="55"/>
        <v>0.64013051708066671</v>
      </c>
      <c r="W85">
        <f t="shared" si="55"/>
        <v>0.62485470562328249</v>
      </c>
      <c r="X85">
        <f t="shared" si="55"/>
        <v>0.60992278256628241</v>
      </c>
      <c r="Y85">
        <f t="shared" si="55"/>
        <v>0.5953284631186555</v>
      </c>
      <c r="Z85">
        <f t="shared" si="55"/>
        <v>0.58106542993868104</v>
      </c>
      <c r="AA85">
        <f t="shared" si="55"/>
        <v>0.56712735600532371</v>
      </c>
      <c r="AB85">
        <f t="shared" si="55"/>
        <v>0.55350792348150202</v>
      </c>
      <c r="AC85">
        <f t="shared" si="55"/>
        <v>0.5402008393319756</v>
      </c>
      <c r="AD85">
        <f t="shared" si="55"/>
        <v>0.52719984828993427</v>
      </c>
      <c r="AE85">
        <f t="shared" si="55"/>
        <v>0.51449874364014758</v>
      </c>
      <c r="AF85">
        <f t="shared" si="55"/>
        <v>0.50209137619089284</v>
      </c>
      <c r="AG85">
        <f t="shared" si="55"/>
        <v>0.48997166173356232</v>
      </c>
      <c r="AH85">
        <f t="shared" si="55"/>
        <v>0.47813358723204558</v>
      </c>
      <c r="AI85">
        <f t="shared" si="55"/>
        <v>0.46657121593953654</v>
      </c>
      <c r="AJ85">
        <f t="shared" si="55"/>
        <v>0.45527869160531931</v>
      </c>
      <c r="AK85">
        <f t="shared" si="55"/>
        <v>0.44425024190613427</v>
      </c>
      <c r="AL85">
        <f t="shared" si="55"/>
        <v>0.4334801812142921</v>
      </c>
      <c r="AM85">
        <f t="shared" si="55"/>
        <v>0.4229629127965524</v>
      </c>
      <c r="AN85">
        <f t="shared" si="55"/>
        <v>0.41269293052300782</v>
      </c>
      <c r="AO85">
        <f t="shared" si="55"/>
        <v>0.40266482015310179</v>
      </c>
      <c r="AP85">
        <f t="shared" si="55"/>
        <v>0.39287326025591007</v>
      </c>
      <c r="AQ85">
        <f t="shared" si="55"/>
        <v>0.38331302281353641</v>
      </c>
      <c r="AR85">
        <f t="shared" si="55"/>
        <v>0.37397897354954845</v>
      </c>
      <c r="AS85">
        <f t="shared" si="55"/>
        <v>0.36486607201859278</v>
      </c>
      <c r="AT85">
        <f t="shared" si="55"/>
        <v>0.35596937148843555</v>
      </c>
      <c r="AU85">
        <f t="shared" si="55"/>
        <v>0.34728401864154801</v>
      </c>
      <c r="AV85">
        <f t="shared" si="55"/>
        <v>0.33880525311983656</v>
      </c>
      <c r="AW85">
        <f t="shared" si="55"/>
        <v>0.3305284069331238</v>
      </c>
      <c r="AX85">
        <f t="shared" si="55"/>
        <v>0.32244890374940793</v>
      </c>
      <c r="AY85">
        <f t="shared" si="55"/>
        <v>0.31456225808272587</v>
      </c>
      <c r="AZ85">
        <f t="shared" si="55"/>
        <v>0.30686407439252916</v>
      </c>
      <c r="BA85">
        <f t="shared" si="55"/>
        <v>0.29935004610683325</v>
      </c>
      <c r="BB85">
        <f t="shared" si="55"/>
        <v>0.29201595457996399</v>
      </c>
      <c r="BC85">
        <f t="shared" si="55"/>
        <v>0.28485766799447232</v>
      </c>
      <c r="BD85">
        <f t="shared" si="55"/>
        <v>0.27787114021569459</v>
      </c>
      <c r="BE85">
        <f t="shared" si="55"/>
        <v>0.27105240960647947</v>
      </c>
      <c r="BF85">
        <f t="shared" si="55"/>
        <v>0.26439759780875727</v>
      </c>
      <c r="BG85">
        <f t="shared" si="55"/>
        <v>0.25790290849788966</v>
      </c>
      <c r="BH85">
        <f t="shared" si="55"/>
        <v>0.25156462611507835</v>
      </c>
      <c r="BI85">
        <f t="shared" si="55"/>
        <v>0.24537911458253614</v>
      </c>
      <c r="BJ85">
        <f t="shared" si="55"/>
        <v>0.23934281600560925</v>
      </c>
      <c r="BK85">
        <f t="shared" si="55"/>
        <v>0.23345224936558218</v>
      </c>
      <c r="BL85">
        <f t="shared" si="55"/>
        <v>0.22770400920649181</v>
      </c>
      <c r="BM85">
        <f t="shared" si="55"/>
        <v>0.22209476431891595</v>
      </c>
      <c r="BN85">
        <f t="shared" si="55"/>
        <v>0.21662125642337582</v>
      </c>
      <c r="BO85">
        <f t="shared" ref="BO85:BU85" si="56">1-BO40</f>
        <v>0.21128029885570798</v>
      </c>
      <c r="BP85">
        <f t="shared" si="56"/>
        <v>0.20606877525649625</v>
      </c>
      <c r="BQ85">
        <f t="shared" si="56"/>
        <v>0.20098363826642573</v>
      </c>
      <c r="BR85">
        <f t="shared" si="56"/>
        <v>0.1960219082292135</v>
      </c>
      <c r="BS85">
        <f t="shared" si="56"/>
        <v>0.19118067190357879</v>
      </c>
      <c r="BT85">
        <f t="shared" si="56"/>
        <v>0.18645708118555127</v>
      </c>
      <c r="BU85">
        <f t="shared" si="56"/>
        <v>0.18184835184226122</v>
      </c>
    </row>
    <row r="86" spans="2:73" x14ac:dyDescent="0.35">
      <c r="B86" t="s">
        <v>40</v>
      </c>
      <c r="C86">
        <f t="shared" ref="C86:BN86" si="57">1-C41</f>
        <v>1</v>
      </c>
      <c r="D86">
        <f t="shared" si="57"/>
        <v>0.98619589532794105</v>
      </c>
      <c r="E86">
        <f t="shared" si="57"/>
        <v>0.9659374681212396</v>
      </c>
      <c r="F86">
        <f t="shared" si="57"/>
        <v>0.94257638517656939</v>
      </c>
      <c r="G86">
        <f t="shared" si="57"/>
        <v>0.91722280012855706</v>
      </c>
      <c r="H86">
        <f t="shared" si="57"/>
        <v>0.8905209690853676</v>
      </c>
      <c r="I86">
        <f t="shared" si="57"/>
        <v>0.86291093699346566</v>
      </c>
      <c r="J86">
        <f t="shared" si="57"/>
        <v>0.83471898894237984</v>
      </c>
      <c r="K86">
        <f t="shared" si="57"/>
        <v>0.8061988715423124</v>
      </c>
      <c r="L86">
        <f t="shared" si="57"/>
        <v>0.7775538320049209</v>
      </c>
      <c r="M86">
        <f t="shared" si="57"/>
        <v>0.748949741330736</v>
      </c>
      <c r="N86">
        <f t="shared" si="57"/>
        <v>0.72052355072796592</v>
      </c>
      <c r="O86">
        <f t="shared" si="57"/>
        <v>0.69238908382724818</v>
      </c>
      <c r="P86">
        <f t="shared" si="57"/>
        <v>0.66464120256622694</v>
      </c>
      <c r="Q86">
        <f t="shared" si="57"/>
        <v>0.63735892542132555</v>
      </c>
      <c r="R86">
        <f t="shared" si="57"/>
        <v>0.61060783997664803</v>
      </c>
      <c r="S86">
        <f t="shared" si="57"/>
        <v>0.58444202181234528</v>
      </c>
      <c r="T86">
        <f t="shared" si="57"/>
        <v>0.55890559646555549</v>
      </c>
      <c r="U86">
        <f t="shared" si="57"/>
        <v>0.5340340357490756</v>
      </c>
      <c r="V86">
        <f t="shared" si="57"/>
        <v>0.50985525119827479</v>
      </c>
      <c r="W86">
        <f t="shared" si="57"/>
        <v>0.48639052895667367</v>
      </c>
      <c r="X86">
        <f t="shared" si="57"/>
        <v>0.46365533812447901</v>
      </c>
      <c r="Y86">
        <f t="shared" si="57"/>
        <v>0.44166003621577365</v>
      </c>
      <c r="Z86">
        <f t="shared" si="57"/>
        <v>0.42041048953123772</v>
      </c>
      <c r="AA86">
        <f t="shared" si="57"/>
        <v>0.39990862210447631</v>
      </c>
      <c r="AB86">
        <f t="shared" si="57"/>
        <v>0.38015290387966694</v>
      </c>
      <c r="AC86">
        <f t="shared" si="57"/>
        <v>0.36113878657304233</v>
      </c>
      <c r="AD86">
        <f t="shared" si="57"/>
        <v>0.34285909402552261</v>
      </c>
      <c r="AE86">
        <f t="shared" si="57"/>
        <v>0.325304372609038</v>
      </c>
      <c r="AF86">
        <f t="shared" si="57"/>
        <v>0.3084632062947068</v>
      </c>
      <c r="AG86">
        <f t="shared" si="57"/>
        <v>0.29232250024992901</v>
      </c>
      <c r="AH86">
        <f t="shared" si="57"/>
        <v>0.27686773624887506</v>
      </c>
      <c r="AI86">
        <f t="shared" si="57"/>
        <v>0.26208320271735663</v>
      </c>
      <c r="AJ86">
        <f t="shared" si="57"/>
        <v>0.24795220186000888</v>
      </c>
      <c r="AK86">
        <f t="shared" si="57"/>
        <v>0.23445723601394386</v>
      </c>
      <c r="AL86">
        <f t="shared" si="57"/>
        <v>0.2215801751228923</v>
      </c>
      <c r="AM86">
        <f t="shared" si="57"/>
        <v>0.20930240701756342</v>
      </c>
      <c r="AN86">
        <f t="shared" si="57"/>
        <v>0.19760497201261218</v>
      </c>
      <c r="AO86">
        <f t="shared" si="57"/>
        <v>0.1864686831814476</v>
      </c>
      <c r="AP86">
        <f t="shared" si="57"/>
        <v>0.17587423354191745</v>
      </c>
      <c r="AQ86">
        <f t="shared" si="57"/>
        <v>0.16580229127465917</v>
      </c>
      <c r="AR86">
        <f t="shared" si="57"/>
        <v>0.15623358399845844</v>
      </c>
      <c r="AS86">
        <f t="shared" si="57"/>
        <v>0.14714897304087748</v>
      </c>
      <c r="AT86">
        <f t="shared" si="57"/>
        <v>0.1385295185657569</v>
      </c>
      <c r="AU86">
        <f t="shared" si="57"/>
        <v>0.1303565363504311</v>
      </c>
      <c r="AV86">
        <f t="shared" si="57"/>
        <v>0.12261164694341642</v>
      </c>
      <c r="AW86">
        <f t="shared" si="57"/>
        <v>0.11527681787694588</v>
      </c>
      <c r="AX86">
        <f t="shared" si="57"/>
        <v>0.10833439955725532</v>
      </c>
      <c r="AY86">
        <f t="shared" si="57"/>
        <v>0.10176715540832537</v>
      </c>
      <c r="AZ86">
        <f t="shared" si="57"/>
        <v>9.5558286801342929E-2</v>
      </c>
      <c r="BA86">
        <f t="shared" si="57"/>
        <v>8.9691453262019882E-2</v>
      </c>
      <c r="BB86">
        <f t="shared" si="57"/>
        <v>8.4150788410751964E-2</v>
      </c>
      <c r="BC86">
        <f t="shared" si="57"/>
        <v>7.8920912056120396E-2</v>
      </c>
      <c r="BD86">
        <f t="shared" si="57"/>
        <v>7.3986938830172599E-2</v>
      </c>
      <c r="BE86">
        <f t="shared" si="57"/>
        <v>6.9334483724067697E-2</v>
      </c>
      <c r="BF86">
        <f t="shared" si="57"/>
        <v>6.49496648548471E-2</v>
      </c>
      <c r="BG86">
        <f t="shared" si="57"/>
        <v>6.081910376813604E-2</v>
      </c>
      <c r="BH86">
        <f t="shared" si="57"/>
        <v>5.6929923557363815E-2</v>
      </c>
      <c r="BI86">
        <f t="shared" si="57"/>
        <v>5.3269745057477502E-2</v>
      </c>
      <c r="BJ86">
        <f t="shared" si="57"/>
        <v>4.9826681350028545E-2</v>
      </c>
      <c r="BK86">
        <f t="shared" si="57"/>
        <v>4.6589330796808937E-2</v>
      </c>
      <c r="BL86">
        <f t="shared" si="57"/>
        <v>4.3546768800843849E-2</v>
      </c>
      <c r="BM86">
        <f t="shared" si="57"/>
        <v>4.0688538476411962E-2</v>
      </c>
      <c r="BN86">
        <f t="shared" si="57"/>
        <v>3.8004640393792477E-2</v>
      </c>
      <c r="BO86">
        <f t="shared" ref="BO86:BU86" si="58">1-BO41</f>
        <v>3.5485521549571852E-2</v>
      </c>
      <c r="BP86">
        <f t="shared" si="58"/>
        <v>3.3122063699500659E-2</v>
      </c>
      <c r="BQ86">
        <f t="shared" si="58"/>
        <v>3.0905571178030389E-2</v>
      </c>
      <c r="BR86">
        <f t="shared" si="58"/>
        <v>2.882775831671236E-2</v>
      </c>
      <c r="BS86">
        <f t="shared" si="58"/>
        <v>2.6880736562561069E-2</v>
      </c>
      <c r="BT86">
        <f t="shared" si="58"/>
        <v>2.5057001387214894E-2</v>
      </c>
      <c r="BU86">
        <f t="shared" si="58"/>
        <v>2.3349419068228849E-2</v>
      </c>
    </row>
    <row r="87" spans="2:73" x14ac:dyDescent="0.35">
      <c r="B87" s="1" t="s">
        <v>43</v>
      </c>
      <c r="C87" s="10">
        <f t="shared" ref="C87:BN87" si="59">1-C42</f>
        <v>1</v>
      </c>
      <c r="D87" s="10">
        <f t="shared" si="59"/>
        <v>0.99601080409557663</v>
      </c>
      <c r="E87" s="10">
        <f t="shared" si="59"/>
        <v>0.98690916327997036</v>
      </c>
      <c r="F87" s="10">
        <f t="shared" si="59"/>
        <v>0.97386985156099115</v>
      </c>
      <c r="G87" s="10">
        <f t="shared" si="59"/>
        <v>0.9574891896911264</v>
      </c>
      <c r="H87" s="10">
        <f t="shared" si="59"/>
        <v>0.93821194642425121</v>
      </c>
      <c r="I87" s="10">
        <f t="shared" si="59"/>
        <v>0.91641371823445006</v>
      </c>
      <c r="J87" s="10">
        <f t="shared" si="59"/>
        <v>0.89243069226048199</v>
      </c>
      <c r="K87" s="10">
        <f t="shared" si="59"/>
        <v>0.86657276302154629</v>
      </c>
      <c r="L87" s="10">
        <f t="shared" si="59"/>
        <v>0.83912983824526843</v>
      </c>
      <c r="M87" s="10">
        <f t="shared" si="59"/>
        <v>0.8103749375551994</v>
      </c>
      <c r="N87" s="10">
        <f t="shared" si="59"/>
        <v>0.78056565568211944</v>
      </c>
      <c r="O87" s="10">
        <f t="shared" si="59"/>
        <v>0.74994476148412392</v>
      </c>
      <c r="P87" s="10">
        <f t="shared" si="59"/>
        <v>0.71874034461332892</v>
      </c>
      <c r="Q87" s="10">
        <f t="shared" si="59"/>
        <v>0.68716574347181691</v>
      </c>
      <c r="R87" s="10">
        <f t="shared" si="59"/>
        <v>0.65541939253333492</v>
      </c>
      <c r="S87" s="10">
        <f t="shared" si="59"/>
        <v>0.62368467241793446</v>
      </c>
      <c r="T87" s="10">
        <f t="shared" si="59"/>
        <v>0.59212981305195156</v>
      </c>
      <c r="U87" s="10">
        <f t="shared" si="59"/>
        <v>0.56090787932725883</v>
      </c>
      <c r="V87" s="10">
        <f t="shared" si="59"/>
        <v>0.53015685492744669</v>
      </c>
      <c r="W87" s="10">
        <f t="shared" si="59"/>
        <v>0.49999983068999831</v>
      </c>
      <c r="X87" s="10">
        <f t="shared" si="59"/>
        <v>0.4705452974609583</v>
      </c>
      <c r="Y87" s="10">
        <f t="shared" si="59"/>
        <v>0.44188753894049904</v>
      </c>
      <c r="Z87" s="10">
        <f t="shared" si="59"/>
        <v>0.41410711693659197</v>
      </c>
      <c r="AA87" s="10">
        <f t="shared" si="59"/>
        <v>0.38727143936751207</v>
      </c>
      <c r="AB87" s="10">
        <f t="shared" si="59"/>
        <v>0.36143540003252572</v>
      </c>
      <c r="AC87" s="10">
        <f t="shared" si="59"/>
        <v>0.33664207842933824</v>
      </c>
      <c r="AD87" s="10">
        <f t="shared" si="59"/>
        <v>0.31292348760949174</v>
      </c>
      <c r="AE87" s="10">
        <f t="shared" si="59"/>
        <v>0.2903013581322561</v>
      </c>
      <c r="AF87" s="10">
        <f t="shared" si="59"/>
        <v>0.26878794652748161</v>
      </c>
      <c r="AG87" s="10">
        <f t="shared" si="59"/>
        <v>0.24838685724628284</v>
      </c>
      <c r="AH87" s="10">
        <f t="shared" si="59"/>
        <v>0.22909386781358509</v>
      </c>
      <c r="AI87" s="10">
        <f t="shared" si="59"/>
        <v>0.21089774775445735</v>
      </c>
      <c r="AJ87" s="10">
        <f t="shared" si="59"/>
        <v>0.19378106280906238</v>
      </c>
      <c r="AK87" s="10">
        <f t="shared" si="59"/>
        <v>0.17772095694641843</v>
      </c>
      <c r="AL87" s="10">
        <f t="shared" si="59"/>
        <v>0.16268990570701525</v>
      </c>
      <c r="AM87" s="10">
        <f t="shared" si="59"/>
        <v>0.14865643542471541</v>
      </c>
      <c r="AN87" s="10">
        <f t="shared" si="59"/>
        <v>0.13558580387908103</v>
      </c>
      <c r="AO87" s="10">
        <f t="shared" si="59"/>
        <v>0.12344063889351209</v>
      </c>
      <c r="AP87" s="10">
        <f t="shared" si="59"/>
        <v>0.11218153230871086</v>
      </c>
      <c r="AQ87" s="10">
        <f t="shared" si="59"/>
        <v>0.10176758761430571</v>
      </c>
      <c r="AR87" s="10">
        <f t="shared" si="59"/>
        <v>9.2156920305938916E-2</v>
      </c>
      <c r="AS87" s="10">
        <f t="shared" si="59"/>
        <v>8.3307110745165502E-2</v>
      </c>
      <c r="AT87" s="10">
        <f t="shared" si="59"/>
        <v>7.5175609931737775E-2</v>
      </c>
      <c r="AU87" s="10">
        <f t="shared" si="59"/>
        <v>6.7720099150820001E-2</v>
      </c>
      <c r="AV87" s="10">
        <f t="shared" si="59"/>
        <v>6.0898804931661221E-2</v>
      </c>
      <c r="AW87" s="10">
        <f t="shared" si="59"/>
        <v>5.4670771150978403E-2</v>
      </c>
      <c r="AX87" s="10">
        <f t="shared" si="59"/>
        <v>4.8996090436699835E-2</v>
      </c>
      <c r="AY87" s="10">
        <f t="shared" si="59"/>
        <v>4.3836097279761455E-2</v>
      </c>
      <c r="AZ87" s="10">
        <f t="shared" si="59"/>
        <v>3.9153525448017423E-2</v>
      </c>
      <c r="BA87" s="10">
        <f t="shared" si="59"/>
        <v>3.4912632422360201E-2</v>
      </c>
      <c r="BB87" s="10">
        <f t="shared" si="59"/>
        <v>3.107929364649531E-2</v>
      </c>
      <c r="BC87" s="10">
        <f t="shared" si="59"/>
        <v>2.7621069404438092E-2</v>
      </c>
      <c r="BD87" s="10">
        <f t="shared" si="59"/>
        <v>2.4507247119655573E-2</v>
      </c>
      <c r="BE87" s="10">
        <f t="shared" si="59"/>
        <v>2.1708861812843705E-2</v>
      </c>
      <c r="BF87" s="10">
        <f t="shared" si="59"/>
        <v>1.9198697367389106E-2</v>
      </c>
      <c r="BG87" s="10">
        <f t="shared" si="59"/>
        <v>1.6951271138155311E-2</v>
      </c>
      <c r="BH87" s="10">
        <f t="shared" si="59"/>
        <v>1.4942804305601909E-2</v>
      </c>
      <c r="BI87" s="10">
        <f t="shared" si="59"/>
        <v>1.3151180228226811E-2</v>
      </c>
      <c r="BJ87" s="10">
        <f t="shared" si="59"/>
        <v>1.1555892886376151E-2</v>
      </c>
      <c r="BK87" s="10">
        <f t="shared" si="59"/>
        <v>1.0137987343585397E-2</v>
      </c>
      <c r="BL87" s="10">
        <f t="shared" si="59"/>
        <v>8.8799939813652973E-3</v>
      </c>
      <c r="BM87" s="10">
        <f t="shared" si="59"/>
        <v>7.7658580928264831E-3</v>
      </c>
      <c r="BN87" s="10">
        <f t="shared" si="59"/>
        <v>6.7808662524098118E-3</v>
      </c>
      <c r="BO87" s="10">
        <f t="shared" ref="BO87:BT87" si="60">1-BO42</f>
        <v>5.9115707154893116E-3</v>
      </c>
      <c r="BP87" s="10">
        <f t="shared" si="60"/>
        <v>5.1457129445732219E-3</v>
      </c>
      <c r="BQ87" s="10">
        <f t="shared" si="60"/>
        <v>4.4721472096872494E-3</v>
      </c>
      <c r="BR87" s="10">
        <f t="shared" si="60"/>
        <v>3.8807650703941432E-3</v>
      </c>
      <c r="BS87" s="10">
        <f t="shared" si="60"/>
        <v>3.3624214165591804E-3</v>
      </c>
      <c r="BT87" s="10">
        <f t="shared" si="60"/>
        <v>2.9088626249260674E-3</v>
      </c>
      <c r="BU87" s="10">
        <v>0</v>
      </c>
    </row>
    <row r="88" spans="2:73" x14ac:dyDescent="0.35">
      <c r="B88" s="12" t="s">
        <v>58</v>
      </c>
      <c r="C88">
        <f>C87/SUM($C$87:$BU$87)</f>
        <v>4.4355689542047459E-2</v>
      </c>
      <c r="D88">
        <f t="shared" ref="D88:BO88" si="61">D87/SUM($C$87:$BU$87)</f>
        <v>4.4178746006988449E-2</v>
      </c>
      <c r="E88">
        <f t="shared" si="61"/>
        <v>4.3775036452648193E-2</v>
      </c>
      <c r="F88">
        <f t="shared" si="61"/>
        <v>4.3196668790199171E-2</v>
      </c>
      <c r="G88">
        <f t="shared" si="61"/>
        <v>4.2470093237806192E-2</v>
      </c>
      <c r="H88">
        <f t="shared" si="61"/>
        <v>4.1615037820234152E-2</v>
      </c>
      <c r="I88">
        <f t="shared" si="61"/>
        <v>4.0648162378080624E-2</v>
      </c>
      <c r="J88">
        <f t="shared" si="61"/>
        <v>3.9584378723700436E-2</v>
      </c>
      <c r="K88">
        <f t="shared" si="61"/>
        <v>3.8437432442177975E-2</v>
      </c>
      <c r="L88">
        <f t="shared" si="61"/>
        <v>3.7220182590675631E-2</v>
      </c>
      <c r="M88">
        <f t="shared" si="61"/>
        <v>3.5944739142854523E-2</v>
      </c>
      <c r="N88">
        <f t="shared" si="61"/>
        <v>3.4622527890620806E-2</v>
      </c>
      <c r="O88">
        <f t="shared" si="61"/>
        <v>3.3264317014074632E-2</v>
      </c>
      <c r="P88">
        <f t="shared" si="61"/>
        <v>3.1880223587013021E-2</v>
      </c>
      <c r="Q88">
        <f t="shared" si="61"/>
        <v>3.047971038136614E-2</v>
      </c>
      <c r="R88">
        <f t="shared" si="61"/>
        <v>2.9071579095045944E-2</v>
      </c>
      <c r="S88">
        <f t="shared" si="61"/>
        <v>2.7663963701903473E-2</v>
      </c>
      <c r="T88">
        <f t="shared" si="61"/>
        <v>2.6264326156322966E-2</v>
      </c>
      <c r="U88">
        <f t="shared" si="61"/>
        <v>2.4879455757128115E-2</v>
      </c>
      <c r="V88">
        <f t="shared" si="61"/>
        <v>2.351547286575012E-2</v>
      </c>
      <c r="W88">
        <f t="shared" si="61"/>
        <v>2.2177837261161858E-2</v>
      </c>
      <c r="X88">
        <f t="shared" si="61"/>
        <v>2.0871361129648641E-2</v>
      </c>
      <c r="Y88">
        <f t="shared" si="61"/>
        <v>1.9600226489744185E-2</v>
      </c>
      <c r="Z88">
        <f t="shared" si="61"/>
        <v>1.8368006715991817E-2</v>
      </c>
      <c r="AA88">
        <f t="shared" si="61"/>
        <v>1.7177691733087225E-2</v>
      </c>
      <c r="AB88">
        <f t="shared" si="61"/>
        <v>1.6031716393348442E-2</v>
      </c>
      <c r="AC88">
        <f t="shared" si="61"/>
        <v>1.493199151760132E-2</v>
      </c>
      <c r="AD88">
        <f t="shared" si="61"/>
        <v>1.3879937066821351E-2</v>
      </c>
      <c r="AE88">
        <f t="shared" si="61"/>
        <v>1.2876516914949086E-2</v>
      </c>
      <c r="AF88">
        <f t="shared" si="61"/>
        <v>1.1922274708817428E-2</v>
      </c>
      <c r="AG88">
        <f t="shared" si="61"/>
        <v>1.1017370326340984E-2</v>
      </c>
      <c r="AH88">
        <f t="shared" si="61"/>
        <v>1.016161647672624E-2</v>
      </c>
      <c r="AI88">
        <f t="shared" si="61"/>
        <v>9.3545150245137477E-3</v>
      </c>
      <c r="AJ88">
        <f t="shared" si="61"/>
        <v>8.5952926610867713E-3</v>
      </c>
      <c r="AK88">
        <f t="shared" si="61"/>
        <v>7.8829355914309188E-3</v>
      </c>
      <c r="AL88">
        <f t="shared" si="61"/>
        <v>7.216222949165344E-3</v>
      </c>
      <c r="AM88">
        <f t="shared" si="61"/>
        <v>6.5937586981261028E-3</v>
      </c>
      <c r="AN88">
        <f t="shared" si="61"/>
        <v>6.0140018231694533E-3</v>
      </c>
      <c r="AO88">
        <f t="shared" si="61"/>
        <v>5.475294655632611E-3</v>
      </c>
      <c r="AP88">
        <f t="shared" si="61"/>
        <v>4.9758892194363457E-3</v>
      </c>
      <c r="AQ88">
        <f t="shared" si="61"/>
        <v>4.5139715216632589E-3</v>
      </c>
      <c r="AR88">
        <f t="shared" si="61"/>
        <v>4.0876837462414366E-3</v>
      </c>
      <c r="AS88">
        <f t="shared" si="61"/>
        <v>3.6951443408575271E-3</v>
      </c>
      <c r="AT88">
        <f t="shared" si="61"/>
        <v>3.3344660152662205E-3</v>
      </c>
      <c r="AU88">
        <f t="shared" si="61"/>
        <v>3.0037716936904438E-3</v>
      </c>
      <c r="AV88">
        <f t="shared" si="61"/>
        <v>2.7012084850304742E-3</v>
      </c>
      <c r="AW88">
        <f t="shared" si="61"/>
        <v>2.4249597521971227E-3</v>
      </c>
      <c r="AX88">
        <f t="shared" si="61"/>
        <v>2.1732553761843387E-3</v>
      </c>
      <c r="AY88">
        <f t="shared" si="61"/>
        <v>1.9443803216760904E-3</v>
      </c>
      <c r="AZ88">
        <f t="shared" si="61"/>
        <v>1.7366816192489155E-3</v>
      </c>
      <c r="BA88">
        <f t="shared" si="61"/>
        <v>1.5485738848218294E-3</v>
      </c>
      <c r="BB88">
        <f t="shared" si="61"/>
        <v>1.3785435001700741E-3</v>
      </c>
      <c r="BC88">
        <f t="shared" si="61"/>
        <v>1.2251515793226019E-3</v>
      </c>
      <c r="BD88">
        <f t="shared" si="61"/>
        <v>1.0870358447696794E-3</v>
      </c>
      <c r="BE88">
        <f t="shared" si="61"/>
        <v>9.6291153488170501E-4</v>
      </c>
      <c r="BF88">
        <f t="shared" si="61"/>
        <v>8.5157146003963515E-4</v>
      </c>
      <c r="BG88">
        <f t="shared" si="61"/>
        <v>7.518853199470865E-4</v>
      </c>
      <c r="BH88">
        <f t="shared" si="61"/>
        <v>6.6279838866684841E-4</v>
      </c>
      <c r="BI88">
        <f t="shared" si="61"/>
        <v>5.8332966731474128E-4</v>
      </c>
      <c r="BJ88">
        <f t="shared" si="61"/>
        <v>5.1256959724925531E-4</v>
      </c>
      <c r="BK88">
        <f t="shared" si="61"/>
        <v>4.4967741919328035E-4</v>
      </c>
      <c r="BL88">
        <f t="shared" si="61"/>
        <v>3.9387825617268914E-4</v>
      </c>
      <c r="BM88">
        <f t="shared" si="61"/>
        <v>3.4445999059300831E-4</v>
      </c>
      <c r="BN88">
        <f t="shared" si="61"/>
        <v>3.0076999831803647E-4</v>
      </c>
      <c r="BO88">
        <f t="shared" si="61"/>
        <v>2.6221179536210331E-4</v>
      </c>
      <c r="BP88">
        <f t="shared" ref="BP88:BT88" si="62">BP87/SUM($C$87:$BU$87)</f>
        <v>2.2824164584198472E-4</v>
      </c>
      <c r="BQ88">
        <f t="shared" si="62"/>
        <v>1.9836517321922148E-4</v>
      </c>
      <c r="BR88">
        <f t="shared" si="62"/>
        <v>1.7213401064802459E-4</v>
      </c>
      <c r="BS88">
        <f t="shared" si="62"/>
        <v>1.4914252046243045E-4</v>
      </c>
      <c r="BT88">
        <f t="shared" si="62"/>
        <v>1.2902460751168589E-4</v>
      </c>
      <c r="BU88">
        <f>1-SUM(C88:BT88)</f>
        <v>0</v>
      </c>
    </row>
    <row r="89" spans="2:73" x14ac:dyDescent="0.35">
      <c r="B89" s="12" t="s">
        <v>59</v>
      </c>
      <c r="C89">
        <v>0</v>
      </c>
      <c r="D89">
        <f>(C87-D87)/C87</f>
        <v>3.9891959044233705E-3</v>
      </c>
      <c r="E89">
        <f t="shared" ref="E89:BP89" si="63">(D87-E87)/D87</f>
        <v>9.138094464618763E-3</v>
      </c>
      <c r="F89">
        <f t="shared" si="63"/>
        <v>1.3212271406664569E-2</v>
      </c>
      <c r="G89">
        <f t="shared" si="63"/>
        <v>1.6820175553857231E-2</v>
      </c>
      <c r="H89">
        <f t="shared" si="63"/>
        <v>2.0133118446061804E-2</v>
      </c>
      <c r="I89">
        <f t="shared" si="63"/>
        <v>2.3233799433997167E-2</v>
      </c>
      <c r="J89">
        <f t="shared" si="63"/>
        <v>2.6170522654520526E-2</v>
      </c>
      <c r="K89">
        <f t="shared" si="63"/>
        <v>2.8974719788534921E-2</v>
      </c>
      <c r="L89">
        <f t="shared" si="63"/>
        <v>3.1668344479914748E-2</v>
      </c>
      <c r="M89">
        <f t="shared" si="63"/>
        <v>3.4267522592450451E-2</v>
      </c>
      <c r="N89">
        <f t="shared" si="63"/>
        <v>3.6784555508356249E-2</v>
      </c>
      <c r="O89">
        <f t="shared" si="63"/>
        <v>3.9229107731157578E-2</v>
      </c>
      <c r="P89">
        <f t="shared" si="63"/>
        <v>4.1608953716860637E-2</v>
      </c>
      <c r="Q89">
        <f t="shared" si="63"/>
        <v>4.3930469992607198E-2</v>
      </c>
      <c r="R89">
        <f t="shared" si="63"/>
        <v>4.619897199486054E-2</v>
      </c>
      <c r="S89">
        <f t="shared" si="63"/>
        <v>4.8418952012907399E-2</v>
      </c>
      <c r="T89">
        <f t="shared" si="63"/>
        <v>5.0594251809410865E-2</v>
      </c>
      <c r="U89">
        <f t="shared" si="63"/>
        <v>5.2728190738731508E-2</v>
      </c>
      <c r="V89">
        <f t="shared" si="63"/>
        <v>5.4823662731738193E-2</v>
      </c>
      <c r="W89">
        <f t="shared" si="63"/>
        <v>5.688321099153841E-2</v>
      </c>
      <c r="X89">
        <f t="shared" si="63"/>
        <v>5.8909086405875069E-2</v>
      </c>
      <c r="Y89">
        <f t="shared" si="63"/>
        <v>6.0903293848849974E-2</v>
      </c>
      <c r="Z89">
        <f t="shared" si="63"/>
        <v>6.2867629330565375E-2</v>
      </c>
      <c r="AA89">
        <f t="shared" si="63"/>
        <v>6.4803710130847555E-2</v>
      </c>
      <c r="AB89">
        <f t="shared" si="63"/>
        <v>6.6712999484758076E-2</v>
      </c>
      <c r="AC89">
        <f t="shared" si="63"/>
        <v>6.8596826987495738E-2</v>
      </c>
      <c r="AD89">
        <f t="shared" si="63"/>
        <v>7.0456405600006058E-2</v>
      </c>
      <c r="AE89">
        <f t="shared" si="63"/>
        <v>7.2292845928735736E-2</v>
      </c>
      <c r="AF89">
        <f t="shared" si="63"/>
        <v>7.4107168299823681E-2</v>
      </c>
      <c r="AG89">
        <f t="shared" si="63"/>
        <v>7.5900313033988323E-2</v>
      </c>
      <c r="AH89">
        <f t="shared" si="63"/>
        <v>7.7673149242224945E-2</v>
      </c>
      <c r="AI89">
        <f t="shared" si="63"/>
        <v>7.9426482396875067E-2</v>
      </c>
      <c r="AJ89">
        <f t="shared" si="63"/>
        <v>8.1161060882089076E-2</v>
      </c>
      <c r="AK89">
        <f t="shared" si="63"/>
        <v>8.2877581688507895E-2</v>
      </c>
      <c r="AL89">
        <f t="shared" si="63"/>
        <v>8.4576695386211168E-2</v>
      </c>
      <c r="AM89">
        <f t="shared" si="63"/>
        <v>8.6259010485705348E-2</v>
      </c>
      <c r="AN89">
        <f t="shared" si="63"/>
        <v>8.7925097277431863E-2</v>
      </c>
      <c r="AO89">
        <f t="shared" si="63"/>
        <v>8.9575491224732656E-2</v>
      </c>
      <c r="AP89">
        <f t="shared" si="63"/>
        <v>9.1210695972774924E-2</v>
      </c>
      <c r="AQ89">
        <f t="shared" si="63"/>
        <v>9.2831186025763651E-2</v>
      </c>
      <c r="AR89">
        <f t="shared" si="63"/>
        <v>9.443740913649995E-2</v>
      </c>
      <c r="AS89">
        <f t="shared" si="63"/>
        <v>9.6029788445557471E-2</v>
      </c>
      <c r="AT89">
        <f t="shared" si="63"/>
        <v>9.7608724401711616E-2</v>
      </c>
      <c r="AU89">
        <f t="shared" si="63"/>
        <v>9.9174596490639075E-2</v>
      </c>
      <c r="AV89">
        <f t="shared" si="63"/>
        <v>0.10072776479501334</v>
      </c>
      <c r="AW89">
        <f t="shared" si="63"/>
        <v>0.10226857140582196</v>
      </c>
      <c r="AX89">
        <f t="shared" si="63"/>
        <v>0.10379734170215765</v>
      </c>
      <c r="AY89">
        <f t="shared" si="63"/>
        <v>0.10531438551418298</v>
      </c>
      <c r="AZ89">
        <f t="shared" si="63"/>
        <v>0.10681999818231795</v>
      </c>
      <c r="BA89">
        <f t="shared" si="63"/>
        <v>0.10831446152371864</v>
      </c>
      <c r="BB89">
        <f t="shared" si="63"/>
        <v>0.10979804471603767</v>
      </c>
      <c r="BC89">
        <f t="shared" si="63"/>
        <v>0.11127100510687403</v>
      </c>
      <c r="BD89">
        <f t="shared" si="63"/>
        <v>0.11273358895663167</v>
      </c>
      <c r="BE89">
        <f t="shared" si="63"/>
        <v>0.11418603212139139</v>
      </c>
      <c r="BF89">
        <f t="shared" si="63"/>
        <v>0.11562856068158764</v>
      </c>
      <c r="BG89">
        <f t="shared" si="63"/>
        <v>0.11706139152186815</v>
      </c>
      <c r="BH89">
        <f t="shared" si="63"/>
        <v>0.11848473286658602</v>
      </c>
      <c r="BI89">
        <f t="shared" si="63"/>
        <v>0.11989878477518681</v>
      </c>
      <c r="BJ89">
        <f t="shared" si="63"/>
        <v>0.12130373960100113</v>
      </c>
      <c r="BK89">
        <f t="shared" si="63"/>
        <v>0.12269978241684787</v>
      </c>
      <c r="BL89">
        <f t="shared" si="63"/>
        <v>0.12408709141031522</v>
      </c>
      <c r="BM89">
        <f t="shared" si="63"/>
        <v>0.12546583825133584</v>
      </c>
      <c r="BN89">
        <f t="shared" si="63"/>
        <v>0.12683618843441563</v>
      </c>
      <c r="BO89">
        <f t="shared" si="63"/>
        <v>0.12819830159775919</v>
      </c>
      <c r="BP89">
        <f t="shared" si="63"/>
        <v>0.12955233182095127</v>
      </c>
      <c r="BQ89">
        <f t="shared" ref="BQ89:BS89" si="64">(BP87-BQ87)/BP87</f>
        <v>0.13089842790323725</v>
      </c>
      <c r="BR89">
        <f t="shared" si="64"/>
        <v>0.13223673362363744</v>
      </c>
      <c r="BS89">
        <f t="shared" si="64"/>
        <v>0.13356738798474038</v>
      </c>
      <c r="BT89">
        <f>(BS87-BT87)/BS87</f>
        <v>0.1348905254408137</v>
      </c>
      <c r="BU89">
        <f>(BT87-BU87)/BT87</f>
        <v>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A35E33-9D81-4084-9BFD-42918E90330B}">
  <sheetPr>
    <tabColor rgb="FF0070C0"/>
  </sheetPr>
  <dimension ref="A1:EW2"/>
  <sheetViews>
    <sheetView zoomScale="85" zoomScaleNormal="85" workbookViewId="0">
      <selection activeCell="F2" sqref="F2"/>
    </sheetView>
  </sheetViews>
  <sheetFormatPr defaultRowHeight="14.5" x14ac:dyDescent="0.35"/>
  <cols>
    <col min="1" max="1" width="12" bestFit="1" customWidth="1"/>
  </cols>
  <sheetData>
    <row r="1" spans="1:153" x14ac:dyDescent="0.35"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  <c r="CX1">
        <v>100</v>
      </c>
      <c r="CY1">
        <v>101</v>
      </c>
      <c r="CZ1">
        <v>102</v>
      </c>
      <c r="DA1">
        <v>103</v>
      </c>
      <c r="DB1">
        <v>104</v>
      </c>
      <c r="DC1">
        <v>105</v>
      </c>
      <c r="DD1">
        <v>106</v>
      </c>
      <c r="DE1">
        <v>107</v>
      </c>
      <c r="DF1">
        <v>108</v>
      </c>
      <c r="DG1">
        <v>109</v>
      </c>
      <c r="DH1">
        <v>110</v>
      </c>
      <c r="DI1">
        <v>111</v>
      </c>
      <c r="DJ1">
        <v>112</v>
      </c>
      <c r="DK1">
        <v>113</v>
      </c>
      <c r="DL1">
        <v>114</v>
      </c>
      <c r="DM1">
        <v>115</v>
      </c>
      <c r="DN1">
        <v>116</v>
      </c>
      <c r="DO1">
        <v>117</v>
      </c>
      <c r="DP1">
        <v>118</v>
      </c>
      <c r="DQ1">
        <v>119</v>
      </c>
      <c r="DR1">
        <v>120</v>
      </c>
      <c r="DS1">
        <v>121</v>
      </c>
      <c r="DT1">
        <v>122</v>
      </c>
      <c r="DU1">
        <v>123</v>
      </c>
      <c r="DV1">
        <v>124</v>
      </c>
      <c r="DW1">
        <v>125</v>
      </c>
      <c r="DX1">
        <v>126</v>
      </c>
      <c r="DY1">
        <v>127</v>
      </c>
      <c r="DZ1">
        <v>128</v>
      </c>
      <c r="EA1">
        <v>129</v>
      </c>
      <c r="EB1">
        <v>130</v>
      </c>
      <c r="EC1">
        <v>131</v>
      </c>
      <c r="ED1">
        <v>132</v>
      </c>
      <c r="EE1">
        <v>133</v>
      </c>
      <c r="EF1">
        <v>134</v>
      </c>
      <c r="EG1">
        <v>135</v>
      </c>
      <c r="EH1">
        <v>136</v>
      </c>
      <c r="EI1">
        <v>137</v>
      </c>
      <c r="EJ1">
        <v>138</v>
      </c>
      <c r="EK1">
        <v>139</v>
      </c>
      <c r="EL1">
        <v>140</v>
      </c>
      <c r="EM1">
        <v>141</v>
      </c>
      <c r="EN1">
        <v>142</v>
      </c>
      <c r="EO1">
        <v>143</v>
      </c>
      <c r="EP1">
        <v>144</v>
      </c>
      <c r="EQ1">
        <v>145</v>
      </c>
      <c r="ER1">
        <v>146</v>
      </c>
      <c r="ES1">
        <v>147</v>
      </c>
      <c r="ET1">
        <v>148</v>
      </c>
      <c r="EU1">
        <v>149</v>
      </c>
      <c r="EV1">
        <v>150</v>
      </c>
      <c r="EW1">
        <v>151</v>
      </c>
    </row>
    <row r="2" spans="1:153" x14ac:dyDescent="0.35">
      <c r="A2" t="s">
        <v>51</v>
      </c>
      <c r="B2">
        <f>Calcs!C89</f>
        <v>0</v>
      </c>
      <c r="C2">
        <f>Calcs!D89</f>
        <v>3.9891959044233705E-3</v>
      </c>
      <c r="D2">
        <f>Calcs!E89</f>
        <v>9.138094464618763E-3</v>
      </c>
      <c r="E2">
        <f>Calcs!F89</f>
        <v>1.3212271406664569E-2</v>
      </c>
      <c r="F2">
        <f>Calcs!G89</f>
        <v>1.6820175553857231E-2</v>
      </c>
      <c r="G2">
        <f>Calcs!H89</f>
        <v>2.0133118446061804E-2</v>
      </c>
      <c r="H2">
        <f>Calcs!I89</f>
        <v>2.3233799433997167E-2</v>
      </c>
      <c r="I2">
        <f>Calcs!J89</f>
        <v>2.6170522654520526E-2</v>
      </c>
      <c r="J2">
        <f>Calcs!K89</f>
        <v>2.8974719788534921E-2</v>
      </c>
      <c r="K2">
        <f>Calcs!L89</f>
        <v>3.1668344479914748E-2</v>
      </c>
      <c r="L2">
        <f>Calcs!M89</f>
        <v>3.4267522592450451E-2</v>
      </c>
      <c r="M2">
        <f>Calcs!N89</f>
        <v>3.6784555508356249E-2</v>
      </c>
      <c r="N2">
        <f>Calcs!O89</f>
        <v>3.9229107731157578E-2</v>
      </c>
      <c r="O2">
        <f>Calcs!P89</f>
        <v>4.1608953716860637E-2</v>
      </c>
      <c r="P2">
        <f>Calcs!Q89</f>
        <v>4.3930469992607198E-2</v>
      </c>
      <c r="Q2">
        <f>Calcs!R89</f>
        <v>4.619897199486054E-2</v>
      </c>
      <c r="R2">
        <f>Calcs!S89</f>
        <v>4.8418952012907399E-2</v>
      </c>
      <c r="S2">
        <f>Calcs!T89</f>
        <v>5.0594251809410865E-2</v>
      </c>
      <c r="T2">
        <f>Calcs!U89</f>
        <v>5.2728190738731508E-2</v>
      </c>
      <c r="U2">
        <f>Calcs!V89</f>
        <v>5.4823662731738193E-2</v>
      </c>
      <c r="V2">
        <f>Calcs!W89</f>
        <v>5.688321099153841E-2</v>
      </c>
      <c r="W2">
        <f>Calcs!X89</f>
        <v>5.8909086405875069E-2</v>
      </c>
      <c r="X2">
        <f>Calcs!Y89</f>
        <v>6.0903293848849974E-2</v>
      </c>
      <c r="Y2">
        <f>Calcs!Z89</f>
        <v>6.2867629330565375E-2</v>
      </c>
      <c r="Z2">
        <f>Calcs!AA89</f>
        <v>6.4803710130847555E-2</v>
      </c>
      <c r="AA2">
        <f>Calcs!AB89</f>
        <v>6.6712999484758076E-2</v>
      </c>
      <c r="AB2">
        <f>Calcs!AC89</f>
        <v>6.8596826987495738E-2</v>
      </c>
      <c r="AC2">
        <f>Calcs!AD89</f>
        <v>7.0456405600006058E-2</v>
      </c>
      <c r="AD2">
        <f>Calcs!AE89</f>
        <v>7.2292845928735736E-2</v>
      </c>
      <c r="AE2">
        <f>Calcs!AF89</f>
        <v>7.4107168299823681E-2</v>
      </c>
      <c r="AF2">
        <f>Calcs!AG89</f>
        <v>7.5900313033988323E-2</v>
      </c>
      <c r="AG2">
        <f>Calcs!AH89</f>
        <v>7.7673149242224945E-2</v>
      </c>
      <c r="AH2">
        <f>Calcs!AI89</f>
        <v>7.9426482396875067E-2</v>
      </c>
      <c r="AI2">
        <f>Calcs!AJ89</f>
        <v>8.1161060882089076E-2</v>
      </c>
      <c r="AJ2">
        <f>Calcs!AK89</f>
        <v>8.2877581688507895E-2</v>
      </c>
      <c r="AK2">
        <f>Calcs!AL89</f>
        <v>8.4576695386211168E-2</v>
      </c>
      <c r="AL2">
        <f>Calcs!AM89</f>
        <v>8.6259010485705348E-2</v>
      </c>
      <c r="AM2">
        <f>Calcs!AN89</f>
        <v>8.7925097277431863E-2</v>
      </c>
      <c r="AN2">
        <f>Calcs!AO89</f>
        <v>8.9575491224732656E-2</v>
      </c>
      <c r="AO2">
        <f>Calcs!AP89</f>
        <v>9.1210695972774924E-2</v>
      </c>
      <c r="AP2">
        <f>Calcs!AQ89</f>
        <v>9.2831186025763651E-2</v>
      </c>
      <c r="AQ2">
        <f>Calcs!AR89</f>
        <v>9.443740913649995E-2</v>
      </c>
      <c r="AR2">
        <f>Calcs!AS89</f>
        <v>9.6029788445557471E-2</v>
      </c>
      <c r="AS2">
        <f>Calcs!AT89</f>
        <v>9.7608724401711616E-2</v>
      </c>
      <c r="AT2">
        <f>Calcs!AU89</f>
        <v>9.9174596490639075E-2</v>
      </c>
      <c r="AU2">
        <f>Calcs!AV89</f>
        <v>0.10072776479501334</v>
      </c>
      <c r="AV2">
        <f>Calcs!AW89</f>
        <v>0.10226857140582196</v>
      </c>
      <c r="AW2">
        <f>Calcs!AX89</f>
        <v>0.10379734170215765</v>
      </c>
      <c r="AX2">
        <f>Calcs!AY89</f>
        <v>0.10531438551418298</v>
      </c>
      <c r="AY2">
        <f>Calcs!AZ89</f>
        <v>0.10681999818231795</v>
      </c>
      <c r="AZ2">
        <f>Calcs!BA89</f>
        <v>0.10831446152371864</v>
      </c>
      <c r="BA2">
        <f>Calcs!BB89</f>
        <v>0.10979804471603767</v>
      </c>
      <c r="BB2">
        <f>Calcs!BC89</f>
        <v>0.11127100510687403</v>
      </c>
      <c r="BC2">
        <f>Calcs!BD89</f>
        <v>0.11273358895663167</v>
      </c>
      <c r="BD2">
        <f>Calcs!BE89</f>
        <v>0.11418603212139139</v>
      </c>
      <c r="BE2">
        <f>Calcs!BF89</f>
        <v>0.11562856068158764</v>
      </c>
      <c r="BF2">
        <f>Calcs!BG89</f>
        <v>0.11706139152186815</v>
      </c>
      <c r="BG2">
        <f>Calcs!BH89</f>
        <v>0.11848473286658602</v>
      </c>
      <c r="BH2">
        <f>Calcs!BI89</f>
        <v>0.11989878477518681</v>
      </c>
      <c r="BI2">
        <f>Calcs!BJ89</f>
        <v>0.12130373960100113</v>
      </c>
      <c r="BJ2">
        <f>Calcs!BK89</f>
        <v>0.12269978241684787</v>
      </c>
      <c r="BK2">
        <f>Calcs!BL89</f>
        <v>0.12408709141031522</v>
      </c>
      <c r="BL2">
        <f>Calcs!BM89</f>
        <v>0.12546583825133584</v>
      </c>
      <c r="BM2">
        <f>Calcs!BN89</f>
        <v>0.12683618843441563</v>
      </c>
      <c r="BN2">
        <f>Calcs!BO89</f>
        <v>0.12819830159775919</v>
      </c>
      <c r="BO2">
        <f>Calcs!BP89</f>
        <v>0.12955233182095127</v>
      </c>
      <c r="BP2">
        <f>Calcs!BQ89</f>
        <v>0.13089842790323725</v>
      </c>
      <c r="BQ2">
        <f>Calcs!BR89</f>
        <v>0.13223673362363744</v>
      </c>
      <c r="BR2">
        <f>Calcs!BS89</f>
        <v>0.13356738798474038</v>
      </c>
      <c r="BS2">
        <f>Calcs!BT89</f>
        <v>0.1348905254408137</v>
      </c>
      <c r="BT2">
        <f>Calcs!BU89</f>
        <v>1</v>
      </c>
      <c r="BU2">
        <v>1</v>
      </c>
      <c r="BV2">
        <v>1</v>
      </c>
      <c r="BW2">
        <v>1</v>
      </c>
      <c r="BX2">
        <v>1</v>
      </c>
      <c r="BY2">
        <v>1</v>
      </c>
      <c r="BZ2">
        <v>1</v>
      </c>
      <c r="CA2">
        <v>1</v>
      </c>
      <c r="CB2">
        <v>1</v>
      </c>
      <c r="CC2">
        <v>1</v>
      </c>
      <c r="CD2">
        <v>1</v>
      </c>
      <c r="CE2">
        <v>1</v>
      </c>
      <c r="CF2">
        <v>1</v>
      </c>
      <c r="CG2">
        <v>1</v>
      </c>
      <c r="CH2">
        <v>1</v>
      </c>
      <c r="CI2">
        <v>1</v>
      </c>
      <c r="CJ2">
        <v>1</v>
      </c>
      <c r="CK2">
        <v>1</v>
      </c>
      <c r="CL2">
        <v>1</v>
      </c>
      <c r="CM2">
        <v>1</v>
      </c>
      <c r="CN2">
        <v>1</v>
      </c>
      <c r="CO2">
        <v>1</v>
      </c>
      <c r="CP2">
        <v>1</v>
      </c>
      <c r="CQ2">
        <v>1</v>
      </c>
      <c r="CR2">
        <v>1</v>
      </c>
      <c r="CS2">
        <v>1</v>
      </c>
      <c r="CT2">
        <v>1</v>
      </c>
      <c r="CU2">
        <v>1</v>
      </c>
      <c r="CV2">
        <v>1</v>
      </c>
      <c r="CW2">
        <v>1</v>
      </c>
      <c r="CX2">
        <v>1</v>
      </c>
      <c r="CY2">
        <v>1</v>
      </c>
      <c r="CZ2">
        <v>1</v>
      </c>
      <c r="DA2">
        <v>1</v>
      </c>
      <c r="DB2">
        <v>1</v>
      </c>
      <c r="DC2">
        <v>1</v>
      </c>
      <c r="DD2">
        <v>1</v>
      </c>
      <c r="DE2">
        <v>1</v>
      </c>
      <c r="DF2">
        <v>1</v>
      </c>
      <c r="DG2">
        <v>1</v>
      </c>
      <c r="DH2">
        <v>1</v>
      </c>
      <c r="DI2">
        <v>1</v>
      </c>
      <c r="DJ2">
        <v>1</v>
      </c>
      <c r="DK2">
        <v>1</v>
      </c>
      <c r="DL2">
        <v>1</v>
      </c>
      <c r="DM2">
        <v>1</v>
      </c>
      <c r="DN2">
        <v>1</v>
      </c>
      <c r="DO2">
        <v>1</v>
      </c>
      <c r="DP2">
        <v>1</v>
      </c>
      <c r="DQ2">
        <v>1</v>
      </c>
      <c r="DR2">
        <v>1</v>
      </c>
      <c r="DS2">
        <v>1</v>
      </c>
      <c r="DT2">
        <v>1</v>
      </c>
      <c r="DU2">
        <v>1</v>
      </c>
      <c r="DV2">
        <v>1</v>
      </c>
      <c r="DW2">
        <v>1</v>
      </c>
      <c r="DX2">
        <v>1</v>
      </c>
      <c r="DY2">
        <v>1</v>
      </c>
      <c r="DZ2">
        <v>1</v>
      </c>
      <c r="EA2">
        <v>1</v>
      </c>
      <c r="EB2">
        <v>1</v>
      </c>
      <c r="EC2">
        <v>1</v>
      </c>
      <c r="ED2">
        <v>1</v>
      </c>
      <c r="EE2">
        <v>1</v>
      </c>
      <c r="EF2">
        <v>1</v>
      </c>
      <c r="EG2">
        <v>1</v>
      </c>
      <c r="EH2">
        <v>1</v>
      </c>
      <c r="EI2">
        <v>1</v>
      </c>
      <c r="EJ2">
        <v>1</v>
      </c>
      <c r="EK2">
        <v>1</v>
      </c>
      <c r="EL2">
        <v>1</v>
      </c>
      <c r="EM2">
        <v>1</v>
      </c>
      <c r="EN2">
        <v>1</v>
      </c>
      <c r="EO2">
        <v>1</v>
      </c>
      <c r="EP2">
        <v>1</v>
      </c>
      <c r="EQ2">
        <v>1</v>
      </c>
      <c r="ER2">
        <v>1</v>
      </c>
      <c r="ES2">
        <v>1</v>
      </c>
      <c r="ET2">
        <v>1</v>
      </c>
      <c r="EU2">
        <v>1</v>
      </c>
      <c r="EV2">
        <v>1</v>
      </c>
      <c r="EW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Calcs</vt:lpstr>
      <vt:lpstr>FoHERbA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 O'Brien</dc:creator>
  <cp:lastModifiedBy>Dan O'Brien</cp:lastModifiedBy>
  <dcterms:created xsi:type="dcterms:W3CDTF">2025-03-12T13:10:48Z</dcterms:created>
  <dcterms:modified xsi:type="dcterms:W3CDTF">2025-10-20T14:52:30Z</dcterms:modified>
</cp:coreProperties>
</file>