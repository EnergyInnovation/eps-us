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DanOBrien\Models\EPS\US\eps-us\InputData\hydgn\HE\"/>
    </mc:Choice>
  </mc:AlternateContent>
  <xr:revisionPtr revIDLastSave="0" documentId="13_ncr:1_{4222AB5C-646B-4E82-A8D3-661033FDAA65}" xr6:coauthVersionLast="47" xr6:coauthVersionMax="47" xr10:uidLastSave="{00000000-0000-0000-0000-000000000000}"/>
  <bookViews>
    <workbookView xWindow="28680" yWindow="-120" windowWidth="29040" windowHeight="17520" xr2:uid="{00000000-000D-0000-FFFF-FFFF00000000}"/>
  </bookViews>
  <sheets>
    <sheet name="About" sheetId="1" r:id="rId1"/>
    <sheet name="Assumptions" sheetId="2" r:id="rId2"/>
    <sheet name="Calcs" sheetId="3" r:id="rId3"/>
    <sheet name="Checks" sheetId="4" r:id="rId4"/>
    <sheet name="HE-BHEbG" sheetId="5" r:id="rId5"/>
    <sheet name="HE-WHIDbG" sheetId="6" r:id="rId6"/>
    <sheet name="HE-HEPE" sheetId="7" r:id="rId7"/>
    <sheet name="HE-HE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8" l="1"/>
  <c r="B2" i="7"/>
  <c r="J10" i="3"/>
  <c r="I10" i="3"/>
  <c r="H10" i="3"/>
  <c r="G10" i="3"/>
  <c r="F10" i="3"/>
  <c r="E10" i="3"/>
  <c r="D10" i="3"/>
  <c r="C10" i="3"/>
  <c r="B10" i="3"/>
  <c r="AE9" i="3"/>
  <c r="AD9" i="3"/>
  <c r="AC9" i="3"/>
  <c r="AB9" i="3"/>
  <c r="AA9" i="3"/>
  <c r="Z9" i="3"/>
  <c r="Y9" i="3"/>
  <c r="X9" i="3"/>
  <c r="W9" i="3"/>
  <c r="V9" i="3"/>
  <c r="U9" i="3"/>
  <c r="T9" i="3"/>
  <c r="S9" i="3"/>
  <c r="R9" i="3"/>
  <c r="Q9" i="3"/>
  <c r="P9" i="3"/>
  <c r="O9" i="3"/>
  <c r="N9" i="3"/>
  <c r="M9" i="3"/>
  <c r="L9" i="3"/>
  <c r="K9" i="3"/>
  <c r="J9" i="3"/>
  <c r="I9" i="3"/>
  <c r="H9" i="3"/>
  <c r="G9" i="3"/>
  <c r="F9" i="3"/>
  <c r="E9" i="3"/>
  <c r="D9" i="3"/>
  <c r="C9" i="3"/>
  <c r="B9" i="3"/>
  <c r="AE5" i="3"/>
  <c r="AD5" i="3"/>
  <c r="AC5" i="3"/>
  <c r="AB5" i="3"/>
  <c r="AA5" i="3"/>
  <c r="Z5" i="3"/>
  <c r="Y5" i="3"/>
  <c r="X5" i="3"/>
  <c r="W5" i="3"/>
  <c r="V5" i="3"/>
  <c r="U5" i="3"/>
  <c r="T5" i="3"/>
  <c r="S5" i="3"/>
  <c r="R5" i="3"/>
  <c r="Q5" i="3"/>
  <c r="P5" i="3"/>
  <c r="O5" i="3"/>
  <c r="N5" i="3"/>
  <c r="M5" i="3"/>
  <c r="L5" i="3"/>
  <c r="K5" i="3"/>
  <c r="J5" i="3"/>
  <c r="I5" i="3"/>
  <c r="H5" i="3"/>
  <c r="G5" i="3"/>
  <c r="F5" i="3"/>
  <c r="E5" i="3"/>
  <c r="D5" i="3"/>
  <c r="C5" i="3"/>
  <c r="B5" i="3"/>
  <c r="B10" i="2"/>
  <c r="B13" i="2" s="1"/>
  <c r="AE7" i="3" l="1"/>
  <c r="AE3" i="6" s="1"/>
  <c r="AE6" i="3"/>
  <c r="AD6" i="3"/>
  <c r="AD7" i="3"/>
  <c r="AD3" i="6" s="1"/>
  <c r="AC6" i="3"/>
  <c r="AC7" i="3"/>
  <c r="AC3" i="6" s="1"/>
  <c r="AB6" i="3"/>
  <c r="AB7" i="3"/>
  <c r="AB3" i="6" s="1"/>
  <c r="AA6" i="3"/>
  <c r="AA7" i="3"/>
  <c r="AA3" i="6" s="1"/>
  <c r="Z6" i="3"/>
  <c r="Z7" i="3"/>
  <c r="Z3" i="6" s="1"/>
  <c r="Y7" i="3"/>
  <c r="Y3" i="6" s="1"/>
  <c r="Y6" i="3"/>
  <c r="X6" i="3"/>
  <c r="X7" i="3"/>
  <c r="X3" i="6" s="1"/>
  <c r="W7" i="3"/>
  <c r="W3" i="6" s="1"/>
  <c r="W6" i="3"/>
  <c r="V7" i="3"/>
  <c r="V3" i="6" s="1"/>
  <c r="V6" i="3"/>
  <c r="U6" i="3"/>
  <c r="U7" i="3"/>
  <c r="U3" i="6" s="1"/>
  <c r="T6" i="3"/>
  <c r="T7" i="3"/>
  <c r="T3" i="6" s="1"/>
  <c r="S7" i="3"/>
  <c r="S3" i="6" s="1"/>
  <c r="S6" i="3"/>
  <c r="R6" i="3"/>
  <c r="R7" i="3"/>
  <c r="R3" i="6" s="1"/>
  <c r="Q6" i="3"/>
  <c r="Q7" i="3"/>
  <c r="Q3" i="6" s="1"/>
  <c r="P7" i="3"/>
  <c r="P3" i="6" s="1"/>
  <c r="P6" i="3"/>
  <c r="O7" i="3"/>
  <c r="O3" i="6" s="1"/>
  <c r="O6" i="3"/>
  <c r="N7" i="3"/>
  <c r="N3" i="6" s="1"/>
  <c r="N6" i="3"/>
  <c r="M7" i="3"/>
  <c r="M3" i="6" s="1"/>
  <c r="M6" i="3"/>
  <c r="L7" i="3"/>
  <c r="L3" i="6" s="1"/>
  <c r="L6" i="3"/>
  <c r="K7" i="3"/>
  <c r="K3" i="6" s="1"/>
  <c r="K6" i="3"/>
  <c r="J7" i="3"/>
  <c r="J6" i="3"/>
  <c r="I7" i="3"/>
  <c r="I6" i="3"/>
  <c r="H7" i="3"/>
  <c r="H6" i="3"/>
  <c r="G7" i="3"/>
  <c r="G6" i="3"/>
  <c r="F7" i="3"/>
  <c r="F6" i="3"/>
  <c r="E7" i="3"/>
  <c r="E6" i="3"/>
  <c r="D7" i="3"/>
  <c r="D6" i="3"/>
  <c r="C7" i="3"/>
  <c r="C6" i="3"/>
  <c r="B7" i="3"/>
  <c r="B6" i="3"/>
  <c r="B17" i="2"/>
  <c r="B8" i="3"/>
  <c r="C8" i="3"/>
  <c r="D8" i="3"/>
  <c r="E8" i="3"/>
  <c r="F8" i="3"/>
  <c r="G8" i="3"/>
  <c r="H8" i="3"/>
  <c r="I8" i="3"/>
  <c r="J8" i="3"/>
  <c r="K8" i="3"/>
  <c r="L8" i="3"/>
  <c r="M8" i="3"/>
  <c r="N8" i="3"/>
  <c r="O8" i="3"/>
  <c r="P8" i="3"/>
  <c r="Q8" i="3"/>
  <c r="R8" i="3"/>
  <c r="S8" i="3"/>
  <c r="T8" i="3"/>
  <c r="U8" i="3"/>
  <c r="V8" i="3"/>
  <c r="W8" i="3"/>
  <c r="X8" i="3"/>
  <c r="Y8" i="3"/>
  <c r="Z8" i="3"/>
  <c r="AD8" i="3"/>
  <c r="AA8" i="3"/>
  <c r="AC8" i="3"/>
  <c r="AB8" i="3"/>
  <c r="AE8" i="3"/>
  <c r="AE11" i="3" l="1"/>
  <c r="AE2" i="6"/>
  <c r="AD11" i="3"/>
  <c r="AD2" i="5" s="1"/>
  <c r="AD2" i="6"/>
  <c r="AC11" i="3"/>
  <c r="AC2" i="5" s="1"/>
  <c r="AC2" i="6"/>
  <c r="AB11" i="3"/>
  <c r="AB2" i="5" s="1"/>
  <c r="AB2" i="6"/>
  <c r="AA11" i="3"/>
  <c r="AA2" i="5" s="1"/>
  <c r="AA2" i="6"/>
  <c r="Z11" i="3"/>
  <c r="Z2" i="5" s="1"/>
  <c r="Z2" i="6"/>
  <c r="Y11" i="3"/>
  <c r="Y2" i="5" s="1"/>
  <c r="Y2" i="6"/>
  <c r="X11" i="3"/>
  <c r="X2" i="5" s="1"/>
  <c r="X2" i="6"/>
  <c r="W11" i="3"/>
  <c r="W2" i="5" s="1"/>
  <c r="W2" i="6"/>
  <c r="V11" i="3"/>
  <c r="V2" i="5" s="1"/>
  <c r="V2" i="6"/>
  <c r="U11" i="3"/>
  <c r="U2" i="5" s="1"/>
  <c r="U2" i="6"/>
  <c r="T11" i="3"/>
  <c r="T2" i="5" s="1"/>
  <c r="T2" i="6"/>
  <c r="S11" i="3"/>
  <c r="S2" i="5" s="1"/>
  <c r="S2" i="6"/>
  <c r="R11" i="3"/>
  <c r="R2" i="5" s="1"/>
  <c r="R2" i="6"/>
  <c r="Q11" i="3"/>
  <c r="Q2" i="5" s="1"/>
  <c r="Q2" i="6"/>
  <c r="P11" i="3"/>
  <c r="P2" i="5" s="1"/>
  <c r="P2" i="6"/>
  <c r="O11" i="3"/>
  <c r="O2" i="5" s="1"/>
  <c r="O2" i="6"/>
  <c r="N11" i="3"/>
  <c r="N2" i="5" s="1"/>
  <c r="N2" i="6"/>
  <c r="M11" i="3"/>
  <c r="M2" i="5" s="1"/>
  <c r="M2" i="6"/>
  <c r="L11" i="3"/>
  <c r="L2" i="5" s="1"/>
  <c r="L2" i="6"/>
  <c r="K11" i="3"/>
  <c r="K2" i="5" s="1"/>
  <c r="B6" i="4"/>
  <c r="B5" i="4"/>
  <c r="K2" i="6"/>
  <c r="J12" i="3"/>
  <c r="J3" i="5" s="1"/>
  <c r="J3" i="6"/>
  <c r="J11" i="3"/>
  <c r="J2" i="5" s="1"/>
  <c r="J2" i="6"/>
  <c r="I12" i="3"/>
  <c r="I3" i="5" s="1"/>
  <c r="I3" i="6"/>
  <c r="I11" i="3"/>
  <c r="I2" i="5" s="1"/>
  <c r="I2" i="6"/>
  <c r="H12" i="3"/>
  <c r="H3" i="5" s="1"/>
  <c r="H3" i="6"/>
  <c r="H11" i="3"/>
  <c r="H2" i="5" s="1"/>
  <c r="H2" i="6"/>
  <c r="G12" i="3"/>
  <c r="G3" i="5" s="1"/>
  <c r="G3" i="6"/>
  <c r="G11" i="3"/>
  <c r="G2" i="5" s="1"/>
  <c r="G2" i="6"/>
  <c r="F12" i="3"/>
  <c r="F3" i="5" s="1"/>
  <c r="F3" i="6"/>
  <c r="F11" i="3"/>
  <c r="F2" i="5" s="1"/>
  <c r="F2" i="6"/>
  <c r="E12" i="3"/>
  <c r="E3" i="5" s="1"/>
  <c r="E3" i="6"/>
  <c r="E11" i="3"/>
  <c r="E2" i="5" s="1"/>
  <c r="E2" i="6"/>
  <c r="D12" i="3"/>
  <c r="D3" i="5" s="1"/>
  <c r="D3" i="6"/>
  <c r="D11" i="3"/>
  <c r="D2" i="5" s="1"/>
  <c r="D2" i="6"/>
  <c r="C12" i="3"/>
  <c r="C3" i="5" s="1"/>
  <c r="C3" i="6"/>
  <c r="C11" i="3"/>
  <c r="C2" i="5" s="1"/>
  <c r="C2" i="6"/>
  <c r="B12" i="3"/>
  <c r="B3" i="6"/>
  <c r="B11" i="3"/>
  <c r="B2" i="6"/>
  <c r="M10" i="3"/>
  <c r="M12" i="3" s="1"/>
  <c r="M3" i="5" s="1"/>
  <c r="K10" i="3"/>
  <c r="K12" i="3" s="1"/>
  <c r="K3" i="5" s="1"/>
  <c r="N10" i="3"/>
  <c r="N12" i="3" s="1"/>
  <c r="N3" i="5" s="1"/>
  <c r="P10" i="3"/>
  <c r="P12" i="3" s="1"/>
  <c r="P3" i="5" s="1"/>
  <c r="R10" i="3"/>
  <c r="R12" i="3" s="1"/>
  <c r="R3" i="5" s="1"/>
  <c r="T10" i="3"/>
  <c r="T12" i="3" s="1"/>
  <c r="T3" i="5" s="1"/>
  <c r="U10" i="3"/>
  <c r="U12" i="3" s="1"/>
  <c r="U3" i="5" s="1"/>
  <c r="X10" i="3"/>
  <c r="X12" i="3" s="1"/>
  <c r="X3" i="5" s="1"/>
  <c r="AC10" i="3"/>
  <c r="AC12" i="3" s="1"/>
  <c r="AC3" i="5" s="1"/>
  <c r="AD10" i="3"/>
  <c r="AD12" i="3" s="1"/>
  <c r="AD3" i="5" s="1"/>
  <c r="AB10" i="3"/>
  <c r="AB12" i="3" s="1"/>
  <c r="AB3" i="5" s="1"/>
  <c r="L10" i="3"/>
  <c r="L12" i="3" s="1"/>
  <c r="L3" i="5" s="1"/>
  <c r="O10" i="3"/>
  <c r="O12" i="3" s="1"/>
  <c r="O3" i="5" s="1"/>
  <c r="Q10" i="3"/>
  <c r="Q12" i="3" s="1"/>
  <c r="Q3" i="5" s="1"/>
  <c r="S10" i="3"/>
  <c r="S12" i="3" s="1"/>
  <c r="S3" i="5" s="1"/>
  <c r="V10" i="3"/>
  <c r="V12" i="3" s="1"/>
  <c r="V3" i="5" s="1"/>
  <c r="Y10" i="3"/>
  <c r="Y12" i="3" s="1"/>
  <c r="Y3" i="5" s="1"/>
  <c r="AA10" i="3"/>
  <c r="AA12" i="3" s="1"/>
  <c r="AA3" i="5" s="1"/>
  <c r="AE10" i="3"/>
  <c r="AE12" i="3" s="1"/>
  <c r="AE3" i="5" s="1"/>
  <c r="W10" i="3"/>
  <c r="W12" i="3" s="1"/>
  <c r="W3" i="5" s="1"/>
  <c r="Z10" i="3"/>
  <c r="Z12" i="3" s="1"/>
  <c r="Z3" i="5" s="1"/>
  <c r="AE2" i="5" l="1"/>
  <c r="B7" i="4"/>
  <c r="B4" i="4"/>
  <c r="B3" i="5"/>
  <c r="B3" i="4"/>
  <c r="B2" i="5"/>
</calcChain>
</file>

<file path=xl/sharedStrings.xml><?xml version="1.0" encoding="utf-8"?>
<sst xmlns="http://schemas.openxmlformats.org/spreadsheetml/2006/main" count="95" uniqueCount="87">
  <si>
    <t>HE Hydrogen Exports</t>
  </si>
  <si>
    <t>Sources:</t>
  </si>
  <si>
    <t>World hydrogen trade by 2030</t>
  </si>
  <si>
    <t>International Energy Agency (IEA)</t>
  </si>
  <si>
    <t>Global Hydrogen Review 2025</t>
  </si>
  <si>
    <t>https://www.iea.org/reports/global-hydrogen-review-2025</t>
  </si>
  <si>
    <t>Trade chapter: about 0.8 Mt/yr of hydrogen-equivalent trade is operational, at final investment decision or under construction for 2030, with another 1.0 Mt of strong and 1.8 Mt of moderate potential, out of more than 16 Mt announced; about 85% of planned trade is shipped as ammonia. Used for the 2030 anchor of world import demand and the range check on the Checks tab. These are project counts, not a demand forecast.</t>
  </si>
  <si>
    <t>EU import demand</t>
  </si>
  <si>
    <t>European Court of Auditors</t>
  </si>
  <si>
    <t>Special report 11/2024: The EU's industrial policy on renewable hydrogen</t>
  </si>
  <si>
    <t>https://www.eca.europa.eu/ECAPublications/SR-2024-11/SR-2024-11_EN.pdf</t>
  </si>
  <si>
    <t>Finds the REPowerEU target of 10 Mt of renewable hydrogen imports by 2030 unrealistic. Used only to justify an EU-led green import demand far below that target; not a source for any number in this file.</t>
  </si>
  <si>
    <t>Japan import demand and contracted US supply</t>
  </si>
  <si>
    <t>JERA</t>
  </si>
  <si>
    <t>Certification under the Hydrogen Society Promotion Act (press release, 19 December 2025)</t>
  </si>
  <si>
    <t>https://www.jera.co.jp/en/news/information/20251219_2329</t>
  </si>
  <si>
    <t>JERA's supply plan for low-carbon ammonia from the Blue Point project (Louisiana) was certified for Japan's price-gap contract-for-difference support. Shows Japanese import demand accepts low-carbon (blue) supply.</t>
  </si>
  <si>
    <t>Contracted US low-carbon exports</t>
  </si>
  <si>
    <t>CF Industries Holdings</t>
  </si>
  <si>
    <t>Form 10-Q for the quarter ended 30 June 2026</t>
  </si>
  <si>
    <t>https://www.sec.gov/Archives/edgar/data/0001324404/000132440426000019/cf-20260630.htm</t>
  </si>
  <si>
    <t>Blue Point joint venture (CF 40%, JERA 35%, Mitsui 25%): construction started, production expected in 2029, owners take product pro rata. The 1.4 Mt/yr ammonia capacity is as reported in trade press at the investment decision; check it against company filings before relying on it.</t>
  </si>
  <si>
    <t>Energy content of hydrogen</t>
  </si>
  <si>
    <t>Energy Innovation</t>
  </si>
  <si>
    <t>Energy Policy Simulator input BCF-BpMMTH (BTU per MMT hydrogen)</t>
  </si>
  <si>
    <t>https://github.com/EnergyInnovation/eps-us</t>
  </si>
  <si>
    <t>The model converts hydrogen mass to energy at 1.34511E+14 BTU per million metric tons (higher heating value). This file uses the same factor so volumes match the model's hydrogen ledger.</t>
  </si>
  <si>
    <t>Price elasticity of export demand</t>
  </si>
  <si>
    <t>Energy Policy Simulator input IESE (chemicals, ISIC 20)</t>
  </si>
  <si>
    <t>No hydrogen-specific trade elasticity was found. The model's Armington elasticity for chemicals (2.4), the sector that trades ammonia today, is used. Treat it as a placeholder for sensitivity runs (1 to 5).</t>
  </si>
  <si>
    <t>Notes:</t>
  </si>
  <si>
    <t>Purpose</t>
  </si>
  <si>
    <t>This file sets up hydrogen export demand for the EPS. Only the clean grades are traded: green hydrogen (electrolysis with dedicated clean power) and low carbon hydrogen (any pathway the region counts as low carbon). Ordinary hydrogen and its derivatives trade inside the chemicals industry instead. The model adds exports to the demand for each grade, so the hydrogen sector builds capacity for them, and books them in the fuel export ledger. In policy runs exports rise or fall with the change in the grade's modeled production cost, relative to the world hydrogen price, through the same market-share formula the model uses for exports of other goods.</t>
  </si>
  <si>
    <t>Layout</t>
  </si>
  <si>
    <t>Edit the Assumptions tab. The Calcs tab fills in every year and converts to BTU; the Checks tab tests the results; the four dark blue tabs at the end are exported as CSVs: HE-BHEbG (BAU exports by grade), HE-WHIDbG (world import demand by grade), HE-HEPE (price elasticity) and HE-HERT (response time).</t>
  </si>
  <si>
    <t>World import demand</t>
  </si>
  <si>
    <t>World import demand is what all importing regions together want to buy of each grade. Green demand is led by the EU (renewable hydrogen rules and H2Global auctions); low carbon demand by Japan, Korea and Singapore, which accept blue hydrogen. The 2030 values sum to about 2 Mt, within the IEA's committed-plus-likely range. Values for 2035 to 2050 are our judgment: they sit at the low end of long-run outlooks (IEA and IRENA put 2050 trade at roughly 50 to 70 Mt or more under 1.5 C pathways) because importing countries cut their targets repeatedly in 2024 to 2026. Treat this as a central scenario and vary it for high and low cases. The same series should be used in every regional EPS build so their exports and imports can be compared.</t>
  </si>
  <si>
    <t>BAU exports for the U.S.</t>
  </si>
  <si>
    <t>Low carbon: Blue Point's ammonia output converted to hydrogen content, half a year in 2029 and full output from 2030. From 2030, the U.S. keeps a share of world low carbon demand that starts at Blue Point's 2030 share and falls to the 2050 value on the Assumptions tab as other suppliers (Middle East, India, Australia) grow; whichever of the contracted volume and the share is larger is used. Green: the U.S. has no contracted green exports and green production credits end for projects starting after 2027, so it gets a small share (1%) of world green demand. The share is there so that policies which cut U.S. green costs can win export business; with a zero share the model's formula could never move exports off zero.</t>
  </si>
  <si>
    <t>Other regions</t>
  </si>
  <si>
    <t>For a non-U.S. build, replace the contracted volumes and shares on the Assumptions tab with that region's projects. Importing regions should set both shares to zero: imports are not represented by this file.</t>
  </si>
  <si>
    <t>Response time</t>
  </si>
  <si>
    <t>Export volumes move toward their new level over about four years, the typical time from an investment decision to first shipment for an ammonia export plant (Blue Point: 2025 decision, 2029 production).</t>
  </si>
  <si>
    <t>Caveats</t>
  </si>
  <si>
    <t>Energy used to turn hydrogen into ammonia for shipping is not included. Export revenue uses the model's single world hydrogen price (IMFPbFT), not a grade-specific or netback price. World demand does not respond to the region's own exports.</t>
  </si>
  <si>
    <t>Assumptions (edit the values on this tab)</t>
  </si>
  <si>
    <t>World import demand, Mt H2-equivalent per year (anchor years; Calcs interpolates linearly)</t>
  </si>
  <si>
    <t>Year</t>
  </si>
  <si>
    <t>Green hydrogen (EU-led)</t>
  </si>
  <si>
    <t>Low carbon hydrogen (Japan, Korea, Singapore)</t>
  </si>
  <si>
    <t>Contracted U.S. low carbon exports (Blue Point)</t>
  </si>
  <si>
    <t>Ammonia capacity, Mt NH3 per year</t>
  </si>
  <si>
    <t>Hydrogen mass fraction of ammonia</t>
  </si>
  <si>
    <t>First production year</t>
  </si>
  <si>
    <t>Share of full output in the first year</t>
  </si>
  <si>
    <t>Hydrogen content at full output, Mt H2 per year</t>
  </si>
  <si>
    <t>U.S. share of world import demand</t>
  </si>
  <si>
    <t>Green, all years</t>
  </si>
  <si>
    <t>Low carbon, 2030 (Blue Point share of world demand)</t>
  </si>
  <si>
    <t>Low carbon, 2050</t>
  </si>
  <si>
    <t>Model parameters</t>
  </si>
  <si>
    <t>BTU per million metric tons of hydrogen (EPS BpMMTH, HHV)</t>
  </si>
  <si>
    <t>Price elasticity of export demand (dimensionless)</t>
  </si>
  <si>
    <t>Response time of exports, years</t>
  </si>
  <si>
    <t>Annual values: how much the U.S. exports of each grade in BAU, and how big the world market is</t>
  </si>
  <si>
    <t>Linear interpolation between the anchor years, the contracted volume and the U.S. share, then conversion to BTU.</t>
  </si>
  <si>
    <t>Anchor interval (position of the anchor year at or before this year)</t>
  </si>
  <si>
    <t>World green import demand, Mt H2</t>
  </si>
  <si>
    <t>World low carbon import demand, Mt H2</t>
  </si>
  <si>
    <t>Contracted U.S. low carbon exports, Mt H2</t>
  </si>
  <si>
    <t>U.S. share of world green demand</t>
  </si>
  <si>
    <t>U.S. share of world low carbon demand</t>
  </si>
  <si>
    <t>U.S. BAU GREEN EXPORTS, Mt H2 (used in the output file)</t>
  </si>
  <si>
    <t>U.S. BAU LOW CARBON EXPORTS, Mt H2 (used in the output file)</t>
  </si>
  <si>
    <t>Checks (1 = problem)</t>
  </si>
  <si>
    <t>CHECK: do BAU green exports ever exceed world green import demand? / 1 = problem</t>
  </si>
  <si>
    <t>CHECK: do BAU low carbon exports ever exceed world low carbon import demand? / 1 = problem</t>
  </si>
  <si>
    <t>CHECK: is 2030 world import demand outside 0.8-3.6 Mt (IEA committed to committed + strong + moderate)? / 1 = problem</t>
  </si>
  <si>
    <t>For reference: 2030 world import demand, Mt H2</t>
  </si>
  <si>
    <t>For reference: 2050 U.S. BAU exports, Mt H2</t>
  </si>
  <si>
    <t>BTU per year (below: grade / right: year)</t>
  </si>
  <si>
    <t>green hydrogen exports</t>
  </si>
  <si>
    <t>low carbon hydrogen exports</t>
  </si>
  <si>
    <t>Parameter</t>
  </si>
  <si>
    <t>Value</t>
  </si>
  <si>
    <t>Hydrogen Export Price Elasticity (dimensionless)</t>
  </si>
  <si>
    <t>Hydrogen Export Response Time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</si>
</sst>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sz val="11"/>
      <name val="Calibri"/>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2" fillId="0" borderId="0" xfId="0" applyFont="1" applyAlignment="1">
      <alignment horizontal="lef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jera.co.jp/en/news/information/20251219_2329" TargetMode="External"/><Relationship Id="rId2" Type="http://schemas.openxmlformats.org/officeDocument/2006/relationships/hyperlink" Target="https://www.eca.europa.eu/ECAPublications/SR-2024-11/SR-2024-11_EN.pdf" TargetMode="External"/><Relationship Id="rId1" Type="http://schemas.openxmlformats.org/officeDocument/2006/relationships/hyperlink" Target="https://www.iea.org/reports/global-hydrogen-review-2025" TargetMode="External"/><Relationship Id="rId6" Type="http://schemas.openxmlformats.org/officeDocument/2006/relationships/hyperlink" Target="https://github.com/EnergyInnovation/eps-us" TargetMode="External"/><Relationship Id="rId5" Type="http://schemas.openxmlformats.org/officeDocument/2006/relationships/hyperlink" Target="https://github.com/EnergyInnovation/eps-us" TargetMode="External"/><Relationship Id="rId4" Type="http://schemas.openxmlformats.org/officeDocument/2006/relationships/hyperlink" Target="https://www.sec.gov/Archives/edgar/data/0001324404/000132440426000019/cf-20260630.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abSelected="1" workbookViewId="0"/>
  </sheetViews>
  <sheetFormatPr defaultRowHeight="15" x14ac:dyDescent="0.25"/>
  <cols>
    <col min="1" max="1" width="16" customWidth="1"/>
    <col min="2" max="2" width="110" customWidth="1"/>
  </cols>
  <sheetData>
    <row r="1" spans="1:2" x14ac:dyDescent="0.25">
      <c r="A1" s="1" t="s">
        <v>0</v>
      </c>
    </row>
    <row r="3" spans="1:2" x14ac:dyDescent="0.25">
      <c r="A3" s="1" t="s">
        <v>1</v>
      </c>
      <c r="B3" s="2" t="s">
        <v>2</v>
      </c>
    </row>
    <row r="4" spans="1:2" x14ac:dyDescent="0.25">
      <c r="B4" s="3" t="s">
        <v>3</v>
      </c>
    </row>
    <row r="5" spans="1:2" x14ac:dyDescent="0.25">
      <c r="B5" s="3" t="s">
        <v>4</v>
      </c>
    </row>
    <row r="6" spans="1:2" x14ac:dyDescent="0.25">
      <c r="B6" s="3">
        <v>2025</v>
      </c>
    </row>
    <row r="7" spans="1:2" x14ac:dyDescent="0.25">
      <c r="B7" s="4" t="s">
        <v>5</v>
      </c>
    </row>
    <row r="8" spans="1:2" ht="60" x14ac:dyDescent="0.25">
      <c r="B8" s="3" t="s">
        <v>6</v>
      </c>
    </row>
    <row r="10" spans="1:2" x14ac:dyDescent="0.25">
      <c r="B10" s="2" t="s">
        <v>7</v>
      </c>
    </row>
    <row r="11" spans="1:2" x14ac:dyDescent="0.25">
      <c r="B11" s="3" t="s">
        <v>8</v>
      </c>
    </row>
    <row r="12" spans="1:2" x14ac:dyDescent="0.25">
      <c r="B12" s="3" t="s">
        <v>9</v>
      </c>
    </row>
    <row r="13" spans="1:2" x14ac:dyDescent="0.25">
      <c r="B13" s="3">
        <v>2024</v>
      </c>
    </row>
    <row r="14" spans="1:2" x14ac:dyDescent="0.25">
      <c r="B14" s="4" t="s">
        <v>10</v>
      </c>
    </row>
    <row r="15" spans="1:2" ht="30" x14ac:dyDescent="0.25">
      <c r="B15" s="3" t="s">
        <v>11</v>
      </c>
    </row>
    <row r="17" spans="2:2" x14ac:dyDescent="0.25">
      <c r="B17" s="2" t="s">
        <v>12</v>
      </c>
    </row>
    <row r="18" spans="2:2" x14ac:dyDescent="0.25">
      <c r="B18" s="3" t="s">
        <v>13</v>
      </c>
    </row>
    <row r="19" spans="2:2" x14ac:dyDescent="0.25">
      <c r="B19" s="3" t="s">
        <v>14</v>
      </c>
    </row>
    <row r="20" spans="2:2" x14ac:dyDescent="0.25">
      <c r="B20" s="3">
        <v>2025</v>
      </c>
    </row>
    <row r="21" spans="2:2" x14ac:dyDescent="0.25">
      <c r="B21" s="4" t="s">
        <v>15</v>
      </c>
    </row>
    <row r="22" spans="2:2" ht="30" x14ac:dyDescent="0.25">
      <c r="B22" s="3" t="s">
        <v>16</v>
      </c>
    </row>
    <row r="24" spans="2:2" x14ac:dyDescent="0.25">
      <c r="B24" s="2" t="s">
        <v>17</v>
      </c>
    </row>
    <row r="25" spans="2:2" x14ac:dyDescent="0.25">
      <c r="B25" s="3" t="s">
        <v>18</v>
      </c>
    </row>
    <row r="26" spans="2:2" x14ac:dyDescent="0.25">
      <c r="B26" s="3" t="s">
        <v>19</v>
      </c>
    </row>
    <row r="27" spans="2:2" x14ac:dyDescent="0.25">
      <c r="B27" s="3">
        <v>2026</v>
      </c>
    </row>
    <row r="28" spans="2:2" x14ac:dyDescent="0.25">
      <c r="B28" s="4" t="s">
        <v>20</v>
      </c>
    </row>
    <row r="29" spans="2:2" ht="45" x14ac:dyDescent="0.25">
      <c r="B29" s="3" t="s">
        <v>21</v>
      </c>
    </row>
    <row r="31" spans="2:2" x14ac:dyDescent="0.25">
      <c r="B31" s="2" t="s">
        <v>22</v>
      </c>
    </row>
    <row r="32" spans="2:2" x14ac:dyDescent="0.25">
      <c r="B32" s="3" t="s">
        <v>23</v>
      </c>
    </row>
    <row r="33" spans="1:2" x14ac:dyDescent="0.25">
      <c r="B33" s="3" t="s">
        <v>24</v>
      </c>
    </row>
    <row r="34" spans="1:2" x14ac:dyDescent="0.25">
      <c r="B34" s="3">
        <v>2026</v>
      </c>
    </row>
    <row r="35" spans="1:2" x14ac:dyDescent="0.25">
      <c r="B35" s="4" t="s">
        <v>25</v>
      </c>
    </row>
    <row r="36" spans="1:2" ht="30" x14ac:dyDescent="0.25">
      <c r="B36" s="3" t="s">
        <v>26</v>
      </c>
    </row>
    <row r="38" spans="1:2" x14ac:dyDescent="0.25">
      <c r="B38" s="2" t="s">
        <v>27</v>
      </c>
    </row>
    <row r="39" spans="1:2" x14ac:dyDescent="0.25">
      <c r="B39" s="3" t="s">
        <v>23</v>
      </c>
    </row>
    <row r="40" spans="1:2" x14ac:dyDescent="0.25">
      <c r="B40" s="3" t="s">
        <v>28</v>
      </c>
    </row>
    <row r="41" spans="1:2" x14ac:dyDescent="0.25">
      <c r="B41" s="3">
        <v>2026</v>
      </c>
    </row>
    <row r="42" spans="1:2" x14ac:dyDescent="0.25">
      <c r="B42" s="4" t="s">
        <v>25</v>
      </c>
    </row>
    <row r="43" spans="1:2" ht="30" x14ac:dyDescent="0.25">
      <c r="B43" s="3" t="s">
        <v>29</v>
      </c>
    </row>
    <row r="46" spans="1:2" x14ac:dyDescent="0.25">
      <c r="A46" s="1" t="s">
        <v>30</v>
      </c>
    </row>
    <row r="47" spans="1:2" ht="90" x14ac:dyDescent="0.25">
      <c r="A47" s="1" t="s">
        <v>31</v>
      </c>
      <c r="B47" s="3" t="s">
        <v>32</v>
      </c>
    </row>
    <row r="48" spans="1:2" ht="45" x14ac:dyDescent="0.25">
      <c r="A48" s="1" t="s">
        <v>33</v>
      </c>
      <c r="B48" s="3" t="s">
        <v>34</v>
      </c>
    </row>
    <row r="49" spans="1:2" ht="105" x14ac:dyDescent="0.25">
      <c r="A49" s="1" t="s">
        <v>35</v>
      </c>
      <c r="B49" s="3" t="s">
        <v>36</v>
      </c>
    </row>
    <row r="50" spans="1:2" ht="105" x14ac:dyDescent="0.25">
      <c r="A50" s="1" t="s">
        <v>37</v>
      </c>
      <c r="B50" s="3" t="s">
        <v>38</v>
      </c>
    </row>
    <row r="51" spans="1:2" ht="30" x14ac:dyDescent="0.25">
      <c r="A51" s="1" t="s">
        <v>39</v>
      </c>
      <c r="B51" s="3" t="s">
        <v>40</v>
      </c>
    </row>
    <row r="52" spans="1:2" ht="30" x14ac:dyDescent="0.25">
      <c r="A52" s="1" t="s">
        <v>41</v>
      </c>
      <c r="B52" s="3" t="s">
        <v>42</v>
      </c>
    </row>
    <row r="53" spans="1:2" ht="45" x14ac:dyDescent="0.25">
      <c r="A53" s="1" t="s">
        <v>43</v>
      </c>
      <c r="B53" s="3" t="s">
        <v>44</v>
      </c>
    </row>
  </sheetData>
  <hyperlinks>
    <hyperlink ref="B7" r:id="rId1" xr:uid="{00000000-0004-0000-0000-000000000000}"/>
    <hyperlink ref="B14" r:id="rId2" xr:uid="{00000000-0004-0000-0000-000001000000}"/>
    <hyperlink ref="B21" r:id="rId3" xr:uid="{00000000-0004-0000-0000-000002000000}"/>
    <hyperlink ref="B28" r:id="rId4" xr:uid="{00000000-0004-0000-0000-000003000000}"/>
    <hyperlink ref="B35" r:id="rId5" xr:uid="{00000000-0004-0000-0000-000004000000}"/>
    <hyperlink ref="B42" r:id="rId6"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workbookViewId="0"/>
  </sheetViews>
  <sheetFormatPr defaultRowHeight="15" x14ac:dyDescent="0.25"/>
  <cols>
    <col min="1" max="1" width="62" customWidth="1"/>
  </cols>
  <sheetData>
    <row r="1" spans="1:8" x14ac:dyDescent="0.25">
      <c r="A1" s="1" t="s">
        <v>45</v>
      </c>
    </row>
    <row r="3" spans="1:8" x14ac:dyDescent="0.25">
      <c r="A3" s="1" t="s">
        <v>46</v>
      </c>
    </row>
    <row r="4" spans="1:8" x14ac:dyDescent="0.25">
      <c r="A4" t="s">
        <v>47</v>
      </c>
      <c r="B4" s="1">
        <v>2021</v>
      </c>
      <c r="C4" s="1">
        <v>2025</v>
      </c>
      <c r="D4" s="1">
        <v>2027</v>
      </c>
      <c r="E4" s="1">
        <v>2030</v>
      </c>
      <c r="F4" s="1">
        <v>2035</v>
      </c>
      <c r="G4" s="1">
        <v>2040</v>
      </c>
      <c r="H4" s="1">
        <v>2050</v>
      </c>
    </row>
    <row r="5" spans="1:8" x14ac:dyDescent="0.25">
      <c r="A5" t="s">
        <v>48</v>
      </c>
      <c r="B5">
        <v>0</v>
      </c>
      <c r="C5">
        <v>0</v>
      </c>
      <c r="D5">
        <v>0.1</v>
      </c>
      <c r="E5">
        <v>1</v>
      </c>
      <c r="F5">
        <v>3</v>
      </c>
      <c r="G5">
        <v>6</v>
      </c>
      <c r="H5">
        <v>18</v>
      </c>
    </row>
    <row r="6" spans="1:8" x14ac:dyDescent="0.25">
      <c r="A6" t="s">
        <v>49</v>
      </c>
      <c r="B6">
        <v>0</v>
      </c>
      <c r="C6">
        <v>0</v>
      </c>
      <c r="D6">
        <v>0.05</v>
      </c>
      <c r="E6">
        <v>1</v>
      </c>
      <c r="F6">
        <v>2.5</v>
      </c>
      <c r="G6">
        <v>5</v>
      </c>
      <c r="H6">
        <v>12</v>
      </c>
    </row>
    <row r="8" spans="1:8" x14ac:dyDescent="0.25">
      <c r="A8" s="1" t="s">
        <v>50</v>
      </c>
    </row>
    <row r="9" spans="1:8" x14ac:dyDescent="0.25">
      <c r="A9" t="s">
        <v>51</v>
      </c>
      <c r="B9">
        <v>1.4</v>
      </c>
    </row>
    <row r="10" spans="1:8" x14ac:dyDescent="0.25">
      <c r="A10" t="s">
        <v>52</v>
      </c>
      <c r="B10">
        <f>3*1.00794/(14.0067+3*1.00794)</f>
        <v>0.17755300484072126</v>
      </c>
    </row>
    <row r="11" spans="1:8" x14ac:dyDescent="0.25">
      <c r="A11" t="s">
        <v>53</v>
      </c>
      <c r="B11">
        <v>2029</v>
      </c>
    </row>
    <row r="12" spans="1:8" x14ac:dyDescent="0.25">
      <c r="A12" t="s">
        <v>54</v>
      </c>
      <c r="B12">
        <v>0.5</v>
      </c>
    </row>
    <row r="13" spans="1:8" x14ac:dyDescent="0.25">
      <c r="A13" t="s">
        <v>55</v>
      </c>
      <c r="B13">
        <f>B9*B10</f>
        <v>0.24857420677700975</v>
      </c>
    </row>
    <row r="15" spans="1:8" x14ac:dyDescent="0.25">
      <c r="A15" s="1" t="s">
        <v>56</v>
      </c>
    </row>
    <row r="16" spans="1:8" x14ac:dyDescent="0.25">
      <c r="A16" t="s">
        <v>57</v>
      </c>
      <c r="B16">
        <v>0.01</v>
      </c>
    </row>
    <row r="17" spans="1:2" x14ac:dyDescent="0.25">
      <c r="A17" t="s">
        <v>58</v>
      </c>
      <c r="B17">
        <f>B13/INDEX(B6:H6,MATCH(2030,B4:H4,0))</f>
        <v>0.24857420677700975</v>
      </c>
    </row>
    <row r="18" spans="1:2" x14ac:dyDescent="0.25">
      <c r="A18" t="s">
        <v>59</v>
      </c>
      <c r="B18">
        <v>0.15</v>
      </c>
    </row>
    <row r="20" spans="1:2" x14ac:dyDescent="0.25">
      <c r="A20" s="1" t="s">
        <v>60</v>
      </c>
    </row>
    <row r="21" spans="1:2" x14ac:dyDescent="0.25">
      <c r="A21" t="s">
        <v>61</v>
      </c>
      <c r="B21">
        <v>134511000000000</v>
      </c>
    </row>
    <row r="22" spans="1:2" x14ac:dyDescent="0.25">
      <c r="A22" t="s">
        <v>62</v>
      </c>
      <c r="B22">
        <v>2.4</v>
      </c>
    </row>
    <row r="23" spans="1:2" x14ac:dyDescent="0.25">
      <c r="A23" t="s">
        <v>63</v>
      </c>
      <c r="B23">
        <v>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2"/>
  <sheetViews>
    <sheetView workbookViewId="0"/>
  </sheetViews>
  <sheetFormatPr defaultRowHeight="15" x14ac:dyDescent="0.25"/>
  <cols>
    <col min="1" max="1" width="58" customWidth="1"/>
  </cols>
  <sheetData>
    <row r="1" spans="1:31" x14ac:dyDescent="0.25">
      <c r="A1" s="1" t="s">
        <v>64</v>
      </c>
    </row>
    <row r="2" spans="1:31" x14ac:dyDescent="0.25">
      <c r="A2" t="s">
        <v>65</v>
      </c>
    </row>
    <row r="4" spans="1:31" x14ac:dyDescent="0.25">
      <c r="A4" s="1" t="s">
        <v>47</v>
      </c>
      <c r="B4" s="1">
        <v>2021</v>
      </c>
      <c r="C4" s="1">
        <v>2022</v>
      </c>
      <c r="D4" s="1">
        <v>2023</v>
      </c>
      <c r="E4" s="1">
        <v>2024</v>
      </c>
      <c r="F4" s="1">
        <v>2025</v>
      </c>
      <c r="G4" s="1">
        <v>2026</v>
      </c>
      <c r="H4" s="1">
        <v>2027</v>
      </c>
      <c r="I4" s="1">
        <v>2028</v>
      </c>
      <c r="J4" s="1">
        <v>2029</v>
      </c>
      <c r="K4" s="1">
        <v>2030</v>
      </c>
      <c r="L4" s="1">
        <v>2031</v>
      </c>
      <c r="M4" s="1">
        <v>2032</v>
      </c>
      <c r="N4" s="1">
        <v>2033</v>
      </c>
      <c r="O4" s="1">
        <v>2034</v>
      </c>
      <c r="P4" s="1">
        <v>2035</v>
      </c>
      <c r="Q4" s="1">
        <v>2036</v>
      </c>
      <c r="R4" s="1">
        <v>2037</v>
      </c>
      <c r="S4" s="1">
        <v>2038</v>
      </c>
      <c r="T4" s="1">
        <v>2039</v>
      </c>
      <c r="U4" s="1">
        <v>2040</v>
      </c>
      <c r="V4" s="1">
        <v>2041</v>
      </c>
      <c r="W4" s="1">
        <v>2042</v>
      </c>
      <c r="X4" s="1">
        <v>2043</v>
      </c>
      <c r="Y4" s="1">
        <v>2044</v>
      </c>
      <c r="Z4" s="1">
        <v>2045</v>
      </c>
      <c r="AA4" s="1">
        <v>2046</v>
      </c>
      <c r="AB4" s="1">
        <v>2047</v>
      </c>
      <c r="AC4" s="1">
        <v>2048</v>
      </c>
      <c r="AD4" s="1">
        <v>2049</v>
      </c>
      <c r="AE4" s="1">
        <v>2050</v>
      </c>
    </row>
    <row r="5" spans="1:31" x14ac:dyDescent="0.25">
      <c r="A5" s="5" t="s">
        <v>66</v>
      </c>
      <c r="B5">
        <f>MIN(MATCH(B4,Assumptions!$B$4:$H$4,1),6)</f>
        <v>1</v>
      </c>
      <c r="C5">
        <f>MIN(MATCH(C4,Assumptions!$B$4:$H$4,1),6)</f>
        <v>1</v>
      </c>
      <c r="D5">
        <f>MIN(MATCH(D4,Assumptions!$B$4:$H$4,1),6)</f>
        <v>1</v>
      </c>
      <c r="E5">
        <f>MIN(MATCH(E4,Assumptions!$B$4:$H$4,1),6)</f>
        <v>1</v>
      </c>
      <c r="F5">
        <f>MIN(MATCH(F4,Assumptions!$B$4:$H$4,1),6)</f>
        <v>2</v>
      </c>
      <c r="G5">
        <f>MIN(MATCH(G4,Assumptions!$B$4:$H$4,1),6)</f>
        <v>2</v>
      </c>
      <c r="H5">
        <f>MIN(MATCH(H4,Assumptions!$B$4:$H$4,1),6)</f>
        <v>3</v>
      </c>
      <c r="I5">
        <f>MIN(MATCH(I4,Assumptions!$B$4:$H$4,1),6)</f>
        <v>3</v>
      </c>
      <c r="J5">
        <f>MIN(MATCH(J4,Assumptions!$B$4:$H$4,1),6)</f>
        <v>3</v>
      </c>
      <c r="K5">
        <f>MIN(MATCH(K4,Assumptions!$B$4:$H$4,1),6)</f>
        <v>4</v>
      </c>
      <c r="L5">
        <f>MIN(MATCH(L4,Assumptions!$B$4:$H$4,1),6)</f>
        <v>4</v>
      </c>
      <c r="M5">
        <f>MIN(MATCH(M4,Assumptions!$B$4:$H$4,1),6)</f>
        <v>4</v>
      </c>
      <c r="N5">
        <f>MIN(MATCH(N4,Assumptions!$B$4:$H$4,1),6)</f>
        <v>4</v>
      </c>
      <c r="O5">
        <f>MIN(MATCH(O4,Assumptions!$B$4:$H$4,1),6)</f>
        <v>4</v>
      </c>
      <c r="P5">
        <f>MIN(MATCH(P4,Assumptions!$B$4:$H$4,1),6)</f>
        <v>5</v>
      </c>
      <c r="Q5">
        <f>MIN(MATCH(Q4,Assumptions!$B$4:$H$4,1),6)</f>
        <v>5</v>
      </c>
      <c r="R5">
        <f>MIN(MATCH(R4,Assumptions!$B$4:$H$4,1),6)</f>
        <v>5</v>
      </c>
      <c r="S5">
        <f>MIN(MATCH(S4,Assumptions!$B$4:$H$4,1),6)</f>
        <v>5</v>
      </c>
      <c r="T5">
        <f>MIN(MATCH(T4,Assumptions!$B$4:$H$4,1),6)</f>
        <v>5</v>
      </c>
      <c r="U5">
        <f>MIN(MATCH(U4,Assumptions!$B$4:$H$4,1),6)</f>
        <v>6</v>
      </c>
      <c r="V5">
        <f>MIN(MATCH(V4,Assumptions!$B$4:$H$4,1),6)</f>
        <v>6</v>
      </c>
      <c r="W5">
        <f>MIN(MATCH(W4,Assumptions!$B$4:$H$4,1),6)</f>
        <v>6</v>
      </c>
      <c r="X5">
        <f>MIN(MATCH(X4,Assumptions!$B$4:$H$4,1),6)</f>
        <v>6</v>
      </c>
      <c r="Y5">
        <f>MIN(MATCH(Y4,Assumptions!$B$4:$H$4,1),6)</f>
        <v>6</v>
      </c>
      <c r="Z5">
        <f>MIN(MATCH(Z4,Assumptions!$B$4:$H$4,1),6)</f>
        <v>6</v>
      </c>
      <c r="AA5">
        <f>MIN(MATCH(AA4,Assumptions!$B$4:$H$4,1),6)</f>
        <v>6</v>
      </c>
      <c r="AB5">
        <f>MIN(MATCH(AB4,Assumptions!$B$4:$H$4,1),6)</f>
        <v>6</v>
      </c>
      <c r="AC5">
        <f>MIN(MATCH(AC4,Assumptions!$B$4:$H$4,1),6)</f>
        <v>6</v>
      </c>
      <c r="AD5">
        <f>MIN(MATCH(AD4,Assumptions!$B$4:$H$4,1),6)</f>
        <v>6</v>
      </c>
      <c r="AE5">
        <f>MIN(MATCH(AE4,Assumptions!$B$4:$H$4,1),6)</f>
        <v>6</v>
      </c>
    </row>
    <row r="6" spans="1:31" x14ac:dyDescent="0.25">
      <c r="A6" s="5" t="s">
        <v>67</v>
      </c>
      <c r="B6">
        <f>INDEX(Assumptions!$B$5:$H$5,B5)+(B4-INDEX(Assumptions!$B$4:$H$4,B5))*(INDEX(Assumptions!$B$5:$H$5,B5+1)-INDEX(Assumptions!$B$5:$H$5,B5))/(INDEX(Assumptions!$B$4:$H$4,B5+1)-INDEX(Assumptions!$B$4:$H$4,B5))</f>
        <v>0</v>
      </c>
      <c r="C6">
        <f>INDEX(Assumptions!$B$5:$H$5,C5)+(C4-INDEX(Assumptions!$B$4:$H$4,C5))*(INDEX(Assumptions!$B$5:$H$5,C5+1)-INDEX(Assumptions!$B$5:$H$5,C5))/(INDEX(Assumptions!$B$4:$H$4,C5+1)-INDEX(Assumptions!$B$4:$H$4,C5))</f>
        <v>0</v>
      </c>
      <c r="D6">
        <f>INDEX(Assumptions!$B$5:$H$5,D5)+(D4-INDEX(Assumptions!$B$4:$H$4,D5))*(INDEX(Assumptions!$B$5:$H$5,D5+1)-INDEX(Assumptions!$B$5:$H$5,D5))/(INDEX(Assumptions!$B$4:$H$4,D5+1)-INDEX(Assumptions!$B$4:$H$4,D5))</f>
        <v>0</v>
      </c>
      <c r="E6">
        <f>INDEX(Assumptions!$B$5:$H$5,E5)+(E4-INDEX(Assumptions!$B$4:$H$4,E5))*(INDEX(Assumptions!$B$5:$H$5,E5+1)-INDEX(Assumptions!$B$5:$H$5,E5))/(INDEX(Assumptions!$B$4:$H$4,E5+1)-INDEX(Assumptions!$B$4:$H$4,E5))</f>
        <v>0</v>
      </c>
      <c r="F6">
        <f>INDEX(Assumptions!$B$5:$H$5,F5)+(F4-INDEX(Assumptions!$B$4:$H$4,F5))*(INDEX(Assumptions!$B$5:$H$5,F5+1)-INDEX(Assumptions!$B$5:$H$5,F5))/(INDEX(Assumptions!$B$4:$H$4,F5+1)-INDEX(Assumptions!$B$4:$H$4,F5))</f>
        <v>0</v>
      </c>
      <c r="G6">
        <f>INDEX(Assumptions!$B$5:$H$5,G5)+(G4-INDEX(Assumptions!$B$4:$H$4,G5))*(INDEX(Assumptions!$B$5:$H$5,G5+1)-INDEX(Assumptions!$B$5:$H$5,G5))/(INDEX(Assumptions!$B$4:$H$4,G5+1)-INDEX(Assumptions!$B$4:$H$4,G5))</f>
        <v>0.05</v>
      </c>
      <c r="H6">
        <f>INDEX(Assumptions!$B$5:$H$5,H5)+(H4-INDEX(Assumptions!$B$4:$H$4,H5))*(INDEX(Assumptions!$B$5:$H$5,H5+1)-INDEX(Assumptions!$B$5:$H$5,H5))/(INDEX(Assumptions!$B$4:$H$4,H5+1)-INDEX(Assumptions!$B$4:$H$4,H5))</f>
        <v>0.1</v>
      </c>
      <c r="I6">
        <f>INDEX(Assumptions!$B$5:$H$5,I5)+(I4-INDEX(Assumptions!$B$4:$H$4,I5))*(INDEX(Assumptions!$B$5:$H$5,I5+1)-INDEX(Assumptions!$B$5:$H$5,I5))/(INDEX(Assumptions!$B$4:$H$4,I5+1)-INDEX(Assumptions!$B$4:$H$4,I5))</f>
        <v>0.4</v>
      </c>
      <c r="J6">
        <f>INDEX(Assumptions!$B$5:$H$5,J5)+(J4-INDEX(Assumptions!$B$4:$H$4,J5))*(INDEX(Assumptions!$B$5:$H$5,J5+1)-INDEX(Assumptions!$B$5:$H$5,J5))/(INDEX(Assumptions!$B$4:$H$4,J5+1)-INDEX(Assumptions!$B$4:$H$4,J5))</f>
        <v>0.7</v>
      </c>
      <c r="K6">
        <f>INDEX(Assumptions!$B$5:$H$5,K5)+(K4-INDEX(Assumptions!$B$4:$H$4,K5))*(INDEX(Assumptions!$B$5:$H$5,K5+1)-INDEX(Assumptions!$B$5:$H$5,K5))/(INDEX(Assumptions!$B$4:$H$4,K5+1)-INDEX(Assumptions!$B$4:$H$4,K5))</f>
        <v>1</v>
      </c>
      <c r="L6">
        <f>INDEX(Assumptions!$B$5:$H$5,L5)+(L4-INDEX(Assumptions!$B$4:$H$4,L5))*(INDEX(Assumptions!$B$5:$H$5,L5+1)-INDEX(Assumptions!$B$5:$H$5,L5))/(INDEX(Assumptions!$B$4:$H$4,L5+1)-INDEX(Assumptions!$B$4:$H$4,L5))</f>
        <v>1.4</v>
      </c>
      <c r="M6">
        <f>INDEX(Assumptions!$B$5:$H$5,M5)+(M4-INDEX(Assumptions!$B$4:$H$4,M5))*(INDEX(Assumptions!$B$5:$H$5,M5+1)-INDEX(Assumptions!$B$5:$H$5,M5))/(INDEX(Assumptions!$B$4:$H$4,M5+1)-INDEX(Assumptions!$B$4:$H$4,M5))</f>
        <v>1.8</v>
      </c>
      <c r="N6">
        <f>INDEX(Assumptions!$B$5:$H$5,N5)+(N4-INDEX(Assumptions!$B$4:$H$4,N5))*(INDEX(Assumptions!$B$5:$H$5,N5+1)-INDEX(Assumptions!$B$5:$H$5,N5))/(INDEX(Assumptions!$B$4:$H$4,N5+1)-INDEX(Assumptions!$B$4:$H$4,N5))</f>
        <v>2.2000000000000002</v>
      </c>
      <c r="O6">
        <f>INDEX(Assumptions!$B$5:$H$5,O5)+(O4-INDEX(Assumptions!$B$4:$H$4,O5))*(INDEX(Assumptions!$B$5:$H$5,O5+1)-INDEX(Assumptions!$B$5:$H$5,O5))/(INDEX(Assumptions!$B$4:$H$4,O5+1)-INDEX(Assumptions!$B$4:$H$4,O5))</f>
        <v>2.6</v>
      </c>
      <c r="P6">
        <f>INDEX(Assumptions!$B$5:$H$5,P5)+(P4-INDEX(Assumptions!$B$4:$H$4,P5))*(INDEX(Assumptions!$B$5:$H$5,P5+1)-INDEX(Assumptions!$B$5:$H$5,P5))/(INDEX(Assumptions!$B$4:$H$4,P5+1)-INDEX(Assumptions!$B$4:$H$4,P5))</f>
        <v>3</v>
      </c>
      <c r="Q6">
        <f>INDEX(Assumptions!$B$5:$H$5,Q5)+(Q4-INDEX(Assumptions!$B$4:$H$4,Q5))*(INDEX(Assumptions!$B$5:$H$5,Q5+1)-INDEX(Assumptions!$B$5:$H$5,Q5))/(INDEX(Assumptions!$B$4:$H$4,Q5+1)-INDEX(Assumptions!$B$4:$H$4,Q5))</f>
        <v>3.6</v>
      </c>
      <c r="R6">
        <f>INDEX(Assumptions!$B$5:$H$5,R5)+(R4-INDEX(Assumptions!$B$4:$H$4,R5))*(INDEX(Assumptions!$B$5:$H$5,R5+1)-INDEX(Assumptions!$B$5:$H$5,R5))/(INDEX(Assumptions!$B$4:$H$4,R5+1)-INDEX(Assumptions!$B$4:$H$4,R5))</f>
        <v>4.2</v>
      </c>
      <c r="S6">
        <f>INDEX(Assumptions!$B$5:$H$5,S5)+(S4-INDEX(Assumptions!$B$4:$H$4,S5))*(INDEX(Assumptions!$B$5:$H$5,S5+1)-INDEX(Assumptions!$B$5:$H$5,S5))/(INDEX(Assumptions!$B$4:$H$4,S5+1)-INDEX(Assumptions!$B$4:$H$4,S5))</f>
        <v>4.8</v>
      </c>
      <c r="T6">
        <f>INDEX(Assumptions!$B$5:$H$5,T5)+(T4-INDEX(Assumptions!$B$4:$H$4,T5))*(INDEX(Assumptions!$B$5:$H$5,T5+1)-INDEX(Assumptions!$B$5:$H$5,T5))/(INDEX(Assumptions!$B$4:$H$4,T5+1)-INDEX(Assumptions!$B$4:$H$4,T5))</f>
        <v>5.4</v>
      </c>
      <c r="U6">
        <f>INDEX(Assumptions!$B$5:$H$5,U5)+(U4-INDEX(Assumptions!$B$4:$H$4,U5))*(INDEX(Assumptions!$B$5:$H$5,U5+1)-INDEX(Assumptions!$B$5:$H$5,U5))/(INDEX(Assumptions!$B$4:$H$4,U5+1)-INDEX(Assumptions!$B$4:$H$4,U5))</f>
        <v>6</v>
      </c>
      <c r="V6">
        <f>INDEX(Assumptions!$B$5:$H$5,V5)+(V4-INDEX(Assumptions!$B$4:$H$4,V5))*(INDEX(Assumptions!$B$5:$H$5,V5+1)-INDEX(Assumptions!$B$5:$H$5,V5))/(INDEX(Assumptions!$B$4:$H$4,V5+1)-INDEX(Assumptions!$B$4:$H$4,V5))</f>
        <v>7.2</v>
      </c>
      <c r="W6">
        <f>INDEX(Assumptions!$B$5:$H$5,W5)+(W4-INDEX(Assumptions!$B$4:$H$4,W5))*(INDEX(Assumptions!$B$5:$H$5,W5+1)-INDEX(Assumptions!$B$5:$H$5,W5))/(INDEX(Assumptions!$B$4:$H$4,W5+1)-INDEX(Assumptions!$B$4:$H$4,W5))</f>
        <v>8.4</v>
      </c>
      <c r="X6">
        <f>INDEX(Assumptions!$B$5:$H$5,X5)+(X4-INDEX(Assumptions!$B$4:$H$4,X5))*(INDEX(Assumptions!$B$5:$H$5,X5+1)-INDEX(Assumptions!$B$5:$H$5,X5))/(INDEX(Assumptions!$B$4:$H$4,X5+1)-INDEX(Assumptions!$B$4:$H$4,X5))</f>
        <v>9.6</v>
      </c>
      <c r="Y6">
        <f>INDEX(Assumptions!$B$5:$H$5,Y5)+(Y4-INDEX(Assumptions!$B$4:$H$4,Y5))*(INDEX(Assumptions!$B$5:$H$5,Y5+1)-INDEX(Assumptions!$B$5:$H$5,Y5))/(INDEX(Assumptions!$B$4:$H$4,Y5+1)-INDEX(Assumptions!$B$4:$H$4,Y5))</f>
        <v>10.8</v>
      </c>
      <c r="Z6">
        <f>INDEX(Assumptions!$B$5:$H$5,Z5)+(Z4-INDEX(Assumptions!$B$4:$H$4,Z5))*(INDEX(Assumptions!$B$5:$H$5,Z5+1)-INDEX(Assumptions!$B$5:$H$5,Z5))/(INDEX(Assumptions!$B$4:$H$4,Z5+1)-INDEX(Assumptions!$B$4:$H$4,Z5))</f>
        <v>12</v>
      </c>
      <c r="AA6">
        <f>INDEX(Assumptions!$B$5:$H$5,AA5)+(AA4-INDEX(Assumptions!$B$4:$H$4,AA5))*(INDEX(Assumptions!$B$5:$H$5,AA5+1)-INDEX(Assumptions!$B$5:$H$5,AA5))/(INDEX(Assumptions!$B$4:$H$4,AA5+1)-INDEX(Assumptions!$B$4:$H$4,AA5))</f>
        <v>13.2</v>
      </c>
      <c r="AB6">
        <f>INDEX(Assumptions!$B$5:$H$5,AB5)+(AB4-INDEX(Assumptions!$B$4:$H$4,AB5))*(INDEX(Assumptions!$B$5:$H$5,AB5+1)-INDEX(Assumptions!$B$5:$H$5,AB5))/(INDEX(Assumptions!$B$4:$H$4,AB5+1)-INDEX(Assumptions!$B$4:$H$4,AB5))</f>
        <v>14.4</v>
      </c>
      <c r="AC6">
        <f>INDEX(Assumptions!$B$5:$H$5,AC5)+(AC4-INDEX(Assumptions!$B$4:$H$4,AC5))*(INDEX(Assumptions!$B$5:$H$5,AC5+1)-INDEX(Assumptions!$B$5:$H$5,AC5))/(INDEX(Assumptions!$B$4:$H$4,AC5+1)-INDEX(Assumptions!$B$4:$H$4,AC5))</f>
        <v>15.6</v>
      </c>
      <c r="AD6">
        <f>INDEX(Assumptions!$B$5:$H$5,AD5)+(AD4-INDEX(Assumptions!$B$4:$H$4,AD5))*(INDEX(Assumptions!$B$5:$H$5,AD5+1)-INDEX(Assumptions!$B$5:$H$5,AD5))/(INDEX(Assumptions!$B$4:$H$4,AD5+1)-INDEX(Assumptions!$B$4:$H$4,AD5))</f>
        <v>16.8</v>
      </c>
      <c r="AE6">
        <f>INDEX(Assumptions!$B$5:$H$5,AE5)+(AE4-INDEX(Assumptions!$B$4:$H$4,AE5))*(INDEX(Assumptions!$B$5:$H$5,AE5+1)-INDEX(Assumptions!$B$5:$H$5,AE5))/(INDEX(Assumptions!$B$4:$H$4,AE5+1)-INDEX(Assumptions!$B$4:$H$4,AE5))</f>
        <v>18</v>
      </c>
    </row>
    <row r="7" spans="1:31" x14ac:dyDescent="0.25">
      <c r="A7" s="5" t="s">
        <v>68</v>
      </c>
      <c r="B7">
        <f>INDEX(Assumptions!$B$6:$H$6,B5)+(B4-INDEX(Assumptions!$B$4:$H$4,B5))*(INDEX(Assumptions!$B$6:$H$6,B5+1)-INDEX(Assumptions!$B$6:$H$6,B5))/(INDEX(Assumptions!$B$4:$H$4,B5+1)-INDEX(Assumptions!$B$4:$H$4,B5))</f>
        <v>0</v>
      </c>
      <c r="C7">
        <f>INDEX(Assumptions!$B$6:$H$6,C5)+(C4-INDEX(Assumptions!$B$4:$H$4,C5))*(INDEX(Assumptions!$B$6:$H$6,C5+1)-INDEX(Assumptions!$B$6:$H$6,C5))/(INDEX(Assumptions!$B$4:$H$4,C5+1)-INDEX(Assumptions!$B$4:$H$4,C5))</f>
        <v>0</v>
      </c>
      <c r="D7">
        <f>INDEX(Assumptions!$B$6:$H$6,D5)+(D4-INDEX(Assumptions!$B$4:$H$4,D5))*(INDEX(Assumptions!$B$6:$H$6,D5+1)-INDEX(Assumptions!$B$6:$H$6,D5))/(INDEX(Assumptions!$B$4:$H$4,D5+1)-INDEX(Assumptions!$B$4:$H$4,D5))</f>
        <v>0</v>
      </c>
      <c r="E7">
        <f>INDEX(Assumptions!$B$6:$H$6,E5)+(E4-INDEX(Assumptions!$B$4:$H$4,E5))*(INDEX(Assumptions!$B$6:$H$6,E5+1)-INDEX(Assumptions!$B$6:$H$6,E5))/(INDEX(Assumptions!$B$4:$H$4,E5+1)-INDEX(Assumptions!$B$4:$H$4,E5))</f>
        <v>0</v>
      </c>
      <c r="F7">
        <f>INDEX(Assumptions!$B$6:$H$6,F5)+(F4-INDEX(Assumptions!$B$4:$H$4,F5))*(INDEX(Assumptions!$B$6:$H$6,F5+1)-INDEX(Assumptions!$B$6:$H$6,F5))/(INDEX(Assumptions!$B$4:$H$4,F5+1)-INDEX(Assumptions!$B$4:$H$4,F5))</f>
        <v>0</v>
      </c>
      <c r="G7">
        <f>INDEX(Assumptions!$B$6:$H$6,G5)+(G4-INDEX(Assumptions!$B$4:$H$4,G5))*(INDEX(Assumptions!$B$6:$H$6,G5+1)-INDEX(Assumptions!$B$6:$H$6,G5))/(INDEX(Assumptions!$B$4:$H$4,G5+1)-INDEX(Assumptions!$B$4:$H$4,G5))</f>
        <v>2.5000000000000001E-2</v>
      </c>
      <c r="H7">
        <f>INDEX(Assumptions!$B$6:$H$6,H5)+(H4-INDEX(Assumptions!$B$4:$H$4,H5))*(INDEX(Assumptions!$B$6:$H$6,H5+1)-INDEX(Assumptions!$B$6:$H$6,H5))/(INDEX(Assumptions!$B$4:$H$4,H5+1)-INDEX(Assumptions!$B$4:$H$4,H5))</f>
        <v>0.05</v>
      </c>
      <c r="I7">
        <f>INDEX(Assumptions!$B$6:$H$6,I5)+(I4-INDEX(Assumptions!$B$4:$H$4,I5))*(INDEX(Assumptions!$B$6:$H$6,I5+1)-INDEX(Assumptions!$B$6:$H$6,I5))/(INDEX(Assumptions!$B$4:$H$4,I5+1)-INDEX(Assumptions!$B$4:$H$4,I5))</f>
        <v>0.36666666666666664</v>
      </c>
      <c r="J7">
        <f>INDEX(Assumptions!$B$6:$H$6,J5)+(J4-INDEX(Assumptions!$B$4:$H$4,J5))*(INDEX(Assumptions!$B$6:$H$6,J5+1)-INDEX(Assumptions!$B$6:$H$6,J5))/(INDEX(Assumptions!$B$4:$H$4,J5+1)-INDEX(Assumptions!$B$4:$H$4,J5))</f>
        <v>0.68333333333333335</v>
      </c>
      <c r="K7">
        <f>INDEX(Assumptions!$B$6:$H$6,K5)+(K4-INDEX(Assumptions!$B$4:$H$4,K5))*(INDEX(Assumptions!$B$6:$H$6,K5+1)-INDEX(Assumptions!$B$6:$H$6,K5))/(INDEX(Assumptions!$B$4:$H$4,K5+1)-INDEX(Assumptions!$B$4:$H$4,K5))</f>
        <v>1</v>
      </c>
      <c r="L7">
        <f>INDEX(Assumptions!$B$6:$H$6,L5)+(L4-INDEX(Assumptions!$B$4:$H$4,L5))*(INDEX(Assumptions!$B$6:$H$6,L5+1)-INDEX(Assumptions!$B$6:$H$6,L5))/(INDEX(Assumptions!$B$4:$H$4,L5+1)-INDEX(Assumptions!$B$4:$H$4,L5))</f>
        <v>1.3</v>
      </c>
      <c r="M7">
        <f>INDEX(Assumptions!$B$6:$H$6,M5)+(M4-INDEX(Assumptions!$B$4:$H$4,M5))*(INDEX(Assumptions!$B$6:$H$6,M5+1)-INDEX(Assumptions!$B$6:$H$6,M5))/(INDEX(Assumptions!$B$4:$H$4,M5+1)-INDEX(Assumptions!$B$4:$H$4,M5))</f>
        <v>1.6</v>
      </c>
      <c r="N7">
        <f>INDEX(Assumptions!$B$6:$H$6,N5)+(N4-INDEX(Assumptions!$B$4:$H$4,N5))*(INDEX(Assumptions!$B$6:$H$6,N5+1)-INDEX(Assumptions!$B$6:$H$6,N5))/(INDEX(Assumptions!$B$4:$H$4,N5+1)-INDEX(Assumptions!$B$4:$H$4,N5))</f>
        <v>1.9</v>
      </c>
      <c r="O7">
        <f>INDEX(Assumptions!$B$6:$H$6,O5)+(O4-INDEX(Assumptions!$B$4:$H$4,O5))*(INDEX(Assumptions!$B$6:$H$6,O5+1)-INDEX(Assumptions!$B$6:$H$6,O5))/(INDEX(Assumptions!$B$4:$H$4,O5+1)-INDEX(Assumptions!$B$4:$H$4,O5))</f>
        <v>2.2000000000000002</v>
      </c>
      <c r="P7">
        <f>INDEX(Assumptions!$B$6:$H$6,P5)+(P4-INDEX(Assumptions!$B$4:$H$4,P5))*(INDEX(Assumptions!$B$6:$H$6,P5+1)-INDEX(Assumptions!$B$6:$H$6,P5))/(INDEX(Assumptions!$B$4:$H$4,P5+1)-INDEX(Assumptions!$B$4:$H$4,P5))</f>
        <v>2.5</v>
      </c>
      <c r="Q7">
        <f>INDEX(Assumptions!$B$6:$H$6,Q5)+(Q4-INDEX(Assumptions!$B$4:$H$4,Q5))*(INDEX(Assumptions!$B$6:$H$6,Q5+1)-INDEX(Assumptions!$B$6:$H$6,Q5))/(INDEX(Assumptions!$B$4:$H$4,Q5+1)-INDEX(Assumptions!$B$4:$H$4,Q5))</f>
        <v>3</v>
      </c>
      <c r="R7">
        <f>INDEX(Assumptions!$B$6:$H$6,R5)+(R4-INDEX(Assumptions!$B$4:$H$4,R5))*(INDEX(Assumptions!$B$6:$H$6,R5+1)-INDEX(Assumptions!$B$6:$H$6,R5))/(INDEX(Assumptions!$B$4:$H$4,R5+1)-INDEX(Assumptions!$B$4:$H$4,R5))</f>
        <v>3.5</v>
      </c>
      <c r="S7">
        <f>INDEX(Assumptions!$B$6:$H$6,S5)+(S4-INDEX(Assumptions!$B$4:$H$4,S5))*(INDEX(Assumptions!$B$6:$H$6,S5+1)-INDEX(Assumptions!$B$6:$H$6,S5))/(INDEX(Assumptions!$B$4:$H$4,S5+1)-INDEX(Assumptions!$B$4:$H$4,S5))</f>
        <v>4</v>
      </c>
      <c r="T7">
        <f>INDEX(Assumptions!$B$6:$H$6,T5)+(T4-INDEX(Assumptions!$B$4:$H$4,T5))*(INDEX(Assumptions!$B$6:$H$6,T5+1)-INDEX(Assumptions!$B$6:$H$6,T5))/(INDEX(Assumptions!$B$4:$H$4,T5+1)-INDEX(Assumptions!$B$4:$H$4,T5))</f>
        <v>4.5</v>
      </c>
      <c r="U7">
        <f>INDEX(Assumptions!$B$6:$H$6,U5)+(U4-INDEX(Assumptions!$B$4:$H$4,U5))*(INDEX(Assumptions!$B$6:$H$6,U5+1)-INDEX(Assumptions!$B$6:$H$6,U5))/(INDEX(Assumptions!$B$4:$H$4,U5+1)-INDEX(Assumptions!$B$4:$H$4,U5))</f>
        <v>5</v>
      </c>
      <c r="V7">
        <f>INDEX(Assumptions!$B$6:$H$6,V5)+(V4-INDEX(Assumptions!$B$4:$H$4,V5))*(INDEX(Assumptions!$B$6:$H$6,V5+1)-INDEX(Assumptions!$B$6:$H$6,V5))/(INDEX(Assumptions!$B$4:$H$4,V5+1)-INDEX(Assumptions!$B$4:$H$4,V5))</f>
        <v>5.7</v>
      </c>
      <c r="W7">
        <f>INDEX(Assumptions!$B$6:$H$6,W5)+(W4-INDEX(Assumptions!$B$4:$H$4,W5))*(INDEX(Assumptions!$B$6:$H$6,W5+1)-INDEX(Assumptions!$B$6:$H$6,W5))/(INDEX(Assumptions!$B$4:$H$4,W5+1)-INDEX(Assumptions!$B$4:$H$4,W5))</f>
        <v>6.4</v>
      </c>
      <c r="X7">
        <f>INDEX(Assumptions!$B$6:$H$6,X5)+(X4-INDEX(Assumptions!$B$4:$H$4,X5))*(INDEX(Assumptions!$B$6:$H$6,X5+1)-INDEX(Assumptions!$B$6:$H$6,X5))/(INDEX(Assumptions!$B$4:$H$4,X5+1)-INDEX(Assumptions!$B$4:$H$4,X5))</f>
        <v>7.1</v>
      </c>
      <c r="Y7">
        <f>INDEX(Assumptions!$B$6:$H$6,Y5)+(Y4-INDEX(Assumptions!$B$4:$H$4,Y5))*(INDEX(Assumptions!$B$6:$H$6,Y5+1)-INDEX(Assumptions!$B$6:$H$6,Y5))/(INDEX(Assumptions!$B$4:$H$4,Y5+1)-INDEX(Assumptions!$B$4:$H$4,Y5))</f>
        <v>7.8</v>
      </c>
      <c r="Z7">
        <f>INDEX(Assumptions!$B$6:$H$6,Z5)+(Z4-INDEX(Assumptions!$B$4:$H$4,Z5))*(INDEX(Assumptions!$B$6:$H$6,Z5+1)-INDEX(Assumptions!$B$6:$H$6,Z5))/(INDEX(Assumptions!$B$4:$H$4,Z5+1)-INDEX(Assumptions!$B$4:$H$4,Z5))</f>
        <v>8.5</v>
      </c>
      <c r="AA7">
        <f>INDEX(Assumptions!$B$6:$H$6,AA5)+(AA4-INDEX(Assumptions!$B$4:$H$4,AA5))*(INDEX(Assumptions!$B$6:$H$6,AA5+1)-INDEX(Assumptions!$B$6:$H$6,AA5))/(INDEX(Assumptions!$B$4:$H$4,AA5+1)-INDEX(Assumptions!$B$4:$H$4,AA5))</f>
        <v>9.1999999999999993</v>
      </c>
      <c r="AB7">
        <f>INDEX(Assumptions!$B$6:$H$6,AB5)+(AB4-INDEX(Assumptions!$B$4:$H$4,AB5))*(INDEX(Assumptions!$B$6:$H$6,AB5+1)-INDEX(Assumptions!$B$6:$H$6,AB5))/(INDEX(Assumptions!$B$4:$H$4,AB5+1)-INDEX(Assumptions!$B$4:$H$4,AB5))</f>
        <v>9.9</v>
      </c>
      <c r="AC7">
        <f>INDEX(Assumptions!$B$6:$H$6,AC5)+(AC4-INDEX(Assumptions!$B$4:$H$4,AC5))*(INDEX(Assumptions!$B$6:$H$6,AC5+1)-INDEX(Assumptions!$B$6:$H$6,AC5))/(INDEX(Assumptions!$B$4:$H$4,AC5+1)-INDEX(Assumptions!$B$4:$H$4,AC5))</f>
        <v>10.6</v>
      </c>
      <c r="AD7">
        <f>INDEX(Assumptions!$B$6:$H$6,AD5)+(AD4-INDEX(Assumptions!$B$4:$H$4,AD5))*(INDEX(Assumptions!$B$6:$H$6,AD5+1)-INDEX(Assumptions!$B$6:$H$6,AD5))/(INDEX(Assumptions!$B$4:$H$4,AD5+1)-INDEX(Assumptions!$B$4:$H$4,AD5))</f>
        <v>11.3</v>
      </c>
      <c r="AE7">
        <f>INDEX(Assumptions!$B$6:$H$6,AE5)+(AE4-INDEX(Assumptions!$B$4:$H$4,AE5))*(INDEX(Assumptions!$B$6:$H$6,AE5+1)-INDEX(Assumptions!$B$6:$H$6,AE5))/(INDEX(Assumptions!$B$4:$H$4,AE5+1)-INDEX(Assumptions!$B$4:$H$4,AE5))</f>
        <v>12</v>
      </c>
    </row>
    <row r="8" spans="1:31" x14ac:dyDescent="0.25">
      <c r="A8" s="5" t="s">
        <v>69</v>
      </c>
      <c r="B8">
        <f>IF(B4&lt;Assumptions!$B$11,0,IF(B4=Assumptions!$B$11,Assumptions!$B$12,1))*Assumptions!$B$13</f>
        <v>0</v>
      </c>
      <c r="C8">
        <f>IF(C4&lt;Assumptions!$B$11,0,IF(C4=Assumptions!$B$11,Assumptions!$B$12,1))*Assumptions!$B$13</f>
        <v>0</v>
      </c>
      <c r="D8">
        <f>IF(D4&lt;Assumptions!$B$11,0,IF(D4=Assumptions!$B$11,Assumptions!$B$12,1))*Assumptions!$B$13</f>
        <v>0</v>
      </c>
      <c r="E8">
        <f>IF(E4&lt;Assumptions!$B$11,0,IF(E4=Assumptions!$B$11,Assumptions!$B$12,1))*Assumptions!$B$13</f>
        <v>0</v>
      </c>
      <c r="F8">
        <f>IF(F4&lt;Assumptions!$B$11,0,IF(F4=Assumptions!$B$11,Assumptions!$B$12,1))*Assumptions!$B$13</f>
        <v>0</v>
      </c>
      <c r="G8">
        <f>IF(G4&lt;Assumptions!$B$11,0,IF(G4=Assumptions!$B$11,Assumptions!$B$12,1))*Assumptions!$B$13</f>
        <v>0</v>
      </c>
      <c r="H8">
        <f>IF(H4&lt;Assumptions!$B$11,0,IF(H4=Assumptions!$B$11,Assumptions!$B$12,1))*Assumptions!$B$13</f>
        <v>0</v>
      </c>
      <c r="I8">
        <f>IF(I4&lt;Assumptions!$B$11,0,IF(I4=Assumptions!$B$11,Assumptions!$B$12,1))*Assumptions!$B$13</f>
        <v>0</v>
      </c>
      <c r="J8">
        <f>IF(J4&lt;Assumptions!$B$11,0,IF(J4=Assumptions!$B$11,Assumptions!$B$12,1))*Assumptions!$B$13</f>
        <v>0.12428710338850488</v>
      </c>
      <c r="K8">
        <f>IF(K4&lt;Assumptions!$B$11,0,IF(K4=Assumptions!$B$11,Assumptions!$B$12,1))*Assumptions!$B$13</f>
        <v>0.24857420677700975</v>
      </c>
      <c r="L8">
        <f>IF(L4&lt;Assumptions!$B$11,0,IF(L4=Assumptions!$B$11,Assumptions!$B$12,1))*Assumptions!$B$13</f>
        <v>0.24857420677700975</v>
      </c>
      <c r="M8">
        <f>IF(M4&lt;Assumptions!$B$11,0,IF(M4=Assumptions!$B$11,Assumptions!$B$12,1))*Assumptions!$B$13</f>
        <v>0.24857420677700975</v>
      </c>
      <c r="N8">
        <f>IF(N4&lt;Assumptions!$B$11,0,IF(N4=Assumptions!$B$11,Assumptions!$B$12,1))*Assumptions!$B$13</f>
        <v>0.24857420677700975</v>
      </c>
      <c r="O8">
        <f>IF(O4&lt;Assumptions!$B$11,0,IF(O4=Assumptions!$B$11,Assumptions!$B$12,1))*Assumptions!$B$13</f>
        <v>0.24857420677700975</v>
      </c>
      <c r="P8">
        <f>IF(P4&lt;Assumptions!$B$11,0,IF(P4=Assumptions!$B$11,Assumptions!$B$12,1))*Assumptions!$B$13</f>
        <v>0.24857420677700975</v>
      </c>
      <c r="Q8">
        <f>IF(Q4&lt;Assumptions!$B$11,0,IF(Q4=Assumptions!$B$11,Assumptions!$B$12,1))*Assumptions!$B$13</f>
        <v>0.24857420677700975</v>
      </c>
      <c r="R8">
        <f>IF(R4&lt;Assumptions!$B$11,0,IF(R4=Assumptions!$B$11,Assumptions!$B$12,1))*Assumptions!$B$13</f>
        <v>0.24857420677700975</v>
      </c>
      <c r="S8">
        <f>IF(S4&lt;Assumptions!$B$11,0,IF(S4=Assumptions!$B$11,Assumptions!$B$12,1))*Assumptions!$B$13</f>
        <v>0.24857420677700975</v>
      </c>
      <c r="T8">
        <f>IF(T4&lt;Assumptions!$B$11,0,IF(T4=Assumptions!$B$11,Assumptions!$B$12,1))*Assumptions!$B$13</f>
        <v>0.24857420677700975</v>
      </c>
      <c r="U8">
        <f>IF(U4&lt;Assumptions!$B$11,0,IF(U4=Assumptions!$B$11,Assumptions!$B$12,1))*Assumptions!$B$13</f>
        <v>0.24857420677700975</v>
      </c>
      <c r="V8">
        <f>IF(V4&lt;Assumptions!$B$11,0,IF(V4=Assumptions!$B$11,Assumptions!$B$12,1))*Assumptions!$B$13</f>
        <v>0.24857420677700975</v>
      </c>
      <c r="W8">
        <f>IF(W4&lt;Assumptions!$B$11,0,IF(W4=Assumptions!$B$11,Assumptions!$B$12,1))*Assumptions!$B$13</f>
        <v>0.24857420677700975</v>
      </c>
      <c r="X8">
        <f>IF(X4&lt;Assumptions!$B$11,0,IF(X4=Assumptions!$B$11,Assumptions!$B$12,1))*Assumptions!$B$13</f>
        <v>0.24857420677700975</v>
      </c>
      <c r="Y8">
        <f>IF(Y4&lt;Assumptions!$B$11,0,IF(Y4=Assumptions!$B$11,Assumptions!$B$12,1))*Assumptions!$B$13</f>
        <v>0.24857420677700975</v>
      </c>
      <c r="Z8">
        <f>IF(Z4&lt;Assumptions!$B$11,0,IF(Z4=Assumptions!$B$11,Assumptions!$B$12,1))*Assumptions!$B$13</f>
        <v>0.24857420677700975</v>
      </c>
      <c r="AA8">
        <f>IF(AA4&lt;Assumptions!$B$11,0,IF(AA4=Assumptions!$B$11,Assumptions!$B$12,1))*Assumptions!$B$13</f>
        <v>0.24857420677700975</v>
      </c>
      <c r="AB8">
        <f>IF(AB4&lt;Assumptions!$B$11,0,IF(AB4=Assumptions!$B$11,Assumptions!$B$12,1))*Assumptions!$B$13</f>
        <v>0.24857420677700975</v>
      </c>
      <c r="AC8">
        <f>IF(AC4&lt;Assumptions!$B$11,0,IF(AC4=Assumptions!$B$11,Assumptions!$B$12,1))*Assumptions!$B$13</f>
        <v>0.24857420677700975</v>
      </c>
      <c r="AD8">
        <f>IF(AD4&lt;Assumptions!$B$11,0,IF(AD4=Assumptions!$B$11,Assumptions!$B$12,1))*Assumptions!$B$13</f>
        <v>0.24857420677700975</v>
      </c>
      <c r="AE8">
        <f>IF(AE4&lt;Assumptions!$B$11,0,IF(AE4=Assumptions!$B$11,Assumptions!$B$12,1))*Assumptions!$B$13</f>
        <v>0.24857420677700975</v>
      </c>
    </row>
    <row r="9" spans="1:31" x14ac:dyDescent="0.25">
      <c r="A9" s="5" t="s">
        <v>70</v>
      </c>
      <c r="B9">
        <f>Assumptions!$B$16</f>
        <v>0.01</v>
      </c>
      <c r="C9">
        <f>Assumptions!$B$16</f>
        <v>0.01</v>
      </c>
      <c r="D9">
        <f>Assumptions!$B$16</f>
        <v>0.01</v>
      </c>
      <c r="E9">
        <f>Assumptions!$B$16</f>
        <v>0.01</v>
      </c>
      <c r="F9">
        <f>Assumptions!$B$16</f>
        <v>0.01</v>
      </c>
      <c r="G9">
        <f>Assumptions!$B$16</f>
        <v>0.01</v>
      </c>
      <c r="H9">
        <f>Assumptions!$B$16</f>
        <v>0.01</v>
      </c>
      <c r="I9">
        <f>Assumptions!$B$16</f>
        <v>0.01</v>
      </c>
      <c r="J9">
        <f>Assumptions!$B$16</f>
        <v>0.01</v>
      </c>
      <c r="K9">
        <f>Assumptions!$B$16</f>
        <v>0.01</v>
      </c>
      <c r="L9">
        <f>Assumptions!$B$16</f>
        <v>0.01</v>
      </c>
      <c r="M9">
        <f>Assumptions!$B$16</f>
        <v>0.01</v>
      </c>
      <c r="N9">
        <f>Assumptions!$B$16</f>
        <v>0.01</v>
      </c>
      <c r="O9">
        <f>Assumptions!$B$16</f>
        <v>0.01</v>
      </c>
      <c r="P9">
        <f>Assumptions!$B$16</f>
        <v>0.01</v>
      </c>
      <c r="Q9">
        <f>Assumptions!$B$16</f>
        <v>0.01</v>
      </c>
      <c r="R9">
        <f>Assumptions!$B$16</f>
        <v>0.01</v>
      </c>
      <c r="S9">
        <f>Assumptions!$B$16</f>
        <v>0.01</v>
      </c>
      <c r="T9">
        <f>Assumptions!$B$16</f>
        <v>0.01</v>
      </c>
      <c r="U9">
        <f>Assumptions!$B$16</f>
        <v>0.01</v>
      </c>
      <c r="V9">
        <f>Assumptions!$B$16</f>
        <v>0.01</v>
      </c>
      <c r="W9">
        <f>Assumptions!$B$16</f>
        <v>0.01</v>
      </c>
      <c r="X9">
        <f>Assumptions!$B$16</f>
        <v>0.01</v>
      </c>
      <c r="Y9">
        <f>Assumptions!$B$16</f>
        <v>0.01</v>
      </c>
      <c r="Z9">
        <f>Assumptions!$B$16</f>
        <v>0.01</v>
      </c>
      <c r="AA9">
        <f>Assumptions!$B$16</f>
        <v>0.01</v>
      </c>
      <c r="AB9">
        <f>Assumptions!$B$16</f>
        <v>0.01</v>
      </c>
      <c r="AC9">
        <f>Assumptions!$B$16</f>
        <v>0.01</v>
      </c>
      <c r="AD9">
        <f>Assumptions!$B$16</f>
        <v>0.01</v>
      </c>
      <c r="AE9">
        <f>Assumptions!$B$16</f>
        <v>0.01</v>
      </c>
    </row>
    <row r="10" spans="1:31" x14ac:dyDescent="0.25">
      <c r="A10" s="5" t="s">
        <v>71</v>
      </c>
      <c r="B10">
        <f>IF(B4&lt;2030,0,Assumptions!$B$17+(Assumptions!$B$18-Assumptions!$B$17)*(B4-2030)/(2050-2030))</f>
        <v>0</v>
      </c>
      <c r="C10">
        <f>IF(C4&lt;2030,0,Assumptions!$B$17+(Assumptions!$B$18-Assumptions!$B$17)*(C4-2030)/(2050-2030))</f>
        <v>0</v>
      </c>
      <c r="D10">
        <f>IF(D4&lt;2030,0,Assumptions!$B$17+(Assumptions!$B$18-Assumptions!$B$17)*(D4-2030)/(2050-2030))</f>
        <v>0</v>
      </c>
      <c r="E10">
        <f>IF(E4&lt;2030,0,Assumptions!$B$17+(Assumptions!$B$18-Assumptions!$B$17)*(E4-2030)/(2050-2030))</f>
        <v>0</v>
      </c>
      <c r="F10">
        <f>IF(F4&lt;2030,0,Assumptions!$B$17+(Assumptions!$B$18-Assumptions!$B$17)*(F4-2030)/(2050-2030))</f>
        <v>0</v>
      </c>
      <c r="G10">
        <f>IF(G4&lt;2030,0,Assumptions!$B$17+(Assumptions!$B$18-Assumptions!$B$17)*(G4-2030)/(2050-2030))</f>
        <v>0</v>
      </c>
      <c r="H10">
        <f>IF(H4&lt;2030,0,Assumptions!$B$17+(Assumptions!$B$18-Assumptions!$B$17)*(H4-2030)/(2050-2030))</f>
        <v>0</v>
      </c>
      <c r="I10">
        <f>IF(I4&lt;2030,0,Assumptions!$B$17+(Assumptions!$B$18-Assumptions!$B$17)*(I4-2030)/(2050-2030))</f>
        <v>0</v>
      </c>
      <c r="J10">
        <f>IF(J4&lt;2030,0,Assumptions!$B$17+(Assumptions!$B$18-Assumptions!$B$17)*(J4-2030)/(2050-2030))</f>
        <v>0</v>
      </c>
      <c r="K10">
        <f>IF(K4&lt;2030,0,Assumptions!$B$17+(Assumptions!$B$18-Assumptions!$B$17)*(K4-2030)/(2050-2030))</f>
        <v>0.24857420677700975</v>
      </c>
      <c r="L10">
        <f>IF(L4&lt;2030,0,Assumptions!$B$17+(Assumptions!$B$18-Assumptions!$B$17)*(L4-2030)/(2050-2030))</f>
        <v>0.24364549643815928</v>
      </c>
      <c r="M10">
        <f>IF(M4&lt;2030,0,Assumptions!$B$17+(Assumptions!$B$18-Assumptions!$B$17)*(M4-2030)/(2050-2030))</f>
        <v>0.23871678609930877</v>
      </c>
      <c r="N10">
        <f>IF(N4&lt;2030,0,Assumptions!$B$17+(Assumptions!$B$18-Assumptions!$B$17)*(N4-2030)/(2050-2030))</f>
        <v>0.23378807576045829</v>
      </c>
      <c r="O10">
        <f>IF(O4&lt;2030,0,Assumptions!$B$17+(Assumptions!$B$18-Assumptions!$B$17)*(O4-2030)/(2050-2030))</f>
        <v>0.22885936542160781</v>
      </c>
      <c r="P10">
        <f>IF(P4&lt;2030,0,Assumptions!$B$17+(Assumptions!$B$18-Assumptions!$B$17)*(P4-2030)/(2050-2030))</f>
        <v>0.22393065508275731</v>
      </c>
      <c r="Q10">
        <f>IF(Q4&lt;2030,0,Assumptions!$B$17+(Assumptions!$B$18-Assumptions!$B$17)*(Q4-2030)/(2050-2030))</f>
        <v>0.21900194474390683</v>
      </c>
      <c r="R10">
        <f>IF(R4&lt;2030,0,Assumptions!$B$17+(Assumptions!$B$18-Assumptions!$B$17)*(R4-2030)/(2050-2030))</f>
        <v>0.21407323440505632</v>
      </c>
      <c r="S10">
        <f>IF(S4&lt;2030,0,Assumptions!$B$17+(Assumptions!$B$18-Assumptions!$B$17)*(S4-2030)/(2050-2030))</f>
        <v>0.20914452406620584</v>
      </c>
      <c r="T10">
        <f>IF(T4&lt;2030,0,Assumptions!$B$17+(Assumptions!$B$18-Assumptions!$B$17)*(T4-2030)/(2050-2030))</f>
        <v>0.20421581372735537</v>
      </c>
      <c r="U10">
        <f>IF(U4&lt;2030,0,Assumptions!$B$17+(Assumptions!$B$18-Assumptions!$B$17)*(U4-2030)/(2050-2030))</f>
        <v>0.19928710338850486</v>
      </c>
      <c r="V10">
        <f>IF(V4&lt;2030,0,Assumptions!$B$17+(Assumptions!$B$18-Assumptions!$B$17)*(V4-2030)/(2050-2030))</f>
        <v>0.19435839304965438</v>
      </c>
      <c r="W10">
        <f>IF(W4&lt;2030,0,Assumptions!$B$17+(Assumptions!$B$18-Assumptions!$B$17)*(W4-2030)/(2050-2030))</f>
        <v>0.1894296827108039</v>
      </c>
      <c r="X10">
        <f>IF(X4&lt;2030,0,Assumptions!$B$17+(Assumptions!$B$18-Assumptions!$B$17)*(X4-2030)/(2050-2030))</f>
        <v>0.1845009723719534</v>
      </c>
      <c r="Y10">
        <f>IF(Y4&lt;2030,0,Assumptions!$B$17+(Assumptions!$B$18-Assumptions!$B$17)*(Y4-2030)/(2050-2030))</f>
        <v>0.17957226203310292</v>
      </c>
      <c r="Z10">
        <f>IF(Z4&lt;2030,0,Assumptions!$B$17+(Assumptions!$B$18-Assumptions!$B$17)*(Z4-2030)/(2050-2030))</f>
        <v>0.17464355169425244</v>
      </c>
      <c r="AA10">
        <f>IF(AA4&lt;2030,0,Assumptions!$B$17+(Assumptions!$B$18-Assumptions!$B$17)*(AA4-2030)/(2050-2030))</f>
        <v>0.16971484135540194</v>
      </c>
      <c r="AB10">
        <f>IF(AB4&lt;2030,0,Assumptions!$B$17+(Assumptions!$B$18-Assumptions!$B$17)*(AB4-2030)/(2050-2030))</f>
        <v>0.16478613101655146</v>
      </c>
      <c r="AC10">
        <f>IF(AC4&lt;2030,0,Assumptions!$B$17+(Assumptions!$B$18-Assumptions!$B$17)*(AC4-2030)/(2050-2030))</f>
        <v>0.15985742067770098</v>
      </c>
      <c r="AD10">
        <f>IF(AD4&lt;2030,0,Assumptions!$B$17+(Assumptions!$B$18-Assumptions!$B$17)*(AD4-2030)/(2050-2030))</f>
        <v>0.15492871033885047</v>
      </c>
      <c r="AE10">
        <f>IF(AE4&lt;2030,0,Assumptions!$B$17+(Assumptions!$B$18-Assumptions!$B$17)*(AE4-2030)/(2050-2030))</f>
        <v>0.15</v>
      </c>
    </row>
    <row r="11" spans="1:31" x14ac:dyDescent="0.25">
      <c r="A11" s="5" t="s">
        <v>72</v>
      </c>
      <c r="B11">
        <f t="shared" ref="B11:AE11" si="0">B9*B6</f>
        <v>0</v>
      </c>
      <c r="C11">
        <f t="shared" si="0"/>
        <v>0</v>
      </c>
      <c r="D11">
        <f t="shared" si="0"/>
        <v>0</v>
      </c>
      <c r="E11">
        <f t="shared" si="0"/>
        <v>0</v>
      </c>
      <c r="F11">
        <f t="shared" si="0"/>
        <v>0</v>
      </c>
      <c r="G11">
        <f t="shared" si="0"/>
        <v>5.0000000000000001E-4</v>
      </c>
      <c r="H11">
        <f t="shared" si="0"/>
        <v>1E-3</v>
      </c>
      <c r="I11">
        <f t="shared" si="0"/>
        <v>4.0000000000000001E-3</v>
      </c>
      <c r="J11">
        <f t="shared" si="0"/>
        <v>6.9999999999999993E-3</v>
      </c>
      <c r="K11">
        <f t="shared" si="0"/>
        <v>0.01</v>
      </c>
      <c r="L11">
        <f t="shared" si="0"/>
        <v>1.3999999999999999E-2</v>
      </c>
      <c r="M11">
        <f t="shared" si="0"/>
        <v>1.8000000000000002E-2</v>
      </c>
      <c r="N11">
        <f t="shared" si="0"/>
        <v>2.2000000000000002E-2</v>
      </c>
      <c r="O11">
        <f t="shared" si="0"/>
        <v>2.6000000000000002E-2</v>
      </c>
      <c r="P11">
        <f t="shared" si="0"/>
        <v>0.03</v>
      </c>
      <c r="Q11">
        <f t="shared" si="0"/>
        <v>3.6000000000000004E-2</v>
      </c>
      <c r="R11">
        <f t="shared" si="0"/>
        <v>4.2000000000000003E-2</v>
      </c>
      <c r="S11">
        <f t="shared" si="0"/>
        <v>4.8000000000000001E-2</v>
      </c>
      <c r="T11">
        <f t="shared" si="0"/>
        <v>5.4000000000000006E-2</v>
      </c>
      <c r="U11">
        <f t="shared" si="0"/>
        <v>0.06</v>
      </c>
      <c r="V11">
        <f t="shared" si="0"/>
        <v>7.2000000000000008E-2</v>
      </c>
      <c r="W11">
        <f t="shared" si="0"/>
        <v>8.4000000000000005E-2</v>
      </c>
      <c r="X11">
        <f t="shared" si="0"/>
        <v>9.6000000000000002E-2</v>
      </c>
      <c r="Y11">
        <f t="shared" si="0"/>
        <v>0.10800000000000001</v>
      </c>
      <c r="Z11">
        <f t="shared" si="0"/>
        <v>0.12</v>
      </c>
      <c r="AA11">
        <f t="shared" si="0"/>
        <v>0.13200000000000001</v>
      </c>
      <c r="AB11">
        <f t="shared" si="0"/>
        <v>0.14400000000000002</v>
      </c>
      <c r="AC11">
        <f t="shared" si="0"/>
        <v>0.156</v>
      </c>
      <c r="AD11">
        <f t="shared" si="0"/>
        <v>0.16800000000000001</v>
      </c>
      <c r="AE11">
        <f t="shared" si="0"/>
        <v>0.18</v>
      </c>
    </row>
    <row r="12" spans="1:31" x14ac:dyDescent="0.25">
      <c r="A12" s="5" t="s">
        <v>73</v>
      </c>
      <c r="B12">
        <f t="shared" ref="B12:AE12" si="1">MAX(B8,B10*B7)</f>
        <v>0</v>
      </c>
      <c r="C12">
        <f t="shared" si="1"/>
        <v>0</v>
      </c>
      <c r="D12">
        <f t="shared" si="1"/>
        <v>0</v>
      </c>
      <c r="E12">
        <f t="shared" si="1"/>
        <v>0</v>
      </c>
      <c r="F12">
        <f t="shared" si="1"/>
        <v>0</v>
      </c>
      <c r="G12">
        <f t="shared" si="1"/>
        <v>0</v>
      </c>
      <c r="H12">
        <f t="shared" si="1"/>
        <v>0</v>
      </c>
      <c r="I12">
        <f t="shared" si="1"/>
        <v>0</v>
      </c>
      <c r="J12">
        <f t="shared" si="1"/>
        <v>0.12428710338850488</v>
      </c>
      <c r="K12">
        <f t="shared" si="1"/>
        <v>0.24857420677700975</v>
      </c>
      <c r="L12">
        <f t="shared" si="1"/>
        <v>0.31673914536960707</v>
      </c>
      <c r="M12">
        <f t="shared" si="1"/>
        <v>0.38194685775889403</v>
      </c>
      <c r="N12">
        <f t="shared" si="1"/>
        <v>0.44419734394487076</v>
      </c>
      <c r="O12">
        <f t="shared" si="1"/>
        <v>0.50349060392753719</v>
      </c>
      <c r="P12">
        <f t="shared" si="1"/>
        <v>0.55982663770689323</v>
      </c>
      <c r="Q12">
        <f t="shared" si="1"/>
        <v>0.65700583423172043</v>
      </c>
      <c r="R12">
        <f t="shared" si="1"/>
        <v>0.74925632041769719</v>
      </c>
      <c r="S12">
        <f t="shared" si="1"/>
        <v>0.83657809626482338</v>
      </c>
      <c r="T12">
        <f t="shared" si="1"/>
        <v>0.91897116177309912</v>
      </c>
      <c r="U12">
        <f t="shared" si="1"/>
        <v>0.9964355169425243</v>
      </c>
      <c r="V12">
        <f t="shared" si="1"/>
        <v>1.10784284038303</v>
      </c>
      <c r="W12">
        <f t="shared" si="1"/>
        <v>1.2123499693491451</v>
      </c>
      <c r="X12">
        <f t="shared" si="1"/>
        <v>1.3099569038408692</v>
      </c>
      <c r="Y12">
        <f t="shared" si="1"/>
        <v>1.4006636438582027</v>
      </c>
      <c r="Z12">
        <f t="shared" si="1"/>
        <v>1.4844701894011458</v>
      </c>
      <c r="AA12">
        <f t="shared" si="1"/>
        <v>1.5613765404696978</v>
      </c>
      <c r="AB12">
        <f t="shared" si="1"/>
        <v>1.6313826970638594</v>
      </c>
      <c r="AC12">
        <f t="shared" si="1"/>
        <v>1.6944886591836303</v>
      </c>
      <c r="AD12">
        <f t="shared" si="1"/>
        <v>1.7506944268290106</v>
      </c>
      <c r="AE12">
        <f t="shared" si="1"/>
        <v>1.7999999999999998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cols>
    <col min="1" max="1" width="80" customWidth="1"/>
  </cols>
  <sheetData>
    <row r="1" spans="1:2" x14ac:dyDescent="0.25">
      <c r="A1" s="1" t="s">
        <v>74</v>
      </c>
    </row>
    <row r="3" spans="1:2" x14ac:dyDescent="0.25">
      <c r="A3" t="s">
        <v>75</v>
      </c>
      <c r="B3">
        <f>IF(SUMPRODUCT(--(Calcs!B11:AE11&gt;Calcs!B6:AE6+0.000000000001))&gt;0,1,0)</f>
        <v>0</v>
      </c>
    </row>
    <row r="4" spans="1:2" x14ac:dyDescent="0.25">
      <c r="A4" t="s">
        <v>76</v>
      </c>
      <c r="B4">
        <f>IF(SUMPRODUCT(--(Calcs!B12:AE12&gt;Calcs!B7:AE7+0.000000000001))&gt;0,1,0)</f>
        <v>0</v>
      </c>
    </row>
    <row r="5" spans="1:2" x14ac:dyDescent="0.25">
      <c r="A5" t="s">
        <v>77</v>
      </c>
      <c r="B5">
        <f>IF(OR(Calcs!K6+Calcs!K7&lt;0.8,Calcs!K6+Calcs!K7&gt;3.6),1,0)</f>
        <v>0</v>
      </c>
    </row>
    <row r="6" spans="1:2" x14ac:dyDescent="0.25">
      <c r="A6" t="s">
        <v>78</v>
      </c>
      <c r="B6">
        <f>Calcs!K6+Calcs!K7</f>
        <v>2</v>
      </c>
    </row>
    <row r="7" spans="1:2" x14ac:dyDescent="0.25">
      <c r="A7" t="s">
        <v>79</v>
      </c>
      <c r="B7">
        <f>Calcs!AE11+Calcs!AE12</f>
        <v>1.9799999999999998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AE3"/>
  <sheetViews>
    <sheetView workbookViewId="0"/>
  </sheetViews>
  <sheetFormatPr defaultRowHeight="15" x14ac:dyDescent="0.25"/>
  <sheetData>
    <row r="1" spans="1:31" x14ac:dyDescent="0.25">
      <c r="A1" t="s">
        <v>80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81</v>
      </c>
      <c r="B2">
        <f>Calcs!B11*Assumptions!$B$21</f>
        <v>0</v>
      </c>
      <c r="C2">
        <f>Calcs!C11*Assumptions!$B$21</f>
        <v>0</v>
      </c>
      <c r="D2">
        <f>Calcs!D11*Assumptions!$B$21</f>
        <v>0</v>
      </c>
      <c r="E2">
        <f>Calcs!E11*Assumptions!$B$21</f>
        <v>0</v>
      </c>
      <c r="F2">
        <f>Calcs!F11*Assumptions!$B$21</f>
        <v>0</v>
      </c>
      <c r="G2">
        <f>Calcs!G11*Assumptions!$B$21</f>
        <v>67255500000</v>
      </c>
      <c r="H2">
        <f>Calcs!H11*Assumptions!$B$21</f>
        <v>134511000000</v>
      </c>
      <c r="I2">
        <f>Calcs!I11*Assumptions!$B$21</f>
        <v>538044000000</v>
      </c>
      <c r="J2">
        <f>Calcs!J11*Assumptions!$B$21</f>
        <v>941576999999.99988</v>
      </c>
      <c r="K2">
        <f>Calcs!K11*Assumptions!$B$21</f>
        <v>1345110000000</v>
      </c>
      <c r="L2">
        <f>Calcs!L11*Assumptions!$B$21</f>
        <v>1883153999999.9998</v>
      </c>
      <c r="M2">
        <f>Calcs!M11*Assumptions!$B$21</f>
        <v>2421198000000.0005</v>
      </c>
      <c r="N2">
        <f>Calcs!N11*Assumptions!$B$21</f>
        <v>2959242000000.0005</v>
      </c>
      <c r="O2">
        <f>Calcs!O11*Assumptions!$B$21</f>
        <v>3497286000000.0005</v>
      </c>
      <c r="P2">
        <f>Calcs!P11*Assumptions!$B$21</f>
        <v>4035330000000</v>
      </c>
      <c r="Q2">
        <f>Calcs!Q11*Assumptions!$B$21</f>
        <v>4842396000000.001</v>
      </c>
      <c r="R2">
        <f>Calcs!R11*Assumptions!$B$21</f>
        <v>5649462000000</v>
      </c>
      <c r="S2">
        <f>Calcs!S11*Assumptions!$B$21</f>
        <v>6456528000000</v>
      </c>
      <c r="T2">
        <f>Calcs!T11*Assumptions!$B$21</f>
        <v>7263594000000.001</v>
      </c>
      <c r="U2">
        <f>Calcs!U11*Assumptions!$B$21</f>
        <v>8070660000000</v>
      </c>
      <c r="V2">
        <f>Calcs!V11*Assumptions!$B$21</f>
        <v>9684792000000.002</v>
      </c>
      <c r="W2">
        <f>Calcs!W11*Assumptions!$B$21</f>
        <v>11298924000000</v>
      </c>
      <c r="X2">
        <f>Calcs!X11*Assumptions!$B$21</f>
        <v>12913056000000</v>
      </c>
      <c r="Y2">
        <f>Calcs!Y11*Assumptions!$B$21</f>
        <v>14527188000000.002</v>
      </c>
      <c r="Z2">
        <f>Calcs!Z11*Assumptions!$B$21</f>
        <v>16141320000000</v>
      </c>
      <c r="AA2">
        <f>Calcs!AA11*Assumptions!$B$21</f>
        <v>17755452000000</v>
      </c>
      <c r="AB2">
        <f>Calcs!AB11*Assumptions!$B$21</f>
        <v>19369584000000.004</v>
      </c>
      <c r="AC2">
        <f>Calcs!AC11*Assumptions!$B$21</f>
        <v>20983716000000</v>
      </c>
      <c r="AD2">
        <f>Calcs!AD11*Assumptions!$B$21</f>
        <v>22597848000000</v>
      </c>
      <c r="AE2">
        <f>Calcs!AE11*Assumptions!$B$21</f>
        <v>24211980000000</v>
      </c>
    </row>
    <row r="3" spans="1:31" x14ac:dyDescent="0.25">
      <c r="A3" t="s">
        <v>82</v>
      </c>
      <c r="B3">
        <f>Calcs!B12*Assumptions!$B$21</f>
        <v>0</v>
      </c>
      <c r="C3">
        <f>Calcs!C12*Assumptions!$B$21</f>
        <v>0</v>
      </c>
      <c r="D3">
        <f>Calcs!D12*Assumptions!$B$21</f>
        <v>0</v>
      </c>
      <c r="E3">
        <f>Calcs!E12*Assumptions!$B$21</f>
        <v>0</v>
      </c>
      <c r="F3">
        <f>Calcs!F12*Assumptions!$B$21</f>
        <v>0</v>
      </c>
      <c r="G3">
        <f>Calcs!G12*Assumptions!$B$21</f>
        <v>0</v>
      </c>
      <c r="H3">
        <f>Calcs!H12*Assumptions!$B$21</f>
        <v>0</v>
      </c>
      <c r="I3">
        <f>Calcs!I12*Assumptions!$B$21</f>
        <v>0</v>
      </c>
      <c r="J3">
        <f>Calcs!J12*Assumptions!$B$21</f>
        <v>16717982563891.18</v>
      </c>
      <c r="K3">
        <f>Calcs!K12*Assumptions!$B$21</f>
        <v>33435965127782.359</v>
      </c>
      <c r="L3">
        <f>Calcs!L12*Assumptions!$B$21</f>
        <v>42604899182811.219</v>
      </c>
      <c r="M3">
        <f>Calcs!M12*Assumptions!$B$21</f>
        <v>51376053784006.594</v>
      </c>
      <c r="N3">
        <f>Calcs!N12*Assumptions!$B$21</f>
        <v>59749428931368.508</v>
      </c>
      <c r="O3">
        <f>Calcs!O12*Assumptions!$B$21</f>
        <v>67725024624896.953</v>
      </c>
      <c r="P3">
        <f>Calcs!P12*Assumptions!$B$21</f>
        <v>75302840864591.922</v>
      </c>
      <c r="Q3">
        <f>Calcs!Q12*Assumptions!$B$21</f>
        <v>88374511768342.953</v>
      </c>
      <c r="R3">
        <f>Calcs!R12*Assumptions!$B$21</f>
        <v>100783216915704.86</v>
      </c>
      <c r="S3">
        <f>Calcs!S12*Assumptions!$B$21</f>
        <v>112528956306677.66</v>
      </c>
      <c r="T3">
        <f>Calcs!T12*Assumptions!$B$21</f>
        <v>123611729941261.33</v>
      </c>
      <c r="U3">
        <f>Calcs!U12*Assumptions!$B$21</f>
        <v>134031537819455.89</v>
      </c>
      <c r="V3">
        <f>Calcs!V12*Assumptions!$B$21</f>
        <v>149017048302761.75</v>
      </c>
      <c r="W3">
        <f>Calcs!W12*Assumptions!$B$21</f>
        <v>163074406727122.84</v>
      </c>
      <c r="X3">
        <f>Calcs!X12*Assumptions!$B$21</f>
        <v>176203613092539.16</v>
      </c>
      <c r="Y3">
        <f>Calcs!Y12*Assumptions!$B$21</f>
        <v>188404667399010.72</v>
      </c>
      <c r="Z3">
        <f>Calcs!Z12*Assumptions!$B$21</f>
        <v>199677569646537.53</v>
      </c>
      <c r="AA3">
        <f>Calcs!AA12*Assumptions!$B$21</f>
        <v>210022319835119.5</v>
      </c>
      <c r="AB3">
        <f>Calcs!AB12*Assumptions!$B$21</f>
        <v>219438917964756.78</v>
      </c>
      <c r="AC3">
        <f>Calcs!AC12*Assumptions!$B$21</f>
        <v>227927364035449.31</v>
      </c>
      <c r="AD3">
        <f>Calcs!AD12*Assumptions!$B$21</f>
        <v>235487658047197.03</v>
      </c>
      <c r="AE3">
        <f>Calcs!AE12*Assumptions!$B$21</f>
        <v>242119799999999.97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AE3"/>
  <sheetViews>
    <sheetView workbookViewId="0"/>
  </sheetViews>
  <sheetFormatPr defaultRowHeight="15" x14ac:dyDescent="0.25"/>
  <sheetData>
    <row r="1" spans="1:31" x14ac:dyDescent="0.25">
      <c r="A1" t="s">
        <v>80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81</v>
      </c>
      <c r="B2">
        <f>Calcs!B6*Assumptions!$B$21</f>
        <v>0</v>
      </c>
      <c r="C2">
        <f>Calcs!C6*Assumptions!$B$21</f>
        <v>0</v>
      </c>
      <c r="D2">
        <f>Calcs!D6*Assumptions!$B$21</f>
        <v>0</v>
      </c>
      <c r="E2">
        <f>Calcs!E6*Assumptions!$B$21</f>
        <v>0</v>
      </c>
      <c r="F2">
        <f>Calcs!F6*Assumptions!$B$21</f>
        <v>0</v>
      </c>
      <c r="G2">
        <f>Calcs!G6*Assumptions!$B$21</f>
        <v>6725550000000</v>
      </c>
      <c r="H2">
        <f>Calcs!H6*Assumptions!$B$21</f>
        <v>13451100000000</v>
      </c>
      <c r="I2">
        <f>Calcs!I6*Assumptions!$B$21</f>
        <v>53804400000000</v>
      </c>
      <c r="J2">
        <f>Calcs!J6*Assumptions!$B$21</f>
        <v>94157700000000</v>
      </c>
      <c r="K2">
        <f>Calcs!K6*Assumptions!$B$21</f>
        <v>134511000000000</v>
      </c>
      <c r="L2">
        <f>Calcs!L6*Assumptions!$B$21</f>
        <v>188315400000000</v>
      </c>
      <c r="M2">
        <f>Calcs!M6*Assumptions!$B$21</f>
        <v>242119800000000</v>
      </c>
      <c r="N2">
        <f>Calcs!N6*Assumptions!$B$21</f>
        <v>295924200000000</v>
      </c>
      <c r="O2">
        <f>Calcs!O6*Assumptions!$B$21</f>
        <v>349728600000000</v>
      </c>
      <c r="P2">
        <f>Calcs!P6*Assumptions!$B$21</f>
        <v>403533000000000</v>
      </c>
      <c r="Q2">
        <f>Calcs!Q6*Assumptions!$B$21</f>
        <v>484239600000000</v>
      </c>
      <c r="R2">
        <f>Calcs!R6*Assumptions!$B$21</f>
        <v>564946200000000</v>
      </c>
      <c r="S2">
        <f>Calcs!S6*Assumptions!$B$21</f>
        <v>645652800000000</v>
      </c>
      <c r="T2">
        <f>Calcs!T6*Assumptions!$B$21</f>
        <v>726359400000000</v>
      </c>
      <c r="U2">
        <f>Calcs!U6*Assumptions!$B$21</f>
        <v>807066000000000</v>
      </c>
      <c r="V2">
        <f>Calcs!V6*Assumptions!$B$21</f>
        <v>968479200000000</v>
      </c>
      <c r="W2">
        <f>Calcs!W6*Assumptions!$B$21</f>
        <v>1129892400000000</v>
      </c>
      <c r="X2">
        <f>Calcs!X6*Assumptions!$B$21</f>
        <v>1291305600000000</v>
      </c>
      <c r="Y2">
        <f>Calcs!Y6*Assumptions!$B$21</f>
        <v>1452718800000000</v>
      </c>
      <c r="Z2">
        <f>Calcs!Z6*Assumptions!$B$21</f>
        <v>1614132000000000</v>
      </c>
      <c r="AA2">
        <f>Calcs!AA6*Assumptions!$B$21</f>
        <v>1775545200000000</v>
      </c>
      <c r="AB2">
        <f>Calcs!AB6*Assumptions!$B$21</f>
        <v>1936958400000000</v>
      </c>
      <c r="AC2">
        <f>Calcs!AC6*Assumptions!$B$21</f>
        <v>2098371600000000</v>
      </c>
      <c r="AD2">
        <f>Calcs!AD6*Assumptions!$B$21</f>
        <v>2259784800000000</v>
      </c>
      <c r="AE2">
        <f>Calcs!AE6*Assumptions!$B$21</f>
        <v>2421198000000000</v>
      </c>
    </row>
    <row r="3" spans="1:31" x14ac:dyDescent="0.25">
      <c r="A3" t="s">
        <v>82</v>
      </c>
      <c r="B3">
        <f>Calcs!B7*Assumptions!$B$21</f>
        <v>0</v>
      </c>
      <c r="C3">
        <f>Calcs!C7*Assumptions!$B$21</f>
        <v>0</v>
      </c>
      <c r="D3">
        <f>Calcs!D7*Assumptions!$B$21</f>
        <v>0</v>
      </c>
      <c r="E3">
        <f>Calcs!E7*Assumptions!$B$21</f>
        <v>0</v>
      </c>
      <c r="F3">
        <f>Calcs!F7*Assumptions!$B$21</f>
        <v>0</v>
      </c>
      <c r="G3">
        <f>Calcs!G7*Assumptions!$B$21</f>
        <v>3362775000000</v>
      </c>
      <c r="H3">
        <f>Calcs!H7*Assumptions!$B$21</f>
        <v>6725550000000</v>
      </c>
      <c r="I3">
        <f>Calcs!I7*Assumptions!$B$21</f>
        <v>49320700000000</v>
      </c>
      <c r="J3">
        <f>Calcs!J7*Assumptions!$B$21</f>
        <v>91915850000000</v>
      </c>
      <c r="K3">
        <f>Calcs!K7*Assumptions!$B$21</f>
        <v>134511000000000</v>
      </c>
      <c r="L3">
        <f>Calcs!L7*Assumptions!$B$21</f>
        <v>174864300000000</v>
      </c>
      <c r="M3">
        <f>Calcs!M7*Assumptions!$B$21</f>
        <v>215217600000000</v>
      </c>
      <c r="N3">
        <f>Calcs!N7*Assumptions!$B$21</f>
        <v>255570900000000</v>
      </c>
      <c r="O3">
        <f>Calcs!O7*Assumptions!$B$21</f>
        <v>295924200000000</v>
      </c>
      <c r="P3">
        <f>Calcs!P7*Assumptions!$B$21</f>
        <v>336277500000000</v>
      </c>
      <c r="Q3">
        <f>Calcs!Q7*Assumptions!$B$21</f>
        <v>403533000000000</v>
      </c>
      <c r="R3">
        <f>Calcs!R7*Assumptions!$B$21</f>
        <v>470788500000000</v>
      </c>
      <c r="S3">
        <f>Calcs!S7*Assumptions!$B$21</f>
        <v>538044000000000</v>
      </c>
      <c r="T3">
        <f>Calcs!T7*Assumptions!$B$21</f>
        <v>605299500000000</v>
      </c>
      <c r="U3">
        <f>Calcs!U7*Assumptions!$B$21</f>
        <v>672555000000000</v>
      </c>
      <c r="V3">
        <f>Calcs!V7*Assumptions!$B$21</f>
        <v>766712700000000</v>
      </c>
      <c r="W3">
        <f>Calcs!W7*Assumptions!$B$21</f>
        <v>860870400000000</v>
      </c>
      <c r="X3">
        <f>Calcs!X7*Assumptions!$B$21</f>
        <v>955028100000000</v>
      </c>
      <c r="Y3">
        <f>Calcs!Y7*Assumptions!$B$21</f>
        <v>1049185800000000</v>
      </c>
      <c r="Z3">
        <f>Calcs!Z7*Assumptions!$B$21</f>
        <v>1143343500000000</v>
      </c>
      <c r="AA3">
        <f>Calcs!AA7*Assumptions!$B$21</f>
        <v>1237501200000000</v>
      </c>
      <c r="AB3">
        <f>Calcs!AB7*Assumptions!$B$21</f>
        <v>1331658900000000</v>
      </c>
      <c r="AC3">
        <f>Calcs!AC7*Assumptions!$B$21</f>
        <v>1425816600000000</v>
      </c>
      <c r="AD3">
        <f>Calcs!AD7*Assumptions!$B$21</f>
        <v>1519974300000000</v>
      </c>
      <c r="AE3">
        <f>Calcs!AE7*Assumptions!$B$21</f>
        <v>1614132000000000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B2"/>
  <sheetViews>
    <sheetView workbookViewId="0"/>
  </sheetViews>
  <sheetFormatPr defaultRowHeight="15" x14ac:dyDescent="0.25"/>
  <sheetData>
    <row r="1" spans="1:2" x14ac:dyDescent="0.25">
      <c r="A1" t="s">
        <v>83</v>
      </c>
      <c r="B1" t="s">
        <v>84</v>
      </c>
    </row>
    <row r="2" spans="1:2" x14ac:dyDescent="0.25">
      <c r="A2" t="s">
        <v>85</v>
      </c>
      <c r="B2">
        <f>Assumptions!B22</f>
        <v>2.4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B2"/>
  <sheetViews>
    <sheetView workbookViewId="0"/>
  </sheetViews>
  <sheetFormatPr defaultRowHeight="15" x14ac:dyDescent="0.25"/>
  <sheetData>
    <row r="1" spans="1:2" x14ac:dyDescent="0.25">
      <c r="A1" t="s">
        <v>83</v>
      </c>
      <c r="B1" t="s">
        <v>84</v>
      </c>
    </row>
    <row r="2" spans="1:2" x14ac:dyDescent="0.25">
      <c r="A2" t="s">
        <v>86</v>
      </c>
      <c r="B2">
        <f>Assumptions!B23</f>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Assumptions</vt:lpstr>
      <vt:lpstr>Calcs</vt:lpstr>
      <vt:lpstr>Checks</vt:lpstr>
      <vt:lpstr>HE-BHEbG</vt:lpstr>
      <vt:lpstr>HE-WHIDbG</vt:lpstr>
      <vt:lpstr>HE-HEPE</vt:lpstr>
      <vt:lpstr>HE-HERT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2026-10-28T18:55:50Z</dcterms:created>
  <dcterms:modified xsi:type="dcterms:W3CDTF">2026-10-28T18:55:54Z</dcterms:modified>
</cp:coreProperties>
</file>