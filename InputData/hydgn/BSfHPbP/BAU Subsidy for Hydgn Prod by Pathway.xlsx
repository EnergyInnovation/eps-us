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hydgn\BSfHPbP\"/>
    </mc:Choice>
  </mc:AlternateContent>
  <xr:revisionPtr revIDLastSave="0" documentId="13_ncr:1_{E74F3C4B-C72E-4F62-AD8D-71E7DDB3ED2E}" xr6:coauthVersionLast="47" xr6:coauthVersionMax="47" xr10:uidLastSave="{00000000-0000-0000-0000-000000000000}"/>
  <bookViews>
    <workbookView xWindow="-22170" yWindow="2010" windowWidth="21120" windowHeight="14655" xr2:uid="{00000000-000D-0000-FFFF-FFFF00000000}"/>
  </bookViews>
  <sheets>
    <sheet name="About" sheetId="1" r:id="rId1"/>
    <sheet name="calcs" sheetId="2" r:id="rId2"/>
    <sheet name="BSfHPbP" sheetId="5" r:id="rId3"/>
  </sheets>
  <definedNames>
    <definedName name="btu_per_kwh">#REF!</definedName>
    <definedName name="hours_per_year">#REF!</definedName>
    <definedName name="usd_year_conv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2" l="1"/>
  <c r="B4" i="2"/>
  <c r="B6" i="2" s="1"/>
  <c r="B7" i="2" s="1"/>
  <c r="C7" i="5" s="1"/>
  <c r="D7" i="5" s="1"/>
  <c r="E7" i="5" s="1"/>
  <c r="F7" i="5" s="1"/>
  <c r="G7" i="5" s="1"/>
  <c r="H7" i="5" s="1"/>
  <c r="I7" i="5" s="1"/>
  <c r="J7" i="5" s="1"/>
  <c r="K7" i="5" s="1"/>
  <c r="L7" i="5" s="1"/>
  <c r="M7" i="5" s="1"/>
  <c r="A20" i="1"/>
  <c r="B10" i="2" l="1"/>
  <c r="B12" i="2" s="1"/>
  <c r="B13" i="2" s="1"/>
  <c r="C8" i="5" s="1"/>
  <c r="D8" i="5" s="1"/>
  <c r="E8" i="5" s="1"/>
  <c r="F8" i="5" s="1"/>
  <c r="G8" i="5" s="1"/>
  <c r="H8" i="5" s="1"/>
  <c r="I8" i="5" s="1"/>
  <c r="J8" i="5" s="1"/>
  <c r="K8" i="5" s="1"/>
  <c r="L8" i="5" s="1"/>
  <c r="M8" i="5" s="1"/>
</calcChain>
</file>

<file path=xl/sharedStrings.xml><?xml version="1.0" encoding="utf-8"?>
<sst xmlns="http://schemas.openxmlformats.org/spreadsheetml/2006/main" count="31" uniqueCount="27">
  <si>
    <t>Source:</t>
  </si>
  <si>
    <t>electrolysis</t>
  </si>
  <si>
    <t>natural gas reforming</t>
  </si>
  <si>
    <t>coal gasification</t>
  </si>
  <si>
    <t>biomass gasification</t>
  </si>
  <si>
    <t>Notes</t>
  </si>
  <si>
    <t>Currency Year</t>
  </si>
  <si>
    <t>electrolysis with guaranteed clean electricity</t>
  </si>
  <si>
    <t>natural gas reforming with CCS</t>
  </si>
  <si>
    <t>hydrocarbon partial oxidation</t>
  </si>
  <si>
    <t>Subsidy ($/BTU)</t>
  </si>
  <si>
    <t>(none)</t>
  </si>
  <si>
    <t>The IRA created the 45V tax credit for clean hydrogen production</t>
  </si>
  <si>
    <t>in 2022. The subsidy is inflation adjusted to 2022 dollars.</t>
  </si>
  <si>
    <t>We convert from 2022 to 2012 dollars:</t>
  </si>
  <si>
    <t>Subsidy value</t>
  </si>
  <si>
    <t>BTU per lb hydrogen</t>
  </si>
  <si>
    <t>lb per kg</t>
  </si>
  <si>
    <t>BTU per kg</t>
  </si>
  <si>
    <t>$ per BTU (2012 $)</t>
  </si>
  <si>
    <t>Green hydrogen $ per kg (2022 $)</t>
  </si>
  <si>
    <t>Blue hydrogen $ per kg (2022 $)</t>
  </si>
  <si>
    <t>Relevant Conversion Factors</t>
  </si>
  <si>
    <t>gallons per U.S. barrel</t>
  </si>
  <si>
    <t>BTU/MWh (pure unit conversion, not a heat rate)</t>
  </si>
  <si>
    <t>btu/lb H2</t>
  </si>
  <si>
    <t>BSfHPbP BAU Subsidy for Hydrogen Production by Pathway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</si>
</sst>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11" fontId="0" fillId="0" borderId="0" xfId="0" applyNumberFormat="1"/>
    <xf numFmtId="0" fontId="1" fillId="2" borderId="0" xfId="0" applyFont="1" applyFill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tabSelected="1" workbookViewId="0">
      <selection activeCell="B25" sqref="B25"/>
    </sheetView>
  </sheetViews>
  <sheetFormatPr defaultRowHeight="15" x14ac:dyDescent="0.25"/>
  <cols>
    <col min="2" max="2" width="45.85546875" customWidth="1"/>
  </cols>
  <sheetData>
    <row r="1" spans="1:2" x14ac:dyDescent="0.25">
      <c r="A1" s="1" t="s">
        <v>26</v>
      </c>
    </row>
    <row r="3" spans="1:2" x14ac:dyDescent="0.25">
      <c r="A3" s="1" t="s">
        <v>0</v>
      </c>
      <c r="B3" t="s">
        <v>11</v>
      </c>
    </row>
    <row r="4" spans="1:2" x14ac:dyDescent="0.25">
      <c r="B4" s="2"/>
    </row>
    <row r="6" spans="1:2" x14ac:dyDescent="0.25">
      <c r="B6" s="3"/>
    </row>
    <row r="9" spans="1:2" x14ac:dyDescent="0.25">
      <c r="A9" s="1" t="s">
        <v>5</v>
      </c>
    </row>
    <row r="11" spans="1:2" x14ac:dyDescent="0.25">
      <c r="A11" s="1" t="s">
        <v>6</v>
      </c>
    </row>
    <row r="12" spans="1:2" x14ac:dyDescent="0.25">
      <c r="A12" t="s">
        <v>12</v>
      </c>
    </row>
    <row r="13" spans="1:2" x14ac:dyDescent="0.25">
      <c r="A13" t="s">
        <v>13</v>
      </c>
    </row>
    <row r="15" spans="1:2" x14ac:dyDescent="0.25">
      <c r="A15" t="s">
        <v>14</v>
      </c>
    </row>
    <row r="16" spans="1:2" x14ac:dyDescent="0.25">
      <c r="A16">
        <v>0.78452102304761584</v>
      </c>
    </row>
    <row r="18" spans="1:2" x14ac:dyDescent="0.25">
      <c r="A18" s="6" t="s">
        <v>22</v>
      </c>
      <c r="B18" s="7"/>
    </row>
    <row r="19" spans="1:2" x14ac:dyDescent="0.25">
      <c r="A19">
        <v>42</v>
      </c>
      <c r="B19" t="s">
        <v>23</v>
      </c>
    </row>
    <row r="20" spans="1:2" x14ac:dyDescent="0.25">
      <c r="A20">
        <f>3.41214*10^6</f>
        <v>3412140</v>
      </c>
      <c r="B20" t="s">
        <v>24</v>
      </c>
    </row>
    <row r="21" spans="1:2" x14ac:dyDescent="0.25">
      <c r="A21">
        <v>61013</v>
      </c>
      <c r="B21" t="s">
        <v>25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13"/>
  <sheetViews>
    <sheetView zoomScaleNormal="100" workbookViewId="0">
      <selection activeCell="B14" sqref="B14"/>
    </sheetView>
  </sheetViews>
  <sheetFormatPr defaultRowHeight="15" x14ac:dyDescent="0.25"/>
  <cols>
    <col min="1" max="1" width="30.5703125" bestFit="1" customWidth="1"/>
    <col min="2" max="13" width="9.28515625" customWidth="1"/>
  </cols>
  <sheetData>
    <row r="2" spans="1:2" x14ac:dyDescent="0.25">
      <c r="B2" t="s">
        <v>15</v>
      </c>
    </row>
    <row r="3" spans="1:2" x14ac:dyDescent="0.25">
      <c r="A3" t="s">
        <v>20</v>
      </c>
      <c r="B3">
        <v>3</v>
      </c>
    </row>
    <row r="4" spans="1:2" x14ac:dyDescent="0.25">
      <c r="A4" t="s">
        <v>16</v>
      </c>
      <c r="B4">
        <f>About!A21</f>
        <v>61013</v>
      </c>
    </row>
    <row r="5" spans="1:2" x14ac:dyDescent="0.25">
      <c r="A5" t="s">
        <v>17</v>
      </c>
      <c r="B5">
        <v>2.2046199999999998</v>
      </c>
    </row>
    <row r="6" spans="1:2" x14ac:dyDescent="0.25">
      <c r="A6" t="s">
        <v>18</v>
      </c>
      <c r="B6">
        <f>B4*B5</f>
        <v>134510.48006</v>
      </c>
    </row>
    <row r="7" spans="1:2" x14ac:dyDescent="0.25">
      <c r="A7" t="s">
        <v>19</v>
      </c>
      <c r="B7">
        <f>B3/B6*About!A16</f>
        <v>1.7497246817445102E-5</v>
      </c>
    </row>
    <row r="9" spans="1:2" x14ac:dyDescent="0.25">
      <c r="A9" t="s">
        <v>21</v>
      </c>
      <c r="B9">
        <v>0.75</v>
      </c>
    </row>
    <row r="10" spans="1:2" x14ac:dyDescent="0.25">
      <c r="A10" t="s">
        <v>16</v>
      </c>
      <c r="B10">
        <f>B4</f>
        <v>61013</v>
      </c>
    </row>
    <row r="11" spans="1:2" x14ac:dyDescent="0.25">
      <c r="A11" t="s">
        <v>17</v>
      </c>
      <c r="B11">
        <f>B5</f>
        <v>2.2046199999999998</v>
      </c>
    </row>
    <row r="12" spans="1:2" x14ac:dyDescent="0.25">
      <c r="A12" t="s">
        <v>18</v>
      </c>
      <c r="B12">
        <f>B10*B11</f>
        <v>134510.48006</v>
      </c>
    </row>
    <row r="13" spans="1:2" x14ac:dyDescent="0.25">
      <c r="A13" t="s">
        <v>19</v>
      </c>
      <c r="B13">
        <f>B9/B12*About!A16</f>
        <v>4.3743117043612755E-6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AE8"/>
  <sheetViews>
    <sheetView workbookViewId="0">
      <selection activeCell="L13" sqref="L13"/>
    </sheetView>
  </sheetViews>
  <sheetFormatPr defaultRowHeight="15" x14ac:dyDescent="0.25"/>
  <cols>
    <col min="1" max="1" width="30.140625" customWidth="1"/>
  </cols>
  <sheetData>
    <row r="1" spans="1:31" x14ac:dyDescent="0.25">
      <c r="A1" s="1" t="s">
        <v>10</v>
      </c>
      <c r="B1" s="4">
        <v>2021</v>
      </c>
      <c r="C1">
        <v>2022</v>
      </c>
      <c r="D1" s="4">
        <v>2023</v>
      </c>
      <c r="E1">
        <v>2024</v>
      </c>
      <c r="F1" s="4">
        <v>2025</v>
      </c>
      <c r="G1">
        <v>2026</v>
      </c>
      <c r="H1" s="4">
        <v>2027</v>
      </c>
      <c r="I1">
        <v>2028</v>
      </c>
      <c r="J1" s="4">
        <v>2029</v>
      </c>
      <c r="K1">
        <v>2030</v>
      </c>
      <c r="L1" s="4">
        <v>2031</v>
      </c>
      <c r="M1">
        <v>2032</v>
      </c>
      <c r="N1" s="4">
        <v>2033</v>
      </c>
      <c r="O1">
        <v>2034</v>
      </c>
      <c r="P1" s="4">
        <v>2035</v>
      </c>
      <c r="Q1">
        <v>2036</v>
      </c>
      <c r="R1" s="4">
        <v>2037</v>
      </c>
      <c r="S1">
        <v>2038</v>
      </c>
      <c r="T1" s="4">
        <v>2039</v>
      </c>
      <c r="U1">
        <v>2040</v>
      </c>
      <c r="V1" s="4">
        <v>2041</v>
      </c>
      <c r="W1">
        <v>2042</v>
      </c>
      <c r="X1" s="4">
        <v>2043</v>
      </c>
      <c r="Y1">
        <v>2044</v>
      </c>
      <c r="Z1" s="4">
        <v>2045</v>
      </c>
      <c r="AA1">
        <v>2046</v>
      </c>
      <c r="AB1" s="4">
        <v>2047</v>
      </c>
      <c r="AC1">
        <v>2048</v>
      </c>
      <c r="AD1" s="4">
        <v>2049</v>
      </c>
      <c r="AE1">
        <v>2050</v>
      </c>
    </row>
    <row r="2" spans="1:31" x14ac:dyDescent="0.25">
      <c r="A2" t="s">
        <v>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</row>
    <row r="3" spans="1:31" x14ac:dyDescent="0.25">
      <c r="A3" t="s">
        <v>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</row>
    <row r="4" spans="1:31" x14ac:dyDescent="0.25">
      <c r="A4" t="s">
        <v>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</row>
    <row r="5" spans="1:31" x14ac:dyDescent="0.25">
      <c r="A5" t="s">
        <v>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25">
      <c r="A6" t="s">
        <v>9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25">
      <c r="A7" t="s">
        <v>7</v>
      </c>
      <c r="B7" s="5">
        <v>0</v>
      </c>
      <c r="C7" s="5">
        <f>calcs!B7</f>
        <v>1.7497246817445102E-5</v>
      </c>
      <c r="D7" s="5">
        <f>C7</f>
        <v>1.7497246817445102E-5</v>
      </c>
      <c r="E7" s="5">
        <f t="shared" ref="E7:M7" si="0">D7</f>
        <v>1.7497246817445102E-5</v>
      </c>
      <c r="F7" s="5">
        <f t="shared" si="0"/>
        <v>1.7497246817445102E-5</v>
      </c>
      <c r="G7" s="5">
        <f t="shared" si="0"/>
        <v>1.7497246817445102E-5</v>
      </c>
      <c r="H7" s="5">
        <f t="shared" si="0"/>
        <v>1.7497246817445102E-5</v>
      </c>
      <c r="I7" s="5">
        <f t="shared" si="0"/>
        <v>1.7497246817445102E-5</v>
      </c>
      <c r="J7" s="5">
        <f t="shared" si="0"/>
        <v>1.7497246817445102E-5</v>
      </c>
      <c r="K7" s="5">
        <f t="shared" si="0"/>
        <v>1.7497246817445102E-5</v>
      </c>
      <c r="L7" s="5">
        <f t="shared" si="0"/>
        <v>1.7497246817445102E-5</v>
      </c>
      <c r="M7" s="5">
        <f t="shared" si="0"/>
        <v>1.7497246817445102E-5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31" x14ac:dyDescent="0.25">
      <c r="A8" t="s">
        <v>8</v>
      </c>
      <c r="B8" s="5">
        <v>0</v>
      </c>
      <c r="C8" s="5">
        <f>calcs!B13</f>
        <v>4.3743117043612755E-6</v>
      </c>
      <c r="D8" s="5">
        <f t="shared" ref="D8:M8" si="1">C8</f>
        <v>4.3743117043612755E-6</v>
      </c>
      <c r="E8" s="5">
        <f t="shared" si="1"/>
        <v>4.3743117043612755E-6</v>
      </c>
      <c r="F8" s="5">
        <f t="shared" si="1"/>
        <v>4.3743117043612755E-6</v>
      </c>
      <c r="G8" s="5">
        <f t="shared" si="1"/>
        <v>4.3743117043612755E-6</v>
      </c>
      <c r="H8" s="5">
        <f t="shared" si="1"/>
        <v>4.3743117043612755E-6</v>
      </c>
      <c r="I8" s="5">
        <f t="shared" si="1"/>
        <v>4.3743117043612755E-6</v>
      </c>
      <c r="J8" s="5">
        <f t="shared" si="1"/>
        <v>4.3743117043612755E-6</v>
      </c>
      <c r="K8" s="5">
        <f t="shared" si="1"/>
        <v>4.3743117043612755E-6</v>
      </c>
      <c r="L8" s="5">
        <f t="shared" si="1"/>
        <v>4.3743117043612755E-6</v>
      </c>
      <c r="M8" s="5">
        <f t="shared" si="1"/>
        <v>4.3743117043612755E-6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calcs</vt:lpstr>
      <vt:lpstr>BSfHPbP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2019-07-22T22:27:44Z</dcterms:created>
  <dcterms:modified xsi:type="dcterms:W3CDTF">2026-03-10T21:47:11Z</dcterms:modified>
</cp:coreProperties>
</file>