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hydgn\BSfHPbP\"/>
    </mc:Choice>
  </mc:AlternateContent>
  <xr:revisionPtr revIDLastSave="0" documentId="13_ncr:1_{01940525-DDC8-4DBE-919C-ECDC8C18033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calcs" sheetId="2" r:id="rId2"/>
    <sheet name="BSfHPbP" sheetId="5" r:id="rId3"/>
  </sheets>
  <definedNames>
    <definedName name="btu_per_kwh">#REF!</definedName>
    <definedName name="hours_per_year">#REF!</definedName>
    <definedName name="usd_year_conv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2" l="1"/>
  <c r="X8" i="5"/>
  <c r="B16" i="2"/>
  <c r="B23" i="2"/>
  <c r="B21" i="2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B11" i="2"/>
  <c r="B4" i="2"/>
  <c r="B6" i="2" s="1"/>
  <c r="A20" i="1"/>
  <c r="B24" i="2" l="1"/>
  <c r="AD8" i="5"/>
  <c r="AA8" i="5"/>
  <c r="Y8" i="5"/>
  <c r="V8" i="5"/>
  <c r="U8" i="5"/>
  <c r="AB8" i="5"/>
  <c r="AE8" i="5"/>
  <c r="AC8" i="5"/>
  <c r="Z8" i="5"/>
  <c r="W8" i="5"/>
  <c r="T8" i="5"/>
  <c r="B7" i="2"/>
  <c r="B30" i="2"/>
  <c r="B31" i="2" s="1"/>
  <c r="B32" i="2" s="1"/>
  <c r="B33" i="2" s="1"/>
  <c r="K7" i="5"/>
  <c r="J7" i="5"/>
  <c r="I7" i="5"/>
  <c r="G7" i="5"/>
  <c r="F7" i="5"/>
  <c r="D7" i="5"/>
  <c r="H7" i="5"/>
  <c r="E7" i="5"/>
  <c r="C7" i="5"/>
  <c r="B10" i="2"/>
  <c r="B12" i="2" s="1"/>
  <c r="B13" i="2" s="1"/>
  <c r="R8" i="5" l="1"/>
  <c r="P8" i="5"/>
  <c r="O8" i="5"/>
  <c r="N8" i="5"/>
  <c r="L8" i="5"/>
  <c r="J8" i="5"/>
  <c r="S8" i="5"/>
  <c r="Q8" i="5"/>
  <c r="M8" i="5"/>
  <c r="K8" i="5"/>
  <c r="I8" i="5"/>
  <c r="H8" i="5"/>
  <c r="G8" i="5"/>
  <c r="D8" i="5"/>
  <c r="F8" i="5"/>
  <c r="E8" i="5"/>
  <c r="C8" i="5"/>
</calcChain>
</file>

<file path=xl/sharedStrings.xml><?xml version="1.0" encoding="utf-8"?>
<sst xmlns="http://schemas.openxmlformats.org/spreadsheetml/2006/main" count="77" uniqueCount="73">
  <si>
    <t>Source:</t>
  </si>
  <si>
    <t>electrolysis</t>
  </si>
  <si>
    <t>natural gas reforming</t>
  </si>
  <si>
    <t>coal gasification</t>
  </si>
  <si>
    <t>biomass gasification</t>
  </si>
  <si>
    <t>Notes</t>
  </si>
  <si>
    <t>Currency Year</t>
  </si>
  <si>
    <t>electrolysis with guaranteed clean electricity</t>
  </si>
  <si>
    <t>natural gas reforming with CCS</t>
  </si>
  <si>
    <t>hydrocarbon partial oxidation</t>
  </si>
  <si>
    <t>Subsidy ($/BTU)</t>
  </si>
  <si>
    <t>(none)</t>
  </si>
  <si>
    <t>The IRA created the 45V tax credit for clean hydrogen production</t>
  </si>
  <si>
    <t>in 2022. The subsidy is inflation adjusted to 2022 dollars.</t>
  </si>
  <si>
    <t>We convert from 2022 to 2012 dollars:</t>
  </si>
  <si>
    <t>Subsidy value</t>
  </si>
  <si>
    <t>BTU per lb hydrogen</t>
  </si>
  <si>
    <t>lb per kg</t>
  </si>
  <si>
    <t>BTU per kg</t>
  </si>
  <si>
    <t>$ per BTU (2012 $)</t>
  </si>
  <si>
    <t>Green hydrogen $ per kg (2022 $)</t>
  </si>
  <si>
    <t>Blue hydrogen $ per kg (2022 $)</t>
  </si>
  <si>
    <t>Relevant Conversion Factors</t>
  </si>
  <si>
    <t>gallons per U.S. barrel</t>
  </si>
  <si>
    <t>BTU/MWh (pure unit conversion, not a heat rate)</t>
  </si>
  <si>
    <t>btu/lb H2</t>
  </si>
  <si>
    <t>BSfHPbP BAU Subsidy for Hydrogen Production by Pathway</t>
  </si>
  <si>
    <t>Last plant in-service year eligible: green (45V)</t>
  </si>
  <si>
    <t>2026-10-23 update (One Big Beautiful Bill Act, Pub. L. 119-21, July 4, 2025)</t>
  </si>
  <si>
    <t>Green (45V): OBBBA sec. 70511 moved the 45V construction-start deadline from before 2033 to before</t>
  </si>
  <si>
    <t>January 1, 2028 (26 U.S.C. 45V(c)(3)(C), checked on the current U.S. Code text). EPS pays this subsidy by</t>
  </si>
  <si>
    <t>the year a plant enters service and locks it in for HPSD years (Hydrogen Production Subsidies for</t>
  </si>
  <si>
    <t>Newly Built Plants and its DELAY FIXED expiry), so the row is the credit for plants ENTERING SERVICE</t>
  </si>
  <si>
    <t>in each year. With construction starting by end-2027 and the IRS 4-year continuity safe harbor (not</t>
  </si>
  <si>
    <t>re-checked against IRS guidance in this update), we</t>
  </si>
  <si>
    <t>assume qualifying plants are in service by 2030; plants entering service from 2031 get zero. Plants</t>
  </si>
  <si>
    <t>already in service keep their credit for the full 10-year period. (calcs!B15 sets the last year.)</t>
  </si>
  <si>
    <t>Blue: real SMR+CCS projects mostly claim 45Q ($85/t stored, 12 years) rather than 45V, and the two</t>
  </si>
  <si>
    <t>cannot be combined. 45Q requires construction to begin before January 1, 2033 (26 U.S.C. 45Q(d)(1);</t>
  </si>
  <si>
    <t>OBBBA sec. 70522 changed 45Q's rates and parity but not this date). The blue row is therefore a</t>
  </si>
  <si>
    <t>45Q PROXY: $0.75/kg (2022$) is about $85/t x ~8.3 kg CO2 captured per kg H2, paid for HPSD (10) years</t>
  </si>
  <si>
    <t>rather than 12. It is kept to in-service year 2032 (calcs!B16), a conservative cut for a 2032</t>
  </si>
  <si>
    <t>construction-start deadline. Grid electrolysis (row 2) stays 0: grid-average power is far above</t>
  </si>
  <si>
    <t>the 4 kg CO2e/kg 45V ceiling.</t>
  </si>
  <si>
    <t>Blue hydrogen: 45Q credit for CO2 in secure geologic storage (2026-10-23)</t>
  </si>
  <si>
    <t>45Q base amount ($/t, 26 U.S.C. 45Q(b)(1)(A), tax years 2025-2026; inflation-indexed from 2027 with 2025 base)</t>
  </si>
  <si>
    <t>Multiplier for prevailing wage and apprenticeship (45Q(h))</t>
  </si>
  <si>
    <t>45Q amount ($/t, 2025$; indexed, so constant in real 2025$)</t>
  </si>
  <si>
    <t>CPI-U annual average 2012 (BLS CUUR0000SA0)</t>
  </si>
  <si>
    <t>CPI-U annual average 2025 (BLS; 11 months, October 2025 not published)</t>
  </si>
  <si>
    <t>45Q amount ($/t CO2, 2012$)</t>
  </si>
  <si>
    <t>CO2 captured per kg H2, from the model's own inputs (copied; update if those inputs change):</t>
  </si>
  <si>
    <t>Natural gas use, SMR with CCS (BTU gas / BTU H2): hydgn/FIoHP FIoHP-ng-reforming-CCS.csv, natural gas row (1.3729 in every year)</t>
  </si>
  <si>
    <t>CO2 intensity of natural gas (g CO2 / BTU): fuels/PEI PEI-IFPEI.csv, CO2 row (no improvement in PEIIR)</t>
  </si>
  <si>
    <t>Capture rate: ccs/CCP CPPbHS.csv</t>
  </si>
  <si>
    <t>BTU per kg H2</t>
  </si>
  <si>
    <t>45Q credit ($ per kg H2, 2012$)</t>
  </si>
  <si>
    <t>45Q credit ($ per BTU H2, 2012$) - used in the BSfHPbP tab</t>
  </si>
  <si>
    <t>Eligibility: construction must begin before 2033-01-01 (45Q(d)(1)); IRS Notice 2020-12 sec. 7.05 continuity safe harbor</t>
  </si>
  <si>
    <t>Last construction-start year</t>
  </si>
  <si>
    <t>Continuity safe harbor (calendar years after construction start, Notice 2020-12 sec. 7.05)</t>
  </si>
  <si>
    <t>Last plant in-service year eligible: blue (45Q: construction-start deadline + safe harbor)</t>
  </si>
  <si>
    <t>Blue (revised 2026-10-23): the row is now an explicit 45Q representation, replacing the earlier $0.75/kg 45V-tier proxy.</t>
  </si>
  <si>
    <t>$17/t x 5 (prevailing wage and apprenticeship) = $85/t in 2025-2026, indexed for inflation from 2027 with a 2025</t>
  </si>
  <si>
    <t>base (26 U.S.C. 45Q(b)(1)(A) as amended by Pub. L. 119-21 sec. 70522, which also gave utilization/EOR the same</t>
  </si>
  <si>
    <t>rate), so it is a constant $85 in 2025 dollars; converted to 2012$ with CPI-U. Times the CO2 the model captures</t>
  </si>
  <si>
    <t>per kg H2 (calcs rows 26-33). Paid for 12 years (hydgn/HPSD blue row). Eligible for plants whose construction begins</t>
  </si>
  <si>
    <t>before 2033 and that enter service by the IRS continuity safe harbor (6 calendar years, Notice 2020-12 sec. 7.05),</t>
  </si>
  <si>
    <t>i.e. through in-service year 2038 (calcs!B16). The EPS per-ton CCS subsidy no longer pays the hydrogen sector</t>
  </si>
  <si>
    <t>(bug fix B4), so 45Q is not stacked; 45V and 45Q cannot both be claimed.</t>
  </si>
  <si>
    <t>Natural gas burned for capture (BTU per g CO2 captured): ccs/CC CC-EUpTHSCS natural gas row (NETL 2022); its CO2 is captured at the same rate</t>
  </si>
  <si>
    <t>Capture-fuel multiplier on CO2 captured: 1 / (1 - gas for capture x CO2 intensity x capture rate)</t>
  </si>
  <si>
    <t>CO2 captured (kg CO2 / kg H2), including CO2 from gas burned for capture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</si>
</sst>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/>
    </xf>
    <xf numFmtId="11" fontId="0" fillId="0" borderId="0" xfId="0" applyNumberFormat="1"/>
    <xf numFmtId="0" fontId="1" fillId="2" borderId="0" xfId="0" applyFont="1" applyFill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tabSelected="1" workbookViewId="0">
      <selection activeCell="B25" sqref="B25"/>
    </sheetView>
  </sheetViews>
  <sheetFormatPr defaultRowHeight="15" x14ac:dyDescent="0.25"/>
  <cols>
    <col min="2" max="2" width="45.85546875" customWidth="1"/>
  </cols>
  <sheetData>
    <row r="1" spans="1:2" x14ac:dyDescent="0.25">
      <c r="A1" s="1" t="s">
        <v>26</v>
      </c>
    </row>
    <row r="3" spans="1:2" x14ac:dyDescent="0.25">
      <c r="A3" s="1" t="s">
        <v>0</v>
      </c>
      <c r="B3" t="s">
        <v>11</v>
      </c>
    </row>
    <row r="4" spans="1:2" x14ac:dyDescent="0.25">
      <c r="B4" s="2"/>
    </row>
    <row r="6" spans="1:2" x14ac:dyDescent="0.25">
      <c r="B6" s="3"/>
    </row>
    <row r="9" spans="1:2" x14ac:dyDescent="0.25">
      <c r="A9" s="1" t="s">
        <v>5</v>
      </c>
    </row>
    <row r="11" spans="1:2" x14ac:dyDescent="0.25">
      <c r="A11" s="1" t="s">
        <v>6</v>
      </c>
    </row>
    <row r="12" spans="1:2" x14ac:dyDescent="0.25">
      <c r="A12" t="s">
        <v>12</v>
      </c>
    </row>
    <row r="13" spans="1:2" x14ac:dyDescent="0.25">
      <c r="A13" t="s">
        <v>13</v>
      </c>
    </row>
    <row r="15" spans="1:2" x14ac:dyDescent="0.25">
      <c r="A15" t="s">
        <v>14</v>
      </c>
    </row>
    <row r="16" spans="1:2" x14ac:dyDescent="0.25">
      <c r="A16">
        <v>0.78452102304761584</v>
      </c>
    </row>
    <row r="18" spans="1:2" x14ac:dyDescent="0.25">
      <c r="A18" s="6" t="s">
        <v>22</v>
      </c>
      <c r="B18" s="7"/>
    </row>
    <row r="19" spans="1:2" x14ac:dyDescent="0.25">
      <c r="A19">
        <v>42</v>
      </c>
      <c r="B19" t="s">
        <v>23</v>
      </c>
    </row>
    <row r="20" spans="1:2" x14ac:dyDescent="0.25">
      <c r="A20">
        <f>3.41214*10^6</f>
        <v>3412140</v>
      </c>
      <c r="B20" t="s">
        <v>24</v>
      </c>
    </row>
    <row r="21" spans="1:2" x14ac:dyDescent="0.25">
      <c r="A21">
        <v>61013</v>
      </c>
      <c r="B21" t="s">
        <v>25</v>
      </c>
    </row>
    <row r="23" spans="1:2" x14ac:dyDescent="0.25">
      <c r="A23" t="s">
        <v>28</v>
      </c>
    </row>
    <row r="24" spans="1:2" x14ac:dyDescent="0.25">
      <c r="A24" t="s">
        <v>29</v>
      </c>
    </row>
    <row r="25" spans="1:2" x14ac:dyDescent="0.25">
      <c r="A25" t="s">
        <v>30</v>
      </c>
    </row>
    <row r="26" spans="1:2" x14ac:dyDescent="0.25">
      <c r="A26" t="s">
        <v>31</v>
      </c>
    </row>
    <row r="27" spans="1:2" x14ac:dyDescent="0.25">
      <c r="A27" t="s">
        <v>32</v>
      </c>
    </row>
    <row r="28" spans="1:2" x14ac:dyDescent="0.25">
      <c r="A28" t="s">
        <v>33</v>
      </c>
    </row>
    <row r="29" spans="1:2" x14ac:dyDescent="0.25">
      <c r="A29" t="s">
        <v>34</v>
      </c>
    </row>
    <row r="30" spans="1:2" x14ac:dyDescent="0.25">
      <c r="A30" t="s">
        <v>35</v>
      </c>
    </row>
    <row r="31" spans="1:2" x14ac:dyDescent="0.25">
      <c r="A31" t="s">
        <v>36</v>
      </c>
    </row>
    <row r="32" spans="1:2" x14ac:dyDescent="0.25">
      <c r="A32" t="s">
        <v>37</v>
      </c>
    </row>
    <row r="33" spans="1:1" x14ac:dyDescent="0.25">
      <c r="A33" t="s">
        <v>38</v>
      </c>
    </row>
    <row r="34" spans="1:1" x14ac:dyDescent="0.25">
      <c r="A34" t="s">
        <v>39</v>
      </c>
    </row>
    <row r="35" spans="1:1" x14ac:dyDescent="0.25">
      <c r="A35" t="s">
        <v>40</v>
      </c>
    </row>
    <row r="36" spans="1:1" x14ac:dyDescent="0.25">
      <c r="A36" t="s">
        <v>41</v>
      </c>
    </row>
    <row r="37" spans="1:1" x14ac:dyDescent="0.25">
      <c r="A37" t="s">
        <v>42</v>
      </c>
    </row>
    <row r="38" spans="1:1" x14ac:dyDescent="0.25">
      <c r="A38" t="s">
        <v>43</v>
      </c>
    </row>
    <row r="39" spans="1:1" x14ac:dyDescent="0.25">
      <c r="A39" t="s">
        <v>62</v>
      </c>
    </row>
    <row r="40" spans="1:1" x14ac:dyDescent="0.25">
      <c r="A40" t="s">
        <v>63</v>
      </c>
    </row>
    <row r="41" spans="1:1" x14ac:dyDescent="0.25">
      <c r="A41" t="s">
        <v>64</v>
      </c>
    </row>
    <row r="42" spans="1:1" x14ac:dyDescent="0.25">
      <c r="A42" t="s">
        <v>65</v>
      </c>
    </row>
    <row r="43" spans="1:1" x14ac:dyDescent="0.25">
      <c r="A43" t="s">
        <v>66</v>
      </c>
    </row>
    <row r="44" spans="1:1" x14ac:dyDescent="0.25">
      <c r="A44" t="s">
        <v>67</v>
      </c>
    </row>
    <row r="45" spans="1:1" x14ac:dyDescent="0.25">
      <c r="A45" t="s">
        <v>68</v>
      </c>
    </row>
    <row r="46" spans="1:1" x14ac:dyDescent="0.25">
      <c r="A46" t="s">
        <v>69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39"/>
  <sheetViews>
    <sheetView zoomScaleNormal="100" workbookViewId="0">
      <selection activeCell="B14" sqref="B14"/>
    </sheetView>
  </sheetViews>
  <sheetFormatPr defaultRowHeight="15" x14ac:dyDescent="0.25"/>
  <cols>
    <col min="1" max="1" width="30.5703125" bestFit="1" customWidth="1"/>
    <col min="2" max="13" width="9.28515625" customWidth="1"/>
  </cols>
  <sheetData>
    <row r="2" spans="1:2" x14ac:dyDescent="0.25">
      <c r="B2" t="s">
        <v>15</v>
      </c>
    </row>
    <row r="3" spans="1:2" x14ac:dyDescent="0.25">
      <c r="A3" t="s">
        <v>20</v>
      </c>
      <c r="B3">
        <v>3</v>
      </c>
    </row>
    <row r="4" spans="1:2" x14ac:dyDescent="0.25">
      <c r="A4" t="s">
        <v>16</v>
      </c>
      <c r="B4">
        <f>About!A21</f>
        <v>61013</v>
      </c>
    </row>
    <row r="5" spans="1:2" x14ac:dyDescent="0.25">
      <c r="A5" t="s">
        <v>17</v>
      </c>
      <c r="B5">
        <v>2.2046199999999998</v>
      </c>
    </row>
    <row r="6" spans="1:2" x14ac:dyDescent="0.25">
      <c r="A6" t="s">
        <v>18</v>
      </c>
      <c r="B6">
        <f>B4*B5</f>
        <v>134510.48006</v>
      </c>
    </row>
    <row r="7" spans="1:2" x14ac:dyDescent="0.25">
      <c r="A7" t="s">
        <v>19</v>
      </c>
      <c r="B7">
        <f>B3/B6*About!A16</f>
        <v>1.7497246817445102E-5</v>
      </c>
    </row>
    <row r="9" spans="1:2" x14ac:dyDescent="0.25">
      <c r="A9" t="s">
        <v>21</v>
      </c>
      <c r="B9">
        <v>0.75</v>
      </c>
    </row>
    <row r="10" spans="1:2" x14ac:dyDescent="0.25">
      <c r="A10" t="s">
        <v>16</v>
      </c>
      <c r="B10">
        <f>B4</f>
        <v>61013</v>
      </c>
    </row>
    <row r="11" spans="1:2" x14ac:dyDescent="0.25">
      <c r="A11" t="s">
        <v>17</v>
      </c>
      <c r="B11">
        <f>B5</f>
        <v>2.2046199999999998</v>
      </c>
    </row>
    <row r="12" spans="1:2" x14ac:dyDescent="0.25">
      <c r="A12" t="s">
        <v>18</v>
      </c>
      <c r="B12">
        <f>B10*B11</f>
        <v>134510.48006</v>
      </c>
    </row>
    <row r="13" spans="1:2" x14ac:dyDescent="0.25">
      <c r="A13" t="s">
        <v>19</v>
      </c>
      <c r="B13">
        <f>B9/B12*About!A16</f>
        <v>4.3743117043612755E-6</v>
      </c>
    </row>
    <row r="15" spans="1:2" x14ac:dyDescent="0.25">
      <c r="A15" t="s">
        <v>27</v>
      </c>
      <c r="B15">
        <v>2030</v>
      </c>
    </row>
    <row r="16" spans="1:2" x14ac:dyDescent="0.25">
      <c r="A16" t="s">
        <v>61</v>
      </c>
      <c r="B16">
        <f>B36+B37</f>
        <v>2038</v>
      </c>
    </row>
    <row r="18" spans="1:2" x14ac:dyDescent="0.25">
      <c r="A18" t="s">
        <v>44</v>
      </c>
    </row>
    <row r="19" spans="1:2" x14ac:dyDescent="0.25">
      <c r="A19" t="s">
        <v>45</v>
      </c>
      <c r="B19">
        <v>17</v>
      </c>
    </row>
    <row r="20" spans="1:2" x14ac:dyDescent="0.25">
      <c r="A20" t="s">
        <v>46</v>
      </c>
      <c r="B20">
        <v>5</v>
      </c>
    </row>
    <row r="21" spans="1:2" x14ac:dyDescent="0.25">
      <c r="A21" t="s">
        <v>47</v>
      </c>
      <c r="B21">
        <f>B19*B20</f>
        <v>85</v>
      </c>
    </row>
    <row r="22" spans="1:2" x14ac:dyDescent="0.25">
      <c r="A22" t="s">
        <v>48</v>
      </c>
      <c r="B22">
        <v>229.59399999999999</v>
      </c>
    </row>
    <row r="23" spans="1:2" x14ac:dyDescent="0.25">
      <c r="A23" t="s">
        <v>49</v>
      </c>
      <c r="B23">
        <f>AVERAGE(317.671,319.082,319.799,320.795,321.465,322.561,323.048,323.976,324.8,324.122,324.054)</f>
        <v>321.94299999999998</v>
      </c>
    </row>
    <row r="24" spans="1:2" x14ac:dyDescent="0.25">
      <c r="A24" t="s">
        <v>50</v>
      </c>
      <c r="B24">
        <f>B21*B22/B23</f>
        <v>60.617842288852373</v>
      </c>
    </row>
    <row r="26" spans="1:2" x14ac:dyDescent="0.25">
      <c r="A26" t="s">
        <v>51</v>
      </c>
    </row>
    <row r="27" spans="1:2" x14ac:dyDescent="0.25">
      <c r="A27" t="s">
        <v>52</v>
      </c>
      <c r="B27">
        <v>1.3729</v>
      </c>
    </row>
    <row r="28" spans="1:2" x14ac:dyDescent="0.25">
      <c r="A28" t="s">
        <v>53</v>
      </c>
      <c r="B28">
        <v>5.3060000000000003E-2</v>
      </c>
    </row>
    <row r="29" spans="1:2" x14ac:dyDescent="0.25">
      <c r="A29" t="s">
        <v>54</v>
      </c>
      <c r="B29">
        <v>0.85</v>
      </c>
    </row>
    <row r="30" spans="1:2" x14ac:dyDescent="0.25">
      <c r="A30" t="s">
        <v>55</v>
      </c>
      <c r="B30">
        <f>B6</f>
        <v>134510.48006</v>
      </c>
    </row>
    <row r="31" spans="1:2" x14ac:dyDescent="0.25">
      <c r="A31" t="s">
        <v>72</v>
      </c>
      <c r="B31">
        <f>B27*B28*B29*B30/1000*B39</f>
        <v>8.787529361017393</v>
      </c>
    </row>
    <row r="32" spans="1:2" x14ac:dyDescent="0.25">
      <c r="A32" t="s">
        <v>56</v>
      </c>
      <c r="B32">
        <f>B24*B31/1000</f>
        <v>0.53268106891481204</v>
      </c>
    </row>
    <row r="33" spans="1:2" x14ac:dyDescent="0.25">
      <c r="A33" t="s">
        <v>57</v>
      </c>
      <c r="B33">
        <f>B32/B30</f>
        <v>3.9601454747407286E-6</v>
      </c>
    </row>
    <row r="35" spans="1:2" x14ac:dyDescent="0.25">
      <c r="A35" t="s">
        <v>58</v>
      </c>
    </row>
    <row r="36" spans="1:2" x14ac:dyDescent="0.25">
      <c r="A36" t="s">
        <v>59</v>
      </c>
      <c r="B36">
        <v>2032</v>
      </c>
    </row>
    <row r="37" spans="1:2" x14ac:dyDescent="0.25">
      <c r="A37" t="s">
        <v>60</v>
      </c>
      <c r="B37">
        <v>6</v>
      </c>
    </row>
    <row r="38" spans="1:2" x14ac:dyDescent="0.25">
      <c r="A38" t="s">
        <v>70</v>
      </c>
      <c r="B38">
        <v>1.1575132990000001</v>
      </c>
    </row>
    <row r="39" spans="1:2" x14ac:dyDescent="0.25">
      <c r="A39" t="s">
        <v>71</v>
      </c>
      <c r="B39">
        <f>1/(1-B38*B28*B29)</f>
        <v>1.0550804843876442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E8"/>
  <sheetViews>
    <sheetView workbookViewId="0">
      <selection activeCell="L13" sqref="L13"/>
    </sheetView>
  </sheetViews>
  <sheetFormatPr defaultRowHeight="15" x14ac:dyDescent="0.25"/>
  <cols>
    <col min="1" max="1" width="30.140625" customWidth="1"/>
  </cols>
  <sheetData>
    <row r="1" spans="1:31" x14ac:dyDescent="0.25">
      <c r="A1" s="1" t="s">
        <v>10</v>
      </c>
      <c r="B1" s="4">
        <v>2021</v>
      </c>
      <c r="C1">
        <v>2022</v>
      </c>
      <c r="D1" s="4">
        <v>2023</v>
      </c>
      <c r="E1">
        <v>2024</v>
      </c>
      <c r="F1" s="4">
        <v>2025</v>
      </c>
      <c r="G1">
        <v>2026</v>
      </c>
      <c r="H1" s="4">
        <v>2027</v>
      </c>
      <c r="I1">
        <v>2028</v>
      </c>
      <c r="J1" s="4">
        <v>2029</v>
      </c>
      <c r="K1">
        <v>2030</v>
      </c>
      <c r="L1" s="4">
        <v>2031</v>
      </c>
      <c r="M1">
        <v>2032</v>
      </c>
      <c r="N1" s="4">
        <v>2033</v>
      </c>
      <c r="O1">
        <v>2034</v>
      </c>
      <c r="P1" s="4">
        <v>2035</v>
      </c>
      <c r="Q1">
        <v>2036</v>
      </c>
      <c r="R1" s="4">
        <v>2037</v>
      </c>
      <c r="S1">
        <v>2038</v>
      </c>
      <c r="T1" s="4">
        <v>2039</v>
      </c>
      <c r="U1">
        <v>2040</v>
      </c>
      <c r="V1" s="4">
        <v>2041</v>
      </c>
      <c r="W1">
        <v>2042</v>
      </c>
      <c r="X1" s="4">
        <v>2043</v>
      </c>
      <c r="Y1">
        <v>2044</v>
      </c>
      <c r="Z1" s="4">
        <v>2045</v>
      </c>
      <c r="AA1">
        <v>2046</v>
      </c>
      <c r="AB1" s="4">
        <v>2047</v>
      </c>
      <c r="AC1">
        <v>2048</v>
      </c>
      <c r="AD1" s="4">
        <v>2049</v>
      </c>
      <c r="AE1">
        <v>2050</v>
      </c>
    </row>
    <row r="2" spans="1:31" x14ac:dyDescent="0.25">
      <c r="A2" t="s">
        <v>1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</row>
    <row r="3" spans="1:31" x14ac:dyDescent="0.25">
      <c r="A3" t="s">
        <v>2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25">
      <c r="A4" t="s">
        <v>3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</row>
    <row r="5" spans="1:31" x14ac:dyDescent="0.25">
      <c r="A5" t="s">
        <v>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25">
      <c r="A6" t="s">
        <v>9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</row>
    <row r="7" spans="1:31" x14ac:dyDescent="0.25">
      <c r="A7" t="s">
        <v>7</v>
      </c>
      <c r="B7" s="5">
        <v>0</v>
      </c>
      <c r="C7" s="5">
        <f>IF(C$1&lt;=calcs!$B$15,calcs!$B$7,0)</f>
        <v>1.7497246817445102E-5</v>
      </c>
      <c r="D7" s="5">
        <f>IF(D$1&lt;=calcs!$B$15,calcs!$B$7,0)</f>
        <v>1.7497246817445102E-5</v>
      </c>
      <c r="E7" s="5">
        <f>IF(E$1&lt;=calcs!$B$15,calcs!$B$7,0)</f>
        <v>1.7497246817445102E-5</v>
      </c>
      <c r="F7" s="5">
        <f>IF(F$1&lt;=calcs!$B$15,calcs!$B$7,0)</f>
        <v>1.7497246817445102E-5</v>
      </c>
      <c r="G7" s="5">
        <f>IF(G$1&lt;=calcs!$B$15,calcs!$B$7,0)</f>
        <v>1.7497246817445102E-5</v>
      </c>
      <c r="H7" s="5">
        <f>IF(H$1&lt;=calcs!$B$15,calcs!$B$7,0)</f>
        <v>1.7497246817445102E-5</v>
      </c>
      <c r="I7" s="5">
        <f>IF(I$1&lt;=calcs!$B$15,calcs!$B$7,0)</f>
        <v>1.7497246817445102E-5</v>
      </c>
      <c r="J7" s="5">
        <f>IF(J$1&lt;=calcs!$B$15,calcs!$B$7,0)</f>
        <v>1.7497246817445102E-5</v>
      </c>
      <c r="K7" s="5">
        <f>IF(K$1&lt;=calcs!$B$15,calcs!$B$7,0)</f>
        <v>1.7497246817445102E-5</v>
      </c>
      <c r="L7" s="5">
        <f>IF(L$1&lt;=calcs!$B$15,calcs!$B$7,0)</f>
        <v>0</v>
      </c>
      <c r="M7" s="5">
        <f>IF(M$1&lt;=calcs!$B$15,calcs!$B$7,0)</f>
        <v>0</v>
      </c>
      <c r="N7" s="5">
        <f>IF(N$1&lt;=calcs!$B$15,calcs!$B$7,0)</f>
        <v>0</v>
      </c>
      <c r="O7" s="5">
        <f>IF(O$1&lt;=calcs!$B$15,calcs!$B$7,0)</f>
        <v>0</v>
      </c>
      <c r="P7" s="5">
        <f>IF(P$1&lt;=calcs!$B$15,calcs!$B$7,0)</f>
        <v>0</v>
      </c>
      <c r="Q7" s="5">
        <f>IF(Q$1&lt;=calcs!$B$15,calcs!$B$7,0)</f>
        <v>0</v>
      </c>
      <c r="R7" s="5">
        <f>IF(R$1&lt;=calcs!$B$15,calcs!$B$7,0)</f>
        <v>0</v>
      </c>
      <c r="S7" s="5">
        <f>IF(S$1&lt;=calcs!$B$15,calcs!$B$7,0)</f>
        <v>0</v>
      </c>
      <c r="T7" s="5">
        <f>IF(T$1&lt;=calcs!$B$15,calcs!$B$7,0)</f>
        <v>0</v>
      </c>
      <c r="U7" s="5">
        <f>IF(U$1&lt;=calcs!$B$15,calcs!$B$7,0)</f>
        <v>0</v>
      </c>
      <c r="V7" s="5">
        <f>IF(V$1&lt;=calcs!$B$15,calcs!$B$7,0)</f>
        <v>0</v>
      </c>
      <c r="W7" s="5">
        <f>IF(W$1&lt;=calcs!$B$15,calcs!$B$7,0)</f>
        <v>0</v>
      </c>
      <c r="X7" s="5">
        <f>IF(X$1&lt;=calcs!$B$15,calcs!$B$7,0)</f>
        <v>0</v>
      </c>
      <c r="Y7" s="5">
        <f>IF(Y$1&lt;=calcs!$B$15,calcs!$B$7,0)</f>
        <v>0</v>
      </c>
      <c r="Z7" s="5">
        <f>IF(Z$1&lt;=calcs!$B$15,calcs!$B$7,0)</f>
        <v>0</v>
      </c>
      <c r="AA7" s="5">
        <f>IF(AA$1&lt;=calcs!$B$15,calcs!$B$7,0)</f>
        <v>0</v>
      </c>
      <c r="AB7" s="5">
        <f>IF(AB$1&lt;=calcs!$B$15,calcs!$B$7,0)</f>
        <v>0</v>
      </c>
      <c r="AC7" s="5">
        <f>IF(AC$1&lt;=calcs!$B$15,calcs!$B$7,0)</f>
        <v>0</v>
      </c>
      <c r="AD7" s="5">
        <f>IF(AD$1&lt;=calcs!$B$15,calcs!$B$7,0)</f>
        <v>0</v>
      </c>
      <c r="AE7" s="5">
        <f>IF(AE$1&lt;=calcs!$B$15,calcs!$B$7,0)</f>
        <v>0</v>
      </c>
    </row>
    <row r="8" spans="1:31" x14ac:dyDescent="0.25">
      <c r="A8" t="s">
        <v>8</v>
      </c>
      <c r="B8" s="5">
        <v>0</v>
      </c>
      <c r="C8" s="5">
        <f>IF(C$1&lt;=calcs!$B$16,calcs!$B$33,0)</f>
        <v>3.9601454747407286E-6</v>
      </c>
      <c r="D8" s="5">
        <f>IF(D$1&lt;=calcs!$B$16,calcs!$B$33,0)</f>
        <v>3.9601454747407286E-6</v>
      </c>
      <c r="E8" s="5">
        <f>IF(E$1&lt;=calcs!$B$16,calcs!$B$33,0)</f>
        <v>3.9601454747407286E-6</v>
      </c>
      <c r="F8" s="5">
        <f>IF(F$1&lt;=calcs!$B$16,calcs!$B$33,0)</f>
        <v>3.9601454747407286E-6</v>
      </c>
      <c r="G8" s="5">
        <f>IF(G$1&lt;=calcs!$B$16,calcs!$B$33,0)</f>
        <v>3.9601454747407286E-6</v>
      </c>
      <c r="H8" s="5">
        <f>IF(H$1&lt;=calcs!$B$16,calcs!$B$33,0)</f>
        <v>3.9601454747407286E-6</v>
      </c>
      <c r="I8" s="5">
        <f>IF(I$1&lt;=calcs!$B$16,calcs!$B$33,0)</f>
        <v>3.9601454747407286E-6</v>
      </c>
      <c r="J8" s="5">
        <f>IF(J$1&lt;=calcs!$B$16,calcs!$B$33,0)</f>
        <v>3.9601454747407286E-6</v>
      </c>
      <c r="K8" s="5">
        <f>IF(K$1&lt;=calcs!$B$16,calcs!$B$33,0)</f>
        <v>3.9601454747407286E-6</v>
      </c>
      <c r="L8" s="5">
        <f>IF(L$1&lt;=calcs!$B$16,calcs!$B$33,0)</f>
        <v>3.9601454747407286E-6</v>
      </c>
      <c r="M8" s="5">
        <f>IF(M$1&lt;=calcs!$B$16,calcs!$B$33,0)</f>
        <v>3.9601454747407286E-6</v>
      </c>
      <c r="N8" s="5">
        <f>IF(N$1&lt;=calcs!$B$16,calcs!$B$33,0)</f>
        <v>3.9601454747407286E-6</v>
      </c>
      <c r="O8" s="5">
        <f>IF(O$1&lt;=calcs!$B$16,calcs!$B$33,0)</f>
        <v>3.9601454747407286E-6</v>
      </c>
      <c r="P8" s="5">
        <f>IF(P$1&lt;=calcs!$B$16,calcs!$B$33,0)</f>
        <v>3.9601454747407286E-6</v>
      </c>
      <c r="Q8" s="5">
        <f>IF(Q$1&lt;=calcs!$B$16,calcs!$B$33,0)</f>
        <v>3.9601454747407286E-6</v>
      </c>
      <c r="R8" s="5">
        <f>IF(R$1&lt;=calcs!$B$16,calcs!$B$33,0)</f>
        <v>3.9601454747407286E-6</v>
      </c>
      <c r="S8" s="5">
        <f>IF(S$1&lt;=calcs!$B$16,calcs!$B$33,0)</f>
        <v>3.9601454747407286E-6</v>
      </c>
      <c r="T8" s="5">
        <f>IF(T$1&lt;=calcs!$B$16,calcs!$B$33,0)</f>
        <v>0</v>
      </c>
      <c r="U8" s="5">
        <f>IF(U$1&lt;=calcs!$B$16,calcs!$B$33,0)</f>
        <v>0</v>
      </c>
      <c r="V8" s="5">
        <f>IF(V$1&lt;=calcs!$B$16,calcs!$B$33,0)</f>
        <v>0</v>
      </c>
      <c r="W8" s="5">
        <f>IF(W$1&lt;=calcs!$B$16,calcs!$B$33,0)</f>
        <v>0</v>
      </c>
      <c r="X8" s="5">
        <f>IF(X$1&lt;=calcs!$B$16,calcs!$B$33,0)</f>
        <v>0</v>
      </c>
      <c r="Y8" s="5">
        <f>IF(Y$1&lt;=calcs!$B$16,calcs!$B$33,0)</f>
        <v>0</v>
      </c>
      <c r="Z8" s="5">
        <f>IF(Z$1&lt;=calcs!$B$16,calcs!$B$33,0)</f>
        <v>0</v>
      </c>
      <c r="AA8" s="5">
        <f>IF(AA$1&lt;=calcs!$B$16,calcs!$B$33,0)</f>
        <v>0</v>
      </c>
      <c r="AB8" s="5">
        <f>IF(AB$1&lt;=calcs!$B$16,calcs!$B$33,0)</f>
        <v>0</v>
      </c>
      <c r="AC8" s="5">
        <f>IF(AC$1&lt;=calcs!$B$16,calcs!$B$33,0)</f>
        <v>0</v>
      </c>
      <c r="AD8" s="5">
        <f>IF(AD$1&lt;=calcs!$B$16,calcs!$B$33,0)</f>
        <v>0</v>
      </c>
      <c r="AE8" s="5">
        <f>IF(AE$1&lt;=calcs!$B$16,calcs!$B$33,0)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calcs</vt:lpstr>
      <vt:lpstr>BSfHPbP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Dan O'Brien</cp:lastModifiedBy>
  <dcterms:created xsi:type="dcterms:W3CDTF">2019-07-22T22:27:44Z</dcterms:created>
  <dcterms:modified xsi:type="dcterms:W3CDTF">2026-10-23T17:56:14Z</dcterms:modified>
</cp:coreProperties>
</file>