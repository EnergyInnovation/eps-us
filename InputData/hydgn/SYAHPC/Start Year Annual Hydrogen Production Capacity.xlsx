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hydgn\SYAHPC\"/>
    </mc:Choice>
  </mc:AlternateContent>
  <xr:revisionPtr revIDLastSave="0" documentId="13_ncr:1_{6577AB45-5DF6-45E7-9726-5FF98A55CA3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bout" sheetId="1" r:id="rId1"/>
    <sheet name="BIFU" sheetId="6" r:id="rId2"/>
    <sheet name="SYAHPC" sheetId="5" r:id="rId3"/>
  </sheets>
  <definedNames>
    <definedName name="btu_per_kwh">#REF!</definedName>
    <definedName name="hours_per_year">#REF!</definedName>
    <definedName name="usd_year_con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2" i="5"/>
</calcChain>
</file>

<file path=xl/sharedStrings.xml><?xml version="1.0" encoding="utf-8"?>
<sst xmlns="http://schemas.openxmlformats.org/spreadsheetml/2006/main" count="55" uniqueCount="55">
  <si>
    <t>Source:</t>
  </si>
  <si>
    <t>electrolysis</t>
  </si>
  <si>
    <t>natural gas reforming</t>
  </si>
  <si>
    <t>coal gasification</t>
  </si>
  <si>
    <t>biomass gasification</t>
  </si>
  <si>
    <t>Notes</t>
  </si>
  <si>
    <t>electrolysis with guaranteed clean electricity</t>
  </si>
  <si>
    <t>natural gas reforming with CCS</t>
  </si>
  <si>
    <t>hydrocarbon partial oxidation</t>
  </si>
  <si>
    <t>BTU</t>
  </si>
  <si>
    <t>Start Year Annual Capacity</t>
  </si>
  <si>
    <t>indst/BIFU</t>
  </si>
  <si>
    <t>This variable should be equal to the total start year hydrogen fuel demand from BIFU</t>
  </si>
  <si>
    <t xml:space="preserve"> (or higher if current production facilities are running under max capacity)</t>
  </si>
  <si>
    <t>Unit: BTU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</si>
  <si>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</si>
  <si>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</si>
  <si>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</si>
  <si>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</si>
  <si>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</si>
  <si>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</si>
  <si>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</si>
  <si>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</si>
  <si>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</si>
  <si>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</si>
  <si>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</si>
  <si>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</si>
  <si>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</si>
  <si>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</si>
  <si>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</si>
  <si>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</si>
  <si>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</si>
  <si>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</si>
  <si>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</si>
  <si>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</si>
  <si>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</si>
  <si>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</si>
  <si>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</si>
  <si>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</si>
  <si>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</si>
  <si>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Time (Year)</t>
  </si>
  <si>
    <t>BAU Total Hydrogen Demand by Sector[transportation sector] : test</t>
  </si>
  <si>
    <t>BAU Total Hydrogen Demand by Sector[electricity sector] : test</t>
  </si>
  <si>
    <t>BAU Total Hydrogen Demand by Sector[residential buildings sector] : test</t>
  </si>
  <si>
    <t>BAU Total Hydrogen Demand by Sector[commercial buildings sector] : test</t>
  </si>
  <si>
    <t>BAU Total Hydrogen Demand by Sector[industry sector] : test</t>
  </si>
  <si>
    <t>BAU Total Hydrogen Demand by Sector[district heat and hydrogen sector] : test</t>
  </si>
  <si>
    <t>BAU Total Hydrogen Demand by Sector[LULUCF sector] : test</t>
  </si>
  <si>
    <t>BAU Total Hydrogen Demand by Sector[geoengineering sector] : test</t>
  </si>
  <si>
    <t>Production shares by tech</t>
  </si>
  <si>
    <t>Energy Futures Initiative</t>
  </si>
  <si>
    <t>The U.S. Hydrogen Demand Action Plan</t>
  </si>
  <si>
    <t>https://energyfuturesinitiative.org/wp-content/uploads/sites/2/2023/02/EFI-Hydrogen-Hubs-FINAL-2-1.pdf</t>
  </si>
  <si>
    <t>Figure 2</t>
  </si>
  <si>
    <t>SYAHPC Start Year Annual Hydrogen Production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</si>
</sst>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/>
    <xf numFmtId="0" fontId="3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437079</xdr:colOff>
      <xdr:row>1</xdr:row>
      <xdr:rowOff>115454</xdr:rowOff>
    </xdr:from>
    <xdr:to>
      <xdr:col>11</xdr:col>
      <xdr:colOff>211674</xdr:colOff>
      <xdr:row>17</xdr:row>
      <xdr:rowOff>162427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FBAC0-03AD-4649-9E01-F860DE0D7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7858" y="296883"/>
          <a:ext cx="4656673" cy="2949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ergyfuturesinitiative.org/wp-content/uploads/sites/2/2023/02/EFI-Hydrogen-Hubs-FINAL-2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6" sqref="B16"/>
    </sheetView>
  </sheetViews>
  <sheetFormatPr defaultRowHeight="14.5" x14ac:dyDescent="0.35"/>
  <cols>
    <col min="2" max="2" width="45.81640625" customWidth="1"/>
  </cols>
  <sheetData>
    <row r="1" spans="1:2" x14ac:dyDescent="0.35">
      <c r="A1" s="1" t="s">
        <v>54</v>
      </c>
    </row>
    <row r="3" spans="1:2" x14ac:dyDescent="0.35">
      <c r="A3" s="1" t="s">
        <v>0</v>
      </c>
      <c r="B3" t="s">
        <v>11</v>
      </c>
    </row>
    <row r="4" spans="1:2" x14ac:dyDescent="0.35">
      <c r="A4" s="1"/>
    </row>
    <row r="5" spans="1:2" x14ac:dyDescent="0.35">
      <c r="A5" s="1"/>
      <c r="B5" s="5" t="s">
        <v>49</v>
      </c>
    </row>
    <row r="6" spans="1:2" x14ac:dyDescent="0.35">
      <c r="B6" t="s">
        <v>50</v>
      </c>
    </row>
    <row r="7" spans="1:2" x14ac:dyDescent="0.35">
      <c r="B7" s="2">
        <v>2022</v>
      </c>
    </row>
    <row r="8" spans="1:2" x14ac:dyDescent="0.35">
      <c r="B8" t="s">
        <v>51</v>
      </c>
    </row>
    <row r="9" spans="1:2" x14ac:dyDescent="0.35">
      <c r="B9" s="6" t="s">
        <v>52</v>
      </c>
    </row>
    <row r="10" spans="1:2" x14ac:dyDescent="0.35">
      <c r="B10" t="s">
        <v>53</v>
      </c>
    </row>
    <row r="12" spans="1:2" x14ac:dyDescent="0.35">
      <c r="A12" s="1" t="s">
        <v>5</v>
      </c>
    </row>
    <row r="13" spans="1:2" x14ac:dyDescent="0.35">
      <c r="A13" t="s">
        <v>12</v>
      </c>
    </row>
    <row r="14" spans="1:2" x14ac:dyDescent="0.35">
      <c r="A14" t="s">
        <v>13</v>
      </c>
    </row>
  </sheetData>
  <hyperlinks>
    <hyperlink ref="B9" r:id="rId1" xr:uid="{3D4A8A29-B2AD-419F-8725-FF93E29DE55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B76C-DFC9-455B-973C-BACABC36BDD5}">
  <dimension ref="B2:C37"/>
  <sheetViews>
    <sheetView topLeftCell="A6" zoomScale="77" workbookViewId="0">
      <selection activeCell="D30" sqref="D30"/>
    </sheetView>
  </sheetViews>
  <sheetFormatPr defaultRowHeight="14.5" x14ac:dyDescent="0.35"/>
  <sheetData>
    <row r="2" spans="2:3" x14ac:dyDescent="0.35">
      <c r="B2" t="s">
        <v>14</v>
      </c>
      <c r="C2">
        <v>2021</v>
      </c>
    </row>
    <row r="3" spans="2:3" x14ac:dyDescent="0.35">
      <c r="B3" t="s">
        <v>15</v>
      </c>
      <c r="C3">
        <v>0</v>
      </c>
    </row>
    <row r="4" spans="2:3" x14ac:dyDescent="0.35">
      <c r="B4" t="s">
        <v>16</v>
      </c>
      <c r="C4">
        <v>0</v>
      </c>
    </row>
    <row r="5" spans="2:3" x14ac:dyDescent="0.35">
      <c r="B5" t="s">
        <v>17</v>
      </c>
      <c r="C5">
        <v>0</v>
      </c>
    </row>
    <row r="6" spans="2:3" x14ac:dyDescent="0.35">
      <c r="B6" t="s">
        <v>18</v>
      </c>
      <c r="C6">
        <v>0</v>
      </c>
    </row>
    <row r="7" spans="2:3" x14ac:dyDescent="0.35">
      <c r="B7" t="s">
        <v>19</v>
      </c>
      <c r="C7">
        <v>673817381738.17383</v>
      </c>
    </row>
    <row r="8" spans="2:3" x14ac:dyDescent="0.35">
      <c r="B8" t="s">
        <v>20</v>
      </c>
      <c r="C8">
        <v>0</v>
      </c>
    </row>
    <row r="9" spans="2:3" x14ac:dyDescent="0.35">
      <c r="B9" t="s">
        <v>21</v>
      </c>
      <c r="C9">
        <v>0</v>
      </c>
    </row>
    <row r="10" spans="2:3" x14ac:dyDescent="0.35">
      <c r="B10" t="s">
        <v>22</v>
      </c>
      <c r="C10">
        <v>0</v>
      </c>
    </row>
    <row r="11" spans="2:3" x14ac:dyDescent="0.35">
      <c r="B11" t="s">
        <v>23</v>
      </c>
      <c r="C11">
        <v>483583466000000</v>
      </c>
    </row>
    <row r="12" spans="2:3" x14ac:dyDescent="0.35">
      <c r="B12" t="s">
        <v>24</v>
      </c>
      <c r="C12">
        <v>238311560322698.94</v>
      </c>
    </row>
    <row r="13" spans="2:3" x14ac:dyDescent="0.35">
      <c r="B13" t="s">
        <v>25</v>
      </c>
      <c r="C13">
        <v>0</v>
      </c>
    </row>
    <row r="14" spans="2:3" x14ac:dyDescent="0.35">
      <c r="B14" t="s">
        <v>26</v>
      </c>
      <c r="C14">
        <v>0</v>
      </c>
    </row>
    <row r="15" spans="2:3" x14ac:dyDescent="0.35">
      <c r="B15" t="s">
        <v>27</v>
      </c>
      <c r="C15">
        <v>0</v>
      </c>
    </row>
    <row r="16" spans="2:3" x14ac:dyDescent="0.35">
      <c r="B16" t="s">
        <v>28</v>
      </c>
      <c r="C16">
        <v>0</v>
      </c>
    </row>
    <row r="17" spans="2:3" x14ac:dyDescent="0.35">
      <c r="B17" t="s">
        <v>29</v>
      </c>
      <c r="C17">
        <v>0</v>
      </c>
    </row>
    <row r="18" spans="2:3" x14ac:dyDescent="0.35">
      <c r="B18" t="s">
        <v>30</v>
      </c>
      <c r="C18">
        <v>0</v>
      </c>
    </row>
    <row r="19" spans="2:3" x14ac:dyDescent="0.35">
      <c r="B19" t="s">
        <v>31</v>
      </c>
      <c r="C19">
        <v>3503850385038.5039</v>
      </c>
    </row>
    <row r="20" spans="2:3" x14ac:dyDescent="0.35">
      <c r="B20" t="s">
        <v>32</v>
      </c>
      <c r="C20">
        <v>0</v>
      </c>
    </row>
    <row r="21" spans="2:3" x14ac:dyDescent="0.35">
      <c r="B21" t="s">
        <v>33</v>
      </c>
      <c r="C21">
        <v>0</v>
      </c>
    </row>
    <row r="22" spans="2:3" x14ac:dyDescent="0.35">
      <c r="B22" t="s">
        <v>34</v>
      </c>
      <c r="C22">
        <v>0</v>
      </c>
    </row>
    <row r="23" spans="2:3" x14ac:dyDescent="0.35">
      <c r="B23" t="s">
        <v>35</v>
      </c>
      <c r="C23">
        <v>0</v>
      </c>
    </row>
    <row r="24" spans="2:3" x14ac:dyDescent="0.35">
      <c r="B24" t="s">
        <v>36</v>
      </c>
      <c r="C24">
        <v>0</v>
      </c>
    </row>
    <row r="25" spans="2:3" x14ac:dyDescent="0.35">
      <c r="B25" t="s">
        <v>37</v>
      </c>
      <c r="C25">
        <v>0</v>
      </c>
    </row>
    <row r="26" spans="2:3" x14ac:dyDescent="0.35">
      <c r="B26" t="s">
        <v>38</v>
      </c>
      <c r="C26">
        <v>0</v>
      </c>
    </row>
    <row r="27" spans="2:3" x14ac:dyDescent="0.35">
      <c r="B27" t="s">
        <v>39</v>
      </c>
      <c r="C27">
        <v>0</v>
      </c>
    </row>
    <row r="29" spans="2:3" x14ac:dyDescent="0.35">
      <c r="B29" t="s">
        <v>40</v>
      </c>
      <c r="C29">
        <v>2021</v>
      </c>
    </row>
    <row r="30" spans="2:3" x14ac:dyDescent="0.35">
      <c r="B30" t="s">
        <v>41</v>
      </c>
      <c r="C30" s="4">
        <v>507088000000</v>
      </c>
    </row>
    <row r="31" spans="2:3" x14ac:dyDescent="0.35">
      <c r="B31" t="s">
        <v>42</v>
      </c>
      <c r="C31">
        <v>0</v>
      </c>
    </row>
    <row r="32" spans="2:3" x14ac:dyDescent="0.35">
      <c r="B32" t="s">
        <v>43</v>
      </c>
      <c r="C32">
        <v>0</v>
      </c>
    </row>
    <row r="33" spans="2:3" x14ac:dyDescent="0.35">
      <c r="B33" t="s">
        <v>44</v>
      </c>
      <c r="C33">
        <v>0</v>
      </c>
    </row>
    <row r="34" spans="2:3" x14ac:dyDescent="0.35">
      <c r="B34" t="s">
        <v>45</v>
      </c>
      <c r="C34" s="4">
        <v>726078000000000</v>
      </c>
    </row>
    <row r="35" spans="2:3" x14ac:dyDescent="0.35">
      <c r="B35" t="s">
        <v>46</v>
      </c>
      <c r="C35">
        <v>0</v>
      </c>
    </row>
    <row r="36" spans="2:3" x14ac:dyDescent="0.35">
      <c r="B36" t="s">
        <v>47</v>
      </c>
      <c r="C36">
        <v>0</v>
      </c>
    </row>
    <row r="37" spans="2:3" x14ac:dyDescent="0.35">
      <c r="B37" t="s">
        <v>48</v>
      </c>
      <c r="C37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67DC-846A-43A5-93A4-7633904409D9}">
  <sheetPr>
    <tabColor theme="8" tint="-0.249977111117893"/>
  </sheetPr>
  <dimension ref="A1:B8"/>
  <sheetViews>
    <sheetView tabSelected="1" zoomScale="72" workbookViewId="0">
      <selection activeCell="B3" sqref="B3"/>
    </sheetView>
  </sheetViews>
  <sheetFormatPr defaultRowHeight="14.5" x14ac:dyDescent="0.35"/>
  <cols>
    <col min="1" max="1" width="30.1796875" customWidth="1"/>
  </cols>
  <sheetData>
    <row r="1" spans="1:2" x14ac:dyDescent="0.35">
      <c r="A1" s="1" t="s">
        <v>10</v>
      </c>
      <c r="B1" s="3" t="s">
        <v>9</v>
      </c>
    </row>
    <row r="2" spans="1:2" x14ac:dyDescent="0.35">
      <c r="A2" t="s">
        <v>1</v>
      </c>
      <c r="B2" s="4">
        <f>0.5*BIFU!$C$30</f>
        <v>253544000000</v>
      </c>
    </row>
    <row r="3" spans="1:2" x14ac:dyDescent="0.35">
      <c r="A3" t="s">
        <v>2</v>
      </c>
      <c r="B3" s="4">
        <f>0.5*BIFU!$C$30+BIFU!C34</f>
        <v>726331544000000</v>
      </c>
    </row>
    <row r="4" spans="1:2" x14ac:dyDescent="0.35">
      <c r="A4" t="s">
        <v>3</v>
      </c>
      <c r="B4" s="4">
        <v>0</v>
      </c>
    </row>
    <row r="5" spans="1:2" x14ac:dyDescent="0.35">
      <c r="A5" t="s">
        <v>4</v>
      </c>
      <c r="B5" s="4">
        <v>0</v>
      </c>
    </row>
    <row r="6" spans="1:2" x14ac:dyDescent="0.35">
      <c r="A6" t="s">
        <v>8</v>
      </c>
      <c r="B6" s="4">
        <v>0</v>
      </c>
    </row>
    <row r="7" spans="1:2" x14ac:dyDescent="0.35">
      <c r="A7" t="s">
        <v>6</v>
      </c>
      <c r="B7" s="4">
        <v>0</v>
      </c>
    </row>
    <row r="8" spans="1:2" x14ac:dyDescent="0.35">
      <c r="A8" t="s">
        <v>7</v>
      </c>
      <c r="B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BIFU</vt:lpstr>
      <vt:lpstr>SYAHPC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2019-07-22T22:27:44Z</dcterms:created>
  <dcterms:modified xsi:type="dcterms:W3CDTF">2025-11-26T14:26:05Z</dcterms:modified>
</cp:coreProperties>
</file>