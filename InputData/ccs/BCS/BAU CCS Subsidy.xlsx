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Modeling\EPS\US\eps-us\InputData\ccs\BCS\"/>
    </mc:Choice>
  </mc:AlternateContent>
  <xr:revisionPtr revIDLastSave="0" documentId="13_ncr:1_{BCC5397E-7CBE-4A89-A625-51FDEE7B98C1}" xr6:coauthVersionLast="47" xr6:coauthVersionMax="47" xr10:uidLastSave="{00000000-0000-0000-0000-000000000000}"/>
  <bookViews>
    <workbookView xWindow="58815" yWindow="1155" windowWidth="22695" windowHeight="14475" activeTab="3" xr2:uid="{00000000-000D-0000-FFFF-FFFF00000000}"/>
  </bookViews>
  <sheets>
    <sheet name="About" sheetId="1" r:id="rId1"/>
    <sheet name="45Q Value" sheetId="7" r:id="rId2"/>
    <sheet name="Electricity Calculations" sheetId="5" r:id="rId3"/>
    <sheet name="BCS-BCS" sheetId="4" r:id="rId4"/>
    <sheet name="BCS-DoSfCS" sheetId="6" r:id="rId5"/>
  </sheets>
  <definedNames>
    <definedName name="solver_adj" localSheetId="0" hidden="1">About!$A$11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nwt" localSheetId="0" hidden="1">1</definedName>
    <definedName name="solver_opt" localSheetId="0" hidden="1">About!$A$9</definedName>
    <definedName name="solver_pre" localSheetId="0" hidden="1">0.000001</definedName>
    <definedName name="solver_rbv" localSheetId="0" hidden="1">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3</definedName>
    <definedName name="solver_val" localSheetId="0" hidden="1">0.15</definedName>
    <definedName name="solver_ver" localSheetId="0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2" i="4" l="1"/>
  <c r="I2" i="4" s="1"/>
  <c r="J2" i="4" s="1"/>
  <c r="K2" i="4" s="1"/>
  <c r="L2" i="4" s="1"/>
  <c r="M2" i="4" s="1"/>
  <c r="B2" i="4"/>
  <c r="B3" i="4" s="1"/>
  <c r="C2" i="4"/>
  <c r="C3" i="4" s="1"/>
  <c r="G2" i="4"/>
  <c r="F2" i="4"/>
  <c r="E35" i="1"/>
  <c r="B35" i="1"/>
  <c r="B34" i="1"/>
  <c r="E34" i="1" s="1"/>
  <c r="B33" i="1"/>
  <c r="E33" i="1" s="1"/>
  <c r="F32" i="1"/>
  <c r="E2" i="4"/>
  <c r="E3" i="4" s="1"/>
  <c r="D2" i="4"/>
  <c r="D3" i="4" s="1"/>
  <c r="AE3" i="4"/>
  <c r="AD3" i="4"/>
  <c r="AC3" i="4"/>
  <c r="AB3" i="4"/>
  <c r="AA3" i="4"/>
  <c r="Z3" i="4"/>
  <c r="Y3" i="4"/>
  <c r="X3" i="4"/>
  <c r="W3" i="4"/>
  <c r="V3" i="4"/>
  <c r="U3" i="4"/>
  <c r="T3" i="4"/>
  <c r="S3" i="4"/>
  <c r="R3" i="4"/>
  <c r="Q3" i="4"/>
  <c r="P3" i="4"/>
  <c r="O3" i="4"/>
  <c r="N3" i="4"/>
  <c r="F3" i="4" l="1"/>
  <c r="M3" i="4"/>
  <c r="L3" i="4"/>
  <c r="K3" i="4"/>
  <c r="J3" i="4"/>
  <c r="I3" i="4"/>
  <c r="H3" i="4"/>
  <c r="G3" i="4"/>
  <c r="E2" i="6"/>
  <c r="F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D2" i="6"/>
  <c r="C2" i="6"/>
  <c r="B1" i="5"/>
  <c r="B4" i="5" s="1"/>
</calcChain>
</file>

<file path=xl/sharedStrings.xml><?xml version="1.0" encoding="utf-8"?>
<sst xmlns="http://schemas.openxmlformats.org/spreadsheetml/2006/main" count="50" uniqueCount="49">
  <si>
    <t>Source:</t>
  </si>
  <si>
    <t>Notes:</t>
  </si>
  <si>
    <t>electricity sector</t>
  </si>
  <si>
    <t>industry sector</t>
  </si>
  <si>
    <t>None needed</t>
  </si>
  <si>
    <t>2022 to 2012 USD</t>
  </si>
  <si>
    <t>This variable captures any BAU subsidies for CCS, specified in dollars per ton captured.</t>
  </si>
  <si>
    <t>BCS BAU CCS Subsidy</t>
  </si>
  <si>
    <t>$ / metric ton</t>
  </si>
  <si>
    <t>45Q Tax Credit Amount</t>
  </si>
  <si>
    <t>Credit Amount</t>
  </si>
  <si>
    <t>Repayment Period for Financing</t>
  </si>
  <si>
    <t>45Q Credit Duration</t>
  </si>
  <si>
    <t>Credit Value</t>
  </si>
  <si>
    <t>For electricity, adjust the credit value based on its duration relative to the financing repayment period</t>
  </si>
  <si>
    <t>Years</t>
  </si>
  <si>
    <t>Duration</t>
  </si>
  <si>
    <t>45Q Duration</t>
  </si>
  <si>
    <t>12 years</t>
  </si>
  <si>
    <t>Historical Consumer Price Index for All Urban Consumers (CPI-U): U.S. city average, all items, index</t>
  </si>
  <si>
    <t>averages — Continued</t>
  </si>
  <si>
    <t>[1982-84=100, unless otherwise noted]</t>
  </si>
  <si>
    <t>Year</t>
  </si>
  <si>
    <t>Annual avg.</t>
  </si>
  <si>
    <t>Percent change from previous</t>
  </si>
  <si>
    <t>Multiply by to get 2012 Dollars</t>
  </si>
  <si>
    <t>Dec.</t>
  </si>
  <si>
    <t>2012............................................................................. .</t>
  </si>
  <si>
    <t>2013............................................................................. .</t>
  </si>
  <si>
    <t>2014............................................................................. .</t>
  </si>
  <si>
    <t>2015............................................................................. .</t>
  </si>
  <si>
    <t>2016............................................................................. .</t>
  </si>
  <si>
    <t>2017............................................................................. .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</si>
  <si>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</si>
  <si>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</si>
  <si>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</si>
  <si>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2021............................................................................. .</t>
  </si>
  <si>
    <t>2022............................................................................. .</t>
  </si>
  <si>
    <t>2023............................................................................. .</t>
  </si>
  <si>
    <t>2024............................................................................. .</t>
  </si>
  <si>
    <t>For geologically stored CO2</t>
  </si>
  <si>
    <t>equipment placed in service 2/8/18 to 1/1/23</t>
  </si>
  <si>
    <t>https://www.congress.gov/crs-product/IF11455</t>
  </si>
  <si>
    <t>equipment placed in service 1/1/23-1/1/33</t>
  </si>
  <si>
    <t>Future inflation assumption</t>
  </si>
  <si>
    <t>%</t>
  </si>
  <si>
    <t>2025…</t>
  </si>
  <si>
    <t>2026…</t>
  </si>
  <si>
    <t>2027…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</si>
</sst>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5" formatCode="0.000"/>
    <numFmt numFmtId="166" formatCode="#0.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2" fillId="0" borderId="0" xfId="0" applyFont="1"/>
    <xf numFmtId="0" fontId="0" fillId="0" borderId="0" xfId="0" applyAlignment="1">
      <alignment horizontal="right" wrapText="1"/>
    </xf>
    <xf numFmtId="10" fontId="0" fillId="0" borderId="0" xfId="0" applyNumberFormat="1"/>
    <xf numFmtId="2" fontId="0" fillId="0" borderId="0" xfId="2" applyNumberFormat="1" applyFont="1"/>
    <xf numFmtId="44" fontId="0" fillId="0" borderId="0" xfId="1" applyFont="1"/>
    <xf numFmtId="44" fontId="0" fillId="0" borderId="0" xfId="0" applyNumberFormat="1"/>
    <xf numFmtId="165" fontId="0" fillId="0" borderId="0" xfId="0" applyNumberFormat="1"/>
    <xf numFmtId="166" fontId="3" fillId="0" borderId="0" xfId="0" applyNumberFormat="1" applyFont="1" applyAlignment="1">
      <alignment horizontal="right"/>
    </xf>
    <xf numFmtId="2" fontId="0" fillId="0" borderId="0" xfId="0" applyNumberFormat="1"/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7"/>
  <sheetViews>
    <sheetView topLeftCell="A16" workbookViewId="0">
      <selection activeCell="H36" sqref="H36"/>
    </sheetView>
  </sheetViews>
  <sheetFormatPr defaultRowHeight="14.5" x14ac:dyDescent="0.35"/>
  <cols>
    <col min="1" max="1" width="30.36328125" customWidth="1"/>
    <col min="2" max="2" width="55.90625" customWidth="1"/>
    <col min="4" max="4" width="30.54296875" customWidth="1"/>
  </cols>
  <sheetData>
    <row r="1" spans="1:2" x14ac:dyDescent="0.35">
      <c r="A1" s="1" t="s">
        <v>7</v>
      </c>
    </row>
    <row r="3" spans="1:2" x14ac:dyDescent="0.35">
      <c r="A3" s="1" t="s">
        <v>0</v>
      </c>
      <c r="B3" t="s">
        <v>4</v>
      </c>
    </row>
    <row r="5" spans="1:2" x14ac:dyDescent="0.35">
      <c r="A5" s="1" t="s">
        <v>1</v>
      </c>
    </row>
    <row r="6" spans="1:2" x14ac:dyDescent="0.35">
      <c r="A6" t="s">
        <v>6</v>
      </c>
    </row>
    <row r="7" spans="1:2" x14ac:dyDescent="0.35">
      <c r="A7" t="s">
        <v>14</v>
      </c>
    </row>
    <row r="9" spans="1:2" x14ac:dyDescent="0.35">
      <c r="A9" s="4">
        <v>0.78500000000000003</v>
      </c>
      <c r="B9" t="s">
        <v>5</v>
      </c>
    </row>
    <row r="11" spans="1:2" x14ac:dyDescent="0.35">
      <c r="A11" s="3" t="s">
        <v>9</v>
      </c>
      <c r="B11" s="5">
        <v>85</v>
      </c>
    </row>
    <row r="13" spans="1:2" x14ac:dyDescent="0.35">
      <c r="A13" t="s">
        <v>17</v>
      </c>
      <c r="B13" t="s">
        <v>18</v>
      </c>
    </row>
    <row r="15" spans="1:2" x14ac:dyDescent="0.35">
      <c r="A15" t="s">
        <v>19</v>
      </c>
    </row>
    <row r="16" spans="1:2" x14ac:dyDescent="0.35">
      <c r="A16" t="s">
        <v>20</v>
      </c>
    </row>
    <row r="17" spans="1:6" x14ac:dyDescent="0.35">
      <c r="A17" t="s">
        <v>21</v>
      </c>
    </row>
    <row r="18" spans="1:6" x14ac:dyDescent="0.35">
      <c r="A18" t="s">
        <v>22</v>
      </c>
      <c r="B18" t="s">
        <v>23</v>
      </c>
      <c r="C18" t="s">
        <v>24</v>
      </c>
      <c r="E18" s="1" t="s">
        <v>25</v>
      </c>
    </row>
    <row r="19" spans="1:6" x14ac:dyDescent="0.35">
      <c r="C19" t="s">
        <v>26</v>
      </c>
      <c r="D19" t="s">
        <v>23</v>
      </c>
    </row>
    <row r="20" spans="1:6" x14ac:dyDescent="0.35">
      <c r="A20" t="s">
        <v>27</v>
      </c>
      <c r="B20" s="8">
        <v>229.59399999999999</v>
      </c>
      <c r="C20">
        <v>1.7</v>
      </c>
      <c r="D20">
        <v>2.1</v>
      </c>
      <c r="E20" s="7">
        <v>1</v>
      </c>
    </row>
    <row r="21" spans="1:6" x14ac:dyDescent="0.35">
      <c r="A21" t="s">
        <v>28</v>
      </c>
      <c r="B21" s="8">
        <v>232.95699999999999</v>
      </c>
      <c r="C21">
        <v>1.5</v>
      </c>
      <c r="D21">
        <v>1.5</v>
      </c>
      <c r="E21" s="7">
        <v>0.98556385942470071</v>
      </c>
    </row>
    <row r="22" spans="1:6" x14ac:dyDescent="0.35">
      <c r="A22" t="s">
        <v>29</v>
      </c>
      <c r="B22" s="8">
        <v>236.73599999999999</v>
      </c>
      <c r="C22">
        <v>0.8</v>
      </c>
      <c r="D22">
        <v>1.6</v>
      </c>
      <c r="E22" s="7">
        <v>0.96983137334414704</v>
      </c>
    </row>
    <row r="23" spans="1:6" x14ac:dyDescent="0.35">
      <c r="A23" t="s">
        <v>30</v>
      </c>
      <c r="B23" s="8">
        <v>237.017</v>
      </c>
      <c r="C23">
        <v>0.7</v>
      </c>
      <c r="D23">
        <v>0.1</v>
      </c>
      <c r="E23" s="7">
        <v>0.9686815713640794</v>
      </c>
    </row>
    <row r="24" spans="1:6" x14ac:dyDescent="0.35">
      <c r="A24" t="s">
        <v>31</v>
      </c>
      <c r="B24" s="8">
        <v>240.00700000000001</v>
      </c>
      <c r="C24">
        <v>2.1</v>
      </c>
      <c r="D24">
        <v>1.3</v>
      </c>
      <c r="E24" s="7">
        <v>0.95661376543184151</v>
      </c>
    </row>
    <row r="25" spans="1:6" x14ac:dyDescent="0.35">
      <c r="A25" t="s">
        <v>32</v>
      </c>
      <c r="B25" s="8">
        <v>245.12</v>
      </c>
      <c r="C25">
        <v>2.1</v>
      </c>
      <c r="D25">
        <v>2.1</v>
      </c>
      <c r="E25" s="7">
        <v>0.93665959530026111</v>
      </c>
    </row>
    <row r="26" spans="1:6" x14ac:dyDescent="0.35">
      <c r="A26" t="s">
        <v>33</v>
      </c>
      <c r="B26" s="8">
        <v>251.107</v>
      </c>
      <c r="C26">
        <v>1.9</v>
      </c>
      <c r="D26">
        <v>2.4</v>
      </c>
      <c r="E26" s="7">
        <v>0.9143273584567535</v>
      </c>
    </row>
    <row r="27" spans="1:6" x14ac:dyDescent="0.35">
      <c r="A27" t="s">
        <v>34</v>
      </c>
      <c r="B27" s="8">
        <v>255.65700000000001</v>
      </c>
      <c r="C27">
        <v>2.2999999999999998</v>
      </c>
      <c r="D27">
        <v>1.8</v>
      </c>
      <c r="E27" s="7">
        <v>0.89805481563188172</v>
      </c>
    </row>
    <row r="28" spans="1:6" x14ac:dyDescent="0.35">
      <c r="A28" t="s">
        <v>35</v>
      </c>
      <c r="B28" s="8">
        <v>258.81099999999998</v>
      </c>
      <c r="C28">
        <v>1.4</v>
      </c>
      <c r="D28">
        <v>1.2</v>
      </c>
      <c r="E28" s="7">
        <v>0.88711067149387013</v>
      </c>
    </row>
    <row r="29" spans="1:6" x14ac:dyDescent="0.35">
      <c r="A29" t="s">
        <v>36</v>
      </c>
      <c r="B29" s="8">
        <v>270.97000000000003</v>
      </c>
      <c r="C29">
        <v>7</v>
      </c>
      <c r="D29">
        <v>4.7</v>
      </c>
      <c r="E29" s="7">
        <v>0.84730412960844359</v>
      </c>
    </row>
    <row r="30" spans="1:6" x14ac:dyDescent="0.35">
      <c r="A30" t="s">
        <v>37</v>
      </c>
      <c r="B30" s="8">
        <v>292.65499999999997</v>
      </c>
      <c r="C30">
        <v>6.5</v>
      </c>
      <c r="D30">
        <v>8</v>
      </c>
      <c r="E30" s="7">
        <v>0.78452102304761584</v>
      </c>
    </row>
    <row r="31" spans="1:6" x14ac:dyDescent="0.35">
      <c r="A31" t="s">
        <v>38</v>
      </c>
      <c r="B31" s="8">
        <v>304.702</v>
      </c>
      <c r="E31" s="7">
        <v>0.75350342301658668</v>
      </c>
    </row>
    <row r="32" spans="1:6" x14ac:dyDescent="0.35">
      <c r="A32" t="s">
        <v>39</v>
      </c>
      <c r="B32">
        <v>313.68900000000002</v>
      </c>
      <c r="E32" s="7">
        <v>0.73191600598044548</v>
      </c>
      <c r="F32">
        <f>B20/B32</f>
        <v>0.73191600598044548</v>
      </c>
    </row>
    <row r="33" spans="1:5" x14ac:dyDescent="0.35">
      <c r="A33" t="s">
        <v>46</v>
      </c>
      <c r="B33" s="7">
        <f>B32/(1-$B$37/100)</f>
        <v>321.7323076923077</v>
      </c>
      <c r="E33" s="7">
        <f>$B$20/B33</f>
        <v>0.71361810583093443</v>
      </c>
    </row>
    <row r="34" spans="1:5" x14ac:dyDescent="0.35">
      <c r="A34" t="s">
        <v>47</v>
      </c>
      <c r="B34" s="7">
        <f>B33/(1-$B$37/100)</f>
        <v>329.9818540433925</v>
      </c>
      <c r="E34" s="7">
        <f>$B$20/B34</f>
        <v>0.69577765318516105</v>
      </c>
    </row>
    <row r="35" spans="1:5" x14ac:dyDescent="0.35">
      <c r="A35" t="s">
        <v>48</v>
      </c>
      <c r="B35" s="7">
        <f>B34/(1-$B$37/100)</f>
        <v>338.44292722399234</v>
      </c>
      <c r="E35" s="7">
        <f>$B$20/B35</f>
        <v>0.67838321185553196</v>
      </c>
    </row>
    <row r="37" spans="1:5" x14ac:dyDescent="0.35">
      <c r="A37" t="s">
        <v>44</v>
      </c>
      <c r="B37">
        <v>2.5</v>
      </c>
      <c r="C37" t="s">
        <v>45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32AA2-07A6-4879-829D-45E06644D581}">
  <dimension ref="A1:C16"/>
  <sheetViews>
    <sheetView workbookViewId="0">
      <selection activeCell="E14" sqref="E14"/>
    </sheetView>
  </sheetViews>
  <sheetFormatPr defaultRowHeight="14.5" x14ac:dyDescent="0.35"/>
  <cols>
    <col min="1" max="1" width="42" customWidth="1"/>
    <col min="2" max="2" width="38.08984375" customWidth="1"/>
    <col min="3" max="3" width="37.7265625" bestFit="1" customWidth="1"/>
  </cols>
  <sheetData>
    <row r="1" spans="1:3" x14ac:dyDescent="0.35">
      <c r="A1" t="s">
        <v>42</v>
      </c>
    </row>
    <row r="3" spans="1:3" x14ac:dyDescent="0.35">
      <c r="B3" t="s">
        <v>40</v>
      </c>
    </row>
    <row r="4" spans="1:3" x14ac:dyDescent="0.35">
      <c r="B4" t="s">
        <v>41</v>
      </c>
      <c r="C4" t="s">
        <v>43</v>
      </c>
    </row>
    <row r="5" spans="1:3" x14ac:dyDescent="0.35">
      <c r="A5">
        <v>2021</v>
      </c>
      <c r="B5">
        <v>50</v>
      </c>
    </row>
    <row r="6" spans="1:3" x14ac:dyDescent="0.35">
      <c r="A6">
        <v>2022</v>
      </c>
      <c r="B6">
        <v>50</v>
      </c>
    </row>
    <row r="7" spans="1:3" x14ac:dyDescent="0.35">
      <c r="A7">
        <v>2023</v>
      </c>
      <c r="C7">
        <v>85</v>
      </c>
    </row>
    <row r="8" spans="1:3" x14ac:dyDescent="0.35">
      <c r="A8">
        <v>2024</v>
      </c>
      <c r="C8">
        <v>85</v>
      </c>
    </row>
    <row r="9" spans="1:3" x14ac:dyDescent="0.35">
      <c r="A9">
        <v>2025</v>
      </c>
      <c r="C9">
        <v>85</v>
      </c>
    </row>
    <row r="10" spans="1:3" x14ac:dyDescent="0.35">
      <c r="A10">
        <v>2026</v>
      </c>
      <c r="C10">
        <v>85</v>
      </c>
    </row>
    <row r="11" spans="1:3" x14ac:dyDescent="0.35">
      <c r="A11">
        <v>2027</v>
      </c>
      <c r="C11">
        <v>85</v>
      </c>
    </row>
    <row r="12" spans="1:3" x14ac:dyDescent="0.35">
      <c r="A12">
        <v>2028</v>
      </c>
      <c r="C12">
        <v>85</v>
      </c>
    </row>
    <row r="13" spans="1:3" x14ac:dyDescent="0.35">
      <c r="A13">
        <v>2029</v>
      </c>
      <c r="C13">
        <v>85</v>
      </c>
    </row>
    <row r="14" spans="1:3" x14ac:dyDescent="0.35">
      <c r="A14">
        <v>2030</v>
      </c>
      <c r="C14">
        <v>85</v>
      </c>
    </row>
    <row r="15" spans="1:3" x14ac:dyDescent="0.35">
      <c r="A15">
        <v>2031</v>
      </c>
      <c r="C15">
        <v>85</v>
      </c>
    </row>
    <row r="16" spans="1:3" x14ac:dyDescent="0.35">
      <c r="A16">
        <v>2032</v>
      </c>
      <c r="C16">
        <v>85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35C55-7F27-44A6-A8A7-496D78F28576}">
  <dimension ref="A1:B4"/>
  <sheetViews>
    <sheetView workbookViewId="0">
      <selection activeCell="B3" sqref="B3"/>
    </sheetView>
  </sheetViews>
  <sheetFormatPr defaultRowHeight="14.5" x14ac:dyDescent="0.35"/>
  <cols>
    <col min="1" max="1" width="30" bestFit="1" customWidth="1"/>
  </cols>
  <sheetData>
    <row r="1" spans="1:2" x14ac:dyDescent="0.35">
      <c r="A1" t="s">
        <v>10</v>
      </c>
      <c r="B1" s="6">
        <f>About!B11</f>
        <v>85</v>
      </c>
    </row>
    <row r="2" spans="1:2" x14ac:dyDescent="0.35">
      <c r="A2" t="s">
        <v>11</v>
      </c>
      <c r="B2">
        <v>20</v>
      </c>
    </row>
    <row r="3" spans="1:2" x14ac:dyDescent="0.35">
      <c r="A3" t="s">
        <v>12</v>
      </c>
      <c r="B3">
        <v>12</v>
      </c>
    </row>
    <row r="4" spans="1:2" x14ac:dyDescent="0.35">
      <c r="A4" t="s">
        <v>13</v>
      </c>
      <c r="B4" s="6">
        <f>B1*B3/B2</f>
        <v>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AE3"/>
  <sheetViews>
    <sheetView tabSelected="1" workbookViewId="0">
      <selection activeCell="D15" sqref="D15"/>
    </sheetView>
  </sheetViews>
  <sheetFormatPr defaultRowHeight="14.5" x14ac:dyDescent="0.35"/>
  <cols>
    <col min="1" max="1" width="19.453125" customWidth="1"/>
    <col min="2" max="2" width="24.54296875" customWidth="1"/>
  </cols>
  <sheetData>
    <row r="1" spans="1:31" x14ac:dyDescent="0.35">
      <c r="A1" t="s">
        <v>8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  <c r="O1" s="2">
        <v>2034</v>
      </c>
      <c r="P1" s="2">
        <v>2035</v>
      </c>
      <c r="Q1" s="2">
        <v>2036</v>
      </c>
      <c r="R1" s="2">
        <v>2037</v>
      </c>
      <c r="S1" s="2">
        <v>2038</v>
      </c>
      <c r="T1" s="2">
        <v>2039</v>
      </c>
      <c r="U1" s="2">
        <v>2040</v>
      </c>
      <c r="V1" s="2">
        <v>2041</v>
      </c>
      <c r="W1" s="2">
        <v>2042</v>
      </c>
      <c r="X1" s="2">
        <v>2043</v>
      </c>
      <c r="Y1" s="2">
        <v>2044</v>
      </c>
      <c r="Z1" s="2">
        <v>2045</v>
      </c>
      <c r="AA1" s="2">
        <v>2046</v>
      </c>
      <c r="AB1" s="2">
        <v>2047</v>
      </c>
      <c r="AC1" s="2">
        <v>2048</v>
      </c>
      <c r="AD1" s="2">
        <v>2049</v>
      </c>
      <c r="AE1" s="2">
        <v>2050</v>
      </c>
    </row>
    <row r="2" spans="1:31" x14ac:dyDescent="0.35">
      <c r="A2" t="s">
        <v>2</v>
      </c>
      <c r="B2" s="9">
        <f>'45Q Value'!B5*About!E29</f>
        <v>42.365206480422181</v>
      </c>
      <c r="C2" s="9">
        <f>'45Q Value'!B6*About!E30</f>
        <v>39.226051152380791</v>
      </c>
      <c r="D2" s="9">
        <f>'45Q Value'!C7*About!E31</f>
        <v>64.04779095640987</v>
      </c>
      <c r="E2" s="9">
        <f>'45Q Value'!C8*About!E32</f>
        <v>62.212860508337869</v>
      </c>
      <c r="F2" s="9">
        <f>'45Q Value'!C9*About!E33</f>
        <v>60.65753899562943</v>
      </c>
      <c r="G2" s="9">
        <f>'45Q Value'!C10*About!E34</f>
        <v>59.141100520738689</v>
      </c>
      <c r="H2" s="9">
        <f>$F$2</f>
        <v>60.65753899562943</v>
      </c>
      <c r="I2" s="9">
        <f t="shared" ref="I2:M2" si="0">H2</f>
        <v>60.65753899562943</v>
      </c>
      <c r="J2" s="9">
        <f t="shared" si="0"/>
        <v>60.65753899562943</v>
      </c>
      <c r="K2" s="9">
        <f t="shared" si="0"/>
        <v>60.65753899562943</v>
      </c>
      <c r="L2" s="9">
        <f t="shared" si="0"/>
        <v>60.65753899562943</v>
      </c>
      <c r="M2" s="9">
        <f t="shared" si="0"/>
        <v>60.65753899562943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35">
      <c r="A3" t="s">
        <v>3</v>
      </c>
      <c r="B3" s="9">
        <f t="shared" ref="B3:C3" si="1">B2</f>
        <v>42.365206480422181</v>
      </c>
      <c r="C3" s="9">
        <f t="shared" si="1"/>
        <v>39.226051152380791</v>
      </c>
      <c r="D3" s="9">
        <f>D2</f>
        <v>64.04779095640987</v>
      </c>
      <c r="E3" s="9">
        <f t="shared" ref="E3:AE3" si="2">E2</f>
        <v>62.212860508337869</v>
      </c>
      <c r="F3" s="9">
        <f t="shared" si="2"/>
        <v>60.65753899562943</v>
      </c>
      <c r="G3" s="9">
        <f t="shared" si="2"/>
        <v>59.141100520738689</v>
      </c>
      <c r="H3" s="9">
        <f t="shared" si="2"/>
        <v>60.65753899562943</v>
      </c>
      <c r="I3" s="9">
        <f t="shared" si="2"/>
        <v>60.65753899562943</v>
      </c>
      <c r="J3" s="9">
        <f t="shared" si="2"/>
        <v>60.65753899562943</v>
      </c>
      <c r="K3" s="9">
        <f t="shared" si="2"/>
        <v>60.65753899562943</v>
      </c>
      <c r="L3" s="9">
        <f t="shared" si="2"/>
        <v>60.65753899562943</v>
      </c>
      <c r="M3" s="9">
        <f t="shared" si="2"/>
        <v>60.65753899562943</v>
      </c>
      <c r="N3">
        <f t="shared" si="2"/>
        <v>0</v>
      </c>
      <c r="O3">
        <f t="shared" si="2"/>
        <v>0</v>
      </c>
      <c r="P3">
        <f t="shared" si="2"/>
        <v>0</v>
      </c>
      <c r="Q3">
        <f t="shared" si="2"/>
        <v>0</v>
      </c>
      <c r="R3">
        <f t="shared" si="2"/>
        <v>0</v>
      </c>
      <c r="S3">
        <f t="shared" si="2"/>
        <v>0</v>
      </c>
      <c r="T3">
        <f t="shared" si="2"/>
        <v>0</v>
      </c>
      <c r="U3">
        <f t="shared" si="2"/>
        <v>0</v>
      </c>
      <c r="V3">
        <f t="shared" si="2"/>
        <v>0</v>
      </c>
      <c r="W3">
        <f t="shared" si="2"/>
        <v>0</v>
      </c>
      <c r="X3">
        <f t="shared" si="2"/>
        <v>0</v>
      </c>
      <c r="Y3">
        <f t="shared" si="2"/>
        <v>0</v>
      </c>
      <c r="Z3">
        <f t="shared" si="2"/>
        <v>0</v>
      </c>
      <c r="AA3">
        <f t="shared" si="2"/>
        <v>0</v>
      </c>
      <c r="AB3">
        <f t="shared" si="2"/>
        <v>0</v>
      </c>
      <c r="AC3">
        <f t="shared" si="2"/>
        <v>0</v>
      </c>
      <c r="AD3">
        <f t="shared" si="2"/>
        <v>0</v>
      </c>
      <c r="AE3">
        <f t="shared" si="2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98252-CD29-4D86-9D7F-2214C5598602}">
  <sheetPr>
    <tabColor theme="3"/>
  </sheetPr>
  <dimension ref="A1:AE2"/>
  <sheetViews>
    <sheetView workbookViewId="0">
      <selection activeCell="C32" sqref="C32"/>
    </sheetView>
  </sheetViews>
  <sheetFormatPr defaultRowHeight="14.5" x14ac:dyDescent="0.35"/>
  <sheetData>
    <row r="1" spans="1:31" x14ac:dyDescent="0.35">
      <c r="A1" t="s">
        <v>15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35">
      <c r="A2" t="s">
        <v>16</v>
      </c>
      <c r="B2">
        <v>12</v>
      </c>
      <c r="C2">
        <f>$B$2</f>
        <v>12</v>
      </c>
      <c r="D2">
        <f>$B$2</f>
        <v>12</v>
      </c>
      <c r="E2">
        <f t="shared" ref="E2:AE2" si="0">$B$2</f>
        <v>12</v>
      </c>
      <c r="F2">
        <f t="shared" si="0"/>
        <v>12</v>
      </c>
      <c r="G2">
        <f t="shared" si="0"/>
        <v>12</v>
      </c>
      <c r="H2">
        <f t="shared" si="0"/>
        <v>12</v>
      </c>
      <c r="I2">
        <f t="shared" si="0"/>
        <v>12</v>
      </c>
      <c r="J2">
        <f t="shared" si="0"/>
        <v>12</v>
      </c>
      <c r="K2">
        <f t="shared" si="0"/>
        <v>12</v>
      </c>
      <c r="L2">
        <f t="shared" si="0"/>
        <v>12</v>
      </c>
      <c r="M2">
        <f t="shared" si="0"/>
        <v>12</v>
      </c>
      <c r="N2">
        <f t="shared" si="0"/>
        <v>12</v>
      </c>
      <c r="O2">
        <f t="shared" si="0"/>
        <v>12</v>
      </c>
      <c r="P2">
        <f t="shared" si="0"/>
        <v>12</v>
      </c>
      <c r="Q2">
        <f t="shared" si="0"/>
        <v>12</v>
      </c>
      <c r="R2">
        <f t="shared" si="0"/>
        <v>12</v>
      </c>
      <c r="S2">
        <f t="shared" si="0"/>
        <v>12</v>
      </c>
      <c r="T2">
        <f t="shared" si="0"/>
        <v>12</v>
      </c>
      <c r="U2">
        <f t="shared" si="0"/>
        <v>12</v>
      </c>
      <c r="V2">
        <f t="shared" si="0"/>
        <v>12</v>
      </c>
      <c r="W2">
        <f t="shared" si="0"/>
        <v>12</v>
      </c>
      <c r="X2">
        <f t="shared" si="0"/>
        <v>12</v>
      </c>
      <c r="Y2">
        <f t="shared" si="0"/>
        <v>12</v>
      </c>
      <c r="Z2">
        <f t="shared" si="0"/>
        <v>12</v>
      </c>
      <c r="AA2">
        <f t="shared" si="0"/>
        <v>12</v>
      </c>
      <c r="AB2">
        <f t="shared" si="0"/>
        <v>12</v>
      </c>
      <c r="AC2">
        <f t="shared" si="0"/>
        <v>12</v>
      </c>
      <c r="AD2">
        <f t="shared" si="0"/>
        <v>12</v>
      </c>
      <c r="AE2">
        <f t="shared" si="0"/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45Q Value</vt:lpstr>
      <vt:lpstr>Electricity Calculations</vt:lpstr>
      <vt:lpstr>BCS-BCS</vt:lpstr>
      <vt:lpstr>BCS-DoSfCS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dcterms:created xsi:type="dcterms:W3CDTF">2014-08-18T23:28:12Z</dcterms:created>
  <dcterms:modified xsi:type="dcterms:W3CDTF">2025-06-16T18:19:09Z</dcterms:modified>
</cp:coreProperties>
</file>