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ccs\BCS\"/>
    </mc:Choice>
  </mc:AlternateContent>
  <xr:revisionPtr revIDLastSave="0" documentId="13_ncr:1_{2553FA00-BEA9-4BC5-86DD-DAE52C474F37}" xr6:coauthVersionLast="47" xr6:coauthVersionMax="47" xr10:uidLastSave="{00000000-0000-0000-0000-000000000000}"/>
  <bookViews>
    <workbookView xWindow="1560" yWindow="1560" windowWidth="21600" windowHeight="12645" activeTab="4" xr2:uid="{00000000-000D-0000-FFFF-FFFF00000000}"/>
  </bookViews>
  <sheets>
    <sheet name="About" sheetId="1" r:id="rId1"/>
    <sheet name="45Q Value" sheetId="7" r:id="rId2"/>
    <sheet name="Electricity Calculations" sheetId="5" r:id="rId3"/>
    <sheet name="Calculations" sheetId="8" r:id="rId4"/>
    <sheet name="BCS-industry" sheetId="4" r:id="rId5"/>
    <sheet name="BCS-electricity" sheetId="9" r:id="rId6"/>
    <sheet name="BCS-DoSfCS" sheetId="6" r:id="rId7"/>
  </sheets>
  <definedNames>
    <definedName name="solver_adj" localSheetId="0" hidden="1">About!$A$11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9" l="1"/>
  <c r="D20" i="9" s="1"/>
  <c r="D21" i="9" s="1"/>
  <c r="D22" i="9" s="1"/>
  <c r="E19" i="9"/>
  <c r="E20" i="9" s="1"/>
  <c r="E21" i="9" s="1"/>
  <c r="E22" i="9" s="1"/>
  <c r="F19" i="9"/>
  <c r="F20" i="9" s="1"/>
  <c r="F21" i="9" s="1"/>
  <c r="F22" i="9" s="1"/>
  <c r="G19" i="9"/>
  <c r="G20" i="9" s="1"/>
  <c r="G21" i="9" s="1"/>
  <c r="G22" i="9" s="1"/>
  <c r="H19" i="9"/>
  <c r="I19" i="9"/>
  <c r="J19" i="9"/>
  <c r="K19" i="9"/>
  <c r="L19" i="9"/>
  <c r="M19" i="9"/>
  <c r="N19" i="9"/>
  <c r="O19" i="9"/>
  <c r="O20" i="9" s="1"/>
  <c r="O21" i="9" s="1"/>
  <c r="O22" i="9" s="1"/>
  <c r="P19" i="9"/>
  <c r="P20" i="9" s="1"/>
  <c r="P21" i="9" s="1"/>
  <c r="P22" i="9" s="1"/>
  <c r="D2" i="4"/>
  <c r="E2" i="4"/>
  <c r="F2" i="4"/>
  <c r="G2" i="4"/>
  <c r="H2" i="4"/>
  <c r="I2" i="4"/>
  <c r="J2" i="4"/>
  <c r="K2" i="4"/>
  <c r="L2" i="4"/>
  <c r="M2" i="4"/>
  <c r="B3" i="8"/>
  <c r="C3" i="8" s="1"/>
  <c r="D3" i="8" s="1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E20" i="9"/>
  <c r="AE21" i="9" s="1"/>
  <c r="AE22" i="9" s="1"/>
  <c r="AD20" i="9"/>
  <c r="AD21" i="9" s="1"/>
  <c r="AD22" i="9" s="1"/>
  <c r="AC20" i="9"/>
  <c r="AC21" i="9" s="1"/>
  <c r="AC22" i="9" s="1"/>
  <c r="AB20" i="9"/>
  <c r="AB21" i="9" s="1"/>
  <c r="AB22" i="9" s="1"/>
  <c r="AA20" i="9"/>
  <c r="AA21" i="9" s="1"/>
  <c r="AA22" i="9" s="1"/>
  <c r="Z20" i="9"/>
  <c r="Z21" i="9" s="1"/>
  <c r="Z22" i="9" s="1"/>
  <c r="Y20" i="9"/>
  <c r="Y21" i="9" s="1"/>
  <c r="Y22" i="9" s="1"/>
  <c r="X20" i="9"/>
  <c r="X21" i="9" s="1"/>
  <c r="X22" i="9" s="1"/>
  <c r="W20" i="9"/>
  <c r="W21" i="9" s="1"/>
  <c r="W22" i="9" s="1"/>
  <c r="V20" i="9"/>
  <c r="V21" i="9" s="1"/>
  <c r="V22" i="9" s="1"/>
  <c r="U20" i="9"/>
  <c r="U21" i="9" s="1"/>
  <c r="U22" i="9" s="1"/>
  <c r="T20" i="9"/>
  <c r="T21" i="9" s="1"/>
  <c r="T22" i="9" s="1"/>
  <c r="S20" i="9"/>
  <c r="S21" i="9" s="1"/>
  <c r="S22" i="9" s="1"/>
  <c r="R20" i="9"/>
  <c r="R21" i="9" s="1"/>
  <c r="R22" i="9" s="1"/>
  <c r="Q20" i="9"/>
  <c r="Q21" i="9" s="1"/>
  <c r="Q22" i="9" s="1"/>
  <c r="N20" i="9"/>
  <c r="N21" i="9" s="1"/>
  <c r="N22" i="9" s="1"/>
  <c r="L2" i="8"/>
  <c r="M2" i="8" s="1"/>
  <c r="N2" i="8" s="1"/>
  <c r="O2" i="8" s="1"/>
  <c r="P2" i="8" s="1"/>
  <c r="B2" i="4"/>
  <c r="B19" i="9" s="1"/>
  <c r="B20" i="9" s="1"/>
  <c r="B21" i="9" s="1"/>
  <c r="B22" i="9" s="1"/>
  <c r="C2" i="4"/>
  <c r="C19" i="9" s="1"/>
  <c r="C20" i="9" s="1"/>
  <c r="C21" i="9" s="1"/>
  <c r="C22" i="9" s="1"/>
  <c r="B33" i="1"/>
  <c r="F32" i="1"/>
  <c r="E33" i="1" l="1"/>
  <c r="B34" i="1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D2" i="6"/>
  <c r="C2" i="6"/>
  <c r="B1" i="5"/>
  <c r="B4" i="5" s="1"/>
  <c r="B35" i="1" l="1"/>
  <c r="E35" i="1" s="1"/>
  <c r="E34" i="1"/>
  <c r="H20" i="9"/>
  <c r="H21" i="9" s="1"/>
  <c r="H22" i="9" s="1"/>
  <c r="I20" i="9" l="1"/>
  <c r="I21" i="9" s="1"/>
  <c r="I22" i="9" s="1"/>
  <c r="J20" i="9" l="1"/>
  <c r="J21" i="9" s="1"/>
  <c r="J22" i="9" s="1"/>
  <c r="K20" i="9" l="1"/>
  <c r="K21" i="9" s="1"/>
  <c r="K22" i="9" s="1"/>
  <c r="L20" i="9" l="1"/>
  <c r="L21" i="9" s="1"/>
  <c r="L22" i="9" s="1"/>
  <c r="U2" i="4" l="1"/>
  <c r="T2" i="4"/>
  <c r="S2" i="4"/>
  <c r="R2" i="4"/>
  <c r="Q2" i="4"/>
  <c r="P2" i="4"/>
  <c r="O2" i="4"/>
  <c r="N2" i="4"/>
  <c r="M20" i="9"/>
  <c r="M21" i="9" s="1"/>
  <c r="M22" i="9" s="1"/>
  <c r="AC2" i="4"/>
  <c r="AB2" i="4"/>
  <c r="AA2" i="4"/>
  <c r="Z2" i="4"/>
  <c r="X2" i="4"/>
  <c r="V2" i="4"/>
  <c r="AD2" i="4"/>
  <c r="Y2" i="4"/>
  <c r="W2" i="4"/>
  <c r="AE2" i="4"/>
</calcChain>
</file>

<file path=xl/sharedStrings.xml><?xml version="1.0" encoding="utf-8"?>
<sst xmlns="http://schemas.openxmlformats.org/spreadsheetml/2006/main" count="115" uniqueCount="113">
  <si>
    <t>Source:</t>
  </si>
  <si>
    <t>Notes:</t>
  </si>
  <si>
    <t>industry sector</t>
  </si>
  <si>
    <t>None needed</t>
  </si>
  <si>
    <t>This variable captures any BAU subsidies for CCS, specified in dollars per ton captured.</t>
  </si>
  <si>
    <t>BCS BAU CCS Subsidy</t>
  </si>
  <si>
    <t>$ / metric ton</t>
  </si>
  <si>
    <t>45Q Tax Credit Amount</t>
  </si>
  <si>
    <t>Credit Amount</t>
  </si>
  <si>
    <t>Repayment Period for Financing</t>
  </si>
  <si>
    <t>45Q Credit Duration</t>
  </si>
  <si>
    <t>Credit Value</t>
  </si>
  <si>
    <t>For electricity, adjust the credit value based on its duration relative to the financing repayment period</t>
  </si>
  <si>
    <t>Years</t>
  </si>
  <si>
    <t>Duration</t>
  </si>
  <si>
    <t>45Q Duration</t>
  </si>
  <si>
    <t>12 years</t>
  </si>
  <si>
    <t>Historical Consumer Price Index for All Urban Consumers (CPI-U): U.S. city average, all items, index</t>
  </si>
  <si>
    <t>averages — Continued</t>
  </si>
  <si>
    <t>[1982-84=100, unless otherwise noted]</t>
  </si>
  <si>
    <t>Year</t>
  </si>
  <si>
    <t>Annual avg.</t>
  </si>
  <si>
    <t>Percent change from previous</t>
  </si>
  <si>
    <t>Multiply by to get 2012 Dollars</t>
  </si>
  <si>
    <t>Dec.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</si>
  <si>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</si>
  <si>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</si>
  <si>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</si>
  <si>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</si>
  <si>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</si>
  <si>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</si>
  <si>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</si>
  <si>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</si>
  <si>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</si>
  <si>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</si>
  <si>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</si>
  <si>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</si>
  <si>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</si>
  <si>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For geologically stored CO2</t>
  </si>
  <si>
    <t>equipment placed in service 2/8/18 to 1/1/23</t>
  </si>
  <si>
    <t>https://www.congress.gov/crs-product/IF11455</t>
  </si>
  <si>
    <t>equipment placed in service 1/1/23-1/1/33</t>
  </si>
  <si>
    <t>Future inflation assumption</t>
  </si>
  <si>
    <t>%</t>
  </si>
  <si>
    <t>2025…</t>
  </si>
  <si>
    <t>2026…</t>
  </si>
  <si>
    <t>2027…</t>
  </si>
  <si>
    <t>45Q phase-in period</t>
  </si>
  <si>
    <t>45Q phase-out period</t>
  </si>
  <si>
    <t>*We use the data below for calculating the fraction of CCS potential achieved by industry. We do not subscript 45Q tax credits by sub-industry, so we must</t>
  </si>
  <si>
    <t>choose a representative value for determining how to apply a duration multiplier. Since most of the incremental CCS comes online between 2030-2035, we use that timeline.</t>
  </si>
  <si>
    <t>The potentials below use the "High emissions" values from the Rhodium figure above and are presented as MMT of capture capacity.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</si>
  <si>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</si>
  <si>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</si>
  <si>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</si>
  <si>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</si>
  <si>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</si>
  <si>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</si>
  <si>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</si>
  <si>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</si>
  <si>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19 - energy</t>
  </si>
  <si>
    <t>*mapped to energy-related emissions rather than process emissions, since CCS equipment is installed on crackers</t>
  </si>
  <si>
    <t>refined petroleum and coke 19 - process</t>
  </si>
  <si>
    <t>*mapped to process emissions</t>
  </si>
  <si>
    <t>chemicals 20</t>
  </si>
  <si>
    <t>*ammonia not counted because we assume this industry is decarbonized through the hydrogen PTC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</si>
  <si>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</si>
  <si>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</si>
  <si>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</si>
  <si>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</si>
  <si>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</si>
  <si>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</si>
  <si>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</si>
  <si>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</si>
  <si>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</si>
  <si>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</si>
  <si>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</si>
  <si>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</si>
  <si>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</si>
  <si>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</si>
  <si>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</si>
  <si>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45Q tax credits include a commenced construction provision. Based on EIA data, we assume a construction timeline</t>
  </si>
  <si>
    <t>of 3 years for the electricity sector.</t>
  </si>
  <si>
    <t>The electricity sector calculations properly apply the tax credit duration depending on when CCS capacity comes online.</t>
  </si>
  <si>
    <t>However, the industry sector does not have stock tracking for CCS equipment. Therefore, we adjust the BAU subsidy</t>
  </si>
  <si>
    <t>values for industry only to reflect the duration multiplier.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</si>
  <si>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</si>
  <si>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</si>
  <si>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</si>
  <si>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</si>
  <si>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</si>
  <si>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</si>
  <si>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</si>
  <si>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</si>
  <si>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</si>
  <si>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</si>
  <si>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</si>
  <si>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</si>
  <si>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</si>
  <si>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</si>
  <si>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</si>
  <si>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</si>
  <si>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</si>
  <si>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</si>
  <si>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</si>
  <si>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</si>
  <si>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</si>
  <si>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</si>
  <si>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</si>
  <si>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</si>
  <si>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2025 to 2012 USD (model OCCF, InputData/web-app/OCCF)</t>
  </si>
  <si>
    <t>https://www.bls.gov/data/inflation_calculator.htm</t>
  </si>
  <si>
    <t>*26 U.S.C. 45Q(b)(1): inflation adjustment applies to taxable years beginning after 2026, substituting 2025 for 1990 - so the $85 is in 2025 dollars and we use the 2025 currency year to adjust to 2012 $. Factor matches the model OCCF (0.713109). Electricity CCS receives the credit through 2035: construction must begin before 1/1/2033 (45Q(d)), plus the 3-year construction timeline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</si>
</sst>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  <xf numFmtId="10" fontId="0" fillId="0" borderId="0" xfId="0" applyNumberFormat="1"/>
    <xf numFmtId="2" fontId="0" fillId="0" borderId="0" xfId="2" applyNumberFormat="1" applyFont="1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165" fontId="3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2" fontId="4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workbookViewId="0">
      <selection activeCell="B23" sqref="B23"/>
    </sheetView>
  </sheetViews>
  <sheetFormatPr defaultRowHeight="15" x14ac:dyDescent="0.25"/>
  <cols>
    <col min="1" max="1" width="30.42578125" customWidth="1"/>
    <col min="2" max="2" width="55.85546875" customWidth="1"/>
    <col min="4" max="4" width="30.5703125" customWidth="1"/>
  </cols>
  <sheetData>
    <row r="1" spans="1:3" x14ac:dyDescent="0.25">
      <c r="A1" s="1" t="s">
        <v>5</v>
      </c>
    </row>
    <row r="3" spans="1:3" x14ac:dyDescent="0.25">
      <c r="A3" s="1" t="s">
        <v>0</v>
      </c>
      <c r="B3" t="s">
        <v>3</v>
      </c>
    </row>
    <row r="5" spans="1:3" x14ac:dyDescent="0.25">
      <c r="A5" s="1" t="s">
        <v>1</v>
      </c>
    </row>
    <row r="6" spans="1:3" x14ac:dyDescent="0.25">
      <c r="A6" t="s">
        <v>4</v>
      </c>
    </row>
    <row r="7" spans="1:3" x14ac:dyDescent="0.25">
      <c r="A7" t="s">
        <v>12</v>
      </c>
    </row>
    <row r="9" spans="1:3" x14ac:dyDescent="0.25">
      <c r="A9" s="4">
        <v>0.71310899999999999</v>
      </c>
      <c r="B9" t="s">
        <v>110</v>
      </c>
      <c r="C9" t="s">
        <v>111</v>
      </c>
    </row>
    <row r="11" spans="1:3" x14ac:dyDescent="0.25">
      <c r="A11" s="3" t="s">
        <v>7</v>
      </c>
      <c r="B11" s="5">
        <v>85</v>
      </c>
    </row>
    <row r="12" spans="1:3" x14ac:dyDescent="0.25">
      <c r="A12" t="s">
        <v>112</v>
      </c>
    </row>
    <row r="13" spans="1:3" x14ac:dyDescent="0.25">
      <c r="A13" t="s">
        <v>15</v>
      </c>
      <c r="B13" t="s">
        <v>16</v>
      </c>
    </row>
    <row r="15" spans="1:3" x14ac:dyDescent="0.25">
      <c r="A15" t="s">
        <v>17</v>
      </c>
    </row>
    <row r="16" spans="1:3" x14ac:dyDescent="0.25">
      <c r="A16" t="s">
        <v>18</v>
      </c>
    </row>
    <row r="17" spans="1:6" x14ac:dyDescent="0.25">
      <c r="A17" t="s">
        <v>19</v>
      </c>
    </row>
    <row r="18" spans="1:6" x14ac:dyDescent="0.25">
      <c r="A18" t="s">
        <v>20</v>
      </c>
      <c r="B18" t="s">
        <v>21</v>
      </c>
      <c r="C18" t="s">
        <v>22</v>
      </c>
      <c r="E18" s="1" t="s">
        <v>23</v>
      </c>
    </row>
    <row r="19" spans="1:6" x14ac:dyDescent="0.25">
      <c r="C19" t="s">
        <v>24</v>
      </c>
      <c r="D19" t="s">
        <v>21</v>
      </c>
    </row>
    <row r="20" spans="1:6" x14ac:dyDescent="0.25">
      <c r="A20" t="s">
        <v>25</v>
      </c>
      <c r="B20" s="8">
        <v>229.59399999999999</v>
      </c>
      <c r="C20">
        <v>1.7</v>
      </c>
      <c r="D20">
        <v>2.1</v>
      </c>
      <c r="E20" s="7">
        <v>1</v>
      </c>
    </row>
    <row r="21" spans="1:6" x14ac:dyDescent="0.25">
      <c r="A21" t="s">
        <v>26</v>
      </c>
      <c r="B21" s="8">
        <v>232.95699999999999</v>
      </c>
      <c r="C21">
        <v>1.5</v>
      </c>
      <c r="D21">
        <v>1.5</v>
      </c>
      <c r="E21" s="7">
        <v>0.98556385942470071</v>
      </c>
    </row>
    <row r="22" spans="1:6" x14ac:dyDescent="0.25">
      <c r="A22" t="s">
        <v>27</v>
      </c>
      <c r="B22" s="8">
        <v>236.73599999999999</v>
      </c>
      <c r="C22">
        <v>0.8</v>
      </c>
      <c r="D22">
        <v>1.6</v>
      </c>
      <c r="E22" s="7">
        <v>0.96983137334414704</v>
      </c>
    </row>
    <row r="23" spans="1:6" x14ac:dyDescent="0.25">
      <c r="A23" t="s">
        <v>28</v>
      </c>
      <c r="B23" s="8">
        <v>237.017</v>
      </c>
      <c r="C23">
        <v>0.7</v>
      </c>
      <c r="D23">
        <v>0.1</v>
      </c>
      <c r="E23" s="7">
        <v>0.9686815713640794</v>
      </c>
    </row>
    <row r="24" spans="1:6" x14ac:dyDescent="0.25">
      <c r="A24" t="s">
        <v>29</v>
      </c>
      <c r="B24" s="8">
        <v>240.00700000000001</v>
      </c>
      <c r="C24">
        <v>2.1</v>
      </c>
      <c r="D24">
        <v>1.3</v>
      </c>
      <c r="E24" s="7">
        <v>0.95661376543184151</v>
      </c>
    </row>
    <row r="25" spans="1:6" x14ac:dyDescent="0.25">
      <c r="A25" t="s">
        <v>30</v>
      </c>
      <c r="B25" s="8">
        <v>245.12</v>
      </c>
      <c r="C25">
        <v>2.1</v>
      </c>
      <c r="D25">
        <v>2.1</v>
      </c>
      <c r="E25" s="7">
        <v>0.93665959530026111</v>
      </c>
    </row>
    <row r="26" spans="1:6" x14ac:dyDescent="0.25">
      <c r="A26" t="s">
        <v>31</v>
      </c>
      <c r="B26" s="8">
        <v>251.107</v>
      </c>
      <c r="C26">
        <v>1.9</v>
      </c>
      <c r="D26">
        <v>2.4</v>
      </c>
      <c r="E26" s="7">
        <v>0.9143273584567535</v>
      </c>
    </row>
    <row r="27" spans="1:6" x14ac:dyDescent="0.25">
      <c r="A27" t="s">
        <v>32</v>
      </c>
      <c r="B27" s="8">
        <v>255.65700000000001</v>
      </c>
      <c r="C27">
        <v>2.2999999999999998</v>
      </c>
      <c r="D27">
        <v>1.8</v>
      </c>
      <c r="E27" s="7">
        <v>0.89805481563188172</v>
      </c>
    </row>
    <row r="28" spans="1:6" x14ac:dyDescent="0.25">
      <c r="A28" t="s">
        <v>33</v>
      </c>
      <c r="B28" s="8">
        <v>258.81099999999998</v>
      </c>
      <c r="C28">
        <v>1.4</v>
      </c>
      <c r="D28">
        <v>1.2</v>
      </c>
      <c r="E28" s="7">
        <v>0.88711067149387013</v>
      </c>
    </row>
    <row r="29" spans="1:6" x14ac:dyDescent="0.25">
      <c r="A29" t="s">
        <v>34</v>
      </c>
      <c r="B29" s="8">
        <v>270.97000000000003</v>
      </c>
      <c r="C29">
        <v>7</v>
      </c>
      <c r="D29">
        <v>4.7</v>
      </c>
      <c r="E29" s="7">
        <v>0.84730412960844359</v>
      </c>
    </row>
    <row r="30" spans="1:6" x14ac:dyDescent="0.25">
      <c r="A30" t="s">
        <v>35</v>
      </c>
      <c r="B30" s="8">
        <v>292.65499999999997</v>
      </c>
      <c r="C30">
        <v>6.5</v>
      </c>
      <c r="D30">
        <v>8</v>
      </c>
      <c r="E30" s="7">
        <v>0.78452102304761584</v>
      </c>
    </row>
    <row r="31" spans="1:6" x14ac:dyDescent="0.25">
      <c r="A31" t="s">
        <v>36</v>
      </c>
      <c r="B31" s="8">
        <v>304.702</v>
      </c>
      <c r="E31" s="7">
        <v>0.75350342301658668</v>
      </c>
    </row>
    <row r="32" spans="1:6" x14ac:dyDescent="0.25">
      <c r="A32" t="s">
        <v>37</v>
      </c>
      <c r="B32">
        <v>313.68900000000002</v>
      </c>
      <c r="E32" s="7">
        <v>0.73191600598044548</v>
      </c>
      <c r="F32">
        <f>B20/B32</f>
        <v>0.73191600598044548</v>
      </c>
    </row>
    <row r="33" spans="1:5" x14ac:dyDescent="0.25">
      <c r="A33" t="s">
        <v>44</v>
      </c>
      <c r="B33" s="7">
        <f>B32/(1-$B$37/100)</f>
        <v>321.7323076923077</v>
      </c>
      <c r="E33" s="7">
        <f>$B$20/B33</f>
        <v>0.71361810583093443</v>
      </c>
    </row>
    <row r="34" spans="1:5" x14ac:dyDescent="0.25">
      <c r="A34" t="s">
        <v>45</v>
      </c>
      <c r="B34" s="7">
        <f>B33/(1-$B$37/100)</f>
        <v>329.9818540433925</v>
      </c>
      <c r="E34" s="7">
        <f>$B$20/B34</f>
        <v>0.69577765318516105</v>
      </c>
    </row>
    <row r="35" spans="1:5" x14ac:dyDescent="0.25">
      <c r="A35" t="s">
        <v>46</v>
      </c>
      <c r="B35" s="7">
        <f>B34/(1-$B$37/100)</f>
        <v>338.44292722399234</v>
      </c>
      <c r="E35" s="7">
        <f>$B$20/B35</f>
        <v>0.67838321185553196</v>
      </c>
    </row>
    <row r="37" spans="1:5" x14ac:dyDescent="0.25">
      <c r="A37" t="s">
        <v>42</v>
      </c>
      <c r="B37">
        <v>2.5</v>
      </c>
      <c r="C37" t="s">
        <v>43</v>
      </c>
    </row>
    <row r="39" spans="1:5" x14ac:dyDescent="0.25">
      <c r="A39" t="s">
        <v>81</v>
      </c>
    </row>
    <row r="40" spans="1:5" x14ac:dyDescent="0.25">
      <c r="A40" t="s">
        <v>82</v>
      </c>
    </row>
    <row r="42" spans="1:5" x14ac:dyDescent="0.25">
      <c r="A42" t="s">
        <v>83</v>
      </c>
    </row>
    <row r="43" spans="1:5" x14ac:dyDescent="0.25">
      <c r="A43" t="s">
        <v>84</v>
      </c>
    </row>
    <row r="44" spans="1:5" x14ac:dyDescent="0.25">
      <c r="A44" t="s">
        <v>85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2AA2-07A6-4879-829D-45E06644D581}">
  <dimension ref="A1:C16"/>
  <sheetViews>
    <sheetView workbookViewId="0">
      <selection activeCell="B41" sqref="B41"/>
    </sheetView>
  </sheetViews>
  <sheetFormatPr defaultRowHeight="15" x14ac:dyDescent="0.25"/>
  <cols>
    <col min="1" max="1" width="42" customWidth="1"/>
    <col min="2" max="2" width="38.140625" customWidth="1"/>
    <col min="3" max="3" width="37.7109375" bestFit="1" customWidth="1"/>
  </cols>
  <sheetData>
    <row r="1" spans="1:3" x14ac:dyDescent="0.25">
      <c r="A1" t="s">
        <v>40</v>
      </c>
    </row>
    <row r="3" spans="1:3" x14ac:dyDescent="0.25">
      <c r="B3" t="s">
        <v>38</v>
      </c>
    </row>
    <row r="4" spans="1:3" x14ac:dyDescent="0.25">
      <c r="B4" t="s">
        <v>39</v>
      </c>
      <c r="C4" t="s">
        <v>41</v>
      </c>
    </row>
    <row r="5" spans="1:3" x14ac:dyDescent="0.25">
      <c r="A5">
        <v>2021</v>
      </c>
      <c r="B5">
        <v>50</v>
      </c>
    </row>
    <row r="6" spans="1:3" x14ac:dyDescent="0.25">
      <c r="A6">
        <v>2022</v>
      </c>
      <c r="B6">
        <v>50</v>
      </c>
    </row>
    <row r="7" spans="1:3" x14ac:dyDescent="0.25">
      <c r="A7">
        <v>2023</v>
      </c>
      <c r="C7">
        <v>85</v>
      </c>
    </row>
    <row r="8" spans="1:3" x14ac:dyDescent="0.25">
      <c r="A8">
        <v>2024</v>
      </c>
      <c r="C8">
        <v>85</v>
      </c>
    </row>
    <row r="9" spans="1:3" x14ac:dyDescent="0.25">
      <c r="A9">
        <v>2025</v>
      </c>
      <c r="C9">
        <v>85</v>
      </c>
    </row>
    <row r="10" spans="1:3" x14ac:dyDescent="0.25">
      <c r="A10">
        <v>2026</v>
      </c>
      <c r="C10">
        <v>85</v>
      </c>
    </row>
    <row r="11" spans="1:3" x14ac:dyDescent="0.25">
      <c r="A11">
        <v>2027</v>
      </c>
      <c r="C11">
        <v>85</v>
      </c>
    </row>
    <row r="12" spans="1:3" x14ac:dyDescent="0.25">
      <c r="A12">
        <v>2028</v>
      </c>
      <c r="C12">
        <v>85</v>
      </c>
    </row>
    <row r="13" spans="1:3" x14ac:dyDescent="0.25">
      <c r="A13">
        <v>2029</v>
      </c>
      <c r="C13">
        <v>85</v>
      </c>
    </row>
    <row r="14" spans="1:3" x14ac:dyDescent="0.25">
      <c r="A14">
        <v>2030</v>
      </c>
      <c r="C14">
        <v>85</v>
      </c>
    </row>
    <row r="15" spans="1:3" x14ac:dyDescent="0.25">
      <c r="A15">
        <v>2031</v>
      </c>
      <c r="C15">
        <v>85</v>
      </c>
    </row>
    <row r="16" spans="1:3" x14ac:dyDescent="0.25">
      <c r="A16">
        <v>2032</v>
      </c>
      <c r="C16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5C55-7F27-44A6-A8A7-496D78F28576}">
  <dimension ref="A1:B4"/>
  <sheetViews>
    <sheetView workbookViewId="0">
      <selection activeCell="B3" sqref="B3"/>
    </sheetView>
  </sheetViews>
  <sheetFormatPr defaultRowHeight="15" x14ac:dyDescent="0.25"/>
  <cols>
    <col min="1" max="1" width="30" bestFit="1" customWidth="1"/>
  </cols>
  <sheetData>
    <row r="1" spans="1:2" x14ac:dyDescent="0.25">
      <c r="A1" t="s">
        <v>8</v>
      </c>
      <c r="B1" s="6">
        <f>About!B11</f>
        <v>85</v>
      </c>
    </row>
    <row r="2" spans="1:2" x14ac:dyDescent="0.25">
      <c r="A2" t="s">
        <v>9</v>
      </c>
      <c r="B2">
        <v>20</v>
      </c>
    </row>
    <row r="3" spans="1:2" x14ac:dyDescent="0.25">
      <c r="A3" t="s">
        <v>10</v>
      </c>
      <c r="B3">
        <v>12</v>
      </c>
    </row>
    <row r="4" spans="1:2" x14ac:dyDescent="0.25">
      <c r="A4" t="s">
        <v>11</v>
      </c>
      <c r="B4" s="6">
        <f>B1*B3/B2</f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91F6-B2A0-44B5-ABEB-B83CAA025A34}">
  <dimension ref="A1:AE34"/>
  <sheetViews>
    <sheetView workbookViewId="0">
      <selection activeCell="A5" sqref="A5:XFD34"/>
    </sheetView>
  </sheetViews>
  <sheetFormatPr defaultRowHeight="15" x14ac:dyDescent="0.25"/>
  <cols>
    <col min="1" max="1" width="20.42578125" bestFit="1" customWidth="1"/>
  </cols>
  <sheetData>
    <row r="1" spans="1:31" x14ac:dyDescent="0.25">
      <c r="B1" s="10">
        <v>2021</v>
      </c>
      <c r="C1">
        <v>2022</v>
      </c>
      <c r="D1" s="10">
        <v>2023</v>
      </c>
      <c r="E1">
        <v>2024</v>
      </c>
      <c r="F1" s="10">
        <v>2025</v>
      </c>
      <c r="G1">
        <v>2026</v>
      </c>
      <c r="H1" s="10">
        <v>2027</v>
      </c>
      <c r="I1">
        <v>2028</v>
      </c>
      <c r="J1" s="10">
        <v>2029</v>
      </c>
      <c r="K1">
        <v>2030</v>
      </c>
      <c r="L1" s="10">
        <v>2031</v>
      </c>
      <c r="M1">
        <v>2032</v>
      </c>
      <c r="N1" s="10">
        <v>2033</v>
      </c>
      <c r="O1">
        <v>2034</v>
      </c>
      <c r="P1" s="10">
        <v>2035</v>
      </c>
      <c r="Q1">
        <v>2036</v>
      </c>
      <c r="R1" s="10">
        <v>2037</v>
      </c>
      <c r="S1">
        <v>2038</v>
      </c>
      <c r="T1" s="10">
        <v>2039</v>
      </c>
      <c r="U1">
        <v>2040</v>
      </c>
      <c r="V1" s="10">
        <v>2041</v>
      </c>
      <c r="W1">
        <v>2042</v>
      </c>
      <c r="X1" s="10">
        <v>2043</v>
      </c>
      <c r="Y1">
        <v>2044</v>
      </c>
      <c r="Z1" s="10">
        <v>2045</v>
      </c>
      <c r="AA1">
        <v>2046</v>
      </c>
      <c r="AB1" s="10">
        <v>2047</v>
      </c>
      <c r="AC1">
        <v>2048</v>
      </c>
      <c r="AD1" s="10">
        <v>2049</v>
      </c>
      <c r="AE1">
        <v>2050</v>
      </c>
    </row>
    <row r="2" spans="1:31" x14ac:dyDescent="0.25">
      <c r="A2" s="1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f>1/5</f>
        <v>0.2</v>
      </c>
      <c r="M2">
        <f>L2+1/5</f>
        <v>0.4</v>
      </c>
      <c r="N2">
        <f t="shared" ref="N2:P2" si="0">M2+1/5</f>
        <v>0.60000000000000009</v>
      </c>
      <c r="O2">
        <f t="shared" si="0"/>
        <v>0.8</v>
      </c>
      <c r="P2">
        <f t="shared" si="0"/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s="1" t="s">
        <v>48</v>
      </c>
      <c r="B3">
        <f>IFERROR(IF(A3=1,1,INDEX($B$2:$AE$2,MATCH((B1-'BCS-DoSfCS'!$B$2),$B$1:$AE$1,0))),0)</f>
        <v>0</v>
      </c>
      <c r="C3">
        <f>IFERROR(IF(B3=1,1,INDEX($B$2:$AE$2,MATCH((C1-'BCS-DoSfCS'!$B$2),$B$1:$AE$1,0))),0)</f>
        <v>0</v>
      </c>
      <c r="D3">
        <f>IFERROR(IF(C3=1,1,INDEX($B$2:$AE$2,MATCH((D1-'BCS-DoSfCS'!$B$2),$B$1:$AE$1,0))),0)</f>
        <v>0</v>
      </c>
      <c r="E3">
        <f>IFERROR(IF(D3=1,1,INDEX($B$2:$AE$2,MATCH((E1-'BCS-DoSfCS'!$B$2),$B$1:$AE$1,0))),0)</f>
        <v>0</v>
      </c>
      <c r="F3">
        <f>IFERROR(IF(E3=1,1,INDEX($B$2:$AE$2,MATCH((F1-'BCS-DoSfCS'!$B$2),$B$1:$AE$1,0))),0)</f>
        <v>0</v>
      </c>
      <c r="G3">
        <f>IFERROR(IF(F3=1,1,INDEX($B$2:$AE$2,MATCH((G1-'BCS-DoSfCS'!$B$2),$B$1:$AE$1,0))),0)</f>
        <v>0</v>
      </c>
      <c r="H3">
        <f>IFERROR(IF(G3=1,1,INDEX($B$2:$AE$2,MATCH((H1-'BCS-DoSfCS'!$B$2),$B$1:$AE$1,0))),0)</f>
        <v>0</v>
      </c>
      <c r="I3">
        <f>IFERROR(IF(H3=1,1,INDEX($B$2:$AE$2,MATCH((I1-'BCS-DoSfCS'!$B$2),$B$1:$AE$1,0))),0)</f>
        <v>0</v>
      </c>
      <c r="J3">
        <f>IFERROR(IF(I3=1,1,INDEX($B$2:$AE$2,MATCH((J1-'BCS-DoSfCS'!$B$2),$B$1:$AE$1,0))),0)</f>
        <v>0</v>
      </c>
      <c r="K3">
        <f>IFERROR(IF(J3=1,1,INDEX($B$2:$AE$2,MATCH((K1-'BCS-DoSfCS'!$B$2),$B$1:$AE$1,0))),0)</f>
        <v>0</v>
      </c>
      <c r="L3">
        <f>IFERROR(IF(K3=1,1,INDEX($B$2:$AE$2,MATCH((L1-'BCS-DoSfCS'!$B$2),$B$1:$AE$1,0))),0)</f>
        <v>0</v>
      </c>
      <c r="M3">
        <f>IFERROR(IF(L3=1,1,INDEX($B$2:$AE$2,MATCH((M1-'BCS-DoSfCS'!$B$2),$B$1:$AE$1,0))),0)</f>
        <v>0</v>
      </c>
      <c r="N3">
        <f>IFERROR(IF(M3=1,1,INDEX($B$2:$AE$2,MATCH((N1-'BCS-DoSfCS'!$B$2),$B$1:$AE$1,0))),0)</f>
        <v>0</v>
      </c>
      <c r="O3">
        <f>IFERROR(IF(N3=1,1,INDEX($B$2:$AE$2,MATCH((O1-'BCS-DoSfCS'!$B$2),$B$1:$AE$1,0))),0)</f>
        <v>0</v>
      </c>
      <c r="P3">
        <f>IFERROR(IF(O3=1,1,INDEX($B$2:$AE$2,MATCH((P1-'BCS-DoSfCS'!$B$2),$B$1:$AE$1,0))),0)</f>
        <v>0</v>
      </c>
      <c r="Q3">
        <f>IFERROR(IF(P3=1,1,INDEX($B$2:$AE$2,MATCH((Q1-'BCS-DoSfCS'!$B$2),$B$1:$AE$1,0))),0)</f>
        <v>0</v>
      </c>
      <c r="R3">
        <f>IFERROR(IF(Q3=1,1,INDEX($B$2:$AE$2,MATCH((R1-'BCS-DoSfCS'!$B$2),$B$1:$AE$1,0))),0)</f>
        <v>0</v>
      </c>
      <c r="S3">
        <f>IFERROR(IF(R3=1,1,INDEX($B$2:$AE$2,MATCH((S1-'BCS-DoSfCS'!$B$2),$B$1:$AE$1,0))),0)</f>
        <v>0</v>
      </c>
      <c r="T3">
        <f>IFERROR(IF(S3=1,1,INDEX($B$2:$AE$2,MATCH((T1-'BCS-DoSfCS'!$B$2),$B$1:$AE$1,0))),0)</f>
        <v>0</v>
      </c>
      <c r="U3">
        <f>IFERROR(IF(T3=1,1,INDEX($B$2:$AE$2,MATCH((U1-'BCS-DoSfCS'!$B$2),$B$1:$AE$1,0))),0)</f>
        <v>0</v>
      </c>
      <c r="V3">
        <f>IFERROR(IF(U3=1,1,INDEX($B$2:$AE$2,MATCH((V1-'BCS-DoSfCS'!$B$2),$B$1:$AE$1,0))),0)</f>
        <v>0</v>
      </c>
      <c r="W3">
        <f>IFERROR(IF(V3=1,1,INDEX($B$2:$AE$2,MATCH((W1-'BCS-DoSfCS'!$B$2),$B$1:$AE$1,0))),0)</f>
        <v>0</v>
      </c>
      <c r="X3">
        <f>IFERROR(IF(W3=1,1,INDEX($B$2:$AE$2,MATCH((X1-'BCS-DoSfCS'!$B$2),$B$1:$AE$1,0))),0)</f>
        <v>0.2</v>
      </c>
      <c r="Y3">
        <f>IFERROR(IF(X3=1,1,INDEX($B$2:$AE$2,MATCH((Y1-'BCS-DoSfCS'!$B$2),$B$1:$AE$1,0))),0)</f>
        <v>0.4</v>
      </c>
      <c r="Z3">
        <f>IFERROR(IF(Y3=1,1,INDEX($B$2:$AE$2,MATCH((Z1-'BCS-DoSfCS'!$B$2),$B$1:$AE$1,0))),0)</f>
        <v>0.60000000000000009</v>
      </c>
      <c r="AA3">
        <f>IFERROR(IF(Z3=1,1,INDEX($B$2:$AE$2,MATCH((AA1-'BCS-DoSfCS'!$B$2),$B$1:$AE$1,0))),0)</f>
        <v>0.8</v>
      </c>
      <c r="AB3">
        <f>IFERROR(IF(AA3=1,1,INDEX($B$2:$AE$2,MATCH((AB1-'BCS-DoSfCS'!$B$2),$B$1:$AE$1,0))),0)</f>
        <v>1</v>
      </c>
      <c r="AC3">
        <f>IFERROR(IF(AB3=1,1,INDEX($B$2:$AE$2,MATCH((AC1-'BCS-DoSfCS'!$B$2),$B$1:$AE$1,0))),0)</f>
        <v>1</v>
      </c>
      <c r="AD3">
        <f>IFERROR(IF(AC3=1,1,INDEX($B$2:$AE$2,MATCH((AD1-'BCS-DoSfCS'!$B$2),$B$1:$AE$1,0))),0)</f>
        <v>1</v>
      </c>
      <c r="AE3">
        <f>IFERROR(IF(AD3=1,1,INDEX($B$2:$AE$2,MATCH((AE1-'BCS-DoSfCS'!$B$2),$B$1:$AE$1,0))),0)</f>
        <v>1</v>
      </c>
    </row>
    <row r="5" spans="1:31" x14ac:dyDescent="0.25">
      <c r="A5" t="s">
        <v>49</v>
      </c>
    </row>
    <row r="6" spans="1:31" x14ac:dyDescent="0.25">
      <c r="A6" t="s">
        <v>50</v>
      </c>
    </row>
    <row r="7" spans="1:31" x14ac:dyDescent="0.25">
      <c r="A7" t="s">
        <v>51</v>
      </c>
    </row>
    <row r="8" spans="1:31" x14ac:dyDescent="0.25">
      <c r="B8">
        <v>2022</v>
      </c>
      <c r="C8">
        <v>2030</v>
      </c>
      <c r="D8">
        <v>2035</v>
      </c>
    </row>
    <row r="9" spans="1:31" x14ac:dyDescent="0.25">
      <c r="A9" t="s">
        <v>52</v>
      </c>
    </row>
    <row r="10" spans="1:31" x14ac:dyDescent="0.25">
      <c r="A10" t="s">
        <v>53</v>
      </c>
    </row>
    <row r="11" spans="1:31" x14ac:dyDescent="0.25">
      <c r="A11" t="s">
        <v>54</v>
      </c>
      <c r="B11">
        <v>14</v>
      </c>
      <c r="C11">
        <v>16</v>
      </c>
      <c r="D11">
        <v>16</v>
      </c>
    </row>
    <row r="12" spans="1:31" x14ac:dyDescent="0.25">
      <c r="A12" t="s">
        <v>55</v>
      </c>
    </row>
    <row r="13" spans="1:31" x14ac:dyDescent="0.25">
      <c r="A13" t="s">
        <v>56</v>
      </c>
    </row>
    <row r="14" spans="1:31" x14ac:dyDescent="0.25">
      <c r="A14" t="s">
        <v>57</v>
      </c>
    </row>
    <row r="15" spans="1:31" x14ac:dyDescent="0.25">
      <c r="A15" t="s">
        <v>58</v>
      </c>
    </row>
    <row r="16" spans="1:31" x14ac:dyDescent="0.25">
      <c r="A16" t="s">
        <v>59</v>
      </c>
    </row>
    <row r="17" spans="1:5" x14ac:dyDescent="0.25">
      <c r="A17" t="s">
        <v>60</v>
      </c>
      <c r="B17">
        <v>0</v>
      </c>
      <c r="C17">
        <v>0</v>
      </c>
      <c r="D17">
        <v>60</v>
      </c>
      <c r="E17" t="s">
        <v>61</v>
      </c>
    </row>
    <row r="18" spans="1:5" x14ac:dyDescent="0.25">
      <c r="A18" t="s">
        <v>62</v>
      </c>
      <c r="B18">
        <v>2</v>
      </c>
      <c r="C18">
        <v>53</v>
      </c>
      <c r="D18">
        <v>53</v>
      </c>
      <c r="E18" t="s">
        <v>63</v>
      </c>
    </row>
    <row r="19" spans="1:5" x14ac:dyDescent="0.25">
      <c r="A19" t="s">
        <v>64</v>
      </c>
      <c r="E19" t="s">
        <v>65</v>
      </c>
    </row>
    <row r="20" spans="1:5" x14ac:dyDescent="0.25">
      <c r="A20" t="s">
        <v>66</v>
      </c>
    </row>
    <row r="21" spans="1:5" x14ac:dyDescent="0.25">
      <c r="A21" t="s">
        <v>67</v>
      </c>
    </row>
    <row r="22" spans="1:5" x14ac:dyDescent="0.25">
      <c r="A22" t="s">
        <v>68</v>
      </c>
      <c r="B22">
        <v>0</v>
      </c>
      <c r="C22">
        <v>0</v>
      </c>
      <c r="D22">
        <v>50</v>
      </c>
    </row>
    <row r="23" spans="1:5" x14ac:dyDescent="0.25">
      <c r="A23" t="s">
        <v>69</v>
      </c>
      <c r="B23">
        <v>0</v>
      </c>
      <c r="C23">
        <v>0</v>
      </c>
      <c r="D23">
        <v>14</v>
      </c>
    </row>
    <row r="24" spans="1:5" x14ac:dyDescent="0.25">
      <c r="A24" t="s">
        <v>70</v>
      </c>
    </row>
    <row r="25" spans="1:5" x14ac:dyDescent="0.25">
      <c r="A25" t="s">
        <v>71</v>
      </c>
    </row>
    <row r="26" spans="1:5" x14ac:dyDescent="0.25">
      <c r="A26" t="s">
        <v>72</v>
      </c>
    </row>
    <row r="27" spans="1:5" x14ac:dyDescent="0.25">
      <c r="A27" t="s">
        <v>73</v>
      </c>
    </row>
    <row r="28" spans="1:5" x14ac:dyDescent="0.25">
      <c r="A28" t="s">
        <v>74</v>
      </c>
    </row>
    <row r="29" spans="1:5" x14ac:dyDescent="0.25">
      <c r="A29" t="s">
        <v>75</v>
      </c>
    </row>
    <row r="30" spans="1:5" x14ac:dyDescent="0.25">
      <c r="A30" t="s">
        <v>76</v>
      </c>
    </row>
    <row r="31" spans="1:5" x14ac:dyDescent="0.25">
      <c r="A31" t="s">
        <v>77</v>
      </c>
    </row>
    <row r="32" spans="1:5" x14ac:dyDescent="0.25">
      <c r="A32" t="s">
        <v>78</v>
      </c>
    </row>
    <row r="33" spans="1:1" x14ac:dyDescent="0.25">
      <c r="A33" t="s">
        <v>79</v>
      </c>
    </row>
    <row r="34" spans="1:1" x14ac:dyDescent="0.25">
      <c r="A34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"/>
  <sheetViews>
    <sheetView tabSelected="1" workbookViewId="0">
      <selection activeCell="B8" sqref="B8"/>
    </sheetView>
  </sheetViews>
  <sheetFormatPr defaultRowHeight="15" x14ac:dyDescent="0.25"/>
  <cols>
    <col min="1" max="1" width="19.42578125" customWidth="1"/>
    <col min="2" max="2" width="24.5703125" customWidth="1"/>
  </cols>
  <sheetData>
    <row r="1" spans="1:31" x14ac:dyDescent="0.25">
      <c r="A1" t="s">
        <v>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 x14ac:dyDescent="0.25">
      <c r="A2" t="s">
        <v>2</v>
      </c>
      <c r="B2" s="9">
        <f>'45Q Value'!B5*About!E29</f>
        <v>42.365206480422181</v>
      </c>
      <c r="C2" s="9">
        <f>'45Q Value'!B6*About!E30</f>
        <v>39.226051152380791</v>
      </c>
      <c r="D2" s="9">
        <f>About!$B$11*About!$A$9</f>
        <v>60.614264999999996</v>
      </c>
      <c r="E2" s="9">
        <f>About!$B$11*About!$A$9</f>
        <v>60.614264999999996</v>
      </c>
      <c r="F2" s="9">
        <f>About!$B$11*About!$A$9</f>
        <v>60.614264999999996</v>
      </c>
      <c r="G2" s="9">
        <f>About!$B$11*About!$A$9</f>
        <v>60.614264999999996</v>
      </c>
      <c r="H2" s="9">
        <f>About!$B$11*About!$A$9</f>
        <v>60.614264999999996</v>
      </c>
      <c r="I2" s="9">
        <f>About!$B$11*About!$A$9</f>
        <v>60.614264999999996</v>
      </c>
      <c r="J2" s="9">
        <f>About!$B$11*About!$A$9</f>
        <v>60.614264999999996</v>
      </c>
      <c r="K2" s="9">
        <f>About!$B$11*About!$A$9</f>
        <v>60.614264999999996</v>
      </c>
      <c r="L2" s="9">
        <f>About!$B$11*About!$A$9</f>
        <v>60.614264999999996</v>
      </c>
      <c r="M2" s="9">
        <f>About!$B$11*About!$A$9</f>
        <v>60.614264999999996</v>
      </c>
      <c r="N2" s="9">
        <f>$M2*(1-Calculations!N3)</f>
        <v>60.614264999999996</v>
      </c>
      <c r="O2" s="9">
        <f>$M2*(1-Calculations!O3)</f>
        <v>60.614264999999996</v>
      </c>
      <c r="P2" s="9">
        <f>$M2*(1-Calculations!P3)</f>
        <v>60.614264999999996</v>
      </c>
      <c r="Q2" s="9">
        <f>$M2*(1-Calculations!Q3)</f>
        <v>60.614264999999996</v>
      </c>
      <c r="R2" s="9">
        <f>$M2*(1-Calculations!R3)</f>
        <v>60.614264999999996</v>
      </c>
      <c r="S2" s="9">
        <f>$M2*(1-Calculations!S3)</f>
        <v>60.614264999999996</v>
      </c>
      <c r="T2" s="9">
        <f>$M2*(1-Calculations!T3)</f>
        <v>60.614264999999996</v>
      </c>
      <c r="U2" s="9">
        <f>$M2*(1-Calculations!U3)</f>
        <v>60.614264999999996</v>
      </c>
      <c r="V2" s="9">
        <f>$M2*(1-Calculations!V3)</f>
        <v>60.614264999999996</v>
      </c>
      <c r="W2" s="9">
        <f>$M2*(1-Calculations!W3)</f>
        <v>60.614264999999996</v>
      </c>
      <c r="X2" s="9">
        <f>$M2*(1-Calculations!X3)</f>
        <v>48.491411999999997</v>
      </c>
      <c r="Y2" s="9">
        <f>$M2*(1-Calculations!Y3)</f>
        <v>36.368558999999998</v>
      </c>
      <c r="Z2" s="9">
        <f>$M2*(1-Calculations!Z3)</f>
        <v>24.245705999999991</v>
      </c>
      <c r="AA2" s="9">
        <f>$M2*(1-Calculations!AA3)</f>
        <v>12.122852999999996</v>
      </c>
      <c r="AB2" s="9">
        <f>$M2*(1-Calculations!AB3)</f>
        <v>0</v>
      </c>
      <c r="AC2" s="9">
        <f>$M2*(1-Calculations!AC3)</f>
        <v>0</v>
      </c>
      <c r="AD2" s="9">
        <f>$M2*(1-Calculations!AD3)</f>
        <v>0</v>
      </c>
      <c r="AE2" s="9">
        <f>$M2*(1-Calculations!AE3)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83AC-E3AB-43F2-AEFA-7AD478FA75F7}">
  <sheetPr>
    <tabColor theme="3"/>
  </sheetPr>
  <dimension ref="A1:AE25"/>
  <sheetViews>
    <sheetView workbookViewId="0">
      <selection activeCell="A20" sqref="A20"/>
    </sheetView>
  </sheetViews>
  <sheetFormatPr defaultRowHeight="15" x14ac:dyDescent="0.25"/>
  <cols>
    <col min="1" max="1" width="35.85546875" bestFit="1" customWidth="1"/>
  </cols>
  <sheetData>
    <row r="1" spans="1:31" x14ac:dyDescent="0.25">
      <c r="A1" t="s">
        <v>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87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89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90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91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92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93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96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98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103</v>
      </c>
      <c r="B19" s="9">
        <f>'BCS-industry'!B2</f>
        <v>42.365206480422181</v>
      </c>
      <c r="C19" s="9">
        <f>'BCS-industry'!C2</f>
        <v>39.226051152380791</v>
      </c>
      <c r="D19" s="9">
        <f>About!$B$11*About!$A$9</f>
        <v>60.614264999999996</v>
      </c>
      <c r="E19" s="9">
        <f>About!$B$11*About!$A$9</f>
        <v>60.614264999999996</v>
      </c>
      <c r="F19" s="9">
        <f>About!$B$11*About!$A$9</f>
        <v>60.614264999999996</v>
      </c>
      <c r="G19" s="9">
        <f>About!$B$11*About!$A$9</f>
        <v>60.614264999999996</v>
      </c>
      <c r="H19" s="9">
        <f>About!$B$11*About!$A$9</f>
        <v>60.614264999999996</v>
      </c>
      <c r="I19" s="9">
        <f>About!$B$11*About!$A$9</f>
        <v>60.614264999999996</v>
      </c>
      <c r="J19" s="9">
        <f>About!$B$11*About!$A$9</f>
        <v>60.614264999999996</v>
      </c>
      <c r="K19" s="9">
        <f>About!$B$11*About!$A$9</f>
        <v>60.614264999999996</v>
      </c>
      <c r="L19" s="9">
        <f>About!$B$11*About!$A$9</f>
        <v>60.614264999999996</v>
      </c>
      <c r="M19" s="9">
        <f>About!$B$11*About!$A$9</f>
        <v>60.614264999999996</v>
      </c>
      <c r="N19">
        <f>About!$B$11*About!$A$9</f>
        <v>60.614264999999996</v>
      </c>
      <c r="O19">
        <f>About!$B$11*About!$A$9</f>
        <v>60.614264999999996</v>
      </c>
      <c r="P19">
        <f>About!$B$11*About!$A$9</f>
        <v>60.614264999999996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104</v>
      </c>
      <c r="B20" s="11">
        <f>B19</f>
        <v>42.365206480422181</v>
      </c>
      <c r="C20" s="11">
        <f t="shared" ref="C20:C22" si="0">C19</f>
        <v>39.226051152380791</v>
      </c>
      <c r="D20" s="11">
        <f t="shared" ref="D20:D22" si="1">D19</f>
        <v>60.614264999999996</v>
      </c>
      <c r="E20" s="11">
        <f t="shared" ref="E20:E22" si="2">E19</f>
        <v>60.614264999999996</v>
      </c>
      <c r="F20" s="11">
        <f t="shared" ref="F20:F22" si="3">F19</f>
        <v>60.614264999999996</v>
      </c>
      <c r="G20" s="11">
        <f t="shared" ref="G20:G22" si="4">G19</f>
        <v>60.614264999999996</v>
      </c>
      <c r="H20" s="11">
        <f t="shared" ref="H20:H22" si="5">H19</f>
        <v>60.614264999999996</v>
      </c>
      <c r="I20" s="11">
        <f t="shared" ref="I20:I22" si="6">I19</f>
        <v>60.614264999999996</v>
      </c>
      <c r="J20" s="11">
        <f t="shared" ref="J20:J22" si="7">J19</f>
        <v>60.614264999999996</v>
      </c>
      <c r="K20" s="11">
        <f t="shared" ref="K20:K22" si="8">K19</f>
        <v>60.614264999999996</v>
      </c>
      <c r="L20" s="11">
        <f t="shared" ref="L20:L22" si="9">L19</f>
        <v>60.614264999999996</v>
      </c>
      <c r="M20" s="11">
        <f t="shared" ref="M20:M22" si="10">M19</f>
        <v>60.614264999999996</v>
      </c>
      <c r="N20" s="11">
        <f t="shared" ref="N20:N22" si="11">N19</f>
        <v>60.614264999999996</v>
      </c>
      <c r="O20" s="11">
        <f t="shared" ref="O20:O22" si="12">O19</f>
        <v>60.614264999999996</v>
      </c>
      <c r="P20" s="11">
        <f t="shared" ref="P20:P22" si="13">P19</f>
        <v>60.614264999999996</v>
      </c>
      <c r="Q20" s="11">
        <f t="shared" ref="Q20:Q22" si="14">Q19</f>
        <v>0</v>
      </c>
      <c r="R20" s="11">
        <f t="shared" ref="R20:R22" si="15">R19</f>
        <v>0</v>
      </c>
      <c r="S20" s="11">
        <f t="shared" ref="S20:S22" si="16">S19</f>
        <v>0</v>
      </c>
      <c r="T20" s="11">
        <f t="shared" ref="T20:T22" si="17">T19</f>
        <v>0</v>
      </c>
      <c r="U20" s="11">
        <f t="shared" ref="U20:U22" si="18">U19</f>
        <v>0</v>
      </c>
      <c r="V20" s="11">
        <f t="shared" ref="V20:V22" si="19">V19</f>
        <v>0</v>
      </c>
      <c r="W20" s="11">
        <f t="shared" ref="W20:W22" si="20">W19</f>
        <v>0</v>
      </c>
      <c r="X20" s="11">
        <f t="shared" ref="X20:X22" si="21">X19</f>
        <v>0</v>
      </c>
      <c r="Y20" s="11">
        <f t="shared" ref="Y20:Y22" si="22">Y19</f>
        <v>0</v>
      </c>
      <c r="Z20" s="11">
        <f t="shared" ref="Z20:Z22" si="23">Z19</f>
        <v>0</v>
      </c>
      <c r="AA20" s="11">
        <f t="shared" ref="AA20:AA22" si="24">AA19</f>
        <v>0</v>
      </c>
      <c r="AB20" s="11">
        <f t="shared" ref="AB20:AB22" si="25">AB19</f>
        <v>0</v>
      </c>
      <c r="AC20" s="11">
        <f t="shared" ref="AC20:AC22" si="26">AC19</f>
        <v>0</v>
      </c>
      <c r="AD20" s="11">
        <f t="shared" ref="AD20:AD22" si="27">AD19</f>
        <v>0</v>
      </c>
      <c r="AE20" s="11">
        <f t="shared" ref="AE20:AE22" si="28">AE19</f>
        <v>0</v>
      </c>
    </row>
    <row r="21" spans="1:31" x14ac:dyDescent="0.25">
      <c r="A21" t="s">
        <v>105</v>
      </c>
      <c r="B21" s="11">
        <f t="shared" ref="B21:B22" si="29">B20</f>
        <v>42.365206480422181</v>
      </c>
      <c r="C21" s="11">
        <f t="shared" si="0"/>
        <v>39.226051152380791</v>
      </c>
      <c r="D21" s="11">
        <f t="shared" si="1"/>
        <v>60.614264999999996</v>
      </c>
      <c r="E21" s="11">
        <f t="shared" si="2"/>
        <v>60.614264999999996</v>
      </c>
      <c r="F21" s="11">
        <f t="shared" si="3"/>
        <v>60.614264999999996</v>
      </c>
      <c r="G21" s="11">
        <f t="shared" si="4"/>
        <v>60.614264999999996</v>
      </c>
      <c r="H21" s="11">
        <f t="shared" si="5"/>
        <v>60.614264999999996</v>
      </c>
      <c r="I21" s="11">
        <f t="shared" si="6"/>
        <v>60.614264999999996</v>
      </c>
      <c r="J21" s="11">
        <f t="shared" si="7"/>
        <v>60.614264999999996</v>
      </c>
      <c r="K21" s="11">
        <f t="shared" si="8"/>
        <v>60.614264999999996</v>
      </c>
      <c r="L21" s="11">
        <f t="shared" si="9"/>
        <v>60.614264999999996</v>
      </c>
      <c r="M21" s="11">
        <f t="shared" si="10"/>
        <v>60.614264999999996</v>
      </c>
      <c r="N21" s="11">
        <f t="shared" si="11"/>
        <v>60.614264999999996</v>
      </c>
      <c r="O21" s="11">
        <f t="shared" si="12"/>
        <v>60.614264999999996</v>
      </c>
      <c r="P21" s="11">
        <f t="shared" si="13"/>
        <v>60.614264999999996</v>
      </c>
      <c r="Q21" s="11">
        <f t="shared" si="14"/>
        <v>0</v>
      </c>
      <c r="R21" s="11">
        <f t="shared" si="15"/>
        <v>0</v>
      </c>
      <c r="S21" s="11">
        <f t="shared" si="16"/>
        <v>0</v>
      </c>
      <c r="T21" s="11">
        <f t="shared" si="17"/>
        <v>0</v>
      </c>
      <c r="U21" s="11">
        <f t="shared" si="18"/>
        <v>0</v>
      </c>
      <c r="V21" s="11">
        <f t="shared" si="19"/>
        <v>0</v>
      </c>
      <c r="W21" s="11">
        <f t="shared" si="20"/>
        <v>0</v>
      </c>
      <c r="X21" s="11">
        <f t="shared" si="21"/>
        <v>0</v>
      </c>
      <c r="Y21" s="11">
        <f t="shared" si="22"/>
        <v>0</v>
      </c>
      <c r="Z21" s="11">
        <f t="shared" si="23"/>
        <v>0</v>
      </c>
      <c r="AA21" s="11">
        <f t="shared" si="24"/>
        <v>0</v>
      </c>
      <c r="AB21" s="11">
        <f t="shared" si="25"/>
        <v>0</v>
      </c>
      <c r="AC21" s="11">
        <f t="shared" si="26"/>
        <v>0</v>
      </c>
      <c r="AD21" s="11">
        <f t="shared" si="27"/>
        <v>0</v>
      </c>
      <c r="AE21" s="11">
        <f t="shared" si="28"/>
        <v>0</v>
      </c>
    </row>
    <row r="22" spans="1:31" x14ac:dyDescent="0.25">
      <c r="A22" t="s">
        <v>106</v>
      </c>
      <c r="B22" s="11">
        <f t="shared" si="29"/>
        <v>42.365206480422181</v>
      </c>
      <c r="C22" s="11">
        <f t="shared" si="0"/>
        <v>39.226051152380791</v>
      </c>
      <c r="D22" s="11">
        <f t="shared" si="1"/>
        <v>60.614264999999996</v>
      </c>
      <c r="E22" s="11">
        <f t="shared" si="2"/>
        <v>60.614264999999996</v>
      </c>
      <c r="F22" s="11">
        <f t="shared" si="3"/>
        <v>60.614264999999996</v>
      </c>
      <c r="G22" s="11">
        <f t="shared" si="4"/>
        <v>60.614264999999996</v>
      </c>
      <c r="H22" s="11">
        <f t="shared" si="5"/>
        <v>60.614264999999996</v>
      </c>
      <c r="I22" s="11">
        <f t="shared" si="6"/>
        <v>60.614264999999996</v>
      </c>
      <c r="J22" s="11">
        <f t="shared" si="7"/>
        <v>60.614264999999996</v>
      </c>
      <c r="K22" s="11">
        <f t="shared" si="8"/>
        <v>60.614264999999996</v>
      </c>
      <c r="L22" s="11">
        <f t="shared" si="9"/>
        <v>60.614264999999996</v>
      </c>
      <c r="M22" s="11">
        <f t="shared" si="10"/>
        <v>60.614264999999996</v>
      </c>
      <c r="N22" s="11">
        <f t="shared" si="11"/>
        <v>60.614264999999996</v>
      </c>
      <c r="O22" s="11">
        <f t="shared" si="12"/>
        <v>60.614264999999996</v>
      </c>
      <c r="P22" s="11">
        <f t="shared" si="13"/>
        <v>60.614264999999996</v>
      </c>
      <c r="Q22" s="11">
        <f t="shared" si="14"/>
        <v>0</v>
      </c>
      <c r="R22" s="11">
        <f t="shared" si="15"/>
        <v>0</v>
      </c>
      <c r="S22" s="11">
        <f t="shared" si="16"/>
        <v>0</v>
      </c>
      <c r="T22" s="11">
        <f t="shared" si="17"/>
        <v>0</v>
      </c>
      <c r="U22" s="11">
        <f t="shared" si="18"/>
        <v>0</v>
      </c>
      <c r="V22" s="11">
        <f t="shared" si="19"/>
        <v>0</v>
      </c>
      <c r="W22" s="11">
        <f t="shared" si="20"/>
        <v>0</v>
      </c>
      <c r="X22" s="11">
        <f t="shared" si="21"/>
        <v>0</v>
      </c>
      <c r="Y22" s="11">
        <f t="shared" si="22"/>
        <v>0</v>
      </c>
      <c r="Z22" s="11">
        <f t="shared" si="23"/>
        <v>0</v>
      </c>
      <c r="AA22" s="11">
        <f t="shared" si="24"/>
        <v>0</v>
      </c>
      <c r="AB22" s="11">
        <f t="shared" si="25"/>
        <v>0</v>
      </c>
      <c r="AC22" s="11">
        <f t="shared" si="26"/>
        <v>0</v>
      </c>
      <c r="AD22" s="11">
        <f t="shared" si="27"/>
        <v>0</v>
      </c>
      <c r="AE22" s="11">
        <f t="shared" si="28"/>
        <v>0</v>
      </c>
    </row>
    <row r="23" spans="1:31" x14ac:dyDescent="0.25">
      <c r="A23" t="s">
        <v>107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108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109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8252-CD29-4D86-9D7F-2214C5598602}">
  <sheetPr>
    <tabColor theme="3"/>
  </sheetPr>
  <dimension ref="A1:AE2"/>
  <sheetViews>
    <sheetView workbookViewId="0">
      <selection activeCell="C32" sqref="C32"/>
    </sheetView>
  </sheetViews>
  <sheetFormatPr defaultRowHeight="15" x14ac:dyDescent="0.25"/>
  <sheetData>
    <row r="1" spans="1:31" x14ac:dyDescent="0.25">
      <c r="A1" t="s">
        <v>13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14</v>
      </c>
      <c r="B2">
        <v>12</v>
      </c>
      <c r="C2">
        <f>$B$2</f>
        <v>12</v>
      </c>
      <c r="D2">
        <f>$B$2</f>
        <v>12</v>
      </c>
      <c r="E2">
        <f t="shared" ref="E2:AE2" si="0">$B$2</f>
        <v>12</v>
      </c>
      <c r="F2">
        <f t="shared" si="0"/>
        <v>12</v>
      </c>
      <c r="G2">
        <f t="shared" si="0"/>
        <v>12</v>
      </c>
      <c r="H2">
        <f t="shared" si="0"/>
        <v>12</v>
      </c>
      <c r="I2">
        <f t="shared" si="0"/>
        <v>12</v>
      </c>
      <c r="J2">
        <f t="shared" si="0"/>
        <v>12</v>
      </c>
      <c r="K2">
        <f t="shared" si="0"/>
        <v>12</v>
      </c>
      <c r="L2">
        <f t="shared" si="0"/>
        <v>12</v>
      </c>
      <c r="M2">
        <f t="shared" si="0"/>
        <v>12</v>
      </c>
      <c r="N2">
        <f t="shared" si="0"/>
        <v>12</v>
      </c>
      <c r="O2">
        <f t="shared" si="0"/>
        <v>12</v>
      </c>
      <c r="P2">
        <f t="shared" si="0"/>
        <v>12</v>
      </c>
      <c r="Q2">
        <f t="shared" si="0"/>
        <v>12</v>
      </c>
      <c r="R2">
        <f t="shared" si="0"/>
        <v>12</v>
      </c>
      <c r="S2">
        <f t="shared" si="0"/>
        <v>12</v>
      </c>
      <c r="T2">
        <f t="shared" si="0"/>
        <v>12</v>
      </c>
      <c r="U2">
        <f t="shared" si="0"/>
        <v>12</v>
      </c>
      <c r="V2">
        <f t="shared" si="0"/>
        <v>12</v>
      </c>
      <c r="W2">
        <f t="shared" si="0"/>
        <v>12</v>
      </c>
      <c r="X2">
        <f t="shared" si="0"/>
        <v>12</v>
      </c>
      <c r="Y2">
        <f t="shared" si="0"/>
        <v>12</v>
      </c>
      <c r="Z2">
        <f t="shared" si="0"/>
        <v>12</v>
      </c>
      <c r="AA2">
        <f t="shared" si="0"/>
        <v>12</v>
      </c>
      <c r="AB2">
        <f t="shared" si="0"/>
        <v>12</v>
      </c>
      <c r="AC2">
        <f t="shared" si="0"/>
        <v>12</v>
      </c>
      <c r="AD2">
        <f t="shared" si="0"/>
        <v>12</v>
      </c>
      <c r="AE2">
        <f t="shared" si="0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45Q Value</vt:lpstr>
      <vt:lpstr>Electricity Calculations</vt:lpstr>
      <vt:lpstr>Calculations</vt:lpstr>
      <vt:lpstr>BCS-industry</vt:lpstr>
      <vt:lpstr>BCS-electricity</vt:lpstr>
      <vt:lpstr>BCS-DoSfCS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2014-08-18T23:28:12Z</dcterms:created>
  <dcterms:modified xsi:type="dcterms:W3CDTF">2026-10-27T18:52:29Z</dcterms:modified>
</cp:coreProperties>
</file>