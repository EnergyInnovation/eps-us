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1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Factors applied" sheetId="2" state="visible" r:id="rId2"/>
    <sheet xmlns:r="http://schemas.openxmlformats.org/officeDocument/2006/relationships" name="Checks" sheetId="3" state="visible" r:id="rId3"/>
    <sheet xmlns:r="http://schemas.openxmlformats.org/officeDocument/2006/relationships" name="SoCTaSCbRIC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topLeftCell="A1" workbookViewId="0">
      <selection activeCell="A1" sqref="A1"/>
    </sheetView>
  </sheetViews>
  <sheetFormatPr baseColWidth="8" defaultRowHeight="14.5"/>
  <sheetData>
    <row r="1">
      <c r="A1" s="1" t="inlineStr">
        <is>
          <t>SoCTaSCbRIC Share of CCS Transportation and Storage Costs by Recipient ISIC Code</t>
        </is>
      </c>
    </row>
    <row r="2"/>
    <row r="3">
      <c r="A3" s="1" t="inlineStr">
        <is>
          <t>Sources:</t>
        </is>
      </c>
      <c r="B3" s="3" t="inlineStr">
        <is>
          <t>None needed</t>
        </is>
      </c>
    </row>
    <row r="4"/>
    <row r="5">
      <c r="A5" s="1" t="inlineStr">
        <is>
          <t>Notes:</t>
        </is>
      </c>
    </row>
    <row r="7">
      <c r="A7" s="4" t="inlineStr">
        <is>
          <t>52-code expansion (2026-07-17):</t>
        </is>
      </c>
    </row>
    <row r="8">
      <c r="A8" t="inlineStr">
        <is>
          <t>The output tabs produce the 52-code ISIC list. The derivation above is unchanged and live; output-tab formulas reference the derivation tabs</t>
        </is>
      </c>
    </row>
    <row r="9">
      <c r="A9" t="inlineStr">
        <is>
          <t>directly, with the original header-label criteria written as literals (the derivation tabs still use the pre-split 42-code labels).</t>
        </is>
      </c>
    </row>
    <row r="11">
      <c r="A11" t="inlineStr">
        <is>
          <t>Children of split parents multiply the parent's allocation by the factors on the 'Factors applied' tab (editable; defaults = BEA 2024 gross-</t>
        </is>
      </c>
    </row>
    <row r="12">
      <c r="A12" t="inlineStr">
        <is>
          <t>output shares from io-model/BObIC; semantic overrides documented per row with rationale).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44" customWidth="1" min="6" max="6"/>
  </cols>
  <sheetData>
    <row r="1">
      <c r="A1" s="4" t="inlineStr">
        <is>
          <t>Child factors applied inline in the output-tab formulas (editable). Defaults = BEA 2024 output shares; semantic overrides and fuel reroutes noted per row.</t>
        </is>
      </c>
    </row>
    <row r="2">
      <c r="A2" s="4" t="inlineStr">
        <is>
          <t>File</t>
        </is>
      </c>
      <c r="B2" s="4" t="inlineStr">
        <is>
          <t>Row context</t>
        </is>
      </c>
      <c r="C2" s="4" t="inlineStr">
        <is>
          <t>Child</t>
        </is>
      </c>
      <c r="D2" s="4" t="inlineStr">
        <is>
          <t>Parent</t>
        </is>
      </c>
      <c r="E2" s="4" t="inlineStr">
        <is>
          <t>Factor</t>
        </is>
      </c>
      <c r="F2" s="4" t="inlineStr">
        <is>
          <t>Rationale</t>
        </is>
      </c>
      <c r="G2" s="4" t="inlineStr">
        <is>
          <t>BEA 2024 output share</t>
        </is>
      </c>
    </row>
    <row r="3">
      <c r="A3" t="inlineStr">
        <is>
          <t>SoCTaSCbRIC.csv</t>
        </is>
      </c>
      <c r="B3" t="inlineStr">
        <is>
          <t>CCS transportation and storage costs</t>
        </is>
      </c>
      <c r="C3" t="inlineStr">
        <is>
          <t>ISIC 01</t>
        </is>
      </c>
      <c r="D3" t="inlineStr">
        <is>
          <t>ISIC 01T03</t>
        </is>
      </c>
      <c r="E3" t="n">
        <v>0.9429986826432329</v>
      </c>
      <c r="F3" t="inlineStr">
        <is>
          <t>BEA 2024 output share (default)</t>
        </is>
      </c>
      <c r="G3" t="n">
        <v>0.9429986826432329</v>
      </c>
    </row>
    <row r="4">
      <c r="A4" t="inlineStr">
        <is>
          <t>SoCTaSCbRIC.csv</t>
        </is>
      </c>
      <c r="B4" t="inlineStr">
        <is>
          <t>CCS transportation and storage costs</t>
        </is>
      </c>
      <c r="C4" t="inlineStr">
        <is>
          <t>ISIC 02</t>
        </is>
      </c>
      <c r="D4" t="inlineStr">
        <is>
          <t>ISIC 01T03</t>
        </is>
      </c>
      <c r="E4" t="n">
        <v>0.04176573136965662</v>
      </c>
      <c r="F4" t="inlineStr">
        <is>
          <t>BEA 2024 output share (default)</t>
        </is>
      </c>
      <c r="G4" t="n">
        <v>0.04176573136965662</v>
      </c>
    </row>
    <row r="5">
      <c r="A5" t="inlineStr">
        <is>
          <t>SoCTaSCbRIC.csv</t>
        </is>
      </c>
      <c r="B5" t="inlineStr">
        <is>
          <t>CCS transportation and storage costs</t>
        </is>
      </c>
      <c r="C5" t="inlineStr">
        <is>
          <t>ISIC 03</t>
        </is>
      </c>
      <c r="D5" t="inlineStr">
        <is>
          <t>ISIC 01T03</t>
        </is>
      </c>
      <c r="E5" t="n">
        <v>0.01523558598711041</v>
      </c>
      <c r="F5" t="inlineStr">
        <is>
          <t>BEA 2024 output share (default)</t>
        </is>
      </c>
      <c r="G5" t="n">
        <v>0.01523558598711041</v>
      </c>
    </row>
    <row r="6">
      <c r="A6" t="inlineStr">
        <is>
          <t>SoCTaSCbRIC.csv</t>
        </is>
      </c>
      <c r="B6" t="inlineStr">
        <is>
          <t>CCS transportation and storage costs</t>
        </is>
      </c>
      <c r="C6" t="inlineStr">
        <is>
          <t>ISIC 07</t>
        </is>
      </c>
      <c r="D6" t="inlineStr">
        <is>
          <t>ISIC 07T08</t>
        </is>
      </c>
      <c r="E6" t="n">
        <v>0.4327368836123752</v>
      </c>
      <c r="F6" t="inlineStr">
        <is>
          <t>BEA 2024 output share (default)</t>
        </is>
      </c>
      <c r="G6" t="n">
        <v>0.4327368836123752</v>
      </c>
    </row>
    <row r="7">
      <c r="A7" t="inlineStr">
        <is>
          <t>SoCTaSCbRIC.csv</t>
        </is>
      </c>
      <c r="B7" t="inlineStr">
        <is>
          <t>CCS transportation and storage costs</t>
        </is>
      </c>
      <c r="C7" t="inlineStr">
        <is>
          <t>ISIC 08</t>
        </is>
      </c>
      <c r="D7" t="inlineStr">
        <is>
          <t>ISIC 07T08</t>
        </is>
      </c>
      <c r="E7" t="n">
        <v>0.5672631163876248</v>
      </c>
      <c r="F7" t="inlineStr">
        <is>
          <t>BEA 2024 output share (default)</t>
        </is>
      </c>
      <c r="G7" t="n">
        <v>0.5672631163876248</v>
      </c>
    </row>
    <row r="8">
      <c r="A8" t="inlineStr">
        <is>
          <t>SoCTaSCbRIC.csv</t>
        </is>
      </c>
      <c r="B8" t="inlineStr">
        <is>
          <t>CCS transportation and storage costs</t>
        </is>
      </c>
      <c r="C8" t="inlineStr">
        <is>
          <t>ISIC 301</t>
        </is>
      </c>
      <c r="D8" t="inlineStr">
        <is>
          <t>ISIC 30</t>
        </is>
      </c>
      <c r="E8" t="n">
        <v>0.1171368722490322</v>
      </c>
      <c r="F8" t="inlineStr">
        <is>
          <t>BEA 2024 output share (default)</t>
        </is>
      </c>
      <c r="G8" t="n">
        <v>0.1171368722490322</v>
      </c>
    </row>
    <row r="9">
      <c r="A9" t="inlineStr">
        <is>
          <t>SoCTaSCbRIC.csv</t>
        </is>
      </c>
      <c r="B9" t="inlineStr">
        <is>
          <t>CCS transportation and storage costs</t>
        </is>
      </c>
      <c r="C9" t="inlineStr">
        <is>
          <t>ISIC 302T309</t>
        </is>
      </c>
      <c r="D9" t="inlineStr">
        <is>
          <t>ISIC 30</t>
        </is>
      </c>
      <c r="E9" t="n">
        <v>0.8828631277509678</v>
      </c>
      <c r="F9" t="inlineStr">
        <is>
          <t>BEA 2024 output share (default)</t>
        </is>
      </c>
      <c r="G9" t="n">
        <v>0.8828631277509678</v>
      </c>
    </row>
    <row r="10">
      <c r="A10" t="inlineStr">
        <is>
          <t>SoCTaSCbRIC.csv</t>
        </is>
      </c>
      <c r="B10" t="inlineStr">
        <is>
          <t>CCS transportation and storage costs</t>
        </is>
      </c>
      <c r="C10" t="inlineStr">
        <is>
          <t>ISIC 49</t>
        </is>
      </c>
      <c r="D10" t="inlineStr">
        <is>
          <t>ISIC 49T53</t>
        </is>
      </c>
      <c r="E10" t="n">
        <v>0.4781643011829615</v>
      </c>
      <c r="F10" t="inlineStr">
        <is>
          <t>BEA 2024 output share (default)</t>
        </is>
      </c>
      <c r="G10" t="n">
        <v>0.4781643011829615</v>
      </c>
    </row>
    <row r="11">
      <c r="A11" t="inlineStr">
        <is>
          <t>SoCTaSCbRIC.csv</t>
        </is>
      </c>
      <c r="B11" t="inlineStr">
        <is>
          <t>CCS transportation and storage costs</t>
        </is>
      </c>
      <c r="C11" t="inlineStr">
        <is>
          <t>ISIC 50</t>
        </is>
      </c>
      <c r="D11" t="inlineStr">
        <is>
          <t>ISIC 49T53</t>
        </is>
      </c>
      <c r="E11" t="n">
        <v>0.04258639396614965</v>
      </c>
      <c r="F11" t="inlineStr">
        <is>
          <t>BEA 2024 output share (default)</t>
        </is>
      </c>
      <c r="G11" t="n">
        <v>0.04258639396614965</v>
      </c>
    </row>
    <row r="12">
      <c r="A12" t="inlineStr">
        <is>
          <t>SoCTaSCbRIC.csv</t>
        </is>
      </c>
      <c r="B12" t="inlineStr">
        <is>
          <t>CCS transportation and storage costs</t>
        </is>
      </c>
      <c r="C12" t="inlineStr">
        <is>
          <t>ISIC 51</t>
        </is>
      </c>
      <c r="D12" t="inlineStr">
        <is>
          <t>ISIC 49T53</t>
        </is>
      </c>
      <c r="E12" t="n">
        <v>0.1808024634415262</v>
      </c>
      <c r="F12" t="inlineStr">
        <is>
          <t>BEA 2024 output share (default)</t>
        </is>
      </c>
      <c r="G12" t="n">
        <v>0.1808024634415262</v>
      </c>
    </row>
    <row r="13">
      <c r="A13" t="inlineStr">
        <is>
          <t>SoCTaSCbRIC.csv</t>
        </is>
      </c>
      <c r="B13" t="inlineStr">
        <is>
          <t>CCS transportation and storage costs</t>
        </is>
      </c>
      <c r="C13" t="inlineStr">
        <is>
          <t>ISIC 52</t>
        </is>
      </c>
      <c r="D13" t="inlineStr">
        <is>
          <t>ISIC 49T53</t>
        </is>
      </c>
      <c r="E13" t="n">
        <v>0.2139060571318126</v>
      </c>
      <c r="F13" t="inlineStr">
        <is>
          <t>BEA 2024 output share (default)</t>
        </is>
      </c>
      <c r="G13" t="n">
        <v>0.2139060571318126</v>
      </c>
    </row>
    <row r="14">
      <c r="A14" t="inlineStr">
        <is>
          <t>SoCTaSCbRIC.csv</t>
        </is>
      </c>
      <c r="B14" t="inlineStr">
        <is>
          <t>CCS transportation and storage costs</t>
        </is>
      </c>
      <c r="C14" t="inlineStr">
        <is>
          <t>ISIC 53</t>
        </is>
      </c>
      <c r="D14" t="inlineStr">
        <is>
          <t>ISIC 49T53</t>
        </is>
      </c>
      <c r="E14" t="n">
        <v>0.08454078427755009</v>
      </c>
      <c r="F14" t="inlineStr">
        <is>
          <t>BEA 2024 output share (default)</t>
        </is>
      </c>
      <c r="G14" t="n">
        <v>0.08454078427755009</v>
      </c>
    </row>
    <row r="15">
      <c r="A15" t="inlineStr">
        <is>
          <t>SoCTaSCbRIC.csv</t>
        </is>
      </c>
      <c r="B15" t="inlineStr">
        <is>
          <t>CCS transportation and storage costs</t>
        </is>
      </c>
      <c r="C15" t="inlineStr">
        <is>
          <t>ISIC 69T75</t>
        </is>
      </c>
      <c r="D15" t="inlineStr">
        <is>
          <t>ISIC 69T82</t>
        </is>
      </c>
      <c r="E15" t="n">
        <v>1</v>
      </c>
      <c r="F15" t="inlineStr">
        <is>
          <t>semantic override</t>
        </is>
      </c>
      <c r="G15" t="n">
        <v>0.7298219447914125</v>
      </c>
    </row>
    <row r="16">
      <c r="A16" t="inlineStr">
        <is>
          <t>SoCTaSCbRIC.csv</t>
        </is>
      </c>
      <c r="B16" t="inlineStr">
        <is>
          <t>CCS transportation and storage costs</t>
        </is>
      </c>
      <c r="C16" t="inlineStr">
        <is>
          <t>ISIC 77T82</t>
        </is>
      </c>
      <c r="D16" t="inlineStr">
        <is>
          <t>ISIC 69T82</t>
        </is>
      </c>
      <c r="E16" t="n">
        <v>0</v>
      </c>
      <c r="F16" t="inlineStr">
        <is>
          <t>semantic override</t>
        </is>
      </c>
      <c r="G16" t="n">
        <v>0.2701780552085875</v>
      </c>
    </row>
    <row r="17">
      <c r="A17" t="inlineStr">
        <is>
          <t>SoCTaSCbRIC.csv</t>
        </is>
      </c>
      <c r="B17" t="inlineStr">
        <is>
          <t>CCS transportation and storage costs</t>
        </is>
      </c>
      <c r="C17" t="inlineStr">
        <is>
          <t>ISIC 90T93</t>
        </is>
      </c>
      <c r="D17" t="inlineStr">
        <is>
          <t>ISIC 90T96</t>
        </is>
      </c>
      <c r="E17" t="n">
        <v>0.4216249514352275</v>
      </c>
      <c r="F17" t="inlineStr">
        <is>
          <t>BEA 2024 output share (default)</t>
        </is>
      </c>
      <c r="G17" t="n">
        <v>0.4216249514352275</v>
      </c>
    </row>
    <row r="18">
      <c r="A18" t="inlineStr">
        <is>
          <t>SoCTaSCbRIC.csv</t>
        </is>
      </c>
      <c r="B18" t="inlineStr">
        <is>
          <t>CCS transportation and storage costs</t>
        </is>
      </c>
      <c r="C18" t="inlineStr">
        <is>
          <t>ISIC 94T96</t>
        </is>
      </c>
      <c r="D18" t="inlineStr">
        <is>
          <t>ISIC 90T96</t>
        </is>
      </c>
      <c r="E18" t="n">
        <v>0.5783750485647725</v>
      </c>
      <c r="F18" t="inlineStr">
        <is>
          <t>BEA 2024 output share (default)</t>
        </is>
      </c>
      <c r="G18" t="n">
        <v>0.5783750485647725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4" t="inlineStr">
        <is>
          <t>Validation checks</t>
        </is>
      </c>
    </row>
    <row r="3">
      <c r="A3" s="4" t="inlineStr">
        <is>
          <t>Child-factor groups sum to 1 (per file/context/parent; rate-file reroutes excluded)</t>
        </is>
      </c>
    </row>
    <row r="4">
      <c r="A4" t="inlineStr">
        <is>
          <t>SoCTaSCbRIC.csv | CCS transportation and storage | ISIC 01T03</t>
        </is>
      </c>
      <c r="B4">
        <f>('Factors applied'!$E$3+'Factors applied'!$E$4+'Factors applied'!$E$5)</f>
        <v/>
      </c>
      <c r="C4" s="4">
        <f>IF(ABS(B4-1)&lt;0.000000001,"PASS","FAIL")</f>
        <v/>
      </c>
    </row>
    <row r="5">
      <c r="A5" t="inlineStr">
        <is>
          <t>SoCTaSCbRIC.csv | CCS transportation and storage | ISIC 07T08</t>
        </is>
      </c>
      <c r="B5">
        <f>('Factors applied'!$E$6+'Factors applied'!$E$7)</f>
        <v/>
      </c>
      <c r="C5" s="4">
        <f>IF(ABS(B5-1)&lt;0.000000001,"PASS","FAIL")</f>
        <v/>
      </c>
    </row>
    <row r="6">
      <c r="A6" t="inlineStr">
        <is>
          <t>SoCTaSCbRIC.csv | CCS transportation and storage | ISIC 30</t>
        </is>
      </c>
      <c r="B6">
        <f>('Factors applied'!$E$8+'Factors applied'!$E$9)</f>
        <v/>
      </c>
      <c r="C6" s="4">
        <f>IF(ABS(B6-1)&lt;0.000000001,"PASS","FAIL")</f>
        <v/>
      </c>
    </row>
    <row r="7">
      <c r="A7" t="inlineStr">
        <is>
          <t>SoCTaSCbRIC.csv | CCS transportation and storage | ISIC 49T53</t>
        </is>
      </c>
      <c r="B7">
        <f>('Factors applied'!$E$10+'Factors applied'!$E$11+'Factors applied'!$E$12+'Factors applied'!$E$13+'Factors applied'!$E$14)</f>
        <v/>
      </c>
      <c r="C7" s="4">
        <f>IF(ABS(B7-1)&lt;0.000000001,"PASS","FAIL")</f>
        <v/>
      </c>
    </row>
    <row r="8">
      <c r="A8" t="inlineStr">
        <is>
          <t>SoCTaSCbRIC.csv | CCS transportation and storage | ISIC 69T82</t>
        </is>
      </c>
      <c r="B8">
        <f>('Factors applied'!$E$15+'Factors applied'!$E$16)</f>
        <v/>
      </c>
      <c r="C8" s="4">
        <f>IF(ABS(B8-1)&lt;0.000000001,"PASS","FAIL")</f>
        <v/>
      </c>
    </row>
    <row r="9">
      <c r="A9" t="inlineStr">
        <is>
          <t>SoCTaSCbRIC.csv | CCS transportation and storage | ISIC 90T96</t>
        </is>
      </c>
      <c r="B9">
        <f>('Factors applied'!$E$17+'Factors applied'!$E$18)</f>
        <v/>
      </c>
      <c r="C9" s="4">
        <f>IF(ABS(B9-1)&lt;0.000000001,"PASS","FAIL")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BA2"/>
  <sheetViews>
    <sheetView tabSelected="1" workbookViewId="0">
      <selection activeCell="W37" sqref="W37"/>
    </sheetView>
  </sheetViews>
  <sheetFormatPr baseColWidth="8" defaultRowHeight="14.5"/>
  <cols>
    <col width="40.26953125" customWidth="1" min="1" max="1"/>
    <col width="9.81640625" customWidth="1" min="2" max="26"/>
    <col width="12.26953125" customWidth="1" min="27" max="27"/>
    <col width="9.81640625" customWidth="1" min="28" max="43"/>
  </cols>
  <sheetData>
    <row r="1">
      <c r="A1" s="5" t="inlineStr">
        <is>
          <t>Unit: %</t>
        </is>
      </c>
      <c r="B1" s="4" t="inlineStr">
        <is>
          <t>ISIC 01</t>
        </is>
      </c>
      <c r="C1" s="4" t="inlineStr">
        <is>
          <t>ISIC 02</t>
        </is>
      </c>
      <c r="D1" s="4" t="inlineStr">
        <is>
          <t>ISIC 03</t>
        </is>
      </c>
      <c r="E1" s="4" t="inlineStr">
        <is>
          <t>ISIC 05</t>
        </is>
      </c>
      <c r="F1" s="4" t="inlineStr">
        <is>
          <t>ISIC 06</t>
        </is>
      </c>
      <c r="G1" s="4" t="inlineStr">
        <is>
          <t>ISIC 07</t>
        </is>
      </c>
      <c r="H1" s="4" t="inlineStr">
        <is>
          <t>ISIC 08</t>
        </is>
      </c>
      <c r="I1" s="4" t="inlineStr">
        <is>
          <t>ISIC 09</t>
        </is>
      </c>
      <c r="J1" s="4" t="inlineStr">
        <is>
          <t>ISIC 10T12</t>
        </is>
      </c>
      <c r="K1" s="4" t="inlineStr">
        <is>
          <t>ISIC 13T15</t>
        </is>
      </c>
      <c r="L1" s="4" t="inlineStr">
        <is>
          <t>ISIC 16</t>
        </is>
      </c>
      <c r="M1" s="4" t="inlineStr">
        <is>
          <t>ISIC 17T18</t>
        </is>
      </c>
      <c r="N1" s="4" t="inlineStr">
        <is>
          <t>ISIC 19</t>
        </is>
      </c>
      <c r="O1" s="4" t="inlineStr">
        <is>
          <t>ISIC 20</t>
        </is>
      </c>
      <c r="P1" s="4" t="inlineStr">
        <is>
          <t>ISIC 21</t>
        </is>
      </c>
      <c r="Q1" s="4" t="inlineStr">
        <is>
          <t>ISIC 22</t>
        </is>
      </c>
      <c r="R1" s="4" t="inlineStr">
        <is>
          <t>ISIC 231</t>
        </is>
      </c>
      <c r="S1" s="4" t="inlineStr">
        <is>
          <t>ISIC 239</t>
        </is>
      </c>
      <c r="T1" s="4" t="inlineStr">
        <is>
          <t>ISIC 241</t>
        </is>
      </c>
      <c r="U1" s="4" t="inlineStr">
        <is>
          <t>ISIC 242</t>
        </is>
      </c>
      <c r="V1" s="4" t="inlineStr">
        <is>
          <t>ISIC 25</t>
        </is>
      </c>
      <c r="W1" s="4" t="inlineStr">
        <is>
          <t>ISIC 26</t>
        </is>
      </c>
      <c r="X1" s="4" t="inlineStr">
        <is>
          <t>ISIC 27</t>
        </is>
      </c>
      <c r="Y1" s="4" t="inlineStr">
        <is>
          <t>ISIC 28</t>
        </is>
      </c>
      <c r="Z1" s="4" t="inlineStr">
        <is>
          <t>ISIC 29</t>
        </is>
      </c>
      <c r="AA1" s="4" t="inlineStr">
        <is>
          <t>ISIC 301</t>
        </is>
      </c>
      <c r="AB1" s="4" t="inlineStr">
        <is>
          <t>ISIC 302T309</t>
        </is>
      </c>
      <c r="AC1" s="4" t="inlineStr">
        <is>
          <t>ISIC 31T33</t>
        </is>
      </c>
      <c r="AD1" s="4" t="inlineStr">
        <is>
          <t>ISIC 351</t>
        </is>
      </c>
      <c r="AE1" s="4" t="inlineStr">
        <is>
          <t>ISIC 352T353</t>
        </is>
      </c>
      <c r="AF1" s="4" t="inlineStr">
        <is>
          <t>ISIC 36T39</t>
        </is>
      </c>
      <c r="AG1" s="4" t="inlineStr">
        <is>
          <t>ISIC 41T43</t>
        </is>
      </c>
      <c r="AH1" s="4" t="inlineStr">
        <is>
          <t>ISIC 45T47</t>
        </is>
      </c>
      <c r="AI1" s="4" t="inlineStr">
        <is>
          <t>ISIC 49</t>
        </is>
      </c>
      <c r="AJ1" s="4" t="inlineStr">
        <is>
          <t>ISIC 50</t>
        </is>
      </c>
      <c r="AK1" s="4" t="inlineStr">
        <is>
          <t>ISIC 51</t>
        </is>
      </c>
      <c r="AL1" s="4" t="inlineStr">
        <is>
          <t>ISIC 52</t>
        </is>
      </c>
      <c r="AM1" s="4" t="inlineStr">
        <is>
          <t>ISIC 53</t>
        </is>
      </c>
      <c r="AN1" s="4" t="inlineStr">
        <is>
          <t>ISIC 55T56</t>
        </is>
      </c>
      <c r="AO1" s="4" t="inlineStr">
        <is>
          <t>ISIC 58T60</t>
        </is>
      </c>
      <c r="AP1" s="4" t="inlineStr">
        <is>
          <t>ISIC 61</t>
        </is>
      </c>
      <c r="AQ1" s="4" t="inlineStr">
        <is>
          <t>ISIC 62T63</t>
        </is>
      </c>
      <c r="AR1" s="4" t="inlineStr">
        <is>
          <t>ISIC 64T66</t>
        </is>
      </c>
      <c r="AS1" s="4" t="inlineStr">
        <is>
          <t>ISIC 68</t>
        </is>
      </c>
      <c r="AT1" s="4" t="inlineStr">
        <is>
          <t>ISIC 69T75</t>
        </is>
      </c>
      <c r="AU1" s="4" t="inlineStr">
        <is>
          <t>ISIC 77T82</t>
        </is>
      </c>
      <c r="AV1" s="4" t="inlineStr">
        <is>
          <t>ISIC 84</t>
        </is>
      </c>
      <c r="AW1" s="4" t="inlineStr">
        <is>
          <t>ISIC 85</t>
        </is>
      </c>
      <c r="AX1" s="4" t="inlineStr">
        <is>
          <t>ISIC 86T88</t>
        </is>
      </c>
      <c r="AY1" s="4" t="inlineStr">
        <is>
          <t>ISIC 90T93</t>
        </is>
      </c>
      <c r="AZ1" s="4" t="inlineStr">
        <is>
          <t>ISIC 94T96</t>
        </is>
      </c>
      <c r="BA1" s="4" t="inlineStr">
        <is>
          <t>ISIC 97T98</t>
        </is>
      </c>
    </row>
    <row r="2">
      <c r="A2" t="inlineStr">
        <is>
          <t>CCS transportation and storage costs</t>
        </is>
      </c>
      <c r="B2">
        <f>0*'Factors applied'!$E$3</f>
        <v/>
      </c>
      <c r="C2">
        <f>0*'Factors applied'!$E$4</f>
        <v/>
      </c>
      <c r="D2">
        <f>0*'Factors applied'!$E$5</f>
        <v/>
      </c>
      <c r="E2" t="n">
        <v>0</v>
      </c>
      <c r="F2" t="n">
        <v>0</v>
      </c>
      <c r="G2">
        <f>0*'Factors applied'!$E$6</f>
        <v/>
      </c>
      <c r="H2">
        <f>0*'Factors applied'!$E$7</f>
        <v/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>
        <f>0*'Factors applied'!$E$8</f>
        <v/>
      </c>
      <c r="AB2">
        <f>0*'Factors applied'!$E$9</f>
        <v/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>
        <f>0*'Factors applied'!$E$10</f>
        <v/>
      </c>
      <c r="AJ2">
        <f>0*'Factors applied'!$E$11</f>
        <v/>
      </c>
      <c r="AK2">
        <f>0*'Factors applied'!$E$12</f>
        <v/>
      </c>
      <c r="AL2">
        <f>0*'Factors applied'!$E$13</f>
        <v/>
      </c>
      <c r="AM2">
        <f>0*'Factors applied'!$E$14</f>
        <v/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>
        <f>0*'Factors applied'!$E$15</f>
        <v/>
      </c>
      <c r="AU2">
        <f>0*'Factors applied'!$E$16</f>
        <v/>
      </c>
      <c r="AV2" t="n">
        <v>0</v>
      </c>
      <c r="AW2" t="n">
        <v>0</v>
      </c>
      <c r="AX2" t="n">
        <v>0</v>
      </c>
      <c r="AY2">
        <f>0*'Factors applied'!$E$17</f>
        <v/>
      </c>
      <c r="AZ2">
        <f>0*'Factors applied'!$E$18</f>
        <v/>
      </c>
      <c r="BA2" t="n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Robbie Orvis</dc:creator>
  <dcterms:created xmlns:dcterms="http://purl.org/dc/terms/" xmlns:xsi="http://www.w3.org/2001/XMLSchema-instance" xsi:type="dcterms:W3CDTF">2020-08-20T21:19:16Z</dcterms:created>
  <dcterms:modified xmlns:dcterms="http://purl.org/dc/terms/" xmlns:xsi="http://www.w3.org/2001/XMLSchema-instance" xsi:type="dcterms:W3CDTF">2026-07-20T17:27:22Z</dcterms:modified>
  <cp:lastModifiedBy>Megan Mahajan</cp:lastModifiedBy>
</cp:coreProperties>
</file>