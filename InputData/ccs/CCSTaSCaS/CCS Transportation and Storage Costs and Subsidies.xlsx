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ccs\CCSTaSCaS\"/>
    </mc:Choice>
  </mc:AlternateContent>
  <xr:revisionPtr revIDLastSave="0" documentId="13_ncr:1_{6F80A145-E2CC-4AB2-AF81-FB583B4B6E2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CCSTaSCaS-costs" sheetId="3" r:id="rId2"/>
    <sheet name="CCSTaSCaS-subsidi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C2" i="3"/>
  <c r="G2" i="3" l="1"/>
  <c r="H2" i="3"/>
  <c r="I2" i="3"/>
  <c r="J2" i="3"/>
  <c r="L2" i="3"/>
  <c r="R2" i="3"/>
  <c r="U2" i="3"/>
  <c r="V2" i="3"/>
  <c r="X2" i="3"/>
  <c r="AA2" i="3"/>
  <c r="AC2" i="3"/>
  <c r="AE2" i="3"/>
  <c r="D2" i="3"/>
  <c r="K2" i="3"/>
  <c r="AD2" i="3"/>
  <c r="F2" i="3"/>
  <c r="M2" i="3"/>
  <c r="N2" i="3"/>
  <c r="O2" i="3"/>
  <c r="P2" i="3"/>
  <c r="Q2" i="3"/>
  <c r="S2" i="3"/>
  <c r="T2" i="3"/>
  <c r="W2" i="3"/>
  <c r="Y2" i="3"/>
  <c r="Z2" i="3"/>
  <c r="AB2" i="3"/>
  <c r="B2" i="3"/>
  <c r="E2" i="3"/>
</calcChain>
</file>

<file path=xl/sharedStrings.xml><?xml version="1.0" encoding="utf-8"?>
<sst xmlns="http://schemas.openxmlformats.org/spreadsheetml/2006/main" count="12" uniqueCount="12">
  <si>
    <t>Source:</t>
  </si>
  <si>
    <t>Current Value and Infrastructure Investment and Jobs Act Effects</t>
  </si>
  <si>
    <t>Slide 38</t>
  </si>
  <si>
    <t>https://netzeroamerica.princeton.edu/img/Princeton%20NZA%20FINAL%20REPORT%20SUMMARY%20(29Oct2021).pdf</t>
  </si>
  <si>
    <t>Princeton University</t>
  </si>
  <si>
    <t>Net-Zero America: Potential Pathways, Infrastructure, and Impacts</t>
  </si>
  <si>
    <t>Transportation and Storage Cost ($ per metric ton CO2)</t>
  </si>
  <si>
    <t>Value from study (2021 $)</t>
  </si>
  <si>
    <t>Transportation and Storage Subsidies ($ per metric ton CO2)</t>
  </si>
  <si>
    <t>CCSTaSCaS CCS Transportation and Storage Costs and Subsidies</t>
  </si>
  <si>
    <t>2021 to 2012 $</t>
  </si>
  <si>
    <t>2026-10-23: the factor above was a 2018-to-2012 factor (0.9143) applied to a 2021$ value. Now CPI-U annual average 2012/2021 (229.594/270.970), the same CPI-U series as the 2018 (229.594/251.107) and 2022 (229.594/292.655) factors used in other EPS workbooks.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</si>
</sst>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etzeroamerica.princeton.edu/img/Princeton%20NZA%20FINAL%20REPORT%20SUMMARY%20(29Oct2021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2" sqref="A2"/>
    </sheetView>
  </sheetViews>
  <sheetFormatPr defaultRowHeight="15" x14ac:dyDescent="0.25"/>
  <cols>
    <col min="1" max="1" width="31.28515625" customWidth="1"/>
    <col min="2" max="2" width="42.5703125" customWidth="1"/>
  </cols>
  <sheetData>
    <row r="1" spans="1:2" x14ac:dyDescent="0.25">
      <c r="A1" s="1" t="s">
        <v>9</v>
      </c>
    </row>
    <row r="3" spans="1:2" x14ac:dyDescent="0.25">
      <c r="A3" s="1" t="s">
        <v>0</v>
      </c>
      <c r="B3" s="3" t="s">
        <v>1</v>
      </c>
    </row>
    <row r="4" spans="1:2" x14ac:dyDescent="0.25">
      <c r="B4" s="4" t="s">
        <v>4</v>
      </c>
    </row>
    <row r="5" spans="1:2" x14ac:dyDescent="0.25">
      <c r="B5" s="5">
        <v>2021</v>
      </c>
    </row>
    <row r="6" spans="1:2" ht="30" x14ac:dyDescent="0.25">
      <c r="B6" s="4" t="s">
        <v>5</v>
      </c>
    </row>
    <row r="7" spans="1:2" ht="45" x14ac:dyDescent="0.25">
      <c r="B7" s="6" t="s">
        <v>3</v>
      </c>
    </row>
    <row r="8" spans="1:2" x14ac:dyDescent="0.25">
      <c r="B8" s="4" t="s">
        <v>2</v>
      </c>
    </row>
    <row r="9" spans="1:2" x14ac:dyDescent="0.25">
      <c r="B9" s="4"/>
    </row>
    <row r="10" spans="1:2" x14ac:dyDescent="0.25">
      <c r="A10" t="s">
        <v>7</v>
      </c>
      <c r="B10">
        <v>23</v>
      </c>
    </row>
    <row r="11" spans="1:2" x14ac:dyDescent="0.25">
      <c r="A11" t="s">
        <v>10</v>
      </c>
      <c r="B11">
        <f>229.594/270.97</f>
        <v>0.84730412960844359</v>
      </c>
    </row>
    <row r="13" spans="1:2" x14ac:dyDescent="0.25">
      <c r="A13" t="s">
        <v>11</v>
      </c>
    </row>
  </sheetData>
  <hyperlinks>
    <hyperlink ref="B7" r:id="rId1" xr:uid="{E6E6B16C-F4E4-4E8F-9F7E-3FD9DA689F4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4"/>
  <sheetViews>
    <sheetView workbookViewId="0">
      <selection activeCell="B2" sqref="B2"/>
    </sheetView>
  </sheetViews>
  <sheetFormatPr defaultRowHeight="15" x14ac:dyDescent="0.25"/>
  <cols>
    <col min="1" max="1" width="47.140625" customWidth="1"/>
    <col min="2" max="31" width="9.42578125" bestFit="1" customWidth="1"/>
  </cols>
  <sheetData>
    <row r="1" spans="1:31" x14ac:dyDescent="0.25"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6</v>
      </c>
      <c r="B2">
        <f>About!$B$10*About!$B$11</f>
        <v>19.487994980994202</v>
      </c>
      <c r="C2">
        <f>About!$B$10*About!$B$11</f>
        <v>19.487994980994202</v>
      </c>
      <c r="D2">
        <f>About!$B$10*About!$B$11</f>
        <v>19.487994980994202</v>
      </c>
      <c r="E2">
        <f>About!$B$10*About!$B$11</f>
        <v>19.487994980994202</v>
      </c>
      <c r="F2">
        <f>About!$B$10*About!$B$11</f>
        <v>19.487994980994202</v>
      </c>
      <c r="G2">
        <f>About!$B$10*About!$B$11</f>
        <v>19.487994980994202</v>
      </c>
      <c r="H2">
        <f>About!$B$10*About!$B$11</f>
        <v>19.487994980994202</v>
      </c>
      <c r="I2">
        <f>About!$B$10*About!$B$11</f>
        <v>19.487994980994202</v>
      </c>
      <c r="J2">
        <f>About!$B$10*About!$B$11</f>
        <v>19.487994980994202</v>
      </c>
      <c r="K2">
        <f>About!$B$10*About!$B$11</f>
        <v>19.487994980994202</v>
      </c>
      <c r="L2">
        <f>About!$B$10*About!$B$11</f>
        <v>19.487994980994202</v>
      </c>
      <c r="M2">
        <f>About!$B$10*About!$B$11</f>
        <v>19.487994980994202</v>
      </c>
      <c r="N2">
        <f>About!$B$10*About!$B$11</f>
        <v>19.487994980994202</v>
      </c>
      <c r="O2">
        <f>About!$B$10*About!$B$11</f>
        <v>19.487994980994202</v>
      </c>
      <c r="P2">
        <f>About!$B$10*About!$B$11</f>
        <v>19.487994980994202</v>
      </c>
      <c r="Q2">
        <f>About!$B$10*About!$B$11</f>
        <v>19.487994980994202</v>
      </c>
      <c r="R2">
        <f>About!$B$10*About!$B$11</f>
        <v>19.487994980994202</v>
      </c>
      <c r="S2">
        <f>About!$B$10*About!$B$11</f>
        <v>19.487994980994202</v>
      </c>
      <c r="T2">
        <f>About!$B$10*About!$B$11</f>
        <v>19.487994980994202</v>
      </c>
      <c r="U2">
        <f>About!$B$10*About!$B$11</f>
        <v>19.487994980994202</v>
      </c>
      <c r="V2">
        <f>About!$B$10*About!$B$11</f>
        <v>19.487994980994202</v>
      </c>
      <c r="W2">
        <f>About!$B$10*About!$B$11</f>
        <v>19.487994980994202</v>
      </c>
      <c r="X2">
        <f>About!$B$10*About!$B$11</f>
        <v>19.487994980994202</v>
      </c>
      <c r="Y2">
        <f>About!$B$10*About!$B$11</f>
        <v>19.487994980994202</v>
      </c>
      <c r="Z2">
        <f>About!$B$10*About!$B$11</f>
        <v>19.487994980994202</v>
      </c>
      <c r="AA2">
        <f>About!$B$10*About!$B$11</f>
        <v>19.487994980994202</v>
      </c>
      <c r="AB2">
        <f>About!$B$10*About!$B$11</f>
        <v>19.487994980994202</v>
      </c>
      <c r="AC2">
        <f>About!$B$10*About!$B$11</f>
        <v>19.487994980994202</v>
      </c>
      <c r="AD2">
        <f>About!$B$10*About!$B$11</f>
        <v>19.487994980994202</v>
      </c>
      <c r="AE2">
        <f>About!$B$10*About!$B$11</f>
        <v>19.487994980994202</v>
      </c>
    </row>
    <row r="4" spans="1:31" x14ac:dyDescent="0.25">
      <c r="K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216FD-AA82-4D60-8D28-27C6635D86E7}">
  <sheetPr>
    <tabColor theme="3"/>
  </sheetPr>
  <dimension ref="A1:AE4"/>
  <sheetViews>
    <sheetView workbookViewId="0">
      <selection activeCell="C6" sqref="C6"/>
    </sheetView>
  </sheetViews>
  <sheetFormatPr defaultRowHeight="15" x14ac:dyDescent="0.25"/>
  <cols>
    <col min="1" max="1" width="47.140625" customWidth="1"/>
    <col min="2" max="31" width="9.42578125" bestFit="1" customWidth="1"/>
  </cols>
  <sheetData>
    <row r="1" spans="1:31" x14ac:dyDescent="0.25"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4" spans="1:31" x14ac:dyDescent="0.25">
      <c r="K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CCSTaSCaS-costs</vt:lpstr>
      <vt:lpstr>CCSTaSCaS-subsidies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2015-07-06T20:49:06Z</dcterms:created>
  <dcterms:modified xsi:type="dcterms:W3CDTF">2026-10-23T14:18:24Z</dcterms:modified>
</cp:coreProperties>
</file>