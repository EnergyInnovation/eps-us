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ccs\CC\"/>
    </mc:Choice>
  </mc:AlternateContent>
  <xr:revisionPtr revIDLastSave="0" documentId="13_ncr:1_{14E24DCE-7B3B-445E-85EC-50FEFC966062}" xr6:coauthVersionLast="47" xr6:coauthVersionMax="47" xr10:uidLastSave="{00000000-0000-0000-0000-000000000000}"/>
  <bookViews>
    <workbookView xWindow="-120" yWindow="-120" windowWidth="29040" windowHeight="17520" firstSheet="6" activeTab="10" xr2:uid="{00000000-000D-0000-FFFF-FFFF00000000}"/>
  </bookViews>
  <sheets>
    <sheet name="About" sheetId="1" r:id="rId1"/>
    <sheet name="Data" sheetId="10" r:id="rId2"/>
    <sheet name="CC-CCoIECE" sheetId="4" r:id="rId3"/>
    <sheet name="CC-CCoIPCE" sheetId="8" r:id="rId4"/>
    <sheet name="CC-CCoHSCE" sheetId="12" r:id="rId5"/>
    <sheet name="CC-TOMCpTIECS" sheetId="5" r:id="rId6"/>
    <sheet name="CC-TOMCpTIPCS" sheetId="9" r:id="rId7"/>
    <sheet name="CC-TOMCpTHSCS" sheetId="13" r:id="rId8"/>
    <sheet name="CC-EUpTIECS" sheetId="6" r:id="rId9"/>
    <sheet name="CC-EUpTIPCS" sheetId="11" r:id="rId10"/>
    <sheet name="CC-EUpTHSCS" sheetId="14" r:id="rId11"/>
  </sheets>
  <definedNames>
    <definedName name="solver_adj" localSheetId="0" hidden="1">About!$A$30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About!$A$28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0.15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0" l="1"/>
  <c r="C43" i="10" s="1"/>
  <c r="B4" i="14" s="1"/>
  <c r="C40" i="10"/>
  <c r="C38" i="10"/>
  <c r="C42" i="10" s="1"/>
  <c r="C44" i="10" s="1"/>
  <c r="B2" i="14" s="1"/>
  <c r="C10" i="11"/>
  <c r="C16" i="10" l="1"/>
  <c r="C25" i="10" s="1"/>
  <c r="B11" i="11" s="1"/>
  <c r="D16" i="10"/>
  <c r="E16" i="10"/>
  <c r="F16" i="10"/>
  <c r="G16" i="10"/>
  <c r="H16" i="10"/>
  <c r="I16" i="10"/>
  <c r="C17" i="10"/>
  <c r="D17" i="10"/>
  <c r="D26" i="10" s="1"/>
  <c r="E17" i="10"/>
  <c r="E26" i="10" s="1"/>
  <c r="F17" i="10"/>
  <c r="F26" i="10" s="1"/>
  <c r="D14" i="11" s="1"/>
  <c r="G17" i="10"/>
  <c r="G26" i="10" s="1"/>
  <c r="D10" i="6" s="1"/>
  <c r="H17" i="10"/>
  <c r="I17" i="10"/>
  <c r="I26" i="10" s="1"/>
  <c r="C18" i="10"/>
  <c r="D18" i="10"/>
  <c r="E18" i="10"/>
  <c r="F18" i="10"/>
  <c r="G18" i="10"/>
  <c r="H18" i="10"/>
  <c r="I18" i="10"/>
  <c r="C19" i="10"/>
  <c r="D19" i="10"/>
  <c r="E19" i="10"/>
  <c r="F19" i="10"/>
  <c r="G19" i="10"/>
  <c r="H19" i="10"/>
  <c r="I19" i="10"/>
  <c r="B18" i="10"/>
  <c r="B19" i="10"/>
  <c r="B16" i="10"/>
  <c r="B25" i="10" s="1"/>
  <c r="B24" i="11" s="1"/>
  <c r="C13" i="10"/>
  <c r="D13" i="10"/>
  <c r="E13" i="10"/>
  <c r="F13" i="10"/>
  <c r="G13" i="10"/>
  <c r="H13" i="10"/>
  <c r="I13" i="10"/>
  <c r="C14" i="10"/>
  <c r="C24" i="10" s="1"/>
  <c r="D14" i="10"/>
  <c r="D24" i="10" s="1"/>
  <c r="E14" i="10"/>
  <c r="E24" i="10" s="1"/>
  <c r="F14" i="10"/>
  <c r="F24" i="10" s="1"/>
  <c r="G14" i="10"/>
  <c r="G24" i="10" s="1"/>
  <c r="H14" i="10"/>
  <c r="H24" i="10" s="1"/>
  <c r="I14" i="10"/>
  <c r="I24" i="10" s="1"/>
  <c r="C23" i="10"/>
  <c r="D23" i="10"/>
  <c r="E23" i="10"/>
  <c r="F23" i="10"/>
  <c r="G23" i="10"/>
  <c r="H23" i="10"/>
  <c r="I23" i="10"/>
  <c r="D25" i="10"/>
  <c r="E25" i="10"/>
  <c r="F25" i="10"/>
  <c r="B14" i="11" s="1"/>
  <c r="G25" i="10"/>
  <c r="B10" i="6" s="1"/>
  <c r="H25" i="10"/>
  <c r="B15" i="11" s="1"/>
  <c r="I25" i="10"/>
  <c r="C26" i="10"/>
  <c r="D11" i="11" s="1"/>
  <c r="H26" i="10"/>
  <c r="D15" i="11" s="1"/>
  <c r="B23" i="10"/>
  <c r="B13" i="10"/>
  <c r="B17" i="10"/>
  <c r="B26" i="10" s="1"/>
  <c r="D24" i="11" s="1"/>
  <c r="B14" i="10"/>
  <c r="B24" i="10" s="1"/>
  <c r="B27" i="10" l="1"/>
  <c r="B24" i="9" s="1"/>
  <c r="B24" i="8"/>
  <c r="B4" i="8"/>
  <c r="B19" i="8"/>
  <c r="B5" i="8"/>
  <c r="B7" i="8"/>
  <c r="B13" i="8"/>
  <c r="B16" i="8"/>
  <c r="B6" i="8"/>
  <c r="B17" i="8"/>
  <c r="B20" i="8"/>
  <c r="B21" i="8"/>
  <c r="B22" i="8"/>
  <c r="B26" i="8"/>
  <c r="B8" i="8"/>
  <c r="B12" i="8"/>
  <c r="B18" i="8"/>
  <c r="B23" i="8"/>
  <c r="B25" i="8"/>
  <c r="B2" i="8"/>
  <c r="B10" i="8"/>
  <c r="B9" i="8"/>
  <c r="B3" i="8"/>
  <c r="D16" i="6"/>
  <c r="D5" i="6"/>
  <c r="D19" i="11"/>
  <c r="D7" i="11"/>
  <c r="D24" i="6"/>
  <c r="D12" i="6"/>
  <c r="D22" i="6"/>
  <c r="D2" i="11"/>
  <c r="D21" i="6"/>
  <c r="D9" i="6"/>
  <c r="D12" i="11"/>
  <c r="D16" i="11"/>
  <c r="D25" i="11"/>
  <c r="D26" i="6"/>
  <c r="D15" i="6"/>
  <c r="D4" i="6"/>
  <c r="D18" i="11"/>
  <c r="D6" i="11"/>
  <c r="D13" i="6"/>
  <c r="D4" i="11"/>
  <c r="D23" i="6"/>
  <c r="D26" i="11"/>
  <c r="D13" i="11"/>
  <c r="D7" i="6"/>
  <c r="D20" i="11"/>
  <c r="D25" i="6"/>
  <c r="D14" i="6"/>
  <c r="D3" i="6"/>
  <c r="D17" i="11"/>
  <c r="D5" i="11"/>
  <c r="D2" i="6"/>
  <c r="D3" i="11"/>
  <c r="D11" i="6"/>
  <c r="D20" i="6"/>
  <c r="D23" i="11"/>
  <c r="D9" i="11"/>
  <c r="D10" i="11" s="1"/>
  <c r="D19" i="6"/>
  <c r="D8" i="6"/>
  <c r="D22" i="11"/>
  <c r="D18" i="6"/>
  <c r="D21" i="11"/>
  <c r="D17" i="6"/>
  <c r="D6" i="6"/>
  <c r="D8" i="11"/>
  <c r="B6" i="11"/>
  <c r="B25" i="6"/>
  <c r="B17" i="11"/>
  <c r="B2" i="6"/>
  <c r="B4" i="11"/>
  <c r="B12" i="6"/>
  <c r="B11" i="6"/>
  <c r="B2" i="11"/>
  <c r="B16" i="6"/>
  <c r="B5" i="6"/>
  <c r="B19" i="11"/>
  <c r="B7" i="11"/>
  <c r="B3" i="6"/>
  <c r="B24" i="6"/>
  <c r="B23" i="6"/>
  <c r="B3" i="11"/>
  <c r="B21" i="6"/>
  <c r="B14" i="6"/>
  <c r="B13" i="6"/>
  <c r="B16" i="11"/>
  <c r="B26" i="11"/>
  <c r="B22" i="6"/>
  <c r="B25" i="11"/>
  <c r="B26" i="6"/>
  <c r="B15" i="6"/>
  <c r="B4" i="6"/>
  <c r="B18" i="11"/>
  <c r="B20" i="6"/>
  <c r="B9" i="6"/>
  <c r="B23" i="11"/>
  <c r="B12" i="11"/>
  <c r="B8" i="6"/>
  <c r="B22" i="11"/>
  <c r="B9" i="11"/>
  <c r="B10" i="11" s="1"/>
  <c r="B5" i="11"/>
  <c r="B13" i="11"/>
  <c r="B7" i="6"/>
  <c r="B17" i="6"/>
  <c r="B20" i="11"/>
  <c r="B18" i="6"/>
  <c r="B21" i="11"/>
  <c r="B6" i="6"/>
  <c r="B8" i="11"/>
  <c r="B19" i="6"/>
  <c r="I27" i="10"/>
  <c r="B8" i="4"/>
  <c r="B16" i="4"/>
  <c r="B24" i="4"/>
  <c r="B22" i="4"/>
  <c r="B9" i="4"/>
  <c r="B17" i="4"/>
  <c r="B25" i="4"/>
  <c r="B13" i="4"/>
  <c r="B15" i="4"/>
  <c r="B18" i="4"/>
  <c r="B26" i="4"/>
  <c r="B11" i="4"/>
  <c r="B19" i="4"/>
  <c r="B2" i="4"/>
  <c r="B12" i="4"/>
  <c r="B5" i="4"/>
  <c r="B21" i="4"/>
  <c r="B6" i="4"/>
  <c r="B23" i="4"/>
  <c r="B3" i="4"/>
  <c r="B4" i="4"/>
  <c r="B20" i="4"/>
  <c r="B14" i="4"/>
  <c r="B7" i="4"/>
  <c r="D27" i="10"/>
  <c r="B11" i="8" l="1"/>
  <c r="C27" i="10"/>
  <c r="B11" i="9" s="1"/>
  <c r="E27" i="10"/>
  <c r="B2" i="13" s="1"/>
  <c r="B2" i="12"/>
  <c r="B14" i="8"/>
  <c r="F27" i="10"/>
  <c r="B14" i="9" s="1"/>
  <c r="G27" i="10"/>
  <c r="B10" i="5" s="1"/>
  <c r="B10" i="4"/>
  <c r="B8" i="9"/>
  <c r="B16" i="9"/>
  <c r="B19" i="9"/>
  <c r="B2" i="9"/>
  <c r="B18" i="9"/>
  <c r="B22" i="9"/>
  <c r="B12" i="9"/>
  <c r="B13" i="9"/>
  <c r="B23" i="9"/>
  <c r="B9" i="9"/>
  <c r="B3" i="9"/>
  <c r="B4" i="9"/>
  <c r="B17" i="9"/>
  <c r="B20" i="9"/>
  <c r="B21" i="9"/>
  <c r="B10" i="9"/>
  <c r="B25" i="9"/>
  <c r="B5" i="9"/>
  <c r="B6" i="9"/>
  <c r="B26" i="9"/>
  <c r="B7" i="9"/>
  <c r="H27" i="10"/>
  <c r="B15" i="9" s="1"/>
  <c r="B15" i="8"/>
  <c r="B3" i="5"/>
  <c r="B11" i="5"/>
  <c r="B19" i="5"/>
  <c r="B2" i="5"/>
  <c r="B17" i="5"/>
  <c r="B4" i="5"/>
  <c r="B12" i="5"/>
  <c r="B20" i="5"/>
  <c r="B16" i="5"/>
  <c r="B18" i="5"/>
  <c r="B5" i="5"/>
  <c r="B13" i="5"/>
  <c r="B21" i="5"/>
  <c r="B7" i="5"/>
  <c r="B8" i="5"/>
  <c r="B24" i="5"/>
  <c r="B25" i="5"/>
  <c r="B26" i="5"/>
  <c r="B6" i="5"/>
  <c r="B14" i="5"/>
  <c r="B22" i="5"/>
  <c r="B15" i="5"/>
  <c r="B23" i="5"/>
  <c r="B9" i="5"/>
</calcChain>
</file>

<file path=xl/sharedStrings.xml><?xml version="1.0" encoding="utf-8"?>
<sst xmlns="http://schemas.openxmlformats.org/spreadsheetml/2006/main" count="288" uniqueCount="133">
  <si>
    <t>Source:</t>
  </si>
  <si>
    <t>Notes:</t>
  </si>
  <si>
    <t>Capital cost ($/(metric ton CO2e*yr))</t>
  </si>
  <si>
    <t>O&amp;M Cost per Ton ($/metric ton CO2e)</t>
  </si>
  <si>
    <t xml:space="preserve">This variable captures the capital and O&amp;M costs and energy use of </t>
  </si>
  <si>
    <t>The energy use value here should exclude any energy that is not additional</t>
  </si>
  <si>
    <t>isn't being used, and they use it to power CCS, that heat should be excluded</t>
  </si>
  <si>
    <t>from here, since it does not increase the overall energy demand of the steel</t>
  </si>
  <si>
    <t>mill.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</si>
  <si>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</si>
  <si>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</si>
  <si>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</si>
  <si>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</si>
  <si>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</si>
  <si>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</si>
  <si>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</si>
  <si>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</si>
  <si>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</si>
  <si>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</si>
  <si>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</si>
  <si>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</si>
  <si>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</si>
  <si>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</si>
  <si>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</si>
  <si>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</si>
  <si>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</si>
  <si>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</si>
  <si>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</si>
  <si>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</si>
  <si>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</si>
  <si>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</si>
  <si>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</si>
  <si>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</si>
  <si>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</si>
  <si>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Gaffney Cline</t>
  </si>
  <si>
    <t>National Petroleum Council (NPC) Capture Facility Reference Costs</t>
  </si>
  <si>
    <t>https://www.gaffneycline.com/calculator/npc-scenarios-table</t>
  </si>
  <si>
    <t>Facility Type</t>
  </si>
  <si>
    <t>Low Estimates</t>
  </si>
  <si>
    <t>Capacity (tonne / year)</t>
  </si>
  <si>
    <t>Total CapEx (US $ / annual tonne)</t>
  </si>
  <si>
    <t>Natural Gas Processing</t>
  </si>
  <si>
    <t>Electricity usage (MWh / tonne)</t>
  </si>
  <si>
    <t>Gas usage (MWh / tonne)</t>
  </si>
  <si>
    <t>OpEx, Non-energy, annual (% CapEx)</t>
  </si>
  <si>
    <t>Tax rate (%)</t>
  </si>
  <si>
    <t>High Estimates</t>
  </si>
  <si>
    <t>Averages</t>
  </si>
  <si>
    <t>CapEx ($ / annual tonne)</t>
  </si>
  <si>
    <t>Electricity usage (BTU / tonne)</t>
  </si>
  <si>
    <t>Gas usage (BTU / tonne)</t>
  </si>
  <si>
    <t>OpEx, Non-energy</t>
  </si>
  <si>
    <t>BTU per MWh</t>
  </si>
  <si>
    <t>Ethanol Production</t>
  </si>
  <si>
    <t>Ammonia Production</t>
  </si>
  <si>
    <t>Hydrogen Production</t>
  </si>
  <si>
    <t>Cement Plant</t>
  </si>
  <si>
    <t>Refinery Fluidized Catalytic Converter</t>
  </si>
  <si>
    <t>Iron and Steel Plant</t>
  </si>
  <si>
    <t>Industrial Furnace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</si>
  <si>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</si>
  <si>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</si>
  <si>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</si>
  <si>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</si>
  <si>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</si>
  <si>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</si>
  <si>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</si>
  <si>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oil</t>
  </si>
  <si>
    <t>LPG propane or butane</t>
  </si>
  <si>
    <t>hydrogen</t>
  </si>
  <si>
    <t>CC Capital Cost of Industrial Energy CCS Equipment</t>
  </si>
  <si>
    <t>CC Capital Cost of Industrial Process CCS Equipment</t>
  </si>
  <si>
    <t>CC Capital Cost of Industrial Hydrogen Sector CCS Equipment</t>
  </si>
  <si>
    <t>CC CCS Total O&amp;M Cost per Ton Industrial Energy CO2 Sequestered</t>
  </si>
  <si>
    <t>CC CCS Total O&amp;M Cost per Ton Industrial Process CO2 Sequestered</t>
  </si>
  <si>
    <t>CC CCS Total O&amp;M Cost per Ton Hydrogen Sector CO2 Sequestered</t>
  </si>
  <si>
    <t>CC Energy Use per Ton Industrial Energy CO2 Sequestered</t>
  </si>
  <si>
    <t>CC Energy Use per Ton Industrial Process CO2 Sequestered</t>
  </si>
  <si>
    <t>CC Energy Use per Ton Hydrogen Sector CO2 Sequestered</t>
  </si>
  <si>
    <t>Hydrogen Sector</t>
  </si>
  <si>
    <t>carbon capture and sequestration, for both the industry and hydrogen sectors.</t>
  </si>
  <si>
    <t>It also includes data on energy use per ton CO2 sequestered.</t>
  </si>
  <si>
    <t>to the energy already accounted for in indst/BIFUbC.</t>
  </si>
  <si>
    <t>For example, if a steel mill has excess process heat that</t>
  </si>
  <si>
    <t>2020 to 2012 USD</t>
  </si>
  <si>
    <t>electricity if</t>
  </si>
  <si>
    <t>coal if</t>
  </si>
  <si>
    <t>natural gas if</t>
  </si>
  <si>
    <t>biomass if</t>
  </si>
  <si>
    <t>petroleum diesel if</t>
  </si>
  <si>
    <t>heat if</t>
  </si>
  <si>
    <t>crude oil if</t>
  </si>
  <si>
    <t>heavy or residual oil if</t>
  </si>
  <si>
    <t>LPG propane or butane if</t>
  </si>
  <si>
    <t>hydrogen if</t>
  </si>
  <si>
    <t>Energy Use per Ton Sequestered (BTU/gram CO2e)</t>
  </si>
  <si>
    <t>*We use ethanol production as a proxy for the chemicals industry, as we expect ammonia production to be decarbonized via</t>
  </si>
  <si>
    <t>hydrogen electrolysis in our BAU case.</t>
  </si>
  <si>
    <t>2026-10-02: the three CC-EUpT* tabs converted BTU per tonne CO2 to BTU per gram</t>
  </si>
  <si>
    <t>by dividing by 10^12 (and the process tab also applied the 2020-&gt;2012 USD deflator</t>
  </si>
  <si>
    <t>to energy). Corrected to /10^6 with no deflator; values rose ~1e6x, restoring the</t>
  </si>
  <si>
    <t>capture energy penalty (cement: 8.70 BTU/g gas + 0.546 BTU/g electricity).</t>
  </si>
  <si>
    <t>Hydrogen sector capture energy: NETL 2022 SMR with and without CCS (added 2026-10-23)</t>
  </si>
  <si>
    <t>NETL, Comparison of Commercial, State-of-the-Art, Fossil-Based Hydrogen Production Technologies, DOE/NETL-2022/3241, April 2022, https://www.osti.gov/servlets/purl/1862910</t>
  </si>
  <si>
    <t>Case 1 SMR, no capture</t>
  </si>
  <si>
    <t>Case 2 SMR with CCS</t>
  </si>
  <si>
    <t>Source / formula</t>
  </si>
  <si>
    <t>Hydrogen production (kg/hr)</t>
  </si>
  <si>
    <t>Exhibits 3-5 and 3-23</t>
  </si>
  <si>
    <t>HHV thermal input, natural gas (kWt)</t>
  </si>
  <si>
    <t>Auxiliary electricity load (kWe)</t>
  </si>
  <si>
    <t>Exhibits 3-5 and 3-23: balance of plant (+ CO2 capture/removal auxiliaries + CO2 compression in Case 2)</t>
  </si>
  <si>
    <t>CO2 product (kg carbon/hr)</t>
  </si>
  <si>
    <t>Exhibit 3-26 carbon balance (overall capture 96.2%)</t>
  </si>
  <si>
    <t>CO2 captured (tonne CO2/hr)</t>
  </si>
  <si>
    <t>carbon x 44.01/12.011</t>
  </si>
  <si>
    <t>Incremental natural gas for capture (BTU/hr)</t>
  </si>
  <si>
    <t>(Case 2 - Case 1 thermal input) x BTU per kWh</t>
  </si>
  <si>
    <t>Incremental electricity for capture (BTU/hr)</t>
  </si>
  <si>
    <t>(Case 2 - Case 1 auxiliary load) x BTU per kWh</t>
  </si>
  <si>
    <t>Natural gas per tonne CO2 captured (BTU/tonne)</t>
  </si>
  <si>
    <t>Electricity per tonne CO2 captured (BTU/tonne)</t>
  </si>
  <si>
    <t>Same hydrogen output in both cases, so the differences are the capture energy. NETL captures 96.2% of plant carbon (syngas and reformer flue gas); EPS captures CCP (0.85) of the production-gas CO2 and applies this per-tonne energy to it.</t>
  </si>
  <si>
    <t>The NPC/Gaffney Cline hydrogen column above (2.55 MWh gas + 0.18 MWh electricity per tonne) is no longer used for the hydrogen sector: it implied ~+39% gas on an SMR, against ~+6% in NETL.</t>
  </si>
  <si>
    <t>2026-10-23: CC Energy Use per Ton Hydrogen Sector CO2 Sequestered (CC-EUpTHSCS) now comes from NETL 2022</t>
  </si>
  <si>
    <t>(Data rows 32-46): 1.16 BTU/g natural gas + 0.50 BTU/g electricity, replacing the NPC hydrogen-plant column</t>
  </si>
  <si>
    <t>(8.70 + 0.61 BTU/g). The industry tabs are unchanged. EPS now also charges this energy at fuel prices in</t>
  </si>
  <si>
    <t>CCS Cost per Ton Blue Hydrogen Produced (it was used physically but never costed).</t>
  </si>
  <si>
    <t>2026-10-23: the (1 + tax rate) multiplier was removed. NPC's tax rate is an input to its levelized-cost calculation, not a markup on capital; rows 9 and 19 are kept for reference only.</t>
  </si>
  <si>
    <t>2026-10-23: CapEx per annual tonne (Data row 24) no longer multiplies by (1 + tax rate). The gross-up came in</t>
  </si>
  <si>
    <t>with the NPC data (e87c7c8a, 2023) without a stated rationale; NPC uses the tax rate inside its levelized</t>
  </si>
  <si>
    <t>cost, and no other EPS sector marks up capital by an income-tax rate. CapEx and the O&amp;M derived from it</t>
  </si>
  <si>
    <t>(Data row 27, a % of CapEx) fall by 1/1.21 for every industry and for the hydrogen sector.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</si>
</sst>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0" fillId="0" borderId="0" xfId="0" applyAlignment="1">
      <alignment horizontal="right" wrapText="1"/>
    </xf>
    <xf numFmtId="0" fontId="4" fillId="0" borderId="0" xfId="0" applyFont="1"/>
    <xf numFmtId="2" fontId="0" fillId="0" borderId="0" xfId="1" applyNumberFormat="1" applyFont="1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5"/>
  <sheetViews>
    <sheetView workbookViewId="0">
      <selection activeCell="D35" sqref="D35"/>
    </sheetView>
  </sheetViews>
  <sheetFormatPr defaultRowHeight="15" x14ac:dyDescent="0.25"/>
  <cols>
    <col min="1" max="1" width="30.28515625" customWidth="1"/>
    <col min="2" max="2" width="55.85546875" customWidth="1"/>
    <col min="4" max="4" width="30.5703125" customWidth="1"/>
  </cols>
  <sheetData>
    <row r="1" spans="1:2" x14ac:dyDescent="0.25">
      <c r="A1" s="1" t="s">
        <v>70</v>
      </c>
    </row>
    <row r="2" spans="1:2" x14ac:dyDescent="0.25">
      <c r="A2" s="1" t="s">
        <v>71</v>
      </c>
    </row>
    <row r="3" spans="1:2" x14ac:dyDescent="0.25">
      <c r="A3" s="1" t="s">
        <v>72</v>
      </c>
    </row>
    <row r="4" spans="1:2" x14ac:dyDescent="0.25">
      <c r="A4" s="2" t="s">
        <v>73</v>
      </c>
    </row>
    <row r="5" spans="1:2" x14ac:dyDescent="0.25">
      <c r="A5" s="2" t="s">
        <v>74</v>
      </c>
    </row>
    <row r="6" spans="1:2" x14ac:dyDescent="0.25">
      <c r="A6" s="2" t="s">
        <v>75</v>
      </c>
    </row>
    <row r="7" spans="1:2" x14ac:dyDescent="0.25">
      <c r="A7" s="1" t="s">
        <v>76</v>
      </c>
    </row>
    <row r="8" spans="1:2" x14ac:dyDescent="0.25">
      <c r="A8" s="1" t="s">
        <v>77</v>
      </c>
    </row>
    <row r="9" spans="1:2" x14ac:dyDescent="0.25">
      <c r="A9" s="1" t="s">
        <v>78</v>
      </c>
    </row>
    <row r="11" spans="1:2" x14ac:dyDescent="0.25">
      <c r="A11" s="1" t="s">
        <v>0</v>
      </c>
      <c r="B11" t="s">
        <v>34</v>
      </c>
    </row>
    <row r="12" spans="1:2" x14ac:dyDescent="0.25">
      <c r="B12" t="s">
        <v>35</v>
      </c>
    </row>
    <row r="13" spans="1:2" x14ac:dyDescent="0.25">
      <c r="B13" s="5" t="s">
        <v>36</v>
      </c>
    </row>
    <row r="15" spans="1:2" x14ac:dyDescent="0.25">
      <c r="A15" s="1" t="s">
        <v>1</v>
      </c>
    </row>
    <row r="16" spans="1:2" x14ac:dyDescent="0.25">
      <c r="A16" t="s">
        <v>4</v>
      </c>
    </row>
    <row r="17" spans="1:2" x14ac:dyDescent="0.25">
      <c r="A17" t="s">
        <v>80</v>
      </c>
    </row>
    <row r="18" spans="1:2" x14ac:dyDescent="0.25">
      <c r="A18" t="s">
        <v>81</v>
      </c>
    </row>
    <row r="19" spans="1:2" x14ac:dyDescent="0.25">
      <c r="A19" s="1"/>
    </row>
    <row r="20" spans="1:2" x14ac:dyDescent="0.25">
      <c r="A20" t="s">
        <v>5</v>
      </c>
    </row>
    <row r="21" spans="1:2" x14ac:dyDescent="0.25">
      <c r="A21" t="s">
        <v>82</v>
      </c>
    </row>
    <row r="22" spans="1:2" x14ac:dyDescent="0.25">
      <c r="A22" t="s">
        <v>83</v>
      </c>
    </row>
    <row r="23" spans="1:2" x14ac:dyDescent="0.25">
      <c r="A23" t="s">
        <v>6</v>
      </c>
    </row>
    <row r="24" spans="1:2" x14ac:dyDescent="0.25">
      <c r="A24" t="s">
        <v>7</v>
      </c>
    </row>
    <row r="25" spans="1:2" x14ac:dyDescent="0.25">
      <c r="A25" t="s">
        <v>8</v>
      </c>
    </row>
    <row r="28" spans="1:2" x14ac:dyDescent="0.25">
      <c r="A28" s="6">
        <v>0.88711067149387013</v>
      </c>
      <c r="B28" t="s">
        <v>84</v>
      </c>
    </row>
    <row r="30" spans="1:2" x14ac:dyDescent="0.25">
      <c r="A30">
        <v>3412141</v>
      </c>
      <c r="B30" t="s">
        <v>52</v>
      </c>
    </row>
    <row r="32" spans="1:2" x14ac:dyDescent="0.25">
      <c r="A32" t="s">
        <v>98</v>
      </c>
    </row>
    <row r="33" spans="1:1" x14ac:dyDescent="0.25">
      <c r="A33" t="s">
        <v>99</v>
      </c>
    </row>
    <row r="34" spans="1:1" x14ac:dyDescent="0.25">
      <c r="A34" t="s">
        <v>100</v>
      </c>
    </row>
    <row r="35" spans="1:1" x14ac:dyDescent="0.25">
      <c r="A35" t="s">
        <v>101</v>
      </c>
    </row>
    <row r="37" spans="1:1" x14ac:dyDescent="0.25">
      <c r="A37" t="s">
        <v>124</v>
      </c>
    </row>
    <row r="38" spans="1:1" x14ac:dyDescent="0.25">
      <c r="A38" t="s">
        <v>125</v>
      </c>
    </row>
    <row r="39" spans="1:1" x14ac:dyDescent="0.25">
      <c r="A39" t="s">
        <v>126</v>
      </c>
    </row>
    <row r="40" spans="1:1" x14ac:dyDescent="0.25">
      <c r="A40" t="s">
        <v>127</v>
      </c>
    </row>
    <row r="42" spans="1:1" x14ac:dyDescent="0.25">
      <c r="A42" t="s">
        <v>129</v>
      </c>
    </row>
    <row r="43" spans="1:1" x14ac:dyDescent="0.25">
      <c r="A43" t="s">
        <v>130</v>
      </c>
    </row>
    <row r="44" spans="1:1" x14ac:dyDescent="0.25">
      <c r="A44" t="s">
        <v>131</v>
      </c>
    </row>
    <row r="45" spans="1:1" x14ac:dyDescent="0.25">
      <c r="A45" t="s">
        <v>132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B772-A559-4F07-971A-AC3B6FFE9BE6}">
  <sheetPr codeName="Sheet3"/>
  <dimension ref="A1:J46"/>
  <sheetViews>
    <sheetView topLeftCell="A15" workbookViewId="0">
      <selection activeCell="A29" sqref="A29"/>
    </sheetView>
  </sheetViews>
  <sheetFormatPr defaultRowHeight="15" x14ac:dyDescent="0.25"/>
  <cols>
    <col min="1" max="1" width="34.85546875" customWidth="1"/>
    <col min="2" max="9" width="31" customWidth="1"/>
  </cols>
  <sheetData>
    <row r="1" spans="1:9" x14ac:dyDescent="0.25">
      <c r="A1" s="1" t="s">
        <v>38</v>
      </c>
    </row>
    <row r="3" spans="1:9" x14ac:dyDescent="0.25">
      <c r="A3" t="s">
        <v>37</v>
      </c>
      <c r="B3" t="s">
        <v>41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</row>
    <row r="4" spans="1:9" x14ac:dyDescent="0.25">
      <c r="A4" t="s">
        <v>39</v>
      </c>
      <c r="B4">
        <v>276216</v>
      </c>
      <c r="C4">
        <v>401775</v>
      </c>
      <c r="D4">
        <v>458000</v>
      </c>
      <c r="E4">
        <v>400000</v>
      </c>
      <c r="F4">
        <v>990000</v>
      </c>
      <c r="G4">
        <v>440000</v>
      </c>
      <c r="H4">
        <v>3910384</v>
      </c>
      <c r="I4">
        <v>259016</v>
      </c>
    </row>
    <row r="5" spans="1:9" x14ac:dyDescent="0.25">
      <c r="A5" t="s">
        <v>40</v>
      </c>
      <c r="B5">
        <v>16.5</v>
      </c>
      <c r="C5">
        <v>21.48</v>
      </c>
      <c r="D5">
        <v>24.48</v>
      </c>
      <c r="E5">
        <v>58.91</v>
      </c>
      <c r="F5">
        <v>148.05000000000001</v>
      </c>
      <c r="G5">
        <v>135.91</v>
      </c>
      <c r="H5">
        <v>805.15</v>
      </c>
      <c r="I5">
        <v>91.77</v>
      </c>
    </row>
    <row r="6" spans="1:9" x14ac:dyDescent="0.25">
      <c r="A6" t="s">
        <v>42</v>
      </c>
      <c r="B6">
        <v>0.1</v>
      </c>
      <c r="C6">
        <v>0.12</v>
      </c>
      <c r="D6">
        <v>0.1</v>
      </c>
      <c r="E6">
        <v>0.18</v>
      </c>
      <c r="F6">
        <v>0.16</v>
      </c>
      <c r="G6">
        <v>0.14000000000000001</v>
      </c>
      <c r="H6">
        <v>0.16</v>
      </c>
      <c r="I6">
        <v>0.16</v>
      </c>
    </row>
    <row r="7" spans="1:9" x14ac:dyDescent="0.25">
      <c r="A7" t="s">
        <v>43</v>
      </c>
      <c r="B7">
        <v>0</v>
      </c>
      <c r="C7">
        <v>0</v>
      </c>
      <c r="D7">
        <v>0</v>
      </c>
      <c r="E7">
        <v>2.5499999999999998</v>
      </c>
      <c r="F7">
        <v>2.5499999999999998</v>
      </c>
      <c r="G7">
        <v>2.5499999999999998</v>
      </c>
      <c r="H7">
        <v>2.5499999999999998</v>
      </c>
      <c r="I7">
        <v>2.6</v>
      </c>
    </row>
    <row r="8" spans="1:9" x14ac:dyDescent="0.25">
      <c r="A8" t="s">
        <v>44</v>
      </c>
      <c r="B8">
        <v>0.06</v>
      </c>
      <c r="C8">
        <v>7.0000000000000007E-2</v>
      </c>
      <c r="D8">
        <v>0.05</v>
      </c>
      <c r="E8">
        <v>0.05</v>
      </c>
      <c r="F8">
        <v>7.0000000000000007E-2</v>
      </c>
      <c r="G8">
        <v>0.04</v>
      </c>
      <c r="H8">
        <v>0.05</v>
      </c>
      <c r="I8">
        <v>0.04</v>
      </c>
    </row>
    <row r="9" spans="1:9" x14ac:dyDescent="0.25">
      <c r="A9" t="s">
        <v>45</v>
      </c>
      <c r="B9">
        <v>0.21</v>
      </c>
      <c r="C9">
        <v>0.21</v>
      </c>
      <c r="D9">
        <v>0.21</v>
      </c>
      <c r="E9">
        <v>0.21</v>
      </c>
      <c r="F9">
        <v>0.21</v>
      </c>
      <c r="G9">
        <v>0.21</v>
      </c>
      <c r="H9">
        <v>0.21</v>
      </c>
      <c r="I9">
        <v>0.21</v>
      </c>
    </row>
    <row r="11" spans="1:9" x14ac:dyDescent="0.25">
      <c r="A11" s="1" t="s">
        <v>46</v>
      </c>
    </row>
    <row r="13" spans="1:9" x14ac:dyDescent="0.25">
      <c r="A13" t="s">
        <v>37</v>
      </c>
      <c r="B13" t="str">
        <f>B3</f>
        <v>Natural Gas Processing</v>
      </c>
      <c r="C13" t="str">
        <f t="shared" ref="C13:I13" si="0">C3</f>
        <v>Ethanol Production</v>
      </c>
      <c r="D13" t="str">
        <f t="shared" si="0"/>
        <v>Ammonia Production</v>
      </c>
      <c r="E13" t="str">
        <f t="shared" si="0"/>
        <v>Hydrogen Production</v>
      </c>
      <c r="F13" t="str">
        <f t="shared" si="0"/>
        <v>Cement Plant</v>
      </c>
      <c r="G13" t="str">
        <f t="shared" si="0"/>
        <v>Refinery Fluidized Catalytic Converter</v>
      </c>
      <c r="H13" t="str">
        <f t="shared" si="0"/>
        <v>Iron and Steel Plant</v>
      </c>
      <c r="I13" t="str">
        <f t="shared" si="0"/>
        <v>Industrial Furnace</v>
      </c>
    </row>
    <row r="14" spans="1:9" x14ac:dyDescent="0.25">
      <c r="A14" t="s">
        <v>39</v>
      </c>
      <c r="B14">
        <f>B4</f>
        <v>276216</v>
      </c>
      <c r="C14">
        <f t="shared" ref="C14:I14" si="1">C4</f>
        <v>401775</v>
      </c>
      <c r="D14">
        <f t="shared" si="1"/>
        <v>458000</v>
      </c>
      <c r="E14">
        <f t="shared" si="1"/>
        <v>400000</v>
      </c>
      <c r="F14">
        <f t="shared" si="1"/>
        <v>990000</v>
      </c>
      <c r="G14">
        <f t="shared" si="1"/>
        <v>440000</v>
      </c>
      <c r="H14">
        <f t="shared" si="1"/>
        <v>3910384</v>
      </c>
      <c r="I14">
        <f t="shared" si="1"/>
        <v>259016</v>
      </c>
    </row>
    <row r="15" spans="1:9" x14ac:dyDescent="0.25">
      <c r="A15" t="s">
        <v>40</v>
      </c>
      <c r="B15">
        <v>27.5</v>
      </c>
      <c r="C15">
        <v>38.5</v>
      </c>
      <c r="D15">
        <v>40.81</v>
      </c>
      <c r="E15">
        <v>98.18</v>
      </c>
      <c r="F15">
        <v>246.75</v>
      </c>
      <c r="G15">
        <v>226.52</v>
      </c>
      <c r="H15">
        <v>343.17</v>
      </c>
      <c r="I15">
        <v>152.94</v>
      </c>
    </row>
    <row r="16" spans="1:9" x14ac:dyDescent="0.25">
      <c r="A16" t="s">
        <v>42</v>
      </c>
      <c r="B16">
        <f t="shared" ref="B16:B17" si="2">B6</f>
        <v>0.1</v>
      </c>
      <c r="C16">
        <f t="shared" ref="C16:I16" si="3">C6</f>
        <v>0.12</v>
      </c>
      <c r="D16">
        <f t="shared" si="3"/>
        <v>0.1</v>
      </c>
      <c r="E16">
        <f t="shared" si="3"/>
        <v>0.18</v>
      </c>
      <c r="F16">
        <f t="shared" si="3"/>
        <v>0.16</v>
      </c>
      <c r="G16">
        <f t="shared" si="3"/>
        <v>0.14000000000000001</v>
      </c>
      <c r="H16">
        <f t="shared" si="3"/>
        <v>0.16</v>
      </c>
      <c r="I16">
        <f t="shared" si="3"/>
        <v>0.16</v>
      </c>
    </row>
    <row r="17" spans="1:10" x14ac:dyDescent="0.25">
      <c r="A17" t="s">
        <v>43</v>
      </c>
      <c r="B17">
        <f t="shared" si="2"/>
        <v>0</v>
      </c>
      <c r="C17">
        <f t="shared" ref="C17:I17" si="4">C7</f>
        <v>0</v>
      </c>
      <c r="D17">
        <f t="shared" si="4"/>
        <v>0</v>
      </c>
      <c r="E17">
        <f t="shared" si="4"/>
        <v>2.5499999999999998</v>
      </c>
      <c r="F17">
        <f t="shared" si="4"/>
        <v>2.5499999999999998</v>
      </c>
      <c r="G17">
        <f t="shared" si="4"/>
        <v>2.5499999999999998</v>
      </c>
      <c r="H17">
        <f t="shared" si="4"/>
        <v>2.5499999999999998</v>
      </c>
      <c r="I17">
        <f t="shared" si="4"/>
        <v>2.6</v>
      </c>
    </row>
    <row r="18" spans="1:10" x14ac:dyDescent="0.25">
      <c r="A18" t="s">
        <v>44</v>
      </c>
      <c r="B18">
        <f t="shared" ref="B18:I18" si="5">B8</f>
        <v>0.06</v>
      </c>
      <c r="C18">
        <f t="shared" si="5"/>
        <v>7.0000000000000007E-2</v>
      </c>
      <c r="D18">
        <f t="shared" si="5"/>
        <v>0.05</v>
      </c>
      <c r="E18">
        <f t="shared" si="5"/>
        <v>0.05</v>
      </c>
      <c r="F18">
        <f t="shared" si="5"/>
        <v>7.0000000000000007E-2</v>
      </c>
      <c r="G18">
        <f t="shared" si="5"/>
        <v>0.04</v>
      </c>
      <c r="H18">
        <f t="shared" si="5"/>
        <v>0.05</v>
      </c>
      <c r="I18">
        <f t="shared" si="5"/>
        <v>0.04</v>
      </c>
    </row>
    <row r="19" spans="1:10" x14ac:dyDescent="0.25">
      <c r="A19" t="s">
        <v>45</v>
      </c>
      <c r="B19">
        <f t="shared" ref="B19:I19" si="6">B9</f>
        <v>0.21</v>
      </c>
      <c r="C19">
        <f t="shared" si="6"/>
        <v>0.21</v>
      </c>
      <c r="D19">
        <f t="shared" si="6"/>
        <v>0.21</v>
      </c>
      <c r="E19">
        <f t="shared" si="6"/>
        <v>0.21</v>
      </c>
      <c r="F19">
        <f t="shared" si="6"/>
        <v>0.21</v>
      </c>
      <c r="G19">
        <f t="shared" si="6"/>
        <v>0.21</v>
      </c>
      <c r="H19">
        <f t="shared" si="6"/>
        <v>0.21</v>
      </c>
      <c r="I19">
        <f t="shared" si="6"/>
        <v>0.21</v>
      </c>
    </row>
    <row r="21" spans="1:10" x14ac:dyDescent="0.25">
      <c r="A21" s="1" t="s">
        <v>47</v>
      </c>
    </row>
    <row r="22" spans="1:10" x14ac:dyDescent="0.25">
      <c r="A22" s="1"/>
      <c r="B22" t="s">
        <v>31</v>
      </c>
      <c r="C22" t="s">
        <v>18</v>
      </c>
      <c r="F22" t="s">
        <v>21</v>
      </c>
      <c r="G22" t="s">
        <v>17</v>
      </c>
      <c r="H22" t="s">
        <v>22</v>
      </c>
    </row>
    <row r="23" spans="1:10" x14ac:dyDescent="0.25">
      <c r="B23" t="str">
        <f>B3</f>
        <v>Natural Gas Processing</v>
      </c>
      <c r="C23" t="str">
        <f t="shared" ref="C23:I23" si="7">C3</f>
        <v>Ethanol Production</v>
      </c>
      <c r="D23" t="str">
        <f t="shared" si="7"/>
        <v>Ammonia Production</v>
      </c>
      <c r="E23" t="str">
        <f t="shared" si="7"/>
        <v>Hydrogen Production</v>
      </c>
      <c r="F23" t="str">
        <f t="shared" si="7"/>
        <v>Cement Plant</v>
      </c>
      <c r="G23" t="str">
        <f t="shared" si="7"/>
        <v>Refinery Fluidized Catalytic Converter</v>
      </c>
      <c r="H23" t="str">
        <f t="shared" si="7"/>
        <v>Iron and Steel Plant</v>
      </c>
      <c r="I23" t="str">
        <f t="shared" si="7"/>
        <v>Industrial Furnace</v>
      </c>
    </row>
    <row r="24" spans="1:10" x14ac:dyDescent="0.25">
      <c r="A24" t="s">
        <v>48</v>
      </c>
      <c r="B24">
        <f>AVERAGE(B5,B15)*10^6/B14</f>
        <v>79.647811857386969</v>
      </c>
      <c r="C24">
        <f>AVERAGE(C5,C15)*10^6/C14</f>
        <v>74.643768278265213</v>
      </c>
      <c r="D24">
        <f>AVERAGE(D5,D15)*10^6/D14</f>
        <v>71.277292576419228</v>
      </c>
      <c r="E24">
        <f>AVERAGE(E5,E15)*10^6/E14</f>
        <v>196.36250000000001</v>
      </c>
      <c r="F24">
        <f>AVERAGE(F5,F15)*10^6/F14</f>
        <v>199.39393939393941</v>
      </c>
      <c r="G24">
        <f>AVERAGE(G5,G15)*10^6/G14</f>
        <v>411.85227272727275</v>
      </c>
      <c r="H24">
        <f>AVERAGE(H5,H15)*10^6/H14</f>
        <v>146.82956967909033</v>
      </c>
      <c r="I24">
        <f>AVERAGE(I5,I15)*10^6/I14</f>
        <v>472.38394539333473</v>
      </c>
      <c r="J24" t="s">
        <v>128</v>
      </c>
    </row>
    <row r="25" spans="1:10" x14ac:dyDescent="0.25">
      <c r="A25" t="s">
        <v>49</v>
      </c>
      <c r="B25">
        <f>AVERAGE(B6,B16)*About!$A$30</f>
        <v>341214.10000000003</v>
      </c>
      <c r="C25">
        <f>AVERAGE(C6,C16)*About!$A$30</f>
        <v>409456.92</v>
      </c>
      <c r="D25">
        <f>AVERAGE(D6,D16)*About!$A$30</f>
        <v>341214.10000000003</v>
      </c>
      <c r="E25">
        <f>AVERAGE(E6,E16)*About!$A$30</f>
        <v>614185.38</v>
      </c>
      <c r="F25">
        <f>AVERAGE(F6,F16)*About!$A$30</f>
        <v>545942.56000000006</v>
      </c>
      <c r="G25">
        <f>AVERAGE(G6,G16)*About!$A$30</f>
        <v>477699.74000000005</v>
      </c>
      <c r="H25">
        <f>AVERAGE(H6,H16)*About!$A$30</f>
        <v>545942.56000000006</v>
      </c>
      <c r="I25">
        <f>AVERAGE(I6,I16)*About!$A$30</f>
        <v>545942.56000000006</v>
      </c>
    </row>
    <row r="26" spans="1:10" x14ac:dyDescent="0.25">
      <c r="A26" t="s">
        <v>50</v>
      </c>
      <c r="B26">
        <f>AVERAGE(B7,B17)*About!$A$30</f>
        <v>0</v>
      </c>
      <c r="C26">
        <f>AVERAGE(C7,C17)*About!$A$30</f>
        <v>0</v>
      </c>
      <c r="D26">
        <f>AVERAGE(D7,D17)*About!$A$30</f>
        <v>0</v>
      </c>
      <c r="E26">
        <f>AVERAGE(E7,E17)*About!$A$30</f>
        <v>8700959.5499999989</v>
      </c>
      <c r="F26">
        <f>AVERAGE(F7,F17)*About!$A$30</f>
        <v>8700959.5499999989</v>
      </c>
      <c r="G26">
        <f>AVERAGE(G7,G17)*About!$A$30</f>
        <v>8700959.5499999989</v>
      </c>
      <c r="H26">
        <f>AVERAGE(H7,H17)*About!$A$30</f>
        <v>8700959.5499999989</v>
      </c>
      <c r="I26">
        <f>AVERAGE(I7,I17)*About!$A$30</f>
        <v>8871566.5999999996</v>
      </c>
    </row>
    <row r="27" spans="1:10" x14ac:dyDescent="0.25">
      <c r="A27" t="s">
        <v>51</v>
      </c>
      <c r="B27">
        <f>AVERAGE(B8,B18)*B24</f>
        <v>4.7788687114432182</v>
      </c>
      <c r="C27">
        <f t="shared" ref="C27:I27" si="8">AVERAGE(C8,C18)*C24</f>
        <v>5.2250637794785657</v>
      </c>
      <c r="D27">
        <f t="shared" si="8"/>
        <v>3.5638646288209617</v>
      </c>
      <c r="E27">
        <f t="shared" si="8"/>
        <v>9.818125000000002</v>
      </c>
      <c r="F27">
        <f t="shared" si="8"/>
        <v>13.957575757575759</v>
      </c>
      <c r="G27">
        <f t="shared" si="8"/>
        <v>16.474090909090911</v>
      </c>
      <c r="H27">
        <f t="shared" si="8"/>
        <v>7.3414784839545169</v>
      </c>
      <c r="I27">
        <f t="shared" si="8"/>
        <v>18.895357815733391</v>
      </c>
    </row>
    <row r="29" spans="1:10" x14ac:dyDescent="0.25">
      <c r="A29" t="s">
        <v>96</v>
      </c>
    </row>
    <row r="30" spans="1:10" x14ac:dyDescent="0.25">
      <c r="A30" t="s">
        <v>97</v>
      </c>
    </row>
    <row r="32" spans="1:10" x14ac:dyDescent="0.25">
      <c r="A32" t="s">
        <v>102</v>
      </c>
    </row>
    <row r="33" spans="1:4" x14ac:dyDescent="0.25">
      <c r="A33" t="s">
        <v>103</v>
      </c>
    </row>
    <row r="35" spans="1:4" x14ac:dyDescent="0.25">
      <c r="B35" t="s">
        <v>104</v>
      </c>
      <c r="C35" t="s">
        <v>105</v>
      </c>
      <c r="D35" t="s">
        <v>106</v>
      </c>
    </row>
    <row r="36" spans="1:4" x14ac:dyDescent="0.25">
      <c r="A36" t="s">
        <v>107</v>
      </c>
      <c r="B36">
        <v>20126</v>
      </c>
      <c r="C36">
        <v>20125</v>
      </c>
      <c r="D36" t="s">
        <v>108</v>
      </c>
    </row>
    <row r="37" spans="1:4" x14ac:dyDescent="0.25">
      <c r="A37" t="s">
        <v>109</v>
      </c>
      <c r="B37">
        <v>1031068</v>
      </c>
      <c r="C37">
        <v>1096328</v>
      </c>
      <c r="D37" t="s">
        <v>108</v>
      </c>
    </row>
    <row r="38" spans="1:4" x14ac:dyDescent="0.25">
      <c r="A38" t="s">
        <v>110</v>
      </c>
      <c r="B38">
        <v>12650</v>
      </c>
      <c r="C38">
        <f>6710+16460+17500</f>
        <v>40670</v>
      </c>
      <c r="D38" t="s">
        <v>111</v>
      </c>
    </row>
    <row r="39" spans="1:4" x14ac:dyDescent="0.25">
      <c r="A39" t="s">
        <v>112</v>
      </c>
      <c r="B39">
        <v>0</v>
      </c>
      <c r="C39">
        <v>52502</v>
      </c>
      <c r="D39" t="s">
        <v>113</v>
      </c>
    </row>
    <row r="40" spans="1:4" x14ac:dyDescent="0.25">
      <c r="A40" t="s">
        <v>114</v>
      </c>
      <c r="C40">
        <f>C39*44.01/12.011/1000</f>
        <v>192.37474148697027</v>
      </c>
      <c r="D40" t="s">
        <v>115</v>
      </c>
    </row>
    <row r="41" spans="1:4" x14ac:dyDescent="0.25">
      <c r="A41" t="s">
        <v>116</v>
      </c>
      <c r="C41">
        <f>(C37-B37)*About!$A$30/1000</f>
        <v>222676321.66</v>
      </c>
      <c r="D41" t="s">
        <v>117</v>
      </c>
    </row>
    <row r="42" spans="1:4" x14ac:dyDescent="0.25">
      <c r="A42" t="s">
        <v>118</v>
      </c>
      <c r="C42">
        <f>(C38-B38)*About!$A$30/1000</f>
        <v>95608190.819999993</v>
      </c>
      <c r="D42" t="s">
        <v>119</v>
      </c>
    </row>
    <row r="43" spans="1:4" x14ac:dyDescent="0.25">
      <c r="A43" t="s">
        <v>120</v>
      </c>
      <c r="C43">
        <f>C41/C40</f>
        <v>1157513.2989851586</v>
      </c>
    </row>
    <row r="44" spans="1:4" x14ac:dyDescent="0.25">
      <c r="A44" t="s">
        <v>121</v>
      </c>
      <c r="C44">
        <f>C42/C40</f>
        <v>496989.31409077754</v>
      </c>
    </row>
    <row r="45" spans="1:4" x14ac:dyDescent="0.25">
      <c r="A45" t="s">
        <v>122</v>
      </c>
    </row>
    <row r="46" spans="1:4" x14ac:dyDescent="0.25">
      <c r="A46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3"/>
  </sheetPr>
  <dimension ref="A1:B26"/>
  <sheetViews>
    <sheetView workbookViewId="0">
      <selection activeCell="B16" sqref="B16"/>
    </sheetView>
  </sheetViews>
  <sheetFormatPr defaultRowHeight="15" x14ac:dyDescent="0.25"/>
  <cols>
    <col min="1" max="1" width="44.42578125" customWidth="1"/>
    <col min="2" max="2" width="24.5703125" customWidth="1"/>
  </cols>
  <sheetData>
    <row r="1" spans="1:2" ht="30" x14ac:dyDescent="0.25">
      <c r="B1" s="4" t="s">
        <v>2</v>
      </c>
    </row>
    <row r="2" spans="1:2" x14ac:dyDescent="0.25">
      <c r="A2" t="s">
        <v>9</v>
      </c>
      <c r="B2" s="3">
        <f>Data!$I$24*About!$A$28</f>
        <v>419.05683900080487</v>
      </c>
    </row>
    <row r="3" spans="1:2" x14ac:dyDescent="0.25">
      <c r="A3" t="s">
        <v>10</v>
      </c>
      <c r="B3" s="3">
        <f>Data!$I$24*About!$A$28</f>
        <v>419.05683900080487</v>
      </c>
    </row>
    <row r="4" spans="1:2" x14ac:dyDescent="0.25">
      <c r="A4" t="s">
        <v>11</v>
      </c>
      <c r="B4" s="3">
        <f>Data!$I$24*About!$A$28</f>
        <v>419.05683900080487</v>
      </c>
    </row>
    <row r="5" spans="1:2" x14ac:dyDescent="0.25">
      <c r="A5" t="s">
        <v>12</v>
      </c>
      <c r="B5" s="3">
        <f>Data!$I$24*About!$A$28</f>
        <v>419.05683900080487</v>
      </c>
    </row>
    <row r="6" spans="1:2" x14ac:dyDescent="0.25">
      <c r="A6" t="s">
        <v>13</v>
      </c>
      <c r="B6" s="3">
        <f>Data!$I$24*About!$A$28</f>
        <v>419.05683900080487</v>
      </c>
    </row>
    <row r="7" spans="1:2" x14ac:dyDescent="0.25">
      <c r="A7" t="s">
        <v>14</v>
      </c>
      <c r="B7" s="3">
        <f>Data!$I$24*About!$A$28</f>
        <v>419.05683900080487</v>
      </c>
    </row>
    <row r="8" spans="1:2" x14ac:dyDescent="0.25">
      <c r="A8" t="s">
        <v>15</v>
      </c>
      <c r="B8" s="3">
        <f>Data!$I$24*About!$A$28</f>
        <v>419.05683900080487</v>
      </c>
    </row>
    <row r="9" spans="1:2" x14ac:dyDescent="0.25">
      <c r="A9" t="s">
        <v>16</v>
      </c>
      <c r="B9" s="3">
        <f>Data!$I$24*About!$A$28</f>
        <v>419.05683900080487</v>
      </c>
    </row>
    <row r="10" spans="1:2" x14ac:dyDescent="0.25">
      <c r="A10" t="s">
        <v>17</v>
      </c>
      <c r="B10" s="3">
        <f>IFERROR(INDEX(Data!$24:$24,MATCH('CC-CCoIPCE'!A10,Data!$22:$22,0)),Data!$I$24)*About!$A$28</f>
        <v>365.35854621536748</v>
      </c>
    </row>
    <row r="11" spans="1:2" x14ac:dyDescent="0.25">
      <c r="A11" t="s">
        <v>18</v>
      </c>
      <c r="B11" s="3">
        <f>Data!$I$24*About!$A$28</f>
        <v>419.05683900080487</v>
      </c>
    </row>
    <row r="12" spans="1:2" x14ac:dyDescent="0.25">
      <c r="A12" t="s">
        <v>19</v>
      </c>
      <c r="B12" s="3">
        <f>Data!$I$24*About!$A$28</f>
        <v>419.05683900080487</v>
      </c>
    </row>
    <row r="13" spans="1:2" x14ac:dyDescent="0.25">
      <c r="A13" t="s">
        <v>20</v>
      </c>
      <c r="B13" s="3">
        <f>Data!$I$24*About!$A$28</f>
        <v>419.05683900080487</v>
      </c>
    </row>
    <row r="14" spans="1:2" x14ac:dyDescent="0.25">
      <c r="A14" t="s">
        <v>21</v>
      </c>
      <c r="B14" s="3">
        <f>Data!$I$24*About!$A$28</f>
        <v>419.05683900080487</v>
      </c>
    </row>
    <row r="15" spans="1:2" x14ac:dyDescent="0.25">
      <c r="A15" t="s">
        <v>22</v>
      </c>
      <c r="B15" s="3">
        <f>Data!$I$24*About!$A$28</f>
        <v>419.05683900080487</v>
      </c>
    </row>
    <row r="16" spans="1:2" x14ac:dyDescent="0.25">
      <c r="A16" t="s">
        <v>23</v>
      </c>
      <c r="B16" s="3">
        <f>Data!$I$24*About!$A$28</f>
        <v>419.05683900080487</v>
      </c>
    </row>
    <row r="17" spans="1:2" x14ac:dyDescent="0.25">
      <c r="A17" t="s">
        <v>24</v>
      </c>
      <c r="B17" s="3">
        <f>Data!$I$24*About!$A$28</f>
        <v>419.05683900080487</v>
      </c>
    </row>
    <row r="18" spans="1:2" x14ac:dyDescent="0.25">
      <c r="A18" t="s">
        <v>25</v>
      </c>
      <c r="B18" s="3">
        <f>Data!$I$24*About!$A$28</f>
        <v>419.05683900080487</v>
      </c>
    </row>
    <row r="19" spans="1:2" x14ac:dyDescent="0.25">
      <c r="A19" t="s">
        <v>26</v>
      </c>
      <c r="B19" s="3">
        <f>Data!$I$24*About!$A$28</f>
        <v>419.05683900080487</v>
      </c>
    </row>
    <row r="20" spans="1:2" x14ac:dyDescent="0.25">
      <c r="A20" t="s">
        <v>27</v>
      </c>
      <c r="B20" s="3">
        <f>Data!$I$24*About!$A$28</f>
        <v>419.05683900080487</v>
      </c>
    </row>
    <row r="21" spans="1:2" x14ac:dyDescent="0.25">
      <c r="A21" t="s">
        <v>28</v>
      </c>
      <c r="B21" s="3">
        <f>Data!$I$24*About!$A$28</f>
        <v>419.05683900080487</v>
      </c>
    </row>
    <row r="22" spans="1:2" x14ac:dyDescent="0.25">
      <c r="A22" t="s">
        <v>29</v>
      </c>
      <c r="B22" s="3">
        <f>Data!$I$24*About!$A$28</f>
        <v>419.05683900080487</v>
      </c>
    </row>
    <row r="23" spans="1:2" x14ac:dyDescent="0.25">
      <c r="A23" t="s">
        <v>30</v>
      </c>
      <c r="B23" s="3">
        <f>Data!$I$24*About!$A$28</f>
        <v>419.05683900080487</v>
      </c>
    </row>
    <row r="24" spans="1:2" x14ac:dyDescent="0.25">
      <c r="A24" t="s">
        <v>31</v>
      </c>
      <c r="B24" s="3">
        <f>Data!$I$24*About!$A$28</f>
        <v>419.05683900080487</v>
      </c>
    </row>
    <row r="25" spans="1:2" x14ac:dyDescent="0.25">
      <c r="A25" t="s">
        <v>32</v>
      </c>
      <c r="B25" s="3">
        <f>Data!$I$24*About!$A$28</f>
        <v>419.05683900080487</v>
      </c>
    </row>
    <row r="26" spans="1:2" x14ac:dyDescent="0.25">
      <c r="A26" t="s">
        <v>33</v>
      </c>
      <c r="B26" s="3">
        <f>Data!$I$24*About!$A$28</f>
        <v>419.05683900080487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F771-8FCF-4494-8B2E-637B6FB8AFEE}">
  <sheetPr codeName="Sheet6">
    <tabColor theme="3"/>
  </sheetPr>
  <dimension ref="A1:B26"/>
  <sheetViews>
    <sheetView workbookViewId="0">
      <selection activeCell="C3" sqref="C3"/>
    </sheetView>
  </sheetViews>
  <sheetFormatPr defaultRowHeight="15" x14ac:dyDescent="0.25"/>
  <cols>
    <col min="1" max="1" width="44.42578125" customWidth="1"/>
    <col min="2" max="2" width="24.5703125" customWidth="1"/>
  </cols>
  <sheetData>
    <row r="1" spans="1:2" ht="30" x14ac:dyDescent="0.25">
      <c r="B1" s="4" t="s">
        <v>2</v>
      </c>
    </row>
    <row r="2" spans="1:2" x14ac:dyDescent="0.25">
      <c r="A2" t="s">
        <v>9</v>
      </c>
      <c r="B2" s="3">
        <f>IFERROR(INDEX(Data!$24:$24,MATCH('CC-CCoIPCE'!A2,Data!$22:$22,0)),Data!$I$24)*About!$A$28</f>
        <v>419.05683900080487</v>
      </c>
    </row>
    <row r="3" spans="1:2" x14ac:dyDescent="0.25">
      <c r="A3" t="s">
        <v>10</v>
      </c>
      <c r="B3" s="3">
        <f>IFERROR(INDEX(Data!$24:$24,MATCH('CC-CCoIPCE'!A3,Data!$22:$22,0)),Data!$I$24)*About!$A$28</f>
        <v>419.05683900080487</v>
      </c>
    </row>
    <row r="4" spans="1:2" x14ac:dyDescent="0.25">
      <c r="A4" t="s">
        <v>11</v>
      </c>
      <c r="B4" s="3">
        <f>IFERROR(INDEX(Data!$24:$24,MATCH('CC-CCoIPCE'!A4,Data!$22:$22,0)),Data!$I$24)*About!$A$28</f>
        <v>419.05683900080487</v>
      </c>
    </row>
    <row r="5" spans="1:2" x14ac:dyDescent="0.25">
      <c r="A5" t="s">
        <v>12</v>
      </c>
      <c r="B5" s="3">
        <f>IFERROR(INDEX(Data!$24:$24,MATCH('CC-CCoIPCE'!A5,Data!$22:$22,0)),Data!$I$24)*About!$A$28</f>
        <v>419.05683900080487</v>
      </c>
    </row>
    <row r="6" spans="1:2" x14ac:dyDescent="0.25">
      <c r="A6" t="s">
        <v>13</v>
      </c>
      <c r="B6" s="3">
        <f>IFERROR(INDEX(Data!$24:$24,MATCH('CC-CCoIPCE'!A6,Data!$22:$22,0)),Data!$I$24)*About!$A$28</f>
        <v>419.05683900080487</v>
      </c>
    </row>
    <row r="7" spans="1:2" x14ac:dyDescent="0.25">
      <c r="A7" t="s">
        <v>14</v>
      </c>
      <c r="B7" s="3">
        <f>IFERROR(INDEX(Data!$24:$24,MATCH('CC-CCoIPCE'!A7,Data!$22:$22,0)),Data!$I$24)*About!$A$28</f>
        <v>419.05683900080487</v>
      </c>
    </row>
    <row r="8" spans="1:2" x14ac:dyDescent="0.25">
      <c r="A8" t="s">
        <v>15</v>
      </c>
      <c r="B8" s="3">
        <f>IFERROR(INDEX(Data!$24:$24,MATCH('CC-CCoIPCE'!A8,Data!$22:$22,0)),Data!$I$24)*About!$A$28</f>
        <v>419.05683900080487</v>
      </c>
    </row>
    <row r="9" spans="1:2" x14ac:dyDescent="0.25">
      <c r="A9" t="s">
        <v>16</v>
      </c>
      <c r="B9" s="3">
        <f>IFERROR(INDEX(Data!$24:$24,MATCH('CC-CCoIPCE'!A9,Data!$22:$22,0)),Data!$I$24)*About!$A$28</f>
        <v>419.05683900080487</v>
      </c>
    </row>
    <row r="10" spans="1:2" x14ac:dyDescent="0.25">
      <c r="A10" t="s">
        <v>17</v>
      </c>
      <c r="B10" s="3">
        <f>Data!$I$24*About!$A$28</f>
        <v>419.05683900080487</v>
      </c>
    </row>
    <row r="11" spans="1:2" x14ac:dyDescent="0.25">
      <c r="A11" t="s">
        <v>18</v>
      </c>
      <c r="B11" s="3">
        <f>IFERROR(INDEX(Data!$24:$24,MATCH('CC-CCoIPCE'!A11,Data!$22:$22,0)),Data!$I$24)*About!$A$28</f>
        <v>66.217283400164689</v>
      </c>
    </row>
    <row r="12" spans="1:2" x14ac:dyDescent="0.25">
      <c r="A12" t="s">
        <v>19</v>
      </c>
      <c r="B12" s="3">
        <f>IFERROR(INDEX(Data!$24:$24,MATCH('CC-CCoIPCE'!A12,Data!$22:$22,0)),Data!$I$24)*About!$A$28</f>
        <v>419.05683900080487</v>
      </c>
    </row>
    <row r="13" spans="1:2" x14ac:dyDescent="0.25">
      <c r="A13" t="s">
        <v>20</v>
      </c>
      <c r="B13" s="3">
        <f>IFERROR(INDEX(Data!$24:$24,MATCH('CC-CCoIPCE'!A13,Data!$22:$22,0)),Data!$I$24)*About!$A$28</f>
        <v>419.05683900080487</v>
      </c>
    </row>
    <row r="14" spans="1:2" x14ac:dyDescent="0.25">
      <c r="A14" t="s">
        <v>21</v>
      </c>
      <c r="B14" s="3">
        <f>IFERROR(INDEX(Data!$24:$24,MATCH('CC-CCoIPCE'!A14,Data!$22:$22,0)),Data!$I$24)*About!$A$28</f>
        <v>176.88449146756562</v>
      </c>
    </row>
    <row r="15" spans="1:2" x14ac:dyDescent="0.25">
      <c r="A15" t="s">
        <v>22</v>
      </c>
      <c r="B15" s="3">
        <f>IFERROR(INDEX(Data!$24:$24,MATCH('CC-CCoIPCE'!A15,Data!$22:$22,0)),Data!$I$24)*About!$A$28</f>
        <v>130.25407815317382</v>
      </c>
    </row>
    <row r="16" spans="1:2" x14ac:dyDescent="0.25">
      <c r="A16" t="s">
        <v>23</v>
      </c>
      <c r="B16" s="3">
        <f>IFERROR(INDEX(Data!$24:$24,MATCH('CC-CCoIPCE'!A16,Data!$22:$22,0)),Data!$I$24)*About!$A$28</f>
        <v>419.05683900080487</v>
      </c>
    </row>
    <row r="17" spans="1:2" x14ac:dyDescent="0.25">
      <c r="A17" t="s">
        <v>24</v>
      </c>
      <c r="B17" s="3">
        <f>IFERROR(INDEX(Data!$24:$24,MATCH('CC-CCoIPCE'!A17,Data!$22:$22,0)),Data!$I$24)*About!$A$28</f>
        <v>419.05683900080487</v>
      </c>
    </row>
    <row r="18" spans="1:2" x14ac:dyDescent="0.25">
      <c r="A18" t="s">
        <v>25</v>
      </c>
      <c r="B18" s="3">
        <f>IFERROR(INDEX(Data!$24:$24,MATCH('CC-CCoIPCE'!A18,Data!$22:$22,0)),Data!$I$24)*About!$A$28</f>
        <v>419.05683900080487</v>
      </c>
    </row>
    <row r="19" spans="1:2" x14ac:dyDescent="0.25">
      <c r="A19" t="s">
        <v>26</v>
      </c>
      <c r="B19" s="3">
        <f>IFERROR(INDEX(Data!$24:$24,MATCH('CC-CCoIPCE'!A19,Data!$22:$22,0)),Data!$I$24)*About!$A$28</f>
        <v>419.05683900080487</v>
      </c>
    </row>
    <row r="20" spans="1:2" x14ac:dyDescent="0.25">
      <c r="A20" t="s">
        <v>27</v>
      </c>
      <c r="B20" s="3">
        <f>IFERROR(INDEX(Data!$24:$24,MATCH('CC-CCoIPCE'!A20,Data!$22:$22,0)),Data!$I$24)*About!$A$28</f>
        <v>419.05683900080487</v>
      </c>
    </row>
    <row r="21" spans="1:2" x14ac:dyDescent="0.25">
      <c r="A21" t="s">
        <v>28</v>
      </c>
      <c r="B21" s="3">
        <f>IFERROR(INDEX(Data!$24:$24,MATCH('CC-CCoIPCE'!A21,Data!$22:$22,0)),Data!$I$24)*About!$A$28</f>
        <v>419.05683900080487</v>
      </c>
    </row>
    <row r="22" spans="1:2" x14ac:dyDescent="0.25">
      <c r="A22" t="s">
        <v>29</v>
      </c>
      <c r="B22" s="3">
        <f>IFERROR(INDEX(Data!$24:$24,MATCH('CC-CCoIPCE'!A22,Data!$22:$22,0)),Data!$I$24)*About!$A$28</f>
        <v>419.05683900080487</v>
      </c>
    </row>
    <row r="23" spans="1:2" x14ac:dyDescent="0.25">
      <c r="A23" t="s">
        <v>30</v>
      </c>
      <c r="B23" s="3">
        <f>IFERROR(INDEX(Data!$24:$24,MATCH('CC-CCoIPCE'!A23,Data!$22:$22,0)),Data!$I$24)*About!$A$28</f>
        <v>419.05683900080487</v>
      </c>
    </row>
    <row r="24" spans="1:2" x14ac:dyDescent="0.25">
      <c r="A24" t="s">
        <v>31</v>
      </c>
      <c r="B24" s="3">
        <f>IFERROR(INDEX(Data!$24:$24,MATCH('CC-CCoIPCE'!A24,Data!$22:$22,0)),Data!$I$24)*About!$A$28</f>
        <v>70.656423859823988</v>
      </c>
    </row>
    <row r="25" spans="1:2" x14ac:dyDescent="0.25">
      <c r="A25" t="s">
        <v>32</v>
      </c>
      <c r="B25" s="3">
        <f>IFERROR(INDEX(Data!$24:$24,MATCH('CC-CCoIPCE'!A25,Data!$22:$22,0)),Data!$I$24)*About!$A$28</f>
        <v>419.05683900080487</v>
      </c>
    </row>
    <row r="26" spans="1:2" x14ac:dyDescent="0.25">
      <c r="A26" t="s">
        <v>33</v>
      </c>
      <c r="B26" s="3">
        <f>IFERROR(INDEX(Data!$24:$24,MATCH('CC-CCoIPCE'!A26,Data!$22:$22,0)),Data!$I$24)*About!$A$28</f>
        <v>419.05683900080487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DEE6-1571-4C54-863D-CF28CE406DC7}">
  <sheetPr codeName="Sheet7">
    <tabColor theme="3"/>
  </sheetPr>
  <dimension ref="A1:B26"/>
  <sheetViews>
    <sheetView workbookViewId="0">
      <selection activeCell="B3" sqref="B3"/>
    </sheetView>
  </sheetViews>
  <sheetFormatPr defaultRowHeight="15" x14ac:dyDescent="0.25"/>
  <cols>
    <col min="1" max="1" width="44.42578125" customWidth="1"/>
    <col min="2" max="2" width="24.5703125" customWidth="1"/>
  </cols>
  <sheetData>
    <row r="1" spans="1:2" ht="30" x14ac:dyDescent="0.25">
      <c r="B1" s="4" t="s">
        <v>2</v>
      </c>
    </row>
    <row r="2" spans="1:2" x14ac:dyDescent="0.25">
      <c r="A2" t="s">
        <v>79</v>
      </c>
      <c r="B2" s="3">
        <f>Data!E24*About!$A$28</f>
        <v>174.19526923121509</v>
      </c>
    </row>
    <row r="3" spans="1:2" x14ac:dyDescent="0.25">
      <c r="B3" s="3"/>
    </row>
    <row r="4" spans="1:2" x14ac:dyDescent="0.25">
      <c r="B4" s="3"/>
    </row>
    <row r="5" spans="1:2" x14ac:dyDescent="0.25">
      <c r="B5" s="3"/>
    </row>
    <row r="6" spans="1:2" x14ac:dyDescent="0.25">
      <c r="B6" s="3"/>
    </row>
    <row r="7" spans="1:2" x14ac:dyDescent="0.25">
      <c r="B7" s="3"/>
    </row>
    <row r="8" spans="1:2" x14ac:dyDescent="0.25">
      <c r="B8" s="3"/>
    </row>
    <row r="9" spans="1:2" x14ac:dyDescent="0.25">
      <c r="B9" s="3"/>
    </row>
    <row r="10" spans="1:2" x14ac:dyDescent="0.25">
      <c r="B10" s="3"/>
    </row>
    <row r="11" spans="1:2" x14ac:dyDescent="0.25">
      <c r="B11" s="3"/>
    </row>
    <row r="12" spans="1:2" x14ac:dyDescent="0.25">
      <c r="B12" s="3"/>
    </row>
    <row r="13" spans="1:2" x14ac:dyDescent="0.25">
      <c r="B13" s="3"/>
    </row>
    <row r="14" spans="1:2" x14ac:dyDescent="0.25">
      <c r="B14" s="3"/>
    </row>
    <row r="15" spans="1:2" x14ac:dyDescent="0.25">
      <c r="B15" s="3"/>
    </row>
    <row r="16" spans="1:2" x14ac:dyDescent="0.25">
      <c r="B16" s="3"/>
    </row>
    <row r="17" spans="2:2" x14ac:dyDescent="0.25">
      <c r="B17" s="3"/>
    </row>
    <row r="18" spans="2:2" x14ac:dyDescent="0.25">
      <c r="B18" s="3"/>
    </row>
    <row r="19" spans="2:2" x14ac:dyDescent="0.25">
      <c r="B19" s="3"/>
    </row>
    <row r="20" spans="2:2" x14ac:dyDescent="0.25">
      <c r="B20" s="3"/>
    </row>
    <row r="21" spans="2:2" x14ac:dyDescent="0.25">
      <c r="B21" s="3"/>
    </row>
    <row r="22" spans="2:2" x14ac:dyDescent="0.25">
      <c r="B22" s="3"/>
    </row>
    <row r="23" spans="2:2" x14ac:dyDescent="0.25">
      <c r="B23" s="3"/>
    </row>
    <row r="24" spans="2:2" x14ac:dyDescent="0.25">
      <c r="B24" s="3"/>
    </row>
    <row r="25" spans="2:2" x14ac:dyDescent="0.25">
      <c r="B25" s="3"/>
    </row>
    <row r="26" spans="2:2" x14ac:dyDescent="0.25">
      <c r="B2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theme="3"/>
  </sheetPr>
  <dimension ref="A1:B26"/>
  <sheetViews>
    <sheetView workbookViewId="0">
      <selection activeCell="B10" sqref="B10"/>
    </sheetView>
  </sheetViews>
  <sheetFormatPr defaultRowHeight="15" x14ac:dyDescent="0.25"/>
  <cols>
    <col min="1" max="1" width="19.140625" customWidth="1"/>
    <col min="2" max="2" width="25.85546875" customWidth="1"/>
  </cols>
  <sheetData>
    <row r="1" spans="1:2" ht="30" x14ac:dyDescent="0.25">
      <c r="B1" s="4" t="s">
        <v>3</v>
      </c>
    </row>
    <row r="2" spans="1:2" x14ac:dyDescent="0.25">
      <c r="A2" t="s">
        <v>9</v>
      </c>
      <c r="B2">
        <f>Data!$I$27*About!$A$28</f>
        <v>16.762273560032195</v>
      </c>
    </row>
    <row r="3" spans="1:2" x14ac:dyDescent="0.25">
      <c r="A3" t="s">
        <v>10</v>
      </c>
      <c r="B3">
        <f>Data!$I$27*About!$A$28</f>
        <v>16.762273560032195</v>
      </c>
    </row>
    <row r="4" spans="1:2" x14ac:dyDescent="0.25">
      <c r="A4" t="s">
        <v>11</v>
      </c>
      <c r="B4">
        <f>Data!$I$27*About!$A$28</f>
        <v>16.762273560032195</v>
      </c>
    </row>
    <row r="5" spans="1:2" x14ac:dyDescent="0.25">
      <c r="A5" t="s">
        <v>12</v>
      </c>
      <c r="B5">
        <f>Data!$I$27*About!$A$28</f>
        <v>16.762273560032195</v>
      </c>
    </row>
    <row r="6" spans="1:2" x14ac:dyDescent="0.25">
      <c r="A6" t="s">
        <v>13</v>
      </c>
      <c r="B6">
        <f>Data!$I$27*About!$A$28</f>
        <v>16.762273560032195</v>
      </c>
    </row>
    <row r="7" spans="1:2" x14ac:dyDescent="0.25">
      <c r="A7" t="s">
        <v>14</v>
      </c>
      <c r="B7">
        <f>Data!$I$27*About!$A$28</f>
        <v>16.762273560032195</v>
      </c>
    </row>
    <row r="8" spans="1:2" x14ac:dyDescent="0.25">
      <c r="A8" t="s">
        <v>15</v>
      </c>
      <c r="B8">
        <f>Data!$I$27*About!$A$28</f>
        <v>16.762273560032195</v>
      </c>
    </row>
    <row r="9" spans="1:2" x14ac:dyDescent="0.25">
      <c r="A9" t="s">
        <v>16</v>
      </c>
      <c r="B9">
        <f>Data!$I$27*About!$A$28</f>
        <v>16.762273560032195</v>
      </c>
    </row>
    <row r="10" spans="1:2" x14ac:dyDescent="0.25">
      <c r="A10" t="s">
        <v>17</v>
      </c>
      <c r="B10">
        <f>IFERROR(INDEX(Data!$27:$27,MATCH('CC-CCoIPCE'!A10,Data!$22:$22,0)),Data!$I$27)*About!$A$28</f>
        <v>14.6143418486147</v>
      </c>
    </row>
    <row r="11" spans="1:2" x14ac:dyDescent="0.25">
      <c r="A11" t="s">
        <v>18</v>
      </c>
      <c r="B11">
        <f>Data!$I$27*About!$A$28</f>
        <v>16.762273560032195</v>
      </c>
    </row>
    <row r="12" spans="1:2" x14ac:dyDescent="0.25">
      <c r="A12" t="s">
        <v>19</v>
      </c>
      <c r="B12">
        <f>Data!$I$27*About!$A$28</f>
        <v>16.762273560032195</v>
      </c>
    </row>
    <row r="13" spans="1:2" x14ac:dyDescent="0.25">
      <c r="A13" t="s">
        <v>20</v>
      </c>
      <c r="B13">
        <f>Data!$I$27*About!$A$28</f>
        <v>16.762273560032195</v>
      </c>
    </row>
    <row r="14" spans="1:2" x14ac:dyDescent="0.25">
      <c r="A14" t="s">
        <v>21</v>
      </c>
      <c r="B14">
        <f>Data!$I$27*About!$A$28</f>
        <v>16.762273560032195</v>
      </c>
    </row>
    <row r="15" spans="1:2" x14ac:dyDescent="0.25">
      <c r="A15" t="s">
        <v>22</v>
      </c>
      <c r="B15">
        <f>Data!$I$27*About!$A$28</f>
        <v>16.762273560032195</v>
      </c>
    </row>
    <row r="16" spans="1:2" x14ac:dyDescent="0.25">
      <c r="A16" t="s">
        <v>23</v>
      </c>
      <c r="B16">
        <f>Data!$I$27*About!$A$28</f>
        <v>16.762273560032195</v>
      </c>
    </row>
    <row r="17" spans="1:2" x14ac:dyDescent="0.25">
      <c r="A17" t="s">
        <v>24</v>
      </c>
      <c r="B17">
        <f>Data!$I$27*About!$A$28</f>
        <v>16.762273560032195</v>
      </c>
    </row>
    <row r="18" spans="1:2" x14ac:dyDescent="0.25">
      <c r="A18" t="s">
        <v>25</v>
      </c>
      <c r="B18">
        <f>Data!$I$27*About!$A$28</f>
        <v>16.762273560032195</v>
      </c>
    </row>
    <row r="19" spans="1:2" x14ac:dyDescent="0.25">
      <c r="A19" t="s">
        <v>26</v>
      </c>
      <c r="B19">
        <f>Data!$I$27*About!$A$28</f>
        <v>16.762273560032195</v>
      </c>
    </row>
    <row r="20" spans="1:2" x14ac:dyDescent="0.25">
      <c r="A20" t="s">
        <v>27</v>
      </c>
      <c r="B20">
        <f>Data!$I$27*About!$A$28</f>
        <v>16.762273560032195</v>
      </c>
    </row>
    <row r="21" spans="1:2" x14ac:dyDescent="0.25">
      <c r="A21" t="s">
        <v>28</v>
      </c>
      <c r="B21">
        <f>Data!$I$27*About!$A$28</f>
        <v>16.762273560032195</v>
      </c>
    </row>
    <row r="22" spans="1:2" x14ac:dyDescent="0.25">
      <c r="A22" t="s">
        <v>29</v>
      </c>
      <c r="B22">
        <f>Data!$I$27*About!$A$28</f>
        <v>16.762273560032195</v>
      </c>
    </row>
    <row r="23" spans="1:2" x14ac:dyDescent="0.25">
      <c r="A23" t="s">
        <v>30</v>
      </c>
      <c r="B23">
        <f>Data!$I$27*About!$A$28</f>
        <v>16.762273560032195</v>
      </c>
    </row>
    <row r="24" spans="1:2" x14ac:dyDescent="0.25">
      <c r="A24" t="s">
        <v>31</v>
      </c>
      <c r="B24">
        <f>Data!$I$27*About!$A$28</f>
        <v>16.762273560032195</v>
      </c>
    </row>
    <row r="25" spans="1:2" x14ac:dyDescent="0.25">
      <c r="A25" t="s">
        <v>32</v>
      </c>
      <c r="B25">
        <f>Data!$I$27*About!$A$28</f>
        <v>16.762273560032195</v>
      </c>
    </row>
    <row r="26" spans="1:2" x14ac:dyDescent="0.25">
      <c r="A26" t="s">
        <v>33</v>
      </c>
      <c r="B26">
        <f>Data!$I$27*About!$A$28</f>
        <v>16.762273560032195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AD01-DA50-4210-BCEB-F16C05B1D183}">
  <sheetPr codeName="Sheet9">
    <tabColor theme="3"/>
  </sheetPr>
  <dimension ref="A1:B26"/>
  <sheetViews>
    <sheetView workbookViewId="0">
      <selection activeCell="B3" sqref="B3"/>
    </sheetView>
  </sheetViews>
  <sheetFormatPr defaultRowHeight="15" x14ac:dyDescent="0.25"/>
  <cols>
    <col min="1" max="1" width="19.140625" customWidth="1"/>
    <col min="2" max="2" width="25.85546875" customWidth="1"/>
  </cols>
  <sheetData>
    <row r="1" spans="1:2" ht="30" x14ac:dyDescent="0.25">
      <c r="B1" s="4" t="s">
        <v>3</v>
      </c>
    </row>
    <row r="2" spans="1:2" x14ac:dyDescent="0.25">
      <c r="A2" t="s">
        <v>9</v>
      </c>
      <c r="B2">
        <f>IFERROR(INDEX(Data!$27:$27,MATCH('CC-CCoIPCE'!A2,Data!$22:$22,0)),Data!$I$27)*About!$A$28</f>
        <v>16.762273560032195</v>
      </c>
    </row>
    <row r="3" spans="1:2" x14ac:dyDescent="0.25">
      <c r="A3" t="s">
        <v>10</v>
      </c>
      <c r="B3">
        <f>IFERROR(INDEX(Data!$27:$27,MATCH('CC-CCoIPCE'!A3,Data!$22:$22,0)),Data!$I$27)*About!$A$28</f>
        <v>16.762273560032195</v>
      </c>
    </row>
    <row r="4" spans="1:2" x14ac:dyDescent="0.25">
      <c r="A4" t="s">
        <v>11</v>
      </c>
      <c r="B4">
        <f>IFERROR(INDEX(Data!$27:$27,MATCH('CC-CCoIPCE'!A4,Data!$22:$22,0)),Data!$I$27)*About!$A$28</f>
        <v>16.762273560032195</v>
      </c>
    </row>
    <row r="5" spans="1:2" x14ac:dyDescent="0.25">
      <c r="A5" t="s">
        <v>12</v>
      </c>
      <c r="B5">
        <f>IFERROR(INDEX(Data!$27:$27,MATCH('CC-CCoIPCE'!A5,Data!$22:$22,0)),Data!$I$27)*About!$A$28</f>
        <v>16.762273560032195</v>
      </c>
    </row>
    <row r="6" spans="1:2" x14ac:dyDescent="0.25">
      <c r="A6" t="s">
        <v>13</v>
      </c>
      <c r="B6">
        <f>IFERROR(INDEX(Data!$27:$27,MATCH('CC-CCoIPCE'!A6,Data!$22:$22,0)),Data!$I$27)*About!$A$28</f>
        <v>16.762273560032195</v>
      </c>
    </row>
    <row r="7" spans="1:2" x14ac:dyDescent="0.25">
      <c r="A7" t="s">
        <v>14</v>
      </c>
      <c r="B7">
        <f>IFERROR(INDEX(Data!$27:$27,MATCH('CC-CCoIPCE'!A7,Data!$22:$22,0)),Data!$I$27)*About!$A$28</f>
        <v>16.762273560032195</v>
      </c>
    </row>
    <row r="8" spans="1:2" x14ac:dyDescent="0.25">
      <c r="A8" t="s">
        <v>15</v>
      </c>
      <c r="B8">
        <f>IFERROR(INDEX(Data!$27:$27,MATCH('CC-CCoIPCE'!A8,Data!$22:$22,0)),Data!$I$27)*About!$A$28</f>
        <v>16.762273560032195</v>
      </c>
    </row>
    <row r="9" spans="1:2" x14ac:dyDescent="0.25">
      <c r="A9" t="s">
        <v>16</v>
      </c>
      <c r="B9">
        <f>IFERROR(INDEX(Data!$27:$27,MATCH('CC-CCoIPCE'!A9,Data!$22:$22,0)),Data!$I$27)*About!$A$28</f>
        <v>16.762273560032195</v>
      </c>
    </row>
    <row r="10" spans="1:2" x14ac:dyDescent="0.25">
      <c r="A10" t="s">
        <v>17</v>
      </c>
      <c r="B10">
        <f>Data!$I$27*About!$A$28</f>
        <v>16.762273560032195</v>
      </c>
    </row>
    <row r="11" spans="1:2" x14ac:dyDescent="0.25">
      <c r="A11" t="s">
        <v>18</v>
      </c>
      <c r="B11">
        <f>IFERROR(INDEX(Data!$27:$27,MATCH('CC-CCoIPCE'!A11,Data!$22:$22,0)),Data!$I$27)*About!$A$28</f>
        <v>4.6352098380115292</v>
      </c>
    </row>
    <row r="12" spans="1:2" x14ac:dyDescent="0.25">
      <c r="A12" t="s">
        <v>19</v>
      </c>
      <c r="B12">
        <f>IFERROR(INDEX(Data!$27:$27,MATCH('CC-CCoIPCE'!A12,Data!$22:$22,0)),Data!$I$27)*About!$A$28</f>
        <v>16.762273560032195</v>
      </c>
    </row>
    <row r="13" spans="1:2" x14ac:dyDescent="0.25">
      <c r="A13" t="s">
        <v>20</v>
      </c>
      <c r="B13">
        <f>IFERROR(INDEX(Data!$27:$27,MATCH('CC-CCoIPCE'!A13,Data!$22:$22,0)),Data!$I$27)*About!$A$28</f>
        <v>16.762273560032195</v>
      </c>
    </row>
    <row r="14" spans="1:2" x14ac:dyDescent="0.25">
      <c r="A14" t="s">
        <v>21</v>
      </c>
      <c r="B14">
        <f>IFERROR(INDEX(Data!$27:$27,MATCH('CC-CCoIPCE'!A14,Data!$22:$22,0)),Data!$I$27)*About!$A$28</f>
        <v>12.381914402729594</v>
      </c>
    </row>
    <row r="15" spans="1:2" x14ac:dyDescent="0.25">
      <c r="A15" t="s">
        <v>22</v>
      </c>
      <c r="B15">
        <f>IFERROR(INDEX(Data!$27:$27,MATCH('CC-CCoIPCE'!A15,Data!$22:$22,0)),Data!$I$27)*About!$A$28</f>
        <v>6.5127039076586914</v>
      </c>
    </row>
    <row r="16" spans="1:2" x14ac:dyDescent="0.25">
      <c r="A16" t="s">
        <v>23</v>
      </c>
      <c r="B16">
        <f>IFERROR(INDEX(Data!$27:$27,MATCH('CC-CCoIPCE'!A16,Data!$22:$22,0)),Data!$I$27)*About!$A$28</f>
        <v>16.762273560032195</v>
      </c>
    </row>
    <row r="17" spans="1:2" x14ac:dyDescent="0.25">
      <c r="A17" t="s">
        <v>24</v>
      </c>
      <c r="B17">
        <f>IFERROR(INDEX(Data!$27:$27,MATCH('CC-CCoIPCE'!A17,Data!$22:$22,0)),Data!$I$27)*About!$A$28</f>
        <v>16.762273560032195</v>
      </c>
    </row>
    <row r="18" spans="1:2" x14ac:dyDescent="0.25">
      <c r="A18" t="s">
        <v>25</v>
      </c>
      <c r="B18">
        <f>IFERROR(INDEX(Data!$27:$27,MATCH('CC-CCoIPCE'!A18,Data!$22:$22,0)),Data!$I$27)*About!$A$28</f>
        <v>16.762273560032195</v>
      </c>
    </row>
    <row r="19" spans="1:2" x14ac:dyDescent="0.25">
      <c r="A19" t="s">
        <v>26</v>
      </c>
      <c r="B19">
        <f>IFERROR(INDEX(Data!$27:$27,MATCH('CC-CCoIPCE'!A19,Data!$22:$22,0)),Data!$I$27)*About!$A$28</f>
        <v>16.762273560032195</v>
      </c>
    </row>
    <row r="20" spans="1:2" x14ac:dyDescent="0.25">
      <c r="A20" t="s">
        <v>27</v>
      </c>
      <c r="B20">
        <f>IFERROR(INDEX(Data!$27:$27,MATCH('CC-CCoIPCE'!A20,Data!$22:$22,0)),Data!$I$27)*About!$A$28</f>
        <v>16.762273560032195</v>
      </c>
    </row>
    <row r="21" spans="1:2" x14ac:dyDescent="0.25">
      <c r="A21" t="s">
        <v>28</v>
      </c>
      <c r="B21">
        <f>IFERROR(INDEX(Data!$27:$27,MATCH('CC-CCoIPCE'!A21,Data!$22:$22,0)),Data!$I$27)*About!$A$28</f>
        <v>16.762273560032195</v>
      </c>
    </row>
    <row r="22" spans="1:2" x14ac:dyDescent="0.25">
      <c r="A22" t="s">
        <v>29</v>
      </c>
      <c r="B22">
        <f>IFERROR(INDEX(Data!$27:$27,MATCH('CC-CCoIPCE'!A22,Data!$22:$22,0)),Data!$I$27)*About!$A$28</f>
        <v>16.762273560032195</v>
      </c>
    </row>
    <row r="23" spans="1:2" x14ac:dyDescent="0.25">
      <c r="A23" t="s">
        <v>30</v>
      </c>
      <c r="B23">
        <f>IFERROR(INDEX(Data!$27:$27,MATCH('CC-CCoIPCE'!A23,Data!$22:$22,0)),Data!$I$27)*About!$A$28</f>
        <v>16.762273560032195</v>
      </c>
    </row>
    <row r="24" spans="1:2" x14ac:dyDescent="0.25">
      <c r="A24" t="s">
        <v>31</v>
      </c>
      <c r="B24">
        <f>IFERROR(INDEX(Data!$27:$27,MATCH('CC-CCoIPCE'!A24,Data!$22:$22,0)),Data!$I$27)*About!$A$28</f>
        <v>4.2393854315894393</v>
      </c>
    </row>
    <row r="25" spans="1:2" x14ac:dyDescent="0.25">
      <c r="A25" t="s">
        <v>32</v>
      </c>
      <c r="B25">
        <f>IFERROR(INDEX(Data!$27:$27,MATCH('CC-CCoIPCE'!A25,Data!$22:$22,0)),Data!$I$27)*About!$A$28</f>
        <v>16.762273560032195</v>
      </c>
    </row>
    <row r="26" spans="1:2" x14ac:dyDescent="0.25">
      <c r="A26" t="s">
        <v>33</v>
      </c>
      <c r="B26">
        <f>IFERROR(INDEX(Data!$27:$27,MATCH('CC-CCoIPCE'!A26,Data!$22:$22,0)),Data!$I$27)*About!$A$28</f>
        <v>16.762273560032195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1C28B-1974-4C1F-941C-6E1C8F609D83}">
  <sheetPr codeName="Sheet12">
    <tabColor theme="3"/>
  </sheetPr>
  <dimension ref="A1:B2"/>
  <sheetViews>
    <sheetView workbookViewId="0">
      <selection activeCell="B32" sqref="B32"/>
    </sheetView>
  </sheetViews>
  <sheetFormatPr defaultRowHeight="15" x14ac:dyDescent="0.25"/>
  <cols>
    <col min="1" max="1" width="19.140625" customWidth="1"/>
    <col min="2" max="2" width="25.85546875" customWidth="1"/>
  </cols>
  <sheetData>
    <row r="1" spans="1:2" ht="30" x14ac:dyDescent="0.25">
      <c r="B1" s="4" t="s">
        <v>3</v>
      </c>
    </row>
    <row r="2" spans="1:2" x14ac:dyDescent="0.25">
      <c r="A2" t="s">
        <v>79</v>
      </c>
      <c r="B2">
        <f>Data!E27*About!$A$28</f>
        <v>8.7097634615607546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tabColor theme="3"/>
  </sheetPr>
  <dimension ref="A1:K26"/>
  <sheetViews>
    <sheetView workbookViewId="0">
      <selection activeCell="L1" sqref="L1:M1048576"/>
    </sheetView>
  </sheetViews>
  <sheetFormatPr defaultRowHeight="15" x14ac:dyDescent="0.25"/>
  <cols>
    <col min="1" max="1" width="46.85546875" customWidth="1"/>
    <col min="2" max="2" width="13.42578125" customWidth="1"/>
    <col min="4" max="4" width="11.85546875" bestFit="1" customWidth="1"/>
  </cols>
  <sheetData>
    <row r="1" spans="1:11" ht="60" x14ac:dyDescent="0.25">
      <c r="A1" s="4" t="s">
        <v>95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67</v>
      </c>
      <c r="J1" s="7" t="s">
        <v>68</v>
      </c>
      <c r="K1" s="7" t="s">
        <v>69</v>
      </c>
    </row>
    <row r="2" spans="1:11" x14ac:dyDescent="0.25">
      <c r="A2" t="s">
        <v>9</v>
      </c>
      <c r="B2">
        <f>Data!$I$25/10^6</f>
        <v>0.54594256000000008</v>
      </c>
      <c r="C2">
        <v>0</v>
      </c>
      <c r="D2">
        <f>Data!$I$26/10^6</f>
        <v>8.8715665999999995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10</v>
      </c>
      <c r="B3">
        <f>Data!$I$25/10^6</f>
        <v>0.54594256000000008</v>
      </c>
      <c r="C3">
        <v>0</v>
      </c>
      <c r="D3">
        <f>Data!$I$26/10^6</f>
        <v>8.8715665999999995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11</v>
      </c>
      <c r="B4">
        <f>Data!$I$25/10^6</f>
        <v>0.54594256000000008</v>
      </c>
      <c r="C4">
        <v>0</v>
      </c>
      <c r="D4">
        <f>Data!$I$26/10^6</f>
        <v>8.8715665999999995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12</v>
      </c>
      <c r="B5">
        <f>Data!$I$25/10^6</f>
        <v>0.54594256000000008</v>
      </c>
      <c r="C5">
        <v>0</v>
      </c>
      <c r="D5">
        <f>Data!$I$26/10^6</f>
        <v>8.8715665999999995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13</v>
      </c>
      <c r="B6">
        <f>Data!$I$25/10^6</f>
        <v>0.54594256000000008</v>
      </c>
      <c r="C6">
        <v>0</v>
      </c>
      <c r="D6">
        <f>Data!$I$26/10^6</f>
        <v>8.8715665999999995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14</v>
      </c>
      <c r="B7">
        <f>Data!$I$25/10^6</f>
        <v>0.54594256000000008</v>
      </c>
      <c r="C7">
        <v>0</v>
      </c>
      <c r="D7">
        <f>Data!$I$26/10^6</f>
        <v>8.8715665999999995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15</v>
      </c>
      <c r="B8">
        <f>Data!$I$25/10^6</f>
        <v>0.54594256000000008</v>
      </c>
      <c r="C8">
        <v>0</v>
      </c>
      <c r="D8">
        <f>Data!$I$26/10^6</f>
        <v>8.8715665999999995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16</v>
      </c>
      <c r="B9">
        <f>Data!$I$25/10^6</f>
        <v>0.54594256000000008</v>
      </c>
      <c r="C9">
        <v>0</v>
      </c>
      <c r="D9">
        <f>Data!$I$26/10^6</f>
        <v>8.8715665999999995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17</v>
      </c>
      <c r="B10">
        <f>IFERROR(INDEX(Data!$25:$25,MATCH('CC-CCoIPCE'!A10,Data!$22:$22,0)),Data!$I$25)/10^6</f>
        <v>0.47769974000000004</v>
      </c>
      <c r="C10">
        <v>0</v>
      </c>
      <c r="D10">
        <f>IFERROR(INDEX(Data!$26:$26,MATCH('CC-CCoIPCE'!A10,Data!$22:$22,0)),Data!$I$26)/10^6</f>
        <v>8.7009595499999985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18</v>
      </c>
      <c r="B11">
        <f>Data!$I$25/10^6</f>
        <v>0.54594256000000008</v>
      </c>
      <c r="C11">
        <v>0</v>
      </c>
      <c r="D11">
        <f>Data!$I$26/10^6</f>
        <v>8.8715665999999995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19</v>
      </c>
      <c r="B12">
        <f>Data!$I$25/10^6</f>
        <v>0.54594256000000008</v>
      </c>
      <c r="C12">
        <v>0</v>
      </c>
      <c r="D12">
        <f>Data!$I$26/10^6</f>
        <v>8.8715665999999995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20</v>
      </c>
      <c r="B13">
        <f>Data!$I$25/10^6</f>
        <v>0.54594256000000008</v>
      </c>
      <c r="C13">
        <v>0</v>
      </c>
      <c r="D13">
        <f>Data!$I$26/10^6</f>
        <v>8.8715665999999995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 t="s">
        <v>21</v>
      </c>
      <c r="B14">
        <f>Data!$I$25/10^6</f>
        <v>0.54594256000000008</v>
      </c>
      <c r="C14">
        <v>0</v>
      </c>
      <c r="D14">
        <f>Data!$I$26/10^6</f>
        <v>8.8715665999999995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22</v>
      </c>
      <c r="B15">
        <f>Data!$I$25/10^6</f>
        <v>0.54594256000000008</v>
      </c>
      <c r="C15">
        <v>0</v>
      </c>
      <c r="D15">
        <f>Data!$I$26/10^6</f>
        <v>8.8715665999999995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23</v>
      </c>
      <c r="B16">
        <f>Data!$I$25/10^6</f>
        <v>0.54594256000000008</v>
      </c>
      <c r="C16">
        <v>0</v>
      </c>
      <c r="D16">
        <f>Data!$I$26/10^6</f>
        <v>8.8715665999999995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24</v>
      </c>
      <c r="B17">
        <f>Data!$I$25/10^6</f>
        <v>0.54594256000000008</v>
      </c>
      <c r="C17">
        <v>0</v>
      </c>
      <c r="D17">
        <f>Data!$I$26/10^6</f>
        <v>8.8715665999999995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25</v>
      </c>
      <c r="B18">
        <f>Data!$I$25/10^6</f>
        <v>0.54594256000000008</v>
      </c>
      <c r="C18">
        <v>0</v>
      </c>
      <c r="D18">
        <f>Data!$I$26/10^6</f>
        <v>8.8715665999999995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26</v>
      </c>
      <c r="B19">
        <f>Data!$I$25/10^6</f>
        <v>0.54594256000000008</v>
      </c>
      <c r="C19">
        <v>0</v>
      </c>
      <c r="D19">
        <f>Data!$I$26/10^6</f>
        <v>8.8715665999999995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27</v>
      </c>
      <c r="B20">
        <f>Data!$I$25/10^6</f>
        <v>0.54594256000000008</v>
      </c>
      <c r="C20">
        <v>0</v>
      </c>
      <c r="D20">
        <f>Data!$I$26/10^6</f>
        <v>8.8715665999999995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28</v>
      </c>
      <c r="B21">
        <f>Data!$I$25/10^6</f>
        <v>0.54594256000000008</v>
      </c>
      <c r="C21">
        <v>0</v>
      </c>
      <c r="D21">
        <f>Data!$I$26/10^6</f>
        <v>8.8715665999999995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 t="s">
        <v>29</v>
      </c>
      <c r="B22">
        <f>Data!$I$25/10^6</f>
        <v>0.54594256000000008</v>
      </c>
      <c r="C22">
        <v>0</v>
      </c>
      <c r="D22">
        <f>Data!$I$26/10^6</f>
        <v>8.8715665999999995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30</v>
      </c>
      <c r="B23">
        <f>Data!$I$25/10^6</f>
        <v>0.54594256000000008</v>
      </c>
      <c r="C23">
        <v>0</v>
      </c>
      <c r="D23">
        <f>Data!$I$26/10^6</f>
        <v>8.8715665999999995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31</v>
      </c>
      <c r="B24">
        <f>Data!$I$25/10^6</f>
        <v>0.54594256000000008</v>
      </c>
      <c r="C24">
        <v>0</v>
      </c>
      <c r="D24">
        <f>Data!$I$26/10^6</f>
        <v>8.8715665999999995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t="s">
        <v>32</v>
      </c>
      <c r="B25">
        <f>Data!$I$25/10^6</f>
        <v>0.54594256000000008</v>
      </c>
      <c r="C25">
        <v>0</v>
      </c>
      <c r="D25">
        <f>Data!$I$26/10^6</f>
        <v>8.8715665999999995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33</v>
      </c>
      <c r="B26">
        <f>Data!$I$25/10^6</f>
        <v>0.54594256000000008</v>
      </c>
      <c r="C26">
        <v>0</v>
      </c>
      <c r="D26">
        <f>Data!$I$26/10^6</f>
        <v>8.8715665999999995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5E8A-B06F-46C2-B263-4DAB68608EA6}">
  <sheetPr codeName="Sheet11">
    <tabColor theme="3"/>
  </sheetPr>
  <dimension ref="A1:K26"/>
  <sheetViews>
    <sheetView workbookViewId="0">
      <selection activeCell="L1" sqref="L1:M1048576"/>
    </sheetView>
  </sheetViews>
  <sheetFormatPr defaultRowHeight="15" x14ac:dyDescent="0.25"/>
  <cols>
    <col min="1" max="1" width="26.7109375" customWidth="1"/>
    <col min="2" max="2" width="42.5703125" customWidth="1"/>
    <col min="4" max="4" width="11.85546875" bestFit="1" customWidth="1"/>
  </cols>
  <sheetData>
    <row r="1" spans="1:11" ht="60" x14ac:dyDescent="0.25">
      <c r="A1" s="4" t="s">
        <v>95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67</v>
      </c>
      <c r="J1" s="7" t="s">
        <v>68</v>
      </c>
      <c r="K1" s="7" t="s">
        <v>69</v>
      </c>
    </row>
    <row r="2" spans="1:11" x14ac:dyDescent="0.25">
      <c r="A2" t="s">
        <v>9</v>
      </c>
      <c r="B2">
        <f>IFERROR(INDEX(Data!$25:$25,MATCH('CC-CCoIPCE'!A2,Data!$22:$22,0)),Data!$I$25)/10^6</f>
        <v>0.54594256000000008</v>
      </c>
      <c r="C2">
        <v>0</v>
      </c>
      <c r="D2">
        <f>IFERROR(INDEX(Data!$26:$26,MATCH('CC-CCoIPCE'!A2,Data!$22:$22,0)),Data!$I$26)/10^6</f>
        <v>8.8715665999999995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10</v>
      </c>
      <c r="B3">
        <f>IFERROR(INDEX(Data!$25:$25,MATCH('CC-CCoIPCE'!A3,Data!$22:$22,0)),Data!$I$25)/10^6</f>
        <v>0.54594256000000008</v>
      </c>
      <c r="C3">
        <v>0</v>
      </c>
      <c r="D3">
        <f>IFERROR(INDEX(Data!$26:$26,MATCH('CC-CCoIPCE'!A3,Data!$22:$22,0)),Data!$I$26)/10^6</f>
        <v>8.8715665999999995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11</v>
      </c>
      <c r="B4">
        <f>IFERROR(INDEX(Data!$25:$25,MATCH('CC-CCoIPCE'!A4,Data!$22:$22,0)),Data!$I$25)/10^6</f>
        <v>0.54594256000000008</v>
      </c>
      <c r="C4">
        <v>0</v>
      </c>
      <c r="D4">
        <f>IFERROR(INDEX(Data!$26:$26,MATCH('CC-CCoIPCE'!A4,Data!$22:$22,0)),Data!$I$26)/10^6</f>
        <v>8.8715665999999995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12</v>
      </c>
      <c r="B5">
        <f>IFERROR(INDEX(Data!$25:$25,MATCH('CC-CCoIPCE'!A5,Data!$22:$22,0)),Data!$I$25)/10^6</f>
        <v>0.54594256000000008</v>
      </c>
      <c r="C5">
        <v>0</v>
      </c>
      <c r="D5">
        <f>IFERROR(INDEX(Data!$26:$26,MATCH('CC-CCoIPCE'!A5,Data!$22:$22,0)),Data!$I$26)/10^6</f>
        <v>8.8715665999999995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13</v>
      </c>
      <c r="B6">
        <f>IFERROR(INDEX(Data!$25:$25,MATCH('CC-CCoIPCE'!A6,Data!$22:$22,0)),Data!$I$25)/10^6</f>
        <v>0.54594256000000008</v>
      </c>
      <c r="C6">
        <v>0</v>
      </c>
      <c r="D6">
        <f>IFERROR(INDEX(Data!$26:$26,MATCH('CC-CCoIPCE'!A6,Data!$22:$22,0)),Data!$I$26)/10^6</f>
        <v>8.8715665999999995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14</v>
      </c>
      <c r="B7">
        <f>IFERROR(INDEX(Data!$25:$25,MATCH('CC-CCoIPCE'!A7,Data!$22:$22,0)),Data!$I$25)/10^6</f>
        <v>0.54594256000000008</v>
      </c>
      <c r="C7">
        <v>0</v>
      </c>
      <c r="D7">
        <f>IFERROR(INDEX(Data!$26:$26,MATCH('CC-CCoIPCE'!A7,Data!$22:$22,0)),Data!$I$26)/10^6</f>
        <v>8.8715665999999995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15</v>
      </c>
      <c r="B8">
        <f>IFERROR(INDEX(Data!$25:$25,MATCH('CC-CCoIPCE'!A8,Data!$22:$22,0)),Data!$I$25)/10^6</f>
        <v>0.54594256000000008</v>
      </c>
      <c r="C8">
        <v>0</v>
      </c>
      <c r="D8">
        <f>IFERROR(INDEX(Data!$26:$26,MATCH('CC-CCoIPCE'!A8,Data!$22:$22,0)),Data!$I$26)/10^6</f>
        <v>8.8715665999999995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16</v>
      </c>
      <c r="B9">
        <f>IFERROR(INDEX(Data!$25:$25,MATCH('CC-CCoIPCE'!A9,Data!$22:$22,0)),Data!$I$25)/10^6</f>
        <v>0.54594256000000008</v>
      </c>
      <c r="C9">
        <v>0</v>
      </c>
      <c r="D9">
        <f>IFERROR(INDEX(Data!$26:$26,MATCH('CC-CCoIPCE'!A9,Data!$22:$22,0)),Data!$I$26)/10^6</f>
        <v>8.8715665999999995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17</v>
      </c>
      <c r="B10">
        <f>B9</f>
        <v>0.54594256000000008</v>
      </c>
      <c r="C10">
        <f t="shared" ref="C10:D10" si="0">C9</f>
        <v>0</v>
      </c>
      <c r="D10">
        <f t="shared" si="0"/>
        <v>8.8715665999999995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18</v>
      </c>
      <c r="B11">
        <f>IFERROR(INDEX(Data!$25:$25,MATCH('CC-CCoIPCE'!A11,Data!$22:$22,0)),Data!$I$25)/10^6</f>
        <v>0.40945692</v>
      </c>
      <c r="C11">
        <v>0</v>
      </c>
      <c r="D11">
        <f>IFERROR(INDEX(Data!$26:$26,MATCH('CC-CCoIPCE'!A11,Data!$22:$22,0)),Data!$I$26)/10^6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19</v>
      </c>
      <c r="B12">
        <f>IFERROR(INDEX(Data!$25:$25,MATCH('CC-CCoIPCE'!A12,Data!$22:$22,0)),Data!$I$25)/10^6</f>
        <v>0.54594256000000008</v>
      </c>
      <c r="C12">
        <v>0</v>
      </c>
      <c r="D12">
        <f>IFERROR(INDEX(Data!$26:$26,MATCH('CC-CCoIPCE'!A12,Data!$22:$22,0)),Data!$I$26)/10^6</f>
        <v>8.8715665999999995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20</v>
      </c>
      <c r="B13">
        <f>IFERROR(INDEX(Data!$25:$25,MATCH('CC-CCoIPCE'!A13,Data!$22:$22,0)),Data!$I$25)/10^6</f>
        <v>0.54594256000000008</v>
      </c>
      <c r="C13">
        <v>0</v>
      </c>
      <c r="D13">
        <f>IFERROR(INDEX(Data!$26:$26,MATCH('CC-CCoIPCE'!A13,Data!$22:$22,0)),Data!$I$26)/10^6</f>
        <v>8.8715665999999995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 t="s">
        <v>21</v>
      </c>
      <c r="B14">
        <f>IFERROR(INDEX(Data!$25:$25,MATCH('CC-CCoIPCE'!A14,Data!$22:$22,0)),Data!$I$25)/10^6</f>
        <v>0.54594256000000008</v>
      </c>
      <c r="C14">
        <v>0</v>
      </c>
      <c r="D14">
        <f>IFERROR(INDEX(Data!$26:$26,MATCH('CC-CCoIPCE'!A14,Data!$22:$22,0)),Data!$I$26)/10^6</f>
        <v>8.7009595499999985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22</v>
      </c>
      <c r="B15">
        <f>IFERROR(INDEX(Data!$25:$25,MATCH('CC-CCoIPCE'!A15,Data!$22:$22,0)),Data!$I$25)/10^6</f>
        <v>0.54594256000000008</v>
      </c>
      <c r="C15">
        <v>0</v>
      </c>
      <c r="D15">
        <f>IFERROR(INDEX(Data!$26:$26,MATCH('CC-CCoIPCE'!A15,Data!$22:$22,0)),Data!$I$26)/10^6</f>
        <v>8.7009595499999985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23</v>
      </c>
      <c r="B16">
        <f>IFERROR(INDEX(Data!$25:$25,MATCH('CC-CCoIPCE'!A16,Data!$22:$22,0)),Data!$I$25)/10^6</f>
        <v>0.54594256000000008</v>
      </c>
      <c r="C16">
        <v>0</v>
      </c>
      <c r="D16">
        <f>IFERROR(INDEX(Data!$26:$26,MATCH('CC-CCoIPCE'!A16,Data!$22:$22,0)),Data!$I$26)/10^6</f>
        <v>8.8715665999999995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24</v>
      </c>
      <c r="B17">
        <f>IFERROR(INDEX(Data!$25:$25,MATCH('CC-CCoIPCE'!A17,Data!$22:$22,0)),Data!$I$25)/10^6</f>
        <v>0.54594256000000008</v>
      </c>
      <c r="C17">
        <v>0</v>
      </c>
      <c r="D17">
        <f>IFERROR(INDEX(Data!$26:$26,MATCH('CC-CCoIPCE'!A17,Data!$22:$22,0)),Data!$I$26)/10^6</f>
        <v>8.8715665999999995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25</v>
      </c>
      <c r="B18">
        <f>IFERROR(INDEX(Data!$25:$25,MATCH('CC-CCoIPCE'!A18,Data!$22:$22,0)),Data!$I$25)/10^6</f>
        <v>0.54594256000000008</v>
      </c>
      <c r="C18">
        <v>0</v>
      </c>
      <c r="D18">
        <f>IFERROR(INDEX(Data!$26:$26,MATCH('CC-CCoIPCE'!A18,Data!$22:$22,0)),Data!$I$26)/10^6</f>
        <v>8.8715665999999995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26</v>
      </c>
      <c r="B19">
        <f>IFERROR(INDEX(Data!$25:$25,MATCH('CC-CCoIPCE'!A19,Data!$22:$22,0)),Data!$I$25)/10^6</f>
        <v>0.54594256000000008</v>
      </c>
      <c r="C19">
        <v>0</v>
      </c>
      <c r="D19">
        <f>IFERROR(INDEX(Data!$26:$26,MATCH('CC-CCoIPCE'!A19,Data!$22:$22,0)),Data!$I$26)/10^6</f>
        <v>8.8715665999999995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27</v>
      </c>
      <c r="B20">
        <f>IFERROR(INDEX(Data!$25:$25,MATCH('CC-CCoIPCE'!A20,Data!$22:$22,0)),Data!$I$25)/10^6</f>
        <v>0.54594256000000008</v>
      </c>
      <c r="C20">
        <v>0</v>
      </c>
      <c r="D20">
        <f>IFERROR(INDEX(Data!$26:$26,MATCH('CC-CCoIPCE'!A20,Data!$22:$22,0)),Data!$I$26)/10^6</f>
        <v>8.8715665999999995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28</v>
      </c>
      <c r="B21">
        <f>IFERROR(INDEX(Data!$25:$25,MATCH('CC-CCoIPCE'!A21,Data!$22:$22,0)),Data!$I$25)/10^6</f>
        <v>0.54594256000000008</v>
      </c>
      <c r="C21">
        <v>0</v>
      </c>
      <c r="D21">
        <f>IFERROR(INDEX(Data!$26:$26,MATCH('CC-CCoIPCE'!A21,Data!$22:$22,0)),Data!$I$26)/10^6</f>
        <v>8.8715665999999995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 t="s">
        <v>29</v>
      </c>
      <c r="B22">
        <f>IFERROR(INDEX(Data!$25:$25,MATCH('CC-CCoIPCE'!A22,Data!$22:$22,0)),Data!$I$25)/10^6</f>
        <v>0.54594256000000008</v>
      </c>
      <c r="C22">
        <v>0</v>
      </c>
      <c r="D22">
        <f>IFERROR(INDEX(Data!$26:$26,MATCH('CC-CCoIPCE'!A22,Data!$22:$22,0)),Data!$I$26)/10^6</f>
        <v>8.8715665999999995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30</v>
      </c>
      <c r="B23">
        <f>IFERROR(INDEX(Data!$25:$25,MATCH('CC-CCoIPCE'!A23,Data!$22:$22,0)),Data!$I$25)/10^6</f>
        <v>0.54594256000000008</v>
      </c>
      <c r="C23">
        <v>0</v>
      </c>
      <c r="D23">
        <f>IFERROR(INDEX(Data!$26:$26,MATCH('CC-CCoIPCE'!A23,Data!$22:$22,0)),Data!$I$26)/10^6</f>
        <v>8.8715665999999995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31</v>
      </c>
      <c r="B24">
        <f>IFERROR(INDEX(Data!$25:$25,MATCH('CC-CCoIPCE'!A24,Data!$22:$22,0)),Data!$I$25)/10^6</f>
        <v>0.34121410000000002</v>
      </c>
      <c r="C24">
        <v>0</v>
      </c>
      <c r="D24">
        <f>IFERROR(INDEX(Data!$26:$26,MATCH('CC-CCoIPCE'!A24,Data!$22:$22,0)),Data!$I$26)/10^6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t="s">
        <v>32</v>
      </c>
      <c r="B25">
        <f>IFERROR(INDEX(Data!$25:$25,MATCH('CC-CCoIPCE'!A25,Data!$22:$22,0)),Data!$I$25)/10^6</f>
        <v>0.54594256000000008</v>
      </c>
      <c r="C25">
        <v>0</v>
      </c>
      <c r="D25">
        <f>IFERROR(INDEX(Data!$26:$26,MATCH('CC-CCoIPCE'!A25,Data!$22:$22,0)),Data!$I$26)/10^6</f>
        <v>8.8715665999999995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33</v>
      </c>
      <c r="B26">
        <f>IFERROR(INDEX(Data!$25:$25,MATCH('CC-CCoIPCE'!A26,Data!$22:$22,0)),Data!$I$25)/10^6</f>
        <v>0.54594256000000008</v>
      </c>
      <c r="C26">
        <v>0</v>
      </c>
      <c r="D26">
        <f>IFERROR(INDEX(Data!$26:$26,MATCH('CC-CCoIPCE'!A26,Data!$22:$22,0)),Data!$I$26)/10^6</f>
        <v>8.8715665999999995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2A8C9-BB0C-4A7B-B297-47D916EF1CAB}">
  <sheetPr codeName="Sheet13">
    <tabColor theme="3"/>
  </sheetPr>
  <dimension ref="A1:K11"/>
  <sheetViews>
    <sheetView tabSelected="1" workbookViewId="0">
      <selection activeCell="A14" sqref="A14"/>
    </sheetView>
  </sheetViews>
  <sheetFormatPr defaultRowHeight="15" x14ac:dyDescent="0.25"/>
  <cols>
    <col min="1" max="1" width="26.7109375" customWidth="1"/>
    <col min="2" max="2" width="42.5703125" customWidth="1"/>
  </cols>
  <sheetData>
    <row r="1" spans="1:11" ht="30" x14ac:dyDescent="0.25">
      <c r="B1" s="4" t="s">
        <v>95</v>
      </c>
      <c r="C1" s="7"/>
      <c r="D1" s="7"/>
      <c r="E1" s="7"/>
      <c r="F1" s="7"/>
      <c r="G1" s="7"/>
      <c r="H1" s="7"/>
      <c r="I1" s="7"/>
      <c r="J1" s="7"/>
      <c r="K1" s="7"/>
    </row>
    <row r="2" spans="1:11" x14ac:dyDescent="0.25">
      <c r="A2" t="s">
        <v>85</v>
      </c>
      <c r="B2">
        <f>Data!C44/10^6</f>
        <v>0.49698931409077751</v>
      </c>
    </row>
    <row r="3" spans="1:11" x14ac:dyDescent="0.25">
      <c r="A3" s="7" t="s">
        <v>86</v>
      </c>
      <c r="B3">
        <v>0</v>
      </c>
    </row>
    <row r="4" spans="1:11" x14ac:dyDescent="0.25">
      <c r="A4" s="7" t="s">
        <v>87</v>
      </c>
      <c r="B4">
        <f>Data!C43/10^6</f>
        <v>1.1575132989851586</v>
      </c>
    </row>
    <row r="5" spans="1:11" x14ac:dyDescent="0.25">
      <c r="A5" s="7" t="s">
        <v>88</v>
      </c>
      <c r="B5">
        <v>0</v>
      </c>
    </row>
    <row r="6" spans="1:11" x14ac:dyDescent="0.25">
      <c r="A6" s="7" t="s">
        <v>89</v>
      </c>
      <c r="B6">
        <v>0</v>
      </c>
    </row>
    <row r="7" spans="1:11" x14ac:dyDescent="0.25">
      <c r="A7" s="7" t="s">
        <v>90</v>
      </c>
      <c r="B7">
        <v>0</v>
      </c>
    </row>
    <row r="8" spans="1:11" x14ac:dyDescent="0.25">
      <c r="A8" s="7" t="s">
        <v>91</v>
      </c>
      <c r="B8">
        <v>0</v>
      </c>
    </row>
    <row r="9" spans="1:11" x14ac:dyDescent="0.25">
      <c r="A9" s="7" t="s">
        <v>92</v>
      </c>
      <c r="B9">
        <v>0</v>
      </c>
    </row>
    <row r="10" spans="1:11" x14ac:dyDescent="0.25">
      <c r="A10" s="7" t="s">
        <v>93</v>
      </c>
      <c r="B10">
        <v>0</v>
      </c>
    </row>
    <row r="11" spans="1:11" x14ac:dyDescent="0.25">
      <c r="A11" s="7" t="s">
        <v>94</v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Data</vt:lpstr>
      <vt:lpstr>CC-CCoIECE</vt:lpstr>
      <vt:lpstr>CC-CCoIPCE</vt:lpstr>
      <vt:lpstr>CC-CCoHSCE</vt:lpstr>
      <vt:lpstr>CC-TOMCpTIECS</vt:lpstr>
      <vt:lpstr>CC-TOMCpTIPCS</vt:lpstr>
      <vt:lpstr>CC-TOMCpTHSCS</vt:lpstr>
      <vt:lpstr>CC-EUpTIECS</vt:lpstr>
      <vt:lpstr>CC-EUpTIPCS</vt:lpstr>
      <vt:lpstr>CC-EUpTHSCS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2014-08-18T23:28:12Z</dcterms:created>
  <dcterms:modified xsi:type="dcterms:W3CDTF">2026-10-23T17:55:00Z</dcterms:modified>
</cp:coreProperties>
</file>