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Modeling\EPS\US\eps-us-analysis\InputData\land\BLAPE\"/>
    </mc:Choice>
  </mc:AlternateContent>
  <xr:revisionPtr revIDLastSave="0" documentId="13_ncr:1_{2C77911D-64E4-4705-BF98-CEE780ECF87F}" xr6:coauthVersionLast="47" xr6:coauthVersionMax="47" xr10:uidLastSave="{00000000-0000-0000-0000-000000000000}"/>
  <bookViews>
    <workbookView xWindow="37695" yWindow="2850" windowWidth="19185" windowHeight="11265" firstSheet="4" activeTab="6" xr2:uid="{00000000-000D-0000-FFFF-FFFF00000000}"/>
  </bookViews>
  <sheets>
    <sheet name="About" sheetId="1" r:id="rId1"/>
    <sheet name="Calcs" sheetId="2" r:id="rId2"/>
    <sheet name="EPA Table 6-1" sheetId="5" r:id="rId3"/>
    <sheet name="EPA land and ag potential" sheetId="7" r:id="rId4"/>
    <sheet name="EPA land and ag calcs" sheetId="8" r:id="rId5"/>
    <sheet name="Inflation Reduction Act" sheetId="6" r:id="rId6"/>
    <sheet name="BLAPE" sheetId="3" r:id="rId7"/>
  </sheets>
  <externalReferences>
    <externalReference r:id="rId8"/>
    <externalReference r:id="rId9"/>
    <externalReference r:id="rId10"/>
    <externalReference r:id="rId11"/>
    <externalReference r:id="rId12"/>
    <externalReference r:id="rId13"/>
  </externalReferences>
  <definedNames>
    <definedName name="_xlnm._FilterDatabase" localSheetId="3" hidden="1">'EPA land and ag potential'!$A$2:$I$602</definedName>
    <definedName name="CH4_Ar4_to_AR5">#REF!</definedName>
    <definedName name="CH4_to_CO2e">'[1]Cross-Page Data'!$C$12</definedName>
    <definedName name="dollars_2009_2012">[2]About!$B$90</definedName>
    <definedName name="gal_per_barrel">[3]About!$A$63</definedName>
    <definedName name="HHV_Adjust">[4]About!$A$203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[5]Overview!$B$19</definedName>
    <definedName name="million">[5]Overview!$B$22</definedName>
    <definedName name="N2O_to_CO2e">'[1]Cross-Page Data'!$C$13</definedName>
    <definedName name="unit_conv">[6]About!$A$120</definedName>
  </definedNames>
  <calcPr calcId="191029"/>
  <pivotCaches>
    <pivotCache cacheId="3"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4" i="2" l="1" a="1"/>
  <c r="F4" i="2" s="1"/>
  <c r="G4" i="2" a="1"/>
  <c r="G4" i="2"/>
  <c r="H4" i="2" a="1"/>
  <c r="H4" i="2"/>
  <c r="I4" i="2" a="1"/>
  <c r="I4" i="2"/>
  <c r="J4" i="2" a="1"/>
  <c r="J4" i="2"/>
  <c r="K4" i="2" a="1"/>
  <c r="K4" i="2"/>
  <c r="L4" i="2" a="1"/>
  <c r="L4" i="2"/>
  <c r="M4" i="2" a="1"/>
  <c r="M4" i="2"/>
  <c r="N4" i="2" a="1"/>
  <c r="N4" i="2"/>
  <c r="O4" i="2" a="1"/>
  <c r="O4" i="2"/>
  <c r="P4" i="2" a="1"/>
  <c r="P4" i="2" s="1"/>
  <c r="Q4" i="2" a="1"/>
  <c r="Q4" i="2"/>
  <c r="R4" i="2" a="1"/>
  <c r="R4" i="2"/>
  <c r="S4" i="2" a="1"/>
  <c r="S4" i="2"/>
  <c r="T4" i="2" a="1"/>
  <c r="T4" i="2"/>
  <c r="U4" i="2" a="1"/>
  <c r="U4" i="2"/>
  <c r="V4" i="2" a="1"/>
  <c r="V4" i="2"/>
  <c r="W4" i="2" a="1"/>
  <c r="W4" i="2" s="1"/>
  <c r="X4" i="2" a="1"/>
  <c r="X4" i="2" s="1"/>
  <c r="Y4" i="2" a="1"/>
  <c r="Y4" i="2"/>
  <c r="Z4" i="2" a="1"/>
  <c r="Z4" i="2" s="1"/>
  <c r="AA4" i="2" a="1"/>
  <c r="AA4" i="2"/>
  <c r="AB4" i="2" a="1"/>
  <c r="AB4" i="2" s="1"/>
  <c r="AC4" i="2" a="1"/>
  <c r="AC4" i="2" s="1"/>
  <c r="AD4" i="2" a="1"/>
  <c r="AD4" i="2" s="1"/>
  <c r="AE4" i="2" a="1"/>
  <c r="AE4" i="2" s="1"/>
  <c r="AF4" i="2" a="1"/>
  <c r="AF4" i="2" s="1"/>
  <c r="E4" i="2" a="1"/>
  <c r="E4" i="2" s="1"/>
  <c r="D4" i="2"/>
  <c r="D5" i="2"/>
  <c r="D6" i="2"/>
  <c r="AH13" i="2"/>
  <c r="AH14" i="2"/>
  <c r="AH15" i="2"/>
  <c r="J86" i="6"/>
  <c r="K86" i="6" s="1"/>
  <c r="L86" i="6" s="1"/>
  <c r="M86" i="6" s="1"/>
  <c r="N86" i="6" s="1"/>
  <c r="J87" i="6"/>
  <c r="K87" i="6"/>
  <c r="L87" i="6" s="1"/>
  <c r="M87" i="6" s="1"/>
  <c r="N87" i="6" s="1"/>
  <c r="I86" i="6"/>
  <c r="I87" i="6"/>
  <c r="E90" i="6" l="1"/>
  <c r="F90" i="6"/>
  <c r="G90" i="6"/>
  <c r="H90" i="6"/>
  <c r="I90" i="6"/>
  <c r="J90" i="6"/>
  <c r="K90" i="6"/>
  <c r="L90" i="6"/>
  <c r="M90" i="6"/>
  <c r="N90" i="6"/>
  <c r="O90" i="6"/>
  <c r="P90" i="6"/>
  <c r="D90" i="6"/>
  <c r="C73" i="6"/>
  <c r="D73" i="6"/>
  <c r="E73" i="6"/>
  <c r="F73" i="6"/>
  <c r="G73" i="6"/>
  <c r="H73" i="6"/>
  <c r="I73" i="6"/>
  <c r="J73" i="6"/>
  <c r="K73" i="6"/>
  <c r="L73" i="6"/>
  <c r="M73" i="6"/>
  <c r="N73" i="6"/>
  <c r="C74" i="6"/>
  <c r="D74" i="6"/>
  <c r="E74" i="6"/>
  <c r="F74" i="6"/>
  <c r="G74" i="6"/>
  <c r="H74" i="6"/>
  <c r="I74" i="6"/>
  <c r="J74" i="6"/>
  <c r="K74" i="6"/>
  <c r="L74" i="6"/>
  <c r="M74" i="6"/>
  <c r="N74" i="6"/>
  <c r="C75" i="6"/>
  <c r="D75" i="6"/>
  <c r="E75" i="6"/>
  <c r="F75" i="6"/>
  <c r="G75" i="6"/>
  <c r="H75" i="6"/>
  <c r="I75" i="6"/>
  <c r="J75" i="6"/>
  <c r="K75" i="6"/>
  <c r="L75" i="6"/>
  <c r="M75" i="6"/>
  <c r="N75" i="6"/>
  <c r="C76" i="6"/>
  <c r="D76" i="6"/>
  <c r="E76" i="6"/>
  <c r="F76" i="6"/>
  <c r="G76" i="6"/>
  <c r="H76" i="6"/>
  <c r="I76" i="6"/>
  <c r="J76" i="6"/>
  <c r="K76" i="6"/>
  <c r="L76" i="6"/>
  <c r="M76" i="6"/>
  <c r="N76" i="6"/>
  <c r="C77" i="6"/>
  <c r="D77" i="6"/>
  <c r="E77" i="6"/>
  <c r="F77" i="6"/>
  <c r="G77" i="6"/>
  <c r="H77" i="6"/>
  <c r="I77" i="6"/>
  <c r="J77" i="6"/>
  <c r="K77" i="6"/>
  <c r="L77" i="6"/>
  <c r="M77" i="6"/>
  <c r="N77" i="6"/>
  <c r="B74" i="6"/>
  <c r="B75" i="6"/>
  <c r="B76" i="6"/>
  <c r="B77" i="6"/>
  <c r="B73" i="6"/>
  <c r="B56" i="6"/>
  <c r="B52" i="8" a="1"/>
  <c r="B52" i="8" s="1"/>
  <c r="B60" i="8" s="1"/>
  <c r="C56" i="8"/>
  <c r="D56" i="8"/>
  <c r="E56" i="8"/>
  <c r="F56" i="8"/>
  <c r="G56" i="8"/>
  <c r="H56" i="8"/>
  <c r="I56" i="8"/>
  <c r="J56" i="8"/>
  <c r="K56" i="8"/>
  <c r="L56" i="8"/>
  <c r="M56" i="8"/>
  <c r="N56" i="8"/>
  <c r="O56" i="8"/>
  <c r="P56" i="8"/>
  <c r="Q56" i="8"/>
  <c r="R56" i="8"/>
  <c r="S56" i="8"/>
  <c r="T56" i="8"/>
  <c r="U56" i="8"/>
  <c r="V56" i="8"/>
  <c r="W56" i="8"/>
  <c r="X56" i="8"/>
  <c r="Y56" i="8"/>
  <c r="Z56" i="8"/>
  <c r="AA56" i="8"/>
  <c r="AB56" i="8"/>
  <c r="AC56" i="8"/>
  <c r="AD56" i="8"/>
  <c r="AE56" i="8"/>
  <c r="C57" i="8"/>
  <c r="D57" i="8"/>
  <c r="E57" i="8"/>
  <c r="F57" i="8"/>
  <c r="G57" i="8"/>
  <c r="H57" i="8"/>
  <c r="I57" i="8"/>
  <c r="J57" i="8"/>
  <c r="K57" i="8"/>
  <c r="L57" i="8"/>
  <c r="M57" i="8"/>
  <c r="N57" i="8"/>
  <c r="O57" i="8"/>
  <c r="P57" i="8"/>
  <c r="Q57" i="8"/>
  <c r="R57" i="8"/>
  <c r="S57" i="8"/>
  <c r="T57" i="8"/>
  <c r="U57" i="8"/>
  <c r="V57" i="8"/>
  <c r="W57" i="8"/>
  <c r="X57" i="8"/>
  <c r="Y57" i="8"/>
  <c r="Z57" i="8"/>
  <c r="AA57" i="8"/>
  <c r="AB57" i="8"/>
  <c r="AC57" i="8"/>
  <c r="AD57" i="8"/>
  <c r="AE57" i="8"/>
  <c r="C58" i="8"/>
  <c r="D58" i="8"/>
  <c r="E58" i="8"/>
  <c r="F58" i="8"/>
  <c r="G58" i="8"/>
  <c r="H58" i="8"/>
  <c r="I58" i="8"/>
  <c r="J58" i="8"/>
  <c r="K58" i="8"/>
  <c r="L58" i="8"/>
  <c r="M58" i="8"/>
  <c r="N58" i="8"/>
  <c r="O58" i="8"/>
  <c r="P58" i="8"/>
  <c r="Q58" i="8"/>
  <c r="R58" i="8"/>
  <c r="S58" i="8"/>
  <c r="T58" i="8"/>
  <c r="U58" i="8"/>
  <c r="V58" i="8"/>
  <c r="W58" i="8"/>
  <c r="X58" i="8"/>
  <c r="Y58" i="8"/>
  <c r="Z58" i="8"/>
  <c r="AA58" i="8"/>
  <c r="AB58" i="8"/>
  <c r="AC58" i="8"/>
  <c r="AD58" i="8"/>
  <c r="AE58" i="8"/>
  <c r="C59" i="8"/>
  <c r="D59" i="8"/>
  <c r="E59" i="8"/>
  <c r="F59" i="8"/>
  <c r="G59" i="8"/>
  <c r="H59" i="8"/>
  <c r="I59" i="8"/>
  <c r="J59" i="8"/>
  <c r="K59" i="8"/>
  <c r="L59" i="8"/>
  <c r="M59" i="8"/>
  <c r="N59" i="8"/>
  <c r="O59" i="8"/>
  <c r="P59" i="8"/>
  <c r="Q59" i="8"/>
  <c r="R59" i="8"/>
  <c r="S59" i="8"/>
  <c r="T59" i="8"/>
  <c r="U59" i="8"/>
  <c r="V59" i="8"/>
  <c r="W59" i="8"/>
  <c r="X59" i="8"/>
  <c r="Y59" i="8"/>
  <c r="Z59" i="8"/>
  <c r="AA59" i="8"/>
  <c r="AB59" i="8"/>
  <c r="AC59" i="8"/>
  <c r="AD59" i="8"/>
  <c r="AE59" i="8"/>
  <c r="C60" i="8"/>
  <c r="D60" i="8"/>
  <c r="E60" i="8"/>
  <c r="F60" i="8"/>
  <c r="G60" i="8"/>
  <c r="H60" i="8"/>
  <c r="I60" i="8"/>
  <c r="J60" i="8"/>
  <c r="K60" i="8"/>
  <c r="L60" i="8"/>
  <c r="M60" i="8"/>
  <c r="N60" i="8"/>
  <c r="O60" i="8"/>
  <c r="P60" i="8"/>
  <c r="Q60" i="8"/>
  <c r="R60" i="8"/>
  <c r="S60" i="8"/>
  <c r="T60" i="8"/>
  <c r="U60" i="8"/>
  <c r="V60" i="8"/>
  <c r="W60" i="8"/>
  <c r="X60" i="8"/>
  <c r="Y60" i="8"/>
  <c r="Z60" i="8"/>
  <c r="AA60" i="8"/>
  <c r="AB60" i="8"/>
  <c r="AC60" i="8"/>
  <c r="AD60" i="8"/>
  <c r="AE60" i="8"/>
  <c r="B57" i="8"/>
  <c r="B58" i="8"/>
  <c r="B59" i="8"/>
  <c r="B56" i="8"/>
  <c r="R48" i="8" a="1"/>
  <c r="R48" i="8"/>
  <c r="S48" i="8" a="1"/>
  <c r="S48" i="8" s="1"/>
  <c r="T48" i="8" a="1"/>
  <c r="T48" i="8" s="1"/>
  <c r="U48" i="8" a="1"/>
  <c r="U48" i="8" s="1"/>
  <c r="V48" i="8" a="1"/>
  <c r="V48" i="8"/>
  <c r="W48" i="8" a="1"/>
  <c r="W48" i="8" s="1"/>
  <c r="X48" i="8" a="1"/>
  <c r="X48" i="8"/>
  <c r="Y48" i="8" a="1"/>
  <c r="Y48" i="8"/>
  <c r="Z48" i="8" a="1"/>
  <c r="Z48" i="8"/>
  <c r="R49" i="8" a="1"/>
  <c r="R49" i="8"/>
  <c r="S49" i="8" a="1"/>
  <c r="S49" i="8"/>
  <c r="T49" i="8" a="1"/>
  <c r="T49" i="8" s="1"/>
  <c r="U49" i="8" a="1"/>
  <c r="U49" i="8" s="1"/>
  <c r="V49" i="8" a="1"/>
  <c r="V49" i="8" s="1"/>
  <c r="W49" i="8" a="1"/>
  <c r="W49" i="8"/>
  <c r="X49" i="8" a="1"/>
  <c r="X49" i="8" s="1"/>
  <c r="Y49" i="8" a="1"/>
  <c r="Y49" i="8"/>
  <c r="Z49" i="8" a="1"/>
  <c r="Z49" i="8"/>
  <c r="R50" i="8" a="1"/>
  <c r="R50" i="8"/>
  <c r="S50" i="8" a="1"/>
  <c r="S50" i="8" s="1"/>
  <c r="T50" i="8" a="1"/>
  <c r="T50" i="8"/>
  <c r="U50" i="8" a="1"/>
  <c r="U50" i="8" s="1"/>
  <c r="V50" i="8" a="1"/>
  <c r="V50" i="8" s="1"/>
  <c r="W50" i="8" a="1"/>
  <c r="W50" i="8" s="1"/>
  <c r="X50" i="8" a="1"/>
  <c r="X50" i="8"/>
  <c r="Y50" i="8" a="1"/>
  <c r="Y50" i="8" s="1"/>
  <c r="Z50" i="8" a="1"/>
  <c r="Z50" i="8"/>
  <c r="R51" i="8" a="1"/>
  <c r="R51" i="8"/>
  <c r="S51" i="8" a="1"/>
  <c r="S51" i="8" s="1"/>
  <c r="T51" i="8" a="1"/>
  <c r="T51" i="8" s="1"/>
  <c r="U51" i="8" a="1"/>
  <c r="U51" i="8"/>
  <c r="V51" i="8" a="1"/>
  <c r="V51" i="8" s="1"/>
  <c r="W51" i="8" a="1"/>
  <c r="W51" i="8" s="1"/>
  <c r="X51" i="8" a="1"/>
  <c r="X51" i="8" s="1"/>
  <c r="Y51" i="8" a="1"/>
  <c r="Y51" i="8"/>
  <c r="Z51" i="8" a="1"/>
  <c r="Z51" i="8" s="1"/>
  <c r="R52" i="8" a="1"/>
  <c r="R52" i="8" s="1"/>
  <c r="S52" i="8" a="1"/>
  <c r="S52" i="8" s="1"/>
  <c r="T52" i="8" a="1"/>
  <c r="T52" i="8"/>
  <c r="U52" i="8" a="1"/>
  <c r="U52" i="8" s="1"/>
  <c r="V52" i="8" a="1"/>
  <c r="V52" i="8"/>
  <c r="W52" i="8" a="1"/>
  <c r="W52" i="8" s="1"/>
  <c r="X52" i="8" a="1"/>
  <c r="X52" i="8" s="1"/>
  <c r="Y52" i="8" a="1"/>
  <c r="Y52" i="8" s="1"/>
  <c r="Z52" i="8" a="1"/>
  <c r="Z52" i="8"/>
  <c r="AA48" i="8" a="1"/>
  <c r="AA48" i="8"/>
  <c r="AA49" i="8" a="1"/>
  <c r="AA49" i="8"/>
  <c r="AA50" i="8" a="1"/>
  <c r="AA50" i="8"/>
  <c r="AA51" i="8" a="1"/>
  <c r="AA51" i="8"/>
  <c r="AA52" i="8" a="1"/>
  <c r="AA52" i="8"/>
  <c r="Q49" i="8" a="1"/>
  <c r="Q49" i="8" s="1"/>
  <c r="Q50" i="8" a="1"/>
  <c r="Q50" i="8" s="1"/>
  <c r="Q51" i="8" a="1"/>
  <c r="Q51" i="8"/>
  <c r="Q52" i="8" a="1"/>
  <c r="Q52" i="8"/>
  <c r="Q48" i="8" a="1"/>
  <c r="Q48" i="8" s="1"/>
  <c r="B49" i="8" a="1"/>
  <c r="B49" i="8"/>
  <c r="C49" i="8" a="1"/>
  <c r="C49" i="8" s="1"/>
  <c r="D49" i="8" a="1"/>
  <c r="D49" i="8"/>
  <c r="E49" i="8" a="1"/>
  <c r="E49" i="8"/>
  <c r="F49" i="8" a="1"/>
  <c r="F49" i="8"/>
  <c r="G49" i="8" a="1"/>
  <c r="G49" i="8"/>
  <c r="H49" i="8" a="1"/>
  <c r="H49" i="8"/>
  <c r="I49" i="8" a="1"/>
  <c r="I49" i="8"/>
  <c r="J49" i="8" a="1"/>
  <c r="J49" i="8"/>
  <c r="K49" i="8" a="1"/>
  <c r="K49" i="8"/>
  <c r="L49" i="8" a="1"/>
  <c r="L49" i="8"/>
  <c r="M49" i="8" a="1"/>
  <c r="M49" i="8" s="1"/>
  <c r="N49" i="8" a="1"/>
  <c r="N49" i="8"/>
  <c r="O49" i="8" a="1"/>
  <c r="O49" i="8"/>
  <c r="P49" i="8" a="1"/>
  <c r="P49" i="8"/>
  <c r="B50" i="8" a="1"/>
  <c r="B50" i="8"/>
  <c r="C50" i="8" a="1"/>
  <c r="C50" i="8"/>
  <c r="D50" i="8" a="1"/>
  <c r="D50" i="8"/>
  <c r="E50" i="8" a="1"/>
  <c r="E50" i="8"/>
  <c r="F50" i="8" a="1"/>
  <c r="F50" i="8"/>
  <c r="G50" i="8" a="1"/>
  <c r="G50" i="8"/>
  <c r="H50" i="8" a="1"/>
  <c r="H50" i="8" s="1"/>
  <c r="I50" i="8" a="1"/>
  <c r="I50" i="8"/>
  <c r="J50" i="8" a="1"/>
  <c r="J50" i="8"/>
  <c r="K50" i="8" a="1"/>
  <c r="K50" i="8"/>
  <c r="L50" i="8" a="1"/>
  <c r="L50" i="8"/>
  <c r="M50" i="8" a="1"/>
  <c r="M50" i="8"/>
  <c r="N50" i="8" a="1"/>
  <c r="N50" i="8"/>
  <c r="O50" i="8" a="1"/>
  <c r="O50" i="8" s="1"/>
  <c r="P50" i="8" a="1"/>
  <c r="P50" i="8"/>
  <c r="B51" i="8" a="1"/>
  <c r="B51" i="8"/>
  <c r="C51" i="8" a="1"/>
  <c r="C51" i="8" s="1"/>
  <c r="D51" i="8" a="1"/>
  <c r="D51" i="8"/>
  <c r="E51" i="8" a="1"/>
  <c r="E51" i="8"/>
  <c r="F51" i="8" a="1"/>
  <c r="F51" i="8"/>
  <c r="G51" i="8" a="1"/>
  <c r="G51" i="8"/>
  <c r="H51" i="8" a="1"/>
  <c r="H51" i="8"/>
  <c r="I51" i="8" a="1"/>
  <c r="I51" i="8"/>
  <c r="J51" i="8" a="1"/>
  <c r="J51" i="8" s="1"/>
  <c r="K51" i="8" a="1"/>
  <c r="K51" i="8"/>
  <c r="L51" i="8" a="1"/>
  <c r="L51" i="8"/>
  <c r="M51" i="8" a="1"/>
  <c r="M51" i="8" s="1"/>
  <c r="N51" i="8" a="1"/>
  <c r="N51" i="8"/>
  <c r="O51" i="8" a="1"/>
  <c r="O51" i="8"/>
  <c r="P51" i="8" a="1"/>
  <c r="P51" i="8"/>
  <c r="C52" i="8" a="1"/>
  <c r="C52" i="8"/>
  <c r="D52" i="8" a="1"/>
  <c r="D52" i="8"/>
  <c r="E52" i="8" a="1"/>
  <c r="E52" i="8"/>
  <c r="F52" i="8" a="1"/>
  <c r="F52" i="8"/>
  <c r="G52" i="8" a="1"/>
  <c r="G52" i="8"/>
  <c r="H52" i="8" a="1"/>
  <c r="H52" i="8" s="1"/>
  <c r="I52" i="8" a="1"/>
  <c r="I52" i="8"/>
  <c r="J52" i="8" a="1"/>
  <c r="J52" i="8"/>
  <c r="K52" i="8" a="1"/>
  <c r="K52" i="8"/>
  <c r="L52" i="8" a="1"/>
  <c r="L52" i="8"/>
  <c r="M52" i="8" a="1"/>
  <c r="M52" i="8"/>
  <c r="N52" i="8" a="1"/>
  <c r="N52" i="8"/>
  <c r="O52" i="8" a="1"/>
  <c r="O52" i="8"/>
  <c r="P52" i="8" a="1"/>
  <c r="P52" i="8"/>
  <c r="C48" i="8" a="1"/>
  <c r="C48" i="8"/>
  <c r="D48" i="8" a="1"/>
  <c r="D48" i="8" s="1"/>
  <c r="E48" i="8" a="1"/>
  <c r="E48" i="8"/>
  <c r="F48" i="8" a="1"/>
  <c r="F48" i="8"/>
  <c r="G48" i="8" a="1"/>
  <c r="G48" i="8" s="1"/>
  <c r="H48" i="8" a="1"/>
  <c r="H48" i="8"/>
  <c r="I48" i="8" a="1"/>
  <c r="I48" i="8"/>
  <c r="J48" i="8" a="1"/>
  <c r="J48" i="8"/>
  <c r="K48" i="8" a="1"/>
  <c r="K48" i="8"/>
  <c r="L48" i="8" a="1"/>
  <c r="L48" i="8"/>
  <c r="M48" i="8" a="1"/>
  <c r="M48" i="8"/>
  <c r="N48" i="8" a="1"/>
  <c r="N48" i="8" s="1"/>
  <c r="O48" i="8" a="1"/>
  <c r="O48" i="8"/>
  <c r="P48" i="8" a="1"/>
  <c r="P48" i="8"/>
  <c r="B48" i="8" a="1"/>
  <c r="B48" i="8"/>
  <c r="C56" i="6"/>
  <c r="D56" i="6"/>
  <c r="E56" i="6"/>
  <c r="F56" i="6"/>
  <c r="G56" i="6"/>
  <c r="H56" i="6"/>
  <c r="I56" i="6"/>
  <c r="J56" i="6"/>
  <c r="K56" i="6"/>
  <c r="L56" i="6"/>
  <c r="M56" i="6"/>
  <c r="N56" i="6"/>
  <c r="C57" i="6"/>
  <c r="D57" i="6"/>
  <c r="E57" i="6"/>
  <c r="F57" i="6"/>
  <c r="G57" i="6"/>
  <c r="H57" i="6"/>
  <c r="I57" i="6"/>
  <c r="J57" i="6"/>
  <c r="K57" i="6"/>
  <c r="L57" i="6"/>
  <c r="M57" i="6"/>
  <c r="N57" i="6"/>
  <c r="C58" i="6"/>
  <c r="D58" i="6"/>
  <c r="E58" i="6"/>
  <c r="F58" i="6"/>
  <c r="G58" i="6"/>
  <c r="H58" i="6"/>
  <c r="I58" i="6"/>
  <c r="J58" i="6"/>
  <c r="K58" i="6"/>
  <c r="L58" i="6"/>
  <c r="M58" i="6"/>
  <c r="N58" i="6"/>
  <c r="C59" i="6"/>
  <c r="D59" i="6"/>
  <c r="E59" i="6"/>
  <c r="F59" i="6"/>
  <c r="G59" i="6"/>
  <c r="H59" i="6"/>
  <c r="I59" i="6"/>
  <c r="J59" i="6"/>
  <c r="K59" i="6"/>
  <c r="L59" i="6"/>
  <c r="M59" i="6"/>
  <c r="N59" i="6"/>
  <c r="C60" i="6"/>
  <c r="D60" i="6"/>
  <c r="E60" i="6"/>
  <c r="F60" i="6"/>
  <c r="G60" i="6"/>
  <c r="H60" i="6"/>
  <c r="I60" i="6"/>
  <c r="J60" i="6"/>
  <c r="K60" i="6"/>
  <c r="L60" i="6"/>
  <c r="M60" i="6"/>
  <c r="N60" i="6"/>
  <c r="B57" i="6"/>
  <c r="B58" i="6"/>
  <c r="B59" i="6"/>
  <c r="B60" i="6"/>
  <c r="B23" i="6"/>
  <c r="B22" i="6"/>
  <c r="AB49" i="8" a="1"/>
  <c r="AB49" i="8"/>
  <c r="AC49" i="8" a="1"/>
  <c r="AC49" i="8"/>
  <c r="AD49" i="8" a="1"/>
  <c r="AD49" i="8"/>
  <c r="AE49" i="8" a="1"/>
  <c r="AE49" i="8"/>
  <c r="AB50" i="8" a="1"/>
  <c r="AB50" i="8"/>
  <c r="AC50" i="8" a="1"/>
  <c r="AC50" i="8"/>
  <c r="AD50" i="8" a="1"/>
  <c r="AD50" i="8"/>
  <c r="AE50" i="8" a="1"/>
  <c r="AE50" i="8"/>
  <c r="AB51" i="8" a="1"/>
  <c r="AB51" i="8"/>
  <c r="AC51" i="8" a="1"/>
  <c r="AC51" i="8"/>
  <c r="AD51" i="8" a="1"/>
  <c r="AD51" i="8"/>
  <c r="AE51" i="8" a="1"/>
  <c r="AE51" i="8"/>
  <c r="AB52" i="8" a="1"/>
  <c r="AB52" i="8"/>
  <c r="AC52" i="8" a="1"/>
  <c r="AC52" i="8"/>
  <c r="AD52" i="8" a="1"/>
  <c r="AD52" i="8"/>
  <c r="AE52" i="8" a="1"/>
  <c r="AE52" i="8"/>
  <c r="AB48" i="8" a="1"/>
  <c r="AB48" i="8"/>
  <c r="AC48" i="8" a="1"/>
  <c r="AC48" i="8"/>
  <c r="AD48" i="8" a="1"/>
  <c r="AD48" i="8"/>
  <c r="AE48" i="8" a="1"/>
  <c r="AE48" i="8" s="1"/>
  <c r="B40" i="8" a="1"/>
  <c r="B40" i="8"/>
  <c r="B41" i="8" a="1"/>
  <c r="B41" i="8" s="1"/>
  <c r="C41" i="8" a="1"/>
  <c r="C41" i="8"/>
  <c r="D41" i="8" a="1"/>
  <c r="D41" i="8"/>
  <c r="E41" i="8" a="1"/>
  <c r="E41" i="8" s="1"/>
  <c r="F41" i="8" a="1"/>
  <c r="F41" i="8"/>
  <c r="G41" i="8" a="1"/>
  <c r="G41" i="8"/>
  <c r="H41" i="8" a="1"/>
  <c r="H41" i="8"/>
  <c r="I41" i="8" a="1"/>
  <c r="I41" i="8"/>
  <c r="J41" i="8" a="1"/>
  <c r="J41" i="8"/>
  <c r="K41" i="8" a="1"/>
  <c r="K41" i="8"/>
  <c r="L41" i="8" a="1"/>
  <c r="L41" i="8" s="1"/>
  <c r="M41" i="8" a="1"/>
  <c r="M41" i="8"/>
  <c r="N41" i="8" a="1"/>
  <c r="N41" i="8"/>
  <c r="O41" i="8" a="1"/>
  <c r="O41" i="8" s="1"/>
  <c r="P41" i="8" a="1"/>
  <c r="P41" i="8"/>
  <c r="Q41" i="8" a="1"/>
  <c r="Q41" i="8"/>
  <c r="R41" i="8" a="1"/>
  <c r="R41" i="8"/>
  <c r="S41" i="8" a="1"/>
  <c r="S41" i="8"/>
  <c r="T41" i="8" a="1"/>
  <c r="T41" i="8"/>
  <c r="U41" i="8" a="1"/>
  <c r="U41" i="8"/>
  <c r="V41" i="8" a="1"/>
  <c r="V41" i="8" s="1"/>
  <c r="W41" i="8" a="1"/>
  <c r="W41" i="8"/>
  <c r="X41" i="8" a="1"/>
  <c r="X41" i="8"/>
  <c r="Y41" i="8" a="1"/>
  <c r="Y41" i="8" s="1"/>
  <c r="Z41" i="8" a="1"/>
  <c r="Z41" i="8"/>
  <c r="AA41" i="8" a="1"/>
  <c r="AA41" i="8"/>
  <c r="AB41" i="8" a="1"/>
  <c r="AB41" i="8"/>
  <c r="AC41" i="8" a="1"/>
  <c r="AC41" i="8"/>
  <c r="AD41" i="8" a="1"/>
  <c r="AD41" i="8"/>
  <c r="AE41" i="8" a="1"/>
  <c r="AE41" i="8"/>
  <c r="B42" i="8" a="1"/>
  <c r="B42" i="8" s="1"/>
  <c r="C42" i="8" a="1"/>
  <c r="C42" i="8"/>
  <c r="D42" i="8" a="1"/>
  <c r="D42" i="8"/>
  <c r="E42" i="8" a="1"/>
  <c r="E42" i="8" s="1"/>
  <c r="F42" i="8" a="1"/>
  <c r="F42" i="8"/>
  <c r="G42" i="8" a="1"/>
  <c r="G42" i="8"/>
  <c r="H42" i="8" a="1"/>
  <c r="H42" i="8"/>
  <c r="I42" i="8" a="1"/>
  <c r="I42" i="8"/>
  <c r="J42" i="8" a="1"/>
  <c r="J42" i="8"/>
  <c r="K42" i="8" a="1"/>
  <c r="K42" i="8"/>
  <c r="L42" i="8" a="1"/>
  <c r="L42" i="8" s="1"/>
  <c r="M42" i="8" a="1"/>
  <c r="M42" i="8"/>
  <c r="N42" i="8" a="1"/>
  <c r="N42" i="8"/>
  <c r="O42" i="8" a="1"/>
  <c r="O42" i="8" s="1"/>
  <c r="P42" i="8" a="1"/>
  <c r="P42" i="8"/>
  <c r="Q42" i="8" a="1"/>
  <c r="Q42" i="8"/>
  <c r="R42" i="8" a="1"/>
  <c r="R42" i="8"/>
  <c r="S42" i="8" a="1"/>
  <c r="S42" i="8"/>
  <c r="T42" i="8" a="1"/>
  <c r="T42" i="8"/>
  <c r="U42" i="8" a="1"/>
  <c r="U42" i="8"/>
  <c r="V42" i="8" a="1"/>
  <c r="V42" i="8" s="1"/>
  <c r="W42" i="8" a="1"/>
  <c r="W42" i="8"/>
  <c r="X42" i="8" a="1"/>
  <c r="X42" i="8"/>
  <c r="Y42" i="8" a="1"/>
  <c r="Y42" i="8" s="1"/>
  <c r="Z42" i="8" a="1"/>
  <c r="Z42" i="8"/>
  <c r="AA42" i="8" a="1"/>
  <c r="AA42" i="8"/>
  <c r="AB42" i="8" a="1"/>
  <c r="AB42" i="8"/>
  <c r="AC42" i="8" a="1"/>
  <c r="AC42" i="8"/>
  <c r="AD42" i="8" a="1"/>
  <c r="AD42" i="8"/>
  <c r="AE42" i="8" a="1"/>
  <c r="AE42" i="8"/>
  <c r="B43" i="8" a="1"/>
  <c r="B43" i="8" s="1"/>
  <c r="C43" i="8" a="1"/>
  <c r="C43" i="8"/>
  <c r="D43" i="8" a="1"/>
  <c r="D43" i="8"/>
  <c r="E43" i="8" a="1"/>
  <c r="E43" i="8" s="1"/>
  <c r="F43" i="8" a="1"/>
  <c r="F43" i="8"/>
  <c r="G43" i="8" a="1"/>
  <c r="G43" i="8"/>
  <c r="H43" i="8" a="1"/>
  <c r="H43" i="8"/>
  <c r="I43" i="8" a="1"/>
  <c r="I43" i="8"/>
  <c r="J43" i="8" a="1"/>
  <c r="J43" i="8"/>
  <c r="K43" i="8" a="1"/>
  <c r="K43" i="8"/>
  <c r="L43" i="8" a="1"/>
  <c r="L43" i="8" s="1"/>
  <c r="M43" i="8" a="1"/>
  <c r="M43" i="8"/>
  <c r="N43" i="8" a="1"/>
  <c r="N43" i="8"/>
  <c r="O43" i="8" a="1"/>
  <c r="O43" i="8" s="1"/>
  <c r="P43" i="8" a="1"/>
  <c r="P43" i="8"/>
  <c r="Q43" i="8" a="1"/>
  <c r="Q43" i="8"/>
  <c r="R43" i="8" a="1"/>
  <c r="R43" i="8"/>
  <c r="S43" i="8" a="1"/>
  <c r="S43" i="8"/>
  <c r="T43" i="8" a="1"/>
  <c r="T43" i="8"/>
  <c r="U43" i="8" a="1"/>
  <c r="U43" i="8"/>
  <c r="V43" i="8" a="1"/>
  <c r="V43" i="8" s="1"/>
  <c r="W43" i="8" a="1"/>
  <c r="W43" i="8"/>
  <c r="X43" i="8" a="1"/>
  <c r="X43" i="8"/>
  <c r="Y43" i="8" a="1"/>
  <c r="Y43" i="8" s="1"/>
  <c r="Z43" i="8" a="1"/>
  <c r="Z43" i="8"/>
  <c r="AA43" i="8" a="1"/>
  <c r="AA43" i="8"/>
  <c r="AB43" i="8" a="1"/>
  <c r="AB43" i="8"/>
  <c r="AC43" i="8" a="1"/>
  <c r="AC43" i="8"/>
  <c r="AD43" i="8" a="1"/>
  <c r="AD43" i="8"/>
  <c r="AE43" i="8" a="1"/>
  <c r="AE43" i="8"/>
  <c r="B44" i="8" a="1"/>
  <c r="B44" i="8" s="1"/>
  <c r="C44" i="8" a="1"/>
  <c r="C44" i="8"/>
  <c r="D44" i="8" a="1"/>
  <c r="D44" i="8"/>
  <c r="E44" i="8" a="1"/>
  <c r="E44" i="8" s="1"/>
  <c r="F44" i="8" a="1"/>
  <c r="F44" i="8"/>
  <c r="G44" i="8" a="1"/>
  <c r="G44" i="8"/>
  <c r="H44" i="8" a="1"/>
  <c r="H44" i="8"/>
  <c r="I44" i="8" a="1"/>
  <c r="I44" i="8"/>
  <c r="J44" i="8" a="1"/>
  <c r="J44" i="8"/>
  <c r="K44" i="8" a="1"/>
  <c r="K44" i="8"/>
  <c r="L44" i="8" a="1"/>
  <c r="L44" i="8" s="1"/>
  <c r="M44" i="8" a="1"/>
  <c r="M44" i="8"/>
  <c r="N44" i="8" a="1"/>
  <c r="N44" i="8"/>
  <c r="O44" i="8" a="1"/>
  <c r="O44" i="8" s="1"/>
  <c r="P44" i="8" a="1"/>
  <c r="P44" i="8"/>
  <c r="Q44" i="8" a="1"/>
  <c r="Q44" i="8"/>
  <c r="R44" i="8" a="1"/>
  <c r="R44" i="8"/>
  <c r="S44" i="8" a="1"/>
  <c r="S44" i="8"/>
  <c r="T44" i="8" a="1"/>
  <c r="T44" i="8"/>
  <c r="U44" i="8" a="1"/>
  <c r="U44" i="8"/>
  <c r="V44" i="8" a="1"/>
  <c r="V44" i="8" s="1"/>
  <c r="W44" i="8" a="1"/>
  <c r="W44" i="8"/>
  <c r="X44" i="8" a="1"/>
  <c r="X44" i="8"/>
  <c r="Y44" i="8" a="1"/>
  <c r="Y44" i="8" s="1"/>
  <c r="Z44" i="8" a="1"/>
  <c r="Z44" i="8"/>
  <c r="AA44" i="8" a="1"/>
  <c r="AA44" i="8"/>
  <c r="AB44" i="8" a="1"/>
  <c r="AB44" i="8"/>
  <c r="AC44" i="8" a="1"/>
  <c r="AC44" i="8"/>
  <c r="AD44" i="8" a="1"/>
  <c r="AD44" i="8"/>
  <c r="AE44" i="8" a="1"/>
  <c r="AE44" i="8"/>
  <c r="AA40" i="8" a="1"/>
  <c r="AA40" i="8"/>
  <c r="R40" i="8" a="1"/>
  <c r="R40" i="8"/>
  <c r="S40" i="8" a="1"/>
  <c r="S40" i="8" s="1"/>
  <c r="T40" i="8" a="1"/>
  <c r="T40" i="8"/>
  <c r="U40" i="8" a="1"/>
  <c r="U40" i="8" s="1"/>
  <c r="V40" i="8" a="1"/>
  <c r="V40" i="8" s="1"/>
  <c r="W40" i="8" a="1"/>
  <c r="W40" i="8" s="1"/>
  <c r="X40" i="8" a="1"/>
  <c r="X40" i="8"/>
  <c r="Y40" i="8" a="1"/>
  <c r="Y40" i="8" s="1"/>
  <c r="Z40" i="8" a="1"/>
  <c r="Z40" i="8" s="1"/>
  <c r="Q40" i="8" a="1"/>
  <c r="Q40" i="8"/>
  <c r="C40" i="8" a="1"/>
  <c r="C40" i="8" s="1"/>
  <c r="D40" i="8" a="1"/>
  <c r="D40" i="8"/>
  <c r="E40" i="8" a="1"/>
  <c r="E40" i="8"/>
  <c r="F40" i="8" a="1"/>
  <c r="F40" i="8" s="1"/>
  <c r="G40" i="8" a="1"/>
  <c r="G40" i="8"/>
  <c r="H40" i="8" a="1"/>
  <c r="H40" i="8"/>
  <c r="I40" i="8" a="1"/>
  <c r="I40" i="8" s="1"/>
  <c r="J40" i="8" a="1"/>
  <c r="J40" i="8"/>
  <c r="K40" i="8" a="1"/>
  <c r="K40" i="8" s="1"/>
  <c r="L40" i="8" a="1"/>
  <c r="L40" i="8" s="1"/>
  <c r="M40" i="8" a="1"/>
  <c r="M40" i="8" s="1"/>
  <c r="N40" i="8" a="1"/>
  <c r="N40" i="8"/>
  <c r="O40" i="8" a="1"/>
  <c r="O40" i="8"/>
  <c r="P40" i="8" a="1"/>
  <c r="P40" i="8"/>
  <c r="AB40" i="8" a="1"/>
  <c r="AB40" i="8"/>
  <c r="AC40" i="8" a="1"/>
  <c r="AC40" i="8"/>
  <c r="AD40" i="8" a="1"/>
  <c r="AD40" i="8"/>
  <c r="AE40" i="8" a="1"/>
  <c r="AE40" i="8"/>
  <c r="C46" i="6"/>
  <c r="D46" i="6"/>
  <c r="E46" i="6"/>
  <c r="F46" i="6"/>
  <c r="G46" i="6"/>
  <c r="H46" i="6"/>
  <c r="I46" i="6"/>
  <c r="J46" i="6"/>
  <c r="B46" i="6"/>
  <c r="P91" i="6" l="1"/>
  <c r="Q91" i="6" s="1"/>
  <c r="R91" i="6" s="1"/>
  <c r="S91" i="6" s="1"/>
  <c r="T91" i="6" s="1"/>
  <c r="U91" i="6" s="1"/>
  <c r="V91" i="6" s="1"/>
  <c r="W91" i="6" s="1"/>
  <c r="X91" i="6" s="1"/>
  <c r="Y91" i="6" s="1"/>
  <c r="Z91" i="6" s="1"/>
  <c r="AA91" i="6" s="1"/>
  <c r="AB91" i="6" s="1"/>
  <c r="AC91" i="6" s="1"/>
  <c r="AD91" i="6" s="1"/>
  <c r="AE91" i="6" s="1"/>
  <c r="O91" i="6"/>
  <c r="N91" i="6"/>
  <c r="M91" i="6"/>
  <c r="L91" i="6"/>
  <c r="K91" i="6"/>
  <c r="B47" i="6"/>
  <c r="B51" i="6" s="1"/>
  <c r="B63" i="6" s="1"/>
  <c r="C47" i="6"/>
  <c r="J47" i="6"/>
  <c r="J51" i="6" s="1"/>
  <c r="I47" i="6"/>
  <c r="I51" i="6" s="1"/>
  <c r="I63" i="6" s="1"/>
  <c r="H47" i="6"/>
  <c r="H51" i="6" s="1"/>
  <c r="H63" i="6" s="1"/>
  <c r="G47" i="6"/>
  <c r="F47" i="6"/>
  <c r="E47" i="6"/>
  <c r="D47" i="6"/>
  <c r="J64" i="6" l="1"/>
  <c r="J65" i="6" s="1"/>
  <c r="J66" i="6" s="1"/>
  <c r="J67" i="6" s="1"/>
  <c r="J63" i="6"/>
  <c r="I64" i="6"/>
  <c r="I65" i="6" s="1"/>
  <c r="I66" i="6" s="1"/>
  <c r="I67" i="6" s="1"/>
  <c r="I69" i="6"/>
  <c r="J69" i="6"/>
  <c r="H64" i="6"/>
  <c r="H65" i="6" s="1"/>
  <c r="H66" i="6" s="1"/>
  <c r="H67" i="6" s="1"/>
  <c r="B64" i="6"/>
  <c r="C80" i="6"/>
  <c r="B65" i="6"/>
  <c r="B66" i="6" s="1"/>
  <c r="B67" i="6" s="1"/>
  <c r="D52" i="6"/>
  <c r="D51" i="6"/>
  <c r="D63" i="6" s="1"/>
  <c r="E51" i="6"/>
  <c r="E63" i="6" s="1"/>
  <c r="E52" i="6"/>
  <c r="F51" i="6"/>
  <c r="F63" i="6" s="1"/>
  <c r="F52" i="6"/>
  <c r="G52" i="6"/>
  <c r="G51" i="6"/>
  <c r="G63" i="6" s="1"/>
  <c r="L51" i="6"/>
  <c r="M51" i="6"/>
  <c r="N51" i="6"/>
  <c r="K51" i="6"/>
  <c r="K63" i="6" s="1"/>
  <c r="C52" i="6"/>
  <c r="C51" i="6"/>
  <c r="I52" i="6"/>
  <c r="J52" i="6"/>
  <c r="B52" i="6"/>
  <c r="H52" i="6"/>
  <c r="H69" i="6" l="1"/>
  <c r="L63" i="6"/>
  <c r="L64" i="6"/>
  <c r="L65" i="6" s="1"/>
  <c r="L66" i="6" s="1"/>
  <c r="L67" i="6" s="1"/>
  <c r="F64" i="6"/>
  <c r="F65" i="6" s="1"/>
  <c r="F66" i="6" s="1"/>
  <c r="F67" i="6" s="1"/>
  <c r="F69" i="6" s="1"/>
  <c r="D64" i="6"/>
  <c r="D65" i="6" s="1"/>
  <c r="D66" i="6" s="1"/>
  <c r="D67" i="6" s="1"/>
  <c r="D69" i="6"/>
  <c r="B80" i="6"/>
  <c r="B81" i="6"/>
  <c r="B82" i="6"/>
  <c r="B83" i="6" s="1"/>
  <c r="B84" i="6" s="1"/>
  <c r="J70" i="6"/>
  <c r="G64" i="6"/>
  <c r="G65" i="6" s="1"/>
  <c r="G66" i="6" s="1"/>
  <c r="G67" i="6" s="1"/>
  <c r="I70" i="6"/>
  <c r="N63" i="6"/>
  <c r="M63" i="6"/>
  <c r="E64" i="6"/>
  <c r="E65" i="6" s="1"/>
  <c r="E66" i="6" s="1"/>
  <c r="E67" i="6" s="1"/>
  <c r="H70" i="6"/>
  <c r="C63" i="6"/>
  <c r="K64" i="6"/>
  <c r="K65" i="6" s="1"/>
  <c r="K66" i="6" s="1"/>
  <c r="K67" i="6" s="1"/>
  <c r="K69" i="6"/>
  <c r="B69" i="6"/>
  <c r="C81" i="6"/>
  <c r="C82" i="6" s="1"/>
  <c r="C83" i="6" s="1"/>
  <c r="C84" i="6" s="1"/>
  <c r="D82" i="6"/>
  <c r="D83" i="6" s="1"/>
  <c r="D84" i="6" s="1"/>
  <c r="D81" i="6"/>
  <c r="D80" i="6"/>
  <c r="L52" i="6"/>
  <c r="M52" i="6"/>
  <c r="N52" i="6"/>
  <c r="K52" i="6"/>
  <c r="N64" i="6" l="1"/>
  <c r="N65" i="6" s="1"/>
  <c r="N66" i="6" s="1"/>
  <c r="N67" i="6" s="1"/>
  <c r="B86" i="6"/>
  <c r="C64" i="6"/>
  <c r="C65" i="6" s="1"/>
  <c r="C66" i="6" s="1"/>
  <c r="C67" i="6" s="1"/>
  <c r="G69" i="6"/>
  <c r="D70" i="6"/>
  <c r="M64" i="6"/>
  <c r="M65" i="6" s="1"/>
  <c r="M66" i="6" s="1"/>
  <c r="M67" i="6" s="1"/>
  <c r="B70" i="6"/>
  <c r="D91" i="6"/>
  <c r="K70" i="6"/>
  <c r="F70" i="6"/>
  <c r="E69" i="6"/>
  <c r="L69" i="6"/>
  <c r="D86" i="6"/>
  <c r="D87" i="6" s="1"/>
  <c r="E80" i="6"/>
  <c r="C86" i="6"/>
  <c r="C87" i="6" s="1"/>
  <c r="E70" i="6" l="1"/>
  <c r="F91" i="6"/>
  <c r="L70" i="6"/>
  <c r="M69" i="6"/>
  <c r="G70" i="6"/>
  <c r="C69" i="6"/>
  <c r="N69" i="6"/>
  <c r="F80" i="6"/>
  <c r="F81" i="6"/>
  <c r="F82" i="6" s="1"/>
  <c r="F83" i="6" s="1"/>
  <c r="F84" i="6" s="1"/>
  <c r="E81" i="6"/>
  <c r="E82" i="6" s="1"/>
  <c r="E83" i="6" s="1"/>
  <c r="E84" i="6" s="1"/>
  <c r="B87" i="6"/>
  <c r="C70" i="6" l="1"/>
  <c r="E91" i="6"/>
  <c r="M70" i="6"/>
  <c r="N70" i="6"/>
  <c r="E86" i="6"/>
  <c r="G80" i="6"/>
  <c r="F86" i="6"/>
  <c r="E87" i="6" l="1"/>
  <c r="G91" i="6"/>
  <c r="F87" i="6"/>
  <c r="H91" i="6"/>
  <c r="G81" i="6"/>
  <c r="G82" i="6" s="1"/>
  <c r="G83" i="6" s="1"/>
  <c r="G84" i="6" s="1"/>
  <c r="H80" i="6"/>
  <c r="H81" i="6"/>
  <c r="H82" i="6" s="1"/>
  <c r="H83" i="6" s="1"/>
  <c r="H84" i="6" s="1"/>
  <c r="H86" i="6" l="1"/>
  <c r="I80" i="6"/>
  <c r="I81" i="6"/>
  <c r="I82" i="6" s="1"/>
  <c r="I83" i="6" s="1"/>
  <c r="I84" i="6" s="1"/>
  <c r="G86" i="6"/>
  <c r="G87" i="6" l="1"/>
  <c r="I91" i="6"/>
  <c r="H87" i="6"/>
  <c r="J91" i="6"/>
  <c r="J80" i="6"/>
  <c r="J81" i="6"/>
  <c r="J82" i="6" s="1"/>
  <c r="J83" i="6" s="1"/>
  <c r="J84" i="6" s="1"/>
  <c r="K80" i="6" l="1"/>
  <c r="K81" i="6"/>
  <c r="K82" i="6" s="1"/>
  <c r="K83" i="6" s="1"/>
  <c r="K84" i="6" s="1"/>
  <c r="L80" i="6" l="1"/>
  <c r="L81" i="6" s="1"/>
  <c r="L82" i="6" s="1"/>
  <c r="L83" i="6" s="1"/>
  <c r="L84" i="6" s="1"/>
  <c r="M80" i="6" l="1"/>
  <c r="M81" i="6"/>
  <c r="M82" i="6" s="1"/>
  <c r="M83" i="6" s="1"/>
  <c r="M84" i="6" s="1"/>
  <c r="N80" i="6"/>
  <c r="N81" i="6" l="1"/>
  <c r="N82" i="6" s="1"/>
  <c r="N83" i="6" s="1"/>
  <c r="N84" i="6" s="1"/>
  <c r="Q90" i="6" l="1"/>
  <c r="R90" i="6" l="1"/>
  <c r="S90" i="6" l="1"/>
  <c r="T90" i="6" l="1"/>
  <c r="U90" i="6" l="1"/>
  <c r="V90" i="6" l="1"/>
  <c r="W90" i="6" l="1"/>
  <c r="X90" i="6" l="1"/>
  <c r="Y90" i="6" l="1"/>
  <c r="Z90" i="6" l="1"/>
  <c r="AA90" i="6" l="1"/>
  <c r="AB90" i="6" l="1"/>
  <c r="AC90" i="6" l="1"/>
  <c r="AD90" i="6" l="1"/>
  <c r="AE90" i="6" l="1"/>
  <c r="O44" i="7" l="1"/>
  <c r="P44" i="7"/>
  <c r="Q44" i="7"/>
  <c r="R44" i="7"/>
  <c r="S44" i="7"/>
  <c r="T44" i="7"/>
  <c r="U44" i="7"/>
  <c r="V44" i="7"/>
  <c r="W44" i="7"/>
  <c r="X44" i="7"/>
  <c r="Y44" i="7"/>
  <c r="Z44" i="7" s="1"/>
  <c r="AA44" i="7" s="1"/>
  <c r="AB44" i="7" s="1"/>
  <c r="AC44" i="7" s="1"/>
  <c r="AD44" i="7" s="1"/>
  <c r="AE44" i="7" s="1"/>
  <c r="N44" i="7"/>
  <c r="B269" i="6" l="1"/>
  <c r="B270" i="6" l="1"/>
  <c r="E18" i="8" l="1"/>
  <c r="D18" i="8"/>
  <c r="C18" i="8"/>
  <c r="B18" i="8"/>
  <c r="K542" i="7"/>
  <c r="K541" i="7"/>
  <c r="K540" i="7"/>
  <c r="K539" i="7"/>
  <c r="K538" i="7"/>
  <c r="K528" i="7"/>
  <c r="K527" i="7"/>
  <c r="K526" i="7"/>
  <c r="K525" i="7"/>
  <c r="K518" i="7"/>
  <c r="K517" i="7"/>
  <c r="K516" i="7"/>
  <c r="K515" i="7"/>
  <c r="K508" i="7"/>
  <c r="K507" i="7"/>
  <c r="K506" i="7"/>
  <c r="K505" i="7"/>
  <c r="K498" i="7"/>
  <c r="K497" i="7"/>
  <c r="K496" i="7"/>
  <c r="K495" i="7"/>
  <c r="K488" i="7"/>
  <c r="K487" i="7"/>
  <c r="K486" i="7"/>
  <c r="K485" i="7"/>
  <c r="K478" i="7"/>
  <c r="K477" i="7"/>
  <c r="K476" i="7"/>
  <c r="K475" i="7"/>
  <c r="K468" i="7"/>
  <c r="K467" i="7"/>
  <c r="K466" i="7"/>
  <c r="K465" i="7"/>
  <c r="K458" i="7"/>
  <c r="K457" i="7"/>
  <c r="K456" i="7"/>
  <c r="K455" i="7"/>
  <c r="K392" i="7"/>
  <c r="K391" i="7"/>
  <c r="K390" i="7"/>
  <c r="K389" i="7"/>
  <c r="K388" i="7"/>
  <c r="K380" i="7"/>
  <c r="K379" i="7"/>
  <c r="K378" i="7"/>
  <c r="K377" i="7"/>
  <c r="K370" i="7"/>
  <c r="K369" i="7"/>
  <c r="K368" i="7"/>
  <c r="K367" i="7"/>
  <c r="K360" i="7"/>
  <c r="K359" i="7"/>
  <c r="K358" i="7"/>
  <c r="K357" i="7"/>
  <c r="K350" i="7"/>
  <c r="K349" i="7"/>
  <c r="K348" i="7"/>
  <c r="K347" i="7"/>
  <c r="K340" i="7"/>
  <c r="K339" i="7"/>
  <c r="K338" i="7"/>
  <c r="K337" i="7"/>
  <c r="K330" i="7"/>
  <c r="K329" i="7"/>
  <c r="K328" i="7"/>
  <c r="K327" i="7"/>
  <c r="K320" i="7"/>
  <c r="K319" i="7"/>
  <c r="K318" i="7"/>
  <c r="K317" i="7"/>
  <c r="K310" i="7"/>
  <c r="K309" i="7"/>
  <c r="K308" i="7"/>
  <c r="K307" i="7"/>
  <c r="K242" i="7"/>
  <c r="K241" i="7"/>
  <c r="K240" i="7"/>
  <c r="K239" i="7"/>
  <c r="K238" i="7"/>
  <c r="K232" i="7"/>
  <c r="K231" i="7"/>
  <c r="K230" i="7"/>
  <c r="K229" i="7"/>
  <c r="K224" i="7"/>
  <c r="K223" i="7"/>
  <c r="K222" i="7"/>
  <c r="K221" i="7"/>
  <c r="K220" i="7"/>
  <c r="K219" i="7"/>
  <c r="K214" i="7"/>
  <c r="K213" i="7"/>
  <c r="K212" i="7"/>
  <c r="K211" i="7"/>
  <c r="K210" i="7"/>
  <c r="K209" i="7"/>
  <c r="K204" i="7"/>
  <c r="K203" i="7"/>
  <c r="K202" i="7"/>
  <c r="K201" i="7"/>
  <c r="K200" i="7"/>
  <c r="K199" i="7"/>
  <c r="K194" i="7"/>
  <c r="K193" i="7"/>
  <c r="K192" i="7"/>
  <c r="K191" i="7"/>
  <c r="K190" i="7"/>
  <c r="K189" i="7"/>
  <c r="K184" i="7"/>
  <c r="K183" i="7"/>
  <c r="K182" i="7"/>
  <c r="K181" i="7"/>
  <c r="K180" i="7"/>
  <c r="K179" i="7"/>
  <c r="K174" i="7"/>
  <c r="K173" i="7"/>
  <c r="K172" i="7"/>
  <c r="K171" i="7"/>
  <c r="K170" i="7"/>
  <c r="K169" i="7"/>
  <c r="K164" i="7"/>
  <c r="K163" i="7"/>
  <c r="K162" i="7"/>
  <c r="K161" i="7"/>
  <c r="K160" i="7"/>
  <c r="K159" i="7"/>
  <c r="K154" i="7"/>
  <c r="K153" i="7"/>
  <c r="K92" i="7"/>
  <c r="K91" i="7"/>
  <c r="K90" i="7"/>
  <c r="K89" i="7"/>
  <c r="K88" i="7"/>
  <c r="K82" i="7"/>
  <c r="K81" i="7"/>
  <c r="K76" i="7"/>
  <c r="K75" i="7"/>
  <c r="K74" i="7"/>
  <c r="K73" i="7"/>
  <c r="K72" i="7"/>
  <c r="K71" i="7"/>
  <c r="K66" i="7"/>
  <c r="K65" i="7"/>
  <c r="K64" i="7"/>
  <c r="K63" i="7"/>
  <c r="K62" i="7"/>
  <c r="K61" i="7"/>
  <c r="K56" i="7"/>
  <c r="K55" i="7"/>
  <c r="K54" i="7"/>
  <c r="K53" i="7"/>
  <c r="K52" i="7"/>
  <c r="K51" i="7"/>
  <c r="K46" i="7"/>
  <c r="K45" i="7"/>
  <c r="K44" i="7"/>
  <c r="K43" i="7"/>
  <c r="K42" i="7"/>
  <c r="K41" i="7"/>
  <c r="K36" i="7"/>
  <c r="K35" i="7"/>
  <c r="K34" i="7"/>
  <c r="K33" i="7"/>
  <c r="K32" i="7"/>
  <c r="K31" i="7"/>
  <c r="K26" i="7"/>
  <c r="K25" i="7"/>
  <c r="K24" i="7"/>
  <c r="K23" i="7"/>
  <c r="K22" i="7"/>
  <c r="K21" i="7"/>
  <c r="K16" i="7"/>
  <c r="K15" i="7"/>
  <c r="K14" i="7"/>
  <c r="K13" i="7"/>
  <c r="K12" i="7"/>
  <c r="K11" i="7"/>
  <c r="K6" i="7"/>
  <c r="K5" i="7"/>
  <c r="K4" i="7"/>
  <c r="K3" i="7"/>
  <c r="K32" i="8" l="1"/>
  <c r="K23" i="8"/>
  <c r="E32" i="8"/>
  <c r="E23" i="8"/>
  <c r="D36" i="8"/>
  <c r="D27" i="8"/>
  <c r="C36" i="8"/>
  <c r="C27" i="8"/>
  <c r="D35" i="8"/>
  <c r="D26" i="8"/>
  <c r="C33" i="8"/>
  <c r="C24" i="8"/>
  <c r="E35" i="8"/>
  <c r="E26" i="8"/>
  <c r="B32" i="8"/>
  <c r="H32" i="8"/>
  <c r="B23" i="8"/>
  <c r="H23" i="8"/>
  <c r="C34" i="8"/>
  <c r="C25" i="8"/>
  <c r="D25" i="8"/>
  <c r="D34" i="8"/>
  <c r="B26" i="8"/>
  <c r="B35" i="8"/>
  <c r="C35" i="8"/>
  <c r="C26" i="8"/>
  <c r="E36" i="8"/>
  <c r="E27" i="8"/>
  <c r="B27" i="8"/>
  <c r="B36" i="8"/>
  <c r="D24" i="8"/>
  <c r="D33" i="8"/>
  <c r="E24" i="8"/>
  <c r="E33" i="8"/>
  <c r="E25" i="8"/>
  <c r="E34" i="8"/>
  <c r="C32" i="8"/>
  <c r="I32" i="8"/>
  <c r="C23" i="8"/>
  <c r="I23" i="8"/>
  <c r="B33" i="8"/>
  <c r="B24" i="8"/>
  <c r="B25" i="8"/>
  <c r="B34" i="8"/>
  <c r="J23" i="8"/>
  <c r="D32" i="8"/>
  <c r="J32" i="8"/>
  <c r="D23" i="8"/>
  <c r="AG13" i="2"/>
  <c r="AG14" i="2"/>
  <c r="AG15" i="2"/>
  <c r="C4" i="2"/>
  <c r="C2" i="3" s="1"/>
  <c r="C5" i="2"/>
  <c r="C6" i="2"/>
  <c r="K24" i="8" l="1"/>
  <c r="K25" i="8"/>
  <c r="I27" i="8"/>
  <c r="I36" i="8"/>
  <c r="K34" i="8"/>
  <c r="K33" i="8"/>
  <c r="H27" i="8"/>
  <c r="J35" i="8"/>
  <c r="H34" i="8"/>
  <c r="I25" i="8"/>
  <c r="I34" i="8"/>
  <c r="J27" i="8"/>
  <c r="K27" i="8"/>
  <c r="K36" i="8"/>
  <c r="K26" i="8"/>
  <c r="K35" i="8"/>
  <c r="J33" i="8"/>
  <c r="I24" i="8"/>
  <c r="J24" i="8"/>
  <c r="I33" i="8"/>
  <c r="H36" i="8"/>
  <c r="J26" i="8"/>
  <c r="I35" i="8"/>
  <c r="H35" i="8"/>
  <c r="H25" i="8"/>
  <c r="H26" i="8"/>
  <c r="J36" i="8"/>
  <c r="I26" i="8"/>
  <c r="H24" i="8"/>
  <c r="J34" i="8"/>
  <c r="H33" i="8"/>
  <c r="J25" i="8"/>
  <c r="B6" i="2" l="1"/>
  <c r="B12" i="3" s="1"/>
  <c r="B5" i="2"/>
  <c r="B11" i="3" s="1"/>
  <c r="B4" i="2"/>
  <c r="B2" i="3" s="1"/>
  <c r="B13" i="2"/>
  <c r="C13"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B14" i="2"/>
  <c r="C14"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B15"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F14" i="2"/>
  <c r="AF13" i="2"/>
  <c r="L5" i="2" l="1" a="1"/>
  <c r="L5" i="2" s="1"/>
  <c r="Y5" i="2" a="1"/>
  <c r="Y5" i="2" s="1"/>
  <c r="Z5" i="2" a="1"/>
  <c r="Z5" i="2" s="1"/>
  <c r="M5" i="2" a="1"/>
  <c r="M5" i="2" s="1"/>
  <c r="AA5" i="2" a="1"/>
  <c r="AA5" i="2" s="1"/>
  <c r="AA11" i="3" s="1"/>
  <c r="N5" i="2" a="1"/>
  <c r="N5" i="2" s="1"/>
  <c r="N11" i="3" s="1"/>
  <c r="O5" i="2" a="1"/>
  <c r="O5" i="2" s="1"/>
  <c r="O11" i="3" s="1"/>
  <c r="AB5" i="2" a="1"/>
  <c r="AB5" i="2" s="1"/>
  <c r="AB11" i="3" s="1"/>
  <c r="P5" i="2" a="1"/>
  <c r="P5" i="2" s="1"/>
  <c r="AC5" i="2" a="1"/>
  <c r="AC5" i="2" s="1"/>
  <c r="AC11" i="3" s="1"/>
  <c r="AD5" i="2" a="1"/>
  <c r="AD5" i="2" s="1"/>
  <c r="AD11" i="3" s="1"/>
  <c r="Q5" i="2" a="1"/>
  <c r="Q5" i="2" s="1"/>
  <c r="Q11" i="3" s="1"/>
  <c r="AE5" i="2" a="1"/>
  <c r="AE5" i="2" s="1"/>
  <c r="AE11" i="3" s="1"/>
  <c r="X5" i="2" a="1"/>
  <c r="X5" i="2" s="1"/>
  <c r="X11" i="3" s="1"/>
  <c r="R5" i="2" a="1"/>
  <c r="R5" i="2" s="1"/>
  <c r="R11" i="3" s="1"/>
  <c r="E5" i="2" a="1"/>
  <c r="E5" i="2" s="1"/>
  <c r="E11" i="3" s="1"/>
  <c r="S5" i="2" a="1"/>
  <c r="S5" i="2" s="1"/>
  <c r="S11" i="3" s="1"/>
  <c r="AF5" i="2" a="1"/>
  <c r="AF5" i="2" s="1"/>
  <c r="AF11" i="3" s="1"/>
  <c r="F5" i="2" a="1"/>
  <c r="F5" i="2" s="1"/>
  <c r="F11" i="3" s="1"/>
  <c r="G5" i="2" a="1"/>
  <c r="G5" i="2" s="1"/>
  <c r="G11" i="3" s="1"/>
  <c r="T5" i="2" a="1"/>
  <c r="T5" i="2" s="1"/>
  <c r="H5" i="2" a="1"/>
  <c r="H5" i="2" s="1"/>
  <c r="U5" i="2" a="1"/>
  <c r="U5" i="2" s="1"/>
  <c r="V5" i="2" a="1"/>
  <c r="V5" i="2" s="1"/>
  <c r="V11" i="3" s="1"/>
  <c r="I5" i="2" a="1"/>
  <c r="I5" i="2" s="1"/>
  <c r="I11" i="3" s="1"/>
  <c r="W5" i="2" a="1"/>
  <c r="W5" i="2" s="1"/>
  <c r="J5" i="2" a="1"/>
  <c r="J5" i="2" s="1"/>
  <c r="J11" i="3" s="1"/>
  <c r="K5" i="2" a="1"/>
  <c r="K5" i="2" s="1"/>
  <c r="K11" i="3" s="1"/>
  <c r="H11" i="3"/>
  <c r="O12" i="3"/>
  <c r="L11" i="3"/>
  <c r="K6" i="2" a="1"/>
  <c r="K6" i="2" s="1"/>
  <c r="K12" i="3" s="1"/>
  <c r="X6" i="2" a="1"/>
  <c r="X6" i="2" s="1"/>
  <c r="X12" i="3" s="1"/>
  <c r="L6" i="2" a="1"/>
  <c r="L6" i="2" s="1"/>
  <c r="L12" i="3" s="1"/>
  <c r="Y6" i="2" a="1"/>
  <c r="Y6" i="2" s="1"/>
  <c r="Y12" i="3" s="1"/>
  <c r="Z6" i="2" a="1"/>
  <c r="Z6" i="2" s="1"/>
  <c r="Z12" i="3" s="1"/>
  <c r="M6" i="2" a="1"/>
  <c r="M6" i="2" s="1"/>
  <c r="AA6" i="2" a="1"/>
  <c r="AA6" i="2" s="1"/>
  <c r="AA12" i="3" s="1"/>
  <c r="N6" i="2" a="1"/>
  <c r="N6" i="2" s="1"/>
  <c r="N12" i="3" s="1"/>
  <c r="O6" i="2" a="1"/>
  <c r="O6" i="2" s="1"/>
  <c r="AB6" i="2" a="1"/>
  <c r="AB6" i="2" s="1"/>
  <c r="AC6" i="2" a="1"/>
  <c r="AC6" i="2" s="1"/>
  <c r="P6" i="2" a="1"/>
  <c r="P6" i="2" s="1"/>
  <c r="P12" i="3" s="1"/>
  <c r="V6" i="2" a="1"/>
  <c r="V6" i="2" s="1"/>
  <c r="V12" i="3" s="1"/>
  <c r="I6" i="2" a="1"/>
  <c r="I6" i="2" s="1"/>
  <c r="J6" i="2" a="1"/>
  <c r="J6" i="2" s="1"/>
  <c r="AD6" i="2" a="1"/>
  <c r="AD6" i="2" s="1"/>
  <c r="AD12" i="3" s="1"/>
  <c r="AE6" i="2" a="1"/>
  <c r="AE6" i="2" s="1"/>
  <c r="Q6" i="2" a="1"/>
  <c r="Q6" i="2" s="1"/>
  <c r="Q12" i="3" s="1"/>
  <c r="R6" i="2" a="1"/>
  <c r="R6" i="2" s="1"/>
  <c r="R12" i="3" s="1"/>
  <c r="AF6" i="2" a="1"/>
  <c r="AF6" i="2" s="1"/>
  <c r="AF12" i="3" s="1"/>
  <c r="E6" i="2" a="1"/>
  <c r="E6" i="2" s="1"/>
  <c r="E12" i="3" s="1"/>
  <c r="S6" i="2" a="1"/>
  <c r="S6" i="2" s="1"/>
  <c r="S12" i="3" s="1"/>
  <c r="F6" i="2" a="1"/>
  <c r="F6" i="2" s="1"/>
  <c r="F12" i="3" s="1"/>
  <c r="D12" i="3"/>
  <c r="T6" i="2" a="1"/>
  <c r="T6" i="2" s="1"/>
  <c r="T12" i="3" s="1"/>
  <c r="H6" i="2" a="1"/>
  <c r="H6" i="2" s="1"/>
  <c r="H12" i="3" s="1"/>
  <c r="U6" i="2" a="1"/>
  <c r="U6" i="2" s="1"/>
  <c r="U12" i="3" s="1"/>
  <c r="W6" i="2" a="1"/>
  <c r="W6" i="2" s="1"/>
  <c r="W12" i="3" s="1"/>
  <c r="G6" i="2" a="1"/>
  <c r="G6" i="2" s="1"/>
  <c r="M2" i="3"/>
  <c r="AA2" i="3"/>
  <c r="N2" i="3"/>
  <c r="O2" i="3"/>
  <c r="AB2" i="3"/>
  <c r="P2" i="3"/>
  <c r="AD2" i="3"/>
  <c r="Q2" i="3"/>
  <c r="AE2" i="3"/>
  <c r="R2" i="3"/>
  <c r="E2" i="3"/>
  <c r="AF2" i="3"/>
  <c r="L2" i="3"/>
  <c r="AC2" i="3"/>
  <c r="S2" i="3"/>
  <c r="F2" i="3"/>
  <c r="G2" i="3"/>
  <c r="T2" i="3"/>
  <c r="H2" i="3"/>
  <c r="U2" i="3"/>
  <c r="V2" i="3"/>
  <c r="I2" i="3"/>
  <c r="W2" i="3"/>
  <c r="D2" i="3"/>
  <c r="J2" i="3"/>
  <c r="K2" i="3"/>
  <c r="X2" i="3"/>
  <c r="Y2" i="3"/>
  <c r="Z2" i="3"/>
  <c r="J12" i="3"/>
  <c r="M11" i="3"/>
  <c r="C11" i="3"/>
  <c r="I12" i="3"/>
  <c r="AB12" i="3"/>
  <c r="P11" i="3"/>
  <c r="W11" i="3"/>
  <c r="AE12" i="3"/>
  <c r="M12" i="3"/>
  <c r="U11" i="3"/>
  <c r="Z11" i="3"/>
  <c r="G12" i="3"/>
  <c r="T11" i="3"/>
  <c r="D11" i="3"/>
  <c r="AC12" i="3"/>
  <c r="Y11" i="3"/>
  <c r="C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<sst xmlns="http://schemas.openxmlformats.org/spreadsheetml/2006/main" count="4476" uniqueCount="175">
  <si>
    <t>Source:</t>
  </si>
  <si>
    <t>Excerpt from Table 3:</t>
  </si>
  <si>
    <t>Emissions (Tg CO2e)</t>
  </si>
  <si>
    <t>We assume that all of the sequestered CO2e in the Land Use and Forestry sector is in the form of</t>
  </si>
  <si>
    <t>CO2, not other GHGs.</t>
  </si>
  <si>
    <t>Notes</t>
  </si>
  <si>
    <t>BLAPE BAU LULUCF Anthropogenic Pollutant Emissions</t>
  </si>
  <si>
    <t>F gases (g CO2e)</t>
  </si>
  <si>
    <t>CO2 (g)</t>
  </si>
  <si>
    <t>VOCs (g)</t>
  </si>
  <si>
    <t>CO (g)</t>
  </si>
  <si>
    <t>NOx (g)</t>
  </si>
  <si>
    <t>PM10 (g)</t>
  </si>
  <si>
    <t>PM25 (g)</t>
  </si>
  <si>
    <t>SOx (g)</t>
  </si>
  <si>
    <t>BC (g)</t>
  </si>
  <si>
    <t>OC (g)</t>
  </si>
  <si>
    <t>CH4 (g)</t>
  </si>
  <si>
    <t>N2O (g)</t>
  </si>
  <si>
    <t>CO2</t>
  </si>
  <si>
    <t>CH4</t>
  </si>
  <si>
    <t>N2O</t>
  </si>
  <si>
    <t>EPS</t>
  </si>
  <si>
    <t>Start Year Forecast</t>
  </si>
  <si>
    <t>US EPA</t>
  </si>
  <si>
    <t>Table 6-1:  Emissions and Removals (Net Flux) from Land Use, Land-Use Change, and Forestry (MMT CO2 Eq.)</t>
  </si>
  <si>
    <t>Land-Use Category</t>
  </si>
  <si>
    <t>Forest Land Remaining Forest Land</t>
  </si>
  <si>
    <t>Changes in Forest Carbon Stocksa</t>
  </si>
  <si>
    <t>Non-CO2 Emissions from Forest Firesb</t>
  </si>
  <si>
    <t>N2O Emissions from Forest Soilsc</t>
  </si>
  <si>
    <t>Non-CO2 Emissions from Drained Organic Soilsd</t>
  </si>
  <si>
    <t>Land Converted to Forest Land</t>
  </si>
  <si>
    <t>Changes in Forest Carbon Stockse</t>
  </si>
  <si>
    <t>Cropland Remaining Cropland</t>
  </si>
  <si>
    <t>Changes in Mineral and Organic Soil Carbon Stocks</t>
  </si>
  <si>
    <t>Land Converted to Cropland</t>
  </si>
  <si>
    <t>Changes in all Ecosystem Carbon Stocksf</t>
  </si>
  <si>
    <t>Grassland Remaining Grassland</t>
  </si>
  <si>
    <t>Non-CO2 Emissions from Grassland Firesg</t>
  </si>
  <si>
    <t>Land Converted to Grassland</t>
  </si>
  <si>
    <t>Wetlands Remaining Wetlands</t>
  </si>
  <si>
    <t>Changes in Organic Soil Carbon Stocks in Peatlands</t>
  </si>
  <si>
    <t>Non-CO2 Emissions from Peatlands Remaining Peatlands</t>
  </si>
  <si>
    <t>Changes in Biomass, DOM, and Soil Carbon Stocks in Coastal Wetlands</t>
  </si>
  <si>
    <t>CH4 Emissions from Coastal Wetlands Remaining Coastal Wetlands</t>
  </si>
  <si>
    <t>N2O Emissions from Coastal Wetlands Remaining Coastal Wetlands</t>
  </si>
  <si>
    <t>CH4 Emissions from Flooded Land Remaining Flooded Land</t>
  </si>
  <si>
    <t>Land Converted to Wetlands</t>
  </si>
  <si>
    <t>Changes in Biomass, DOM, and Soil Carbon Stocks in Land Converted to Coastal Wetlands</t>
  </si>
  <si>
    <t>CH4 Emissions from Land Converted to Coastal Wetlands</t>
  </si>
  <si>
    <t>Changes in Land Converted to Flooded Land</t>
  </si>
  <si>
    <t>CH4 Emissions from Land Converted to Flooded Land</t>
  </si>
  <si>
    <t>Settlements Remaining Settlements</t>
  </si>
  <si>
    <t>Changes in Organic Soil Carbon Stocks</t>
  </si>
  <si>
    <t>Changes in Settlement Tree Carbon Stocks</t>
  </si>
  <si>
    <t>N2O Emissions from Settlement Soilsh</t>
  </si>
  <si>
    <t>Changes in Yard Trimming and Food Scrap Carbon Stocks in Landfills</t>
  </si>
  <si>
    <t>Land Converted to Settlements</t>
  </si>
  <si>
    <t>LULUCF Emissionsi</t>
  </si>
  <si>
    <t>LULUCF Carbon Stock Changej</t>
  </si>
  <si>
    <t>LULUCF Sector Net Totalk</t>
  </si>
  <si>
    <t>+ Absolute value does not exceed 0.05 MMT CO2 Eq.</t>
  </si>
  <si>
    <t>a Includes the net changes to carbon stocks stored in all forest ecosystem pools (estimates include C stock changes from drained organic soils from both Forest Land Remaining Forest Land and Land Converted to Forest Land) and harvested wood products.</t>
  </si>
  <si>
    <t>b Estimates include CH4 and N2O emissions from fires on both Forest Land Remaining Forest Land and Land Converted to Forest Land.</t>
  </si>
  <si>
    <t>c Estimates include N2O emissions from N fertilizer additions on both Forest Land Remaining Forest Land and Land Converted to Forest Land.</t>
  </si>
  <si>
    <t>d Estimates include CH4 and N2O emissions from drained organic soils on both Forest Land Remaining Forest Land and Land Converted to Forest Land. Carbon stock changes from drained organic soils are included with the Forest Land Remaining Forest Land forest ecosystem pools.</t>
  </si>
  <si>
    <t>e Includes the net changes to carbon stocks stored in all forest ecosystem pools.</t>
  </si>
  <si>
    <t>g Estimates include CH4 and N2O emissions from fires on both Grassland Remaining Grassland and Land Converted to Grassland.</t>
  </si>
  <si>
    <t>h Estimates include N2O emissions from N fertilizer additions on both Settlements Remaining Settlements and Land Converted to Settlements because it is not possible to separate the activity data at this time.</t>
  </si>
  <si>
    <t>Notes: Totals may not sum due to independent rounding. Parentheses indicate net sequestration.</t>
  </si>
  <si>
    <t>Land Use and Forestry (CO2)</t>
  </si>
  <si>
    <t>Land Use and Forestry (CH4)</t>
  </si>
  <si>
    <t>Land Use and Forestry (N2O)</t>
  </si>
  <si>
    <t>We project the 1990-2020 trend forward to 2050.</t>
  </si>
  <si>
    <t>CH4 GWP</t>
  </si>
  <si>
    <t>N2O GWP</t>
  </si>
  <si>
    <t>Methodology:</t>
  </si>
  <si>
    <t>Calculations:</t>
  </si>
  <si>
    <t>Forestry Funding in Inflation Reduction Act of 2022 (Billion USD)</t>
  </si>
  <si>
    <t>hazardous fuels reduction</t>
  </si>
  <si>
    <t>N/A</t>
  </si>
  <si>
    <t>vegetation management</t>
  </si>
  <si>
    <t>environmental reviews</t>
  </si>
  <si>
    <t>protection of old-growth forests</t>
  </si>
  <si>
    <t>forest management</t>
  </si>
  <si>
    <t>competitive grants for climate mitigation</t>
  </si>
  <si>
    <t>wood innovation grant program</t>
  </si>
  <si>
    <t>tree planting</t>
  </si>
  <si>
    <t>afforestation and reforestation</t>
  </si>
  <si>
    <t>admin costs</t>
  </si>
  <si>
    <t xml:space="preserve">We sum IRA forestry funding that aligns with the scope of the Energy Policy Simulator's LULUCF sector, then assign it to either the model's 'forest management' or 'afforestation and reforestation' levers. We then find the policy setting that matches total government spend over the period of 2023-2031. For Section 23001, we only include the protection of old-growth forests funding and exclude hazardous fuels reduction and vegetation management, which are outside the scope of the model.
The EPS assumes forest management practices need to be consistently implemented in every year in order to maintain emissions reductions. To be conservative, we phase out forest management practices incentivized by the IRA over a period of 4 years rather than assume permanent reductions. </t>
  </si>
  <si>
    <t>2022 to 2012 USD</t>
  </si>
  <si>
    <t>We also adjust BAU LULUCF emissions by our calculated forestry impacts</t>
  </si>
  <si>
    <t>of the Inflation Reduction Act (see tab for explanation of methodology).</t>
  </si>
  <si>
    <t>f Includes changes in mineral and organic soil carbon stocks for all land-use conversions to cropland, grassland, and settlements. Also includes aboveground/belowground biomass, dead wood, and litter carbon stock changes for conversion of forest land to cropland, grassland, and settlements.</t>
  </si>
  <si>
    <t xml:space="preserve">i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 </t>
  </si>
  <si>
    <t>j LULUCF Carbon Stock Change includes any C stock gains and losses from all land use and land-use conversion categories.</t>
  </si>
  <si>
    <t>k The LULUCF Sector Net Total is the net sum of all LULUCF CH4 and N2O emissions to the atmosphere plus LULUCF net carbon stock changes in units of MMT CO2 Eq.</t>
  </si>
  <si>
    <t>Inventory of US Greenhouse Gas Emissions Emissions and Sinks</t>
  </si>
  <si>
    <t>https://www.epa.gov/system/files/documents/2023-04/US-GHG-Inventory-2023-Main-Text.pdf</t>
  </si>
  <si>
    <t>Table 6-1</t>
  </si>
  <si>
    <t>g pollutant</t>
  </si>
  <si>
    <t xml:space="preserve">Average annual change in GHG flux in the land sector from the baseline across scenarios and models by GHG category. Results are presented in MtCO2e yr-1 from 2025 to 2050. Baseline GHG emissions from the land sector by GHG category are presented in Figure 31. GHG categories are described in Figure 23. FASOMGHG includes all GHG categories, while GLOBIOM does not include forest products, forest soils, or cropland CO2. As the results are presented in atmospheric accounting terms, negative values equal more mitigation than the Baseline. GTM is not included because it does not explicitly model emissions from agriculture. Initial values differ between models because they measure the change from baseline values and models respond differently to different GHG prices. See Box 2 for further discussion on movement of soil carbon across land use categories when LUC land use change occurs in FASOMGHG. </t>
  </si>
  <si>
    <t>Figure</t>
  </si>
  <si>
    <t>Position</t>
  </si>
  <si>
    <t>Year</t>
  </si>
  <si>
    <t>Model</t>
  </si>
  <si>
    <t>Group</t>
  </si>
  <si>
    <t>Growth.Rate</t>
  </si>
  <si>
    <t>Starting.Price</t>
  </si>
  <si>
    <t>Value</t>
  </si>
  <si>
    <t>Units</t>
  </si>
  <si>
    <t>EPS Map</t>
  </si>
  <si>
    <t>Fig_3.8</t>
  </si>
  <si>
    <t>Bar</t>
  </si>
  <si>
    <t>FASOMGHG</t>
  </si>
  <si>
    <t>Ag Soils</t>
  </si>
  <si>
    <t>3% Growth</t>
  </si>
  <si>
    <t>$50</t>
  </si>
  <si>
    <t>MtCO2e/yr</t>
  </si>
  <si>
    <t>1% Growth</t>
  </si>
  <si>
    <t>$5</t>
  </si>
  <si>
    <t>Cropland Non-CO2</t>
  </si>
  <si>
    <t>Cropland CO2</t>
  </si>
  <si>
    <t>Forest (Existing forests)</t>
  </si>
  <si>
    <t>Forest (New forests)</t>
  </si>
  <si>
    <t>Forest Products</t>
  </si>
  <si>
    <t>Forest Soils</t>
  </si>
  <si>
    <t>Livestock Non-CO2</t>
  </si>
  <si>
    <t>Line</t>
  </si>
  <si>
    <t>Total</t>
  </si>
  <si>
    <t>$100</t>
  </si>
  <si>
    <t>$20</t>
  </si>
  <si>
    <t>$35</t>
  </si>
  <si>
    <t>GLOBIOM</t>
  </si>
  <si>
    <t>Sum of Value</t>
  </si>
  <si>
    <t>Column Labels</t>
  </si>
  <si>
    <t>Row Labels</t>
  </si>
  <si>
    <t>Grand Total</t>
  </si>
  <si>
    <t>Check on Total</t>
  </si>
  <si>
    <t>cumulative</t>
  </si>
  <si>
    <t>broken out</t>
  </si>
  <si>
    <t>*handled in agriculture files</t>
  </si>
  <si>
    <t>Total Target Spend by EPS Policy, by year</t>
  </si>
  <si>
    <t>2020 to 2012 USD</t>
  </si>
  <si>
    <t>see EPA land and ag calcs for further calculations using EPA data</t>
  </si>
  <si>
    <t>EPA</t>
  </si>
  <si>
    <t>Forestry and Agriculture Sector Mitigation Analysis</t>
  </si>
  <si>
    <t>https://www.epa.gov/climate-change/climate-economic-analysis#Forestry%20and%20Agriculture%20Mitigation</t>
  </si>
  <si>
    <t>Figure 3-8</t>
  </si>
  <si>
    <t>pre-IRA BAU</t>
  </si>
  <si>
    <t>IRA impacts</t>
  </si>
  <si>
    <t>Source: https://www.cbo.gov/system/files/2022-08/hr5376_IR_Act_8-3-22.pdf</t>
  </si>
  <si>
    <t>Total Annual Outlays</t>
  </si>
  <si>
    <t>Percent of Total 2023-2031 Outlays</t>
  </si>
  <si>
    <t>Section 23001</t>
  </si>
  <si>
    <t>Section 23002</t>
  </si>
  <si>
    <t>Section 23003</t>
  </si>
  <si>
    <t>Cost Bucket</t>
  </si>
  <si>
    <t>Annual Outlays, forest management</t>
  </si>
  <si>
    <t>Annual Outlays, afforestation and reforestation</t>
  </si>
  <si>
    <t>Forest Management Potential Tons by Cost Bucket * Price</t>
  </si>
  <si>
    <t>Percentage of Forest Management Cost Bucket Used This Year</t>
  </si>
  <si>
    <t>Total Forest Management Emissions Reductions (MMT CO2e)</t>
  </si>
  <si>
    <t>Total Forest Management Emissions Reductions (g CO2e)</t>
  </si>
  <si>
    <t>Afforestation Forest Management Cost Bucket Used This Year</t>
  </si>
  <si>
    <t>Total Afforestation Emissions Reductions (g CO2e)</t>
  </si>
  <si>
    <t>afforestation and reforestation (with 0s for negative values)</t>
  </si>
  <si>
    <t>Afforestation Potential Tons by Cost Bucket * Price (using 0 cost for negative potentials)</t>
  </si>
  <si>
    <t>Total Forest Management Plus Afforestation (g CO2e)</t>
  </si>
  <si>
    <t>Total Forest Management Plus Afforestation (MMT CO2e)</t>
  </si>
  <si>
    <t>*because afforestation results in permanent sequestration through the planting of trees, we hold emissions reductions constant at the maximum level achieved in 2039 for the remainder of the model run.</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</si>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</sst>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0.000%"/>
    <numFmt numFmtId="166" formatCode="0.0E+00"/>
    <numFmt numFmtId="167" formatCode="0.0"/>
    <numFmt numFmtId="168" formatCode="0.000E+00"/>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1"/>
      <color rgb="FF000000"/>
      <name val="Calibri"/>
      <family val="2"/>
    </font>
    <font>
      <sz val="11"/>
      <color rgb="FF000000"/>
      <name val="Calibri"/>
      <family val="2"/>
    </font>
    <font>
      <sz val="10"/>
      <color theme="1"/>
      <name val="Calibri"/>
      <family val="2"/>
      <scheme val="minor"/>
    </font>
    <font>
      <b/>
      <sz val="10"/>
      <color theme="1"/>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CFE2F3"/>
        <bgColor rgb="FFCFE2F3"/>
      </patternFill>
    </fill>
    <fill>
      <patternFill patternType="solid">
        <fgColor theme="0" tint="-0.34998626667073579"/>
        <bgColor indexed="64"/>
      </patternFill>
    </fill>
    <fill>
      <patternFill patternType="solid">
        <fgColor rgb="FFFFFF00"/>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8" fillId="0" borderId="0"/>
  </cellStyleXfs>
  <cellXfs count="41">
    <xf numFmtId="0" fontId="0" fillId="0" borderId="0" xfId="0"/>
    <xf numFmtId="0" fontId="1" fillId="0" borderId="0" xfId="0" applyFont="1"/>
    <xf numFmtId="0" fontId="2" fillId="0" borderId="0" xfId="1"/>
    <xf numFmtId="11" fontId="0" fillId="0" borderId="0" xfId="0" applyNumberFormat="1"/>
    <xf numFmtId="0" fontId="0" fillId="0" borderId="0" xfId="0" applyAlignment="1">
      <alignment horizontal="left"/>
    </xf>
    <xf numFmtId="1" fontId="0" fillId="0" borderId="0" xfId="0" applyNumberFormat="1"/>
    <xf numFmtId="0" fontId="0" fillId="2" borderId="0" xfId="0" applyFill="1"/>
    <xf numFmtId="0" fontId="1" fillId="2" borderId="0" xfId="0" applyFont="1" applyFill="1"/>
    <xf numFmtId="0" fontId="4" fillId="3" borderId="0" xfId="0" applyFont="1" applyFill="1"/>
    <xf numFmtId="0" fontId="5" fillId="3" borderId="0" xfId="0" applyFont="1" applyFill="1" applyAlignment="1">
      <alignment horizontal="right"/>
    </xf>
    <xf numFmtId="0" fontId="4" fillId="0" borderId="0" xfId="0" applyFont="1" applyAlignment="1">
      <alignment horizontal="right"/>
    </xf>
    <xf numFmtId="0" fontId="6" fillId="0" borderId="0" xfId="0" applyFont="1" applyAlignment="1">
      <alignment wrapText="1"/>
    </xf>
    <xf numFmtId="0" fontId="6" fillId="0" borderId="0" xfId="0" applyFont="1"/>
    <xf numFmtId="0" fontId="7" fillId="0" borderId="0" xfId="0" applyFont="1"/>
    <xf numFmtId="0" fontId="5" fillId="0" borderId="0" xfId="0" applyFont="1" applyAlignment="1">
      <alignment horizontal="right"/>
    </xf>
    <xf numFmtId="0" fontId="4" fillId="0" borderId="0" xfId="0" applyFont="1"/>
    <xf numFmtId="0" fontId="5" fillId="0" borderId="0" xfId="0" applyFont="1"/>
    <xf numFmtId="4" fontId="6" fillId="0" borderId="0" xfId="0" applyNumberFormat="1" applyFont="1"/>
    <xf numFmtId="11" fontId="6" fillId="0" borderId="0" xfId="0" applyNumberFormat="1" applyFont="1"/>
    <xf numFmtId="9" fontId="6" fillId="0" borderId="0" xfId="2" applyFont="1"/>
    <xf numFmtId="0" fontId="8" fillId="0" borderId="0" xfId="4"/>
    <xf numFmtId="0" fontId="8" fillId="0" borderId="0" xfId="4" applyAlignment="1">
      <alignment horizontal="left"/>
    </xf>
    <xf numFmtId="0" fontId="9" fillId="0" borderId="0" xfId="4" applyFont="1"/>
    <xf numFmtId="44" fontId="8" fillId="0" borderId="0" xfId="3" applyFont="1"/>
    <xf numFmtId="9" fontId="8" fillId="0" borderId="0" xfId="2" applyFont="1"/>
    <xf numFmtId="10" fontId="8" fillId="0" borderId="0" xfId="2" applyNumberFormat="1" applyFont="1"/>
    <xf numFmtId="0" fontId="1" fillId="4" borderId="0" xfId="0" applyFont="1" applyFill="1"/>
    <xf numFmtId="3" fontId="6" fillId="0" borderId="0" xfId="0" applyNumberFormat="1" applyFont="1"/>
    <xf numFmtId="164" fontId="6" fillId="0" borderId="0" xfId="0" applyNumberFormat="1" applyFont="1"/>
    <xf numFmtId="0" fontId="4" fillId="5" borderId="0" xfId="0" applyFont="1" applyFill="1"/>
    <xf numFmtId="165" fontId="6" fillId="0" borderId="0" xfId="2" applyNumberFormat="1" applyFont="1"/>
    <xf numFmtId="3" fontId="7" fillId="0" borderId="0" xfId="0" applyNumberFormat="1" applyFont="1"/>
    <xf numFmtId="0" fontId="9" fillId="0" borderId="0" xfId="4" applyFont="1" applyAlignment="1">
      <alignment horizontal="left"/>
    </xf>
    <xf numFmtId="1" fontId="6" fillId="0" borderId="0" xfId="0" applyNumberFormat="1" applyFont="1"/>
    <xf numFmtId="0" fontId="1" fillId="0" borderId="0" xfId="0" applyFont="1" applyAlignment="1">
      <alignment horizontal="center"/>
    </xf>
    <xf numFmtId="0" fontId="8" fillId="5" borderId="0" xfId="4" applyFill="1"/>
    <xf numFmtId="9" fontId="0" fillId="0" borderId="0" xfId="2" applyFont="1"/>
    <xf numFmtId="166" fontId="0" fillId="0" borderId="0" xfId="0" applyNumberFormat="1"/>
    <xf numFmtId="167" fontId="0" fillId="0" borderId="0" xfId="0" applyNumberFormat="1"/>
    <xf numFmtId="0" fontId="8" fillId="0" borderId="0" xfId="4" applyAlignment="1">
      <alignment horizontal="left" vertical="center" wrapText="1"/>
    </xf>
    <xf numFmtId="168" fontId="0" fillId="0" borderId="0" xfId="0" applyNumberFormat="1"/>
  </cellXfs>
  <cellStyles count="5">
    <cellStyle name="Currency" xfId="3" builtinId="4"/>
    <cellStyle name="Hyperlink" xfId="1" builtinId="8"/>
    <cellStyle name="Normal" xfId="0" builtinId="0"/>
    <cellStyle name="Normal 6" xfId="4" xr:uid="{D2ECABBB-5199-4D9C-874B-B142967BD00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Calcs!$B$12:$AF$12</c:f>
              <c:numCache>
                <c:formatCode>General</c:formatCode>
                <c:ptCount val="3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numCache>
            </c:numRef>
          </c:cat>
          <c:val>
            <c:numRef>
              <c:f>Calcs!$B$13:$AF$13</c:f>
              <c:numCache>
                <c:formatCode>General</c:formatCode>
                <c:ptCount val="31"/>
                <c:pt idx="0">
                  <c:v>-1034.7</c:v>
                </c:pt>
                <c:pt idx="1">
                  <c:v>-1045.5999999999999</c:v>
                </c:pt>
                <c:pt idx="2">
                  <c:v>-1061.0999999999999</c:v>
                </c:pt>
                <c:pt idx="3">
                  <c:v>-1045.7</c:v>
                </c:pt>
                <c:pt idx="4">
                  <c:v>-1062.7</c:v>
                </c:pt>
                <c:pt idx="5">
                  <c:v>-1033.8</c:v>
                </c:pt>
                <c:pt idx="6">
                  <c:v>-1067.8</c:v>
                </c:pt>
                <c:pt idx="7">
                  <c:v>-1038.3</c:v>
                </c:pt>
                <c:pt idx="8">
                  <c:v>-1050.5</c:v>
                </c:pt>
                <c:pt idx="9">
                  <c:v>-1026.3</c:v>
                </c:pt>
                <c:pt idx="10">
                  <c:v>-1046.8</c:v>
                </c:pt>
                <c:pt idx="11">
                  <c:v>-1036.0999999999999</c:v>
                </c:pt>
                <c:pt idx="12">
                  <c:v>-991.8</c:v>
                </c:pt>
                <c:pt idx="13">
                  <c:v>-1019.8</c:v>
                </c:pt>
                <c:pt idx="14">
                  <c:v>-936.9</c:v>
                </c:pt>
                <c:pt idx="15">
                  <c:v>-976.6</c:v>
                </c:pt>
                <c:pt idx="16">
                  <c:v>-1013.9</c:v>
                </c:pt>
                <c:pt idx="17">
                  <c:v>-966.3</c:v>
                </c:pt>
                <c:pt idx="18">
                  <c:v>-973.1</c:v>
                </c:pt>
                <c:pt idx="19">
                  <c:v>-915</c:v>
                </c:pt>
                <c:pt idx="20">
                  <c:v>-941.6</c:v>
                </c:pt>
                <c:pt idx="21">
                  <c:v>-1001.9</c:v>
                </c:pt>
                <c:pt idx="22">
                  <c:v>-991.3</c:v>
                </c:pt>
                <c:pt idx="23">
                  <c:v>-949.4</c:v>
                </c:pt>
                <c:pt idx="24">
                  <c:v>-980.4</c:v>
                </c:pt>
                <c:pt idx="25">
                  <c:v>-896.2</c:v>
                </c:pt>
                <c:pt idx="26">
                  <c:v>-973.8</c:v>
                </c:pt>
                <c:pt idx="27">
                  <c:v>-991.9</c:v>
                </c:pt>
                <c:pt idx="28">
                  <c:v>-978.3</c:v>
                </c:pt>
                <c:pt idx="29">
                  <c:v>-921.6</c:v>
                </c:pt>
                <c:pt idx="30">
                  <c:v>-972.8</c:v>
                </c:pt>
              </c:numCache>
            </c:numRef>
          </c:val>
          <c:smooth val="0"/>
          <c:extLst>
            <c:ext xmlns:c16="http://schemas.microsoft.com/office/drawing/2014/chart" uri="{C3380CC4-5D6E-409C-BE32-E72D297353CC}">
              <c16:uniqueId val="{00000000-F5DD-4DDF-A09B-A5BA8DF60D82}"/>
            </c:ext>
          </c:extLst>
        </c:ser>
        <c:dLbls>
          <c:showLegendKey val="0"/>
          <c:showVal val="0"/>
          <c:showCatName val="0"/>
          <c:showSerName val="0"/>
          <c:showPercent val="0"/>
          <c:showBubbleSize val="0"/>
        </c:dLbls>
        <c:smooth val="0"/>
        <c:axId val="1293140784"/>
        <c:axId val="1293143696"/>
      </c:lineChart>
      <c:catAx>
        <c:axId val="12931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3696"/>
        <c:crosses val="autoZero"/>
        <c:auto val="1"/>
        <c:lblAlgn val="ctr"/>
        <c:lblOffset val="100"/>
        <c:noMultiLvlLbl val="0"/>
      </c:catAx>
      <c:valAx>
        <c:axId val="129314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571500</xdr:colOff>
      <xdr:row>16</xdr:row>
      <xdr:rowOff>122237</xdr:rowOff>
    </xdr:from>
    <xdr:to>
      <xdr:col>10</xdr:col>
      <xdr:colOff>266700</xdr:colOff>
      <xdr:row>31</xdr:row>
      <xdr:rowOff>144462</xdr:rowOff>
    </xdr:to>
    <xdr:graphicFrame macro="">
      <xdr:nvGraphicFramePr>
        <xdr:cNvPr id="2" name="Chart 1">
          <a:extLst>
            <a:ext uri="{FF2B5EF4-FFF2-40B4-BE49-F238E27FC236}">
              <a16:creationId xmlns:a16="http://schemas.microsoft.com/office/drawing/2014/main" id="{662FEF50-F895-E7BD-A9D6-22599D8D2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1</xdr:col>
      <xdr:colOff>1447800</xdr:colOff>
      <xdr:row>39</xdr:row>
      <xdr:rowOff>125636</xdr:rowOff>
    </xdr:to>
    <xdr:pic>
      <xdr:nvPicPr>
        <xdr:cNvPr id="2" name="Picture 1">
          <a:extLst>
            <a:ext uri="{FF2B5EF4-FFF2-40B4-BE49-F238E27FC236}">
              <a16:creationId xmlns:a16="http://schemas.microsoft.com/office/drawing/2014/main" id="{80D34252-661E-FD91-1F36-14E1EFCDA1D7}"/>
            </a:ext>
          </a:extLst>
        </xdr:cNvPr>
        <xdr:cNvPicPr>
          <a:picLocks noChangeAspect="1"/>
        </xdr:cNvPicPr>
      </xdr:nvPicPr>
      <xdr:blipFill>
        <a:blip xmlns:r="http://schemas.openxmlformats.org/officeDocument/2006/relationships" r:embed="rId1"/>
        <a:stretch>
          <a:fillRect/>
        </a:stretch>
      </xdr:blipFill>
      <xdr:spPr>
        <a:xfrm>
          <a:off x="0" y="6210300"/>
          <a:ext cx="6372225" cy="29831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mahajan/Documents/eps-us/InputData/indst/BPE/BPE-CH4.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olivia/Documents/EPS_Models%20by%20Region/United%20States/us-eps/InputData/fuels/PEI/PEI-TFPEI-ships.csv"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olivia/Documents/EPS_Models%20by%20Region/United%20States/NEW_US/Start%20Year%20Calibration_2020.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eganMahajan\Documents\eps-us\InputData\indst\PERAC\PERAC-livestock.csv" TargetMode="External"/><Relationship Id="rId1" Type="http://schemas.openxmlformats.org/officeDocument/2006/relationships/externalLinkPath" Target="/Users/MeganMahajan/Documents/eps-us/InputData/indst/PERAC/PERAC-livestock.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Multipliers and Adjustments"/>
      <sheetName val="Country Selector"/>
      <sheetName val="US COVID adjustment"/>
      <sheetName val="US f-gases"/>
      <sheetName val="USCA Data"/>
      <sheetName val="AIM Impact Assessment"/>
      <sheetName val="EPA_Table 3-1"/>
      <sheetName val="EPA_Table 4-1"/>
      <sheetName val="EPA_Table 5-1"/>
      <sheetName val="EPA_Table 7-1"/>
      <sheetName val="EPA_data"/>
      <sheetName val="AEO 23_2017"/>
      <sheetName val="AEO 23_2020-2050"/>
      <sheetName val="Water and Waste"/>
      <sheetName val="Diesel_2017"/>
      <sheetName val="Diesel_2020-50"/>
      <sheetName val="pivot table"/>
      <sheetName val="Growth rates"/>
      <sheetName val="Calcs"/>
      <sheetName val="Crosswalk sectors"/>
      <sheetName val="Crosswalk parts"/>
      <sheetName val="IEA-MethaneEmissions"/>
      <sheetName val="EPA non-CO2 Data"/>
      <sheetName val="EPA Source to Industry Map"/>
      <sheetName val="PRIMAP-hist CO2 Data"/>
      <sheetName val="Process CO2 Hist Year"/>
      <sheetName val="UN Pop Projections"/>
      <sheetName val="Process CO2 Growth"/>
      <sheetName val="BPE-SoAPEfA"/>
      <sheetName val="GHGs -&gt;"/>
      <sheetName val="BPE-CO2"/>
      <sheetName val="BPE-CH4"/>
      <sheetName val="BPE-N2O"/>
      <sheetName val="BPE-F-gases"/>
      <sheetName val="Non-GHGs -&gt;"/>
      <sheetName val="BPE-VOC"/>
      <sheetName val="BPE-CO"/>
      <sheetName val="BPE-NOx"/>
      <sheetName val="BPE-PM10"/>
      <sheetName val="BPE-PM25"/>
      <sheetName val="BPE-SOx"/>
      <sheetName val="BPE-BC"/>
      <sheetName val="BPE-O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B5">
            <v>12409467279319.934</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GREET1 Results"/>
      <sheetName val="GREET1 EF"/>
      <sheetName val="GREET1 Electric"/>
      <sheetName val="GREET1 JetFuel_WTWa"/>
      <sheetName val="GREET1 Fuel_Specs"/>
      <sheetName val="EF Hub"/>
      <sheetName val="Fuel Heat Contents"/>
      <sheetName val="eGrid Plant"/>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efreshError="1">
        <row r="89">
          <cell r="A89" t="b">
            <v>1</v>
          </cell>
        </row>
        <row r="203">
          <cell r="A203"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1. Transportation"/>
      <sheetName val="2. Electricity"/>
      <sheetName val="3. Industry Energy"/>
      <sheetName val="4. Buildings"/>
      <sheetName val="5. Industry Process"/>
      <sheetName val="6. Total"/>
      <sheetName val="7. Particulates"/>
      <sheetName val="EPS"/>
      <sheetName val="GWP"/>
      <sheetName val="NoSettings"/>
      <sheetName val="Sheet1"/>
      <sheetName val="Vensim Variables"/>
      <sheetName val="EPA_GHG"/>
      <sheetName val="Table 3-1"/>
      <sheetName val="Table 3-7"/>
      <sheetName val="Table 3-9"/>
      <sheetName val="Table 3-10"/>
      <sheetName val="Table 3-11"/>
      <sheetName val="Table 3-12"/>
      <sheetName val="Table 3-13"/>
      <sheetName val="Table 3-14"/>
      <sheetName val="Table 3-15"/>
      <sheetName val="Table 4-1"/>
      <sheetName val="Table 5-1"/>
      <sheetName val="Table 6-1"/>
      <sheetName val="Table 7-1"/>
      <sheetName val="EIA"/>
      <sheetName val="Table 18"/>
      <sheetName val="Table 54"/>
      <sheetName val="Table 11.1"/>
      <sheetName val="Table 11.2"/>
      <sheetName val="Table 11.3"/>
      <sheetName val="Table 11.4"/>
      <sheetName val="Table 11.5"/>
      <sheetName val="Table 11.6"/>
      <sheetName val="Table 11.7"/>
      <sheetName val="NEI 2017"/>
      <sheetName val="2017 EPA Data"/>
      <sheetName val="Crosswalk Particulates"/>
      <sheetName val="EPA Data_by prim poll"/>
    </sheetNames>
    <sheetDataSet>
      <sheetData sheetId="0">
        <row r="19">
          <cell r="B19">
            <v>1.1023099999999999</v>
          </cell>
        </row>
        <row r="22">
          <cell r="B22">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Multipliers and Adjustments"/>
      <sheetName val="Country Selector"/>
      <sheetName val="US f-gases"/>
      <sheetName val="EPA land and ag potential"/>
      <sheetName val="EPA land and ag calcs"/>
      <sheetName val="IRA Agriculture Funding"/>
      <sheetName val="EPA Methane Rules"/>
      <sheetName val="USCA Data"/>
      <sheetName val="ICF Data"/>
      <sheetName val="ICF pol crosswalk"/>
      <sheetName val="ICF v EPA nonCO2"/>
      <sheetName val="ICF growth rates"/>
      <sheetName val="US COVID adjustment"/>
      <sheetName val="AIM Impact Assessment"/>
      <sheetName val="EPA Data"/>
      <sheetName val="EPA Source to Industry Map"/>
      <sheetName val="NPV Calcs"/>
      <sheetName val="AEO Table 13"/>
      <sheetName val="EPA Tech to Policy Mapping"/>
      <sheetName val="EPA non-CO2 Data"/>
      <sheetName val="IEA-MethaneEmissions"/>
      <sheetName val="IEA-MethaneAbatement"/>
      <sheetName val="EPA to IEA Scaling"/>
      <sheetName val="Cement Data"/>
      <sheetName val="gas policy checks"/>
      <sheetName val="gas policy descriptions"/>
      <sheetName val="EPA cropsrice"/>
      <sheetName val="EPA livestock"/>
      <sheetName val="EPA tillage"/>
      <sheetName val="EPA-ngpProd-mthncptr"/>
      <sheetName val="EPA-ngpPrcsTnD-mthncptr"/>
      <sheetName val="EPA-ngpProd-mthndstr"/>
      <sheetName val="EPA-ngpPrcsTnD-mthndstr"/>
      <sheetName val="IEA-ngpProd-mthncptr"/>
      <sheetName val="IEA-ngpPrcsTnD-mthncptr"/>
      <sheetName val="IEA-ngpProd-mthndstr"/>
      <sheetName val="IEA-ngpPrcsTnD-mthndstr"/>
      <sheetName val="Data Check"/>
      <sheetName val="US check"/>
      <sheetName val="PERAC-cement"/>
      <sheetName val="PERAC-ngpProd-mthncptr"/>
      <sheetName val="PERAC-ngpPrcsTnD-mthncptr"/>
      <sheetName val="PERAC-ngpProd-mthndstr"/>
      <sheetName val="PERAC-ngpPrcsTnD-mthndstr"/>
      <sheetName val="PERAC-fgassubstitution"/>
      <sheetName val="PERAC-fgasdestruction"/>
      <sheetName val="PERAC-fgasrecovery"/>
      <sheetName val="PERAC-chem-inspctmaintretrofit"/>
      <sheetName val="PERAC-alum-inspctmaintretrofit"/>
      <sheetName val="PERAC-coalmining-mthncptr"/>
      <sheetName val="PERAC-coalmining-mthndstr"/>
      <sheetName val="PERAC-waste-mthncptr"/>
      <sheetName val="PERAC-waste-mthndstr"/>
      <sheetName val="PERAC-cropsrice"/>
      <sheetName val="PERAC-livestock"/>
      <sheetName val="PERAC-tillage"/>
      <sheetName val="PERAC-chemicals-N2Oabatement"/>
      <sheetName val="PERAC-MCD"/>
    </sheetNames>
    <sheetDataSet>
      <sheetData sheetId="0">
        <row r="120">
          <cell r="A120" t="str">
            <v>We convert to grams CO2e with the following conversion factor: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eganMahajan/AppData/Local/Microsoft/Windows/INetCache/Content.Outlook/IT62WC5S/2024_forestry_and_agriculture_mitigation_data_annex_430-r-24-002%20(0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426.442328935183" createdVersion="8" refreshedVersion="8" minRefreshableVersion="3" recordCount="601" xr:uid="{7C91AA71-19BA-4ED9-9A92-58867646CF79}">
  <cacheSource type="worksheet">
    <worksheetSource ref="A2:I603" sheet="Fig_3.8" r:id="rId2"/>
  </cacheSource>
  <cacheFields count="9">
    <cacheField name="Figure" numFmtId="0">
      <sharedItems containsBlank="1"/>
    </cacheField>
    <cacheField name="Position" numFmtId="0">
      <sharedItems containsBlank="1"/>
    </cacheField>
    <cacheField name="Year" numFmtId="0">
      <sharedItems containsString="0" containsBlank="1" containsNumber="1" containsInteger="1" minValue="2025" maxValue="2055" count="5">
        <n v="2025"/>
        <n v="2035"/>
        <n v="2045"/>
        <n v="2055"/>
        <m/>
      </sharedItems>
    </cacheField>
    <cacheField name="Model" numFmtId="0">
      <sharedItems containsBlank="1" count="3">
        <s v="FASOMGHG"/>
        <s v="GLOBIOM"/>
        <m/>
      </sharedItems>
    </cacheField>
    <cacheField name="Group" numFmtId="0">
      <sharedItems containsBlank="1" count="10">
        <s v="Ag Soils"/>
        <s v="Cropland Non-CO2"/>
        <s v="Cropland CO2"/>
        <s v="Forest (Existing forests)"/>
        <s v="Forest (New forests)"/>
        <s v="Forest Products"/>
        <s v="Forest Soils"/>
        <s v="Livestock Non-CO2"/>
        <s v="Total"/>
        <m/>
      </sharedItems>
    </cacheField>
    <cacheField name="Growth.Rate" numFmtId="0">
      <sharedItems containsBlank="1" count="3">
        <s v="3% Growth"/>
        <s v="1% Growth"/>
        <m/>
      </sharedItems>
    </cacheField>
    <cacheField name="Starting.Price" numFmtId="0">
      <sharedItems containsBlank="1" count="6">
        <s v="$50"/>
        <s v="$5"/>
        <s v="$100"/>
        <s v="$20"/>
        <s v="$35"/>
        <m/>
      </sharedItems>
    </cacheField>
    <cacheField name="Value" numFmtId="0">
      <sharedItems containsString="0" containsBlank="1" containsNumber="1" minValue="-375" maxValue="126.9"/>
    </cacheField>
    <cacheField name="Uni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Fig_3.8"/>
    <s v="Bar"/>
    <x v="0"/>
    <x v="0"/>
    <x v="0"/>
    <x v="0"/>
    <x v="0"/>
    <n v="126.9"/>
    <s v="MtCO2e/yr"/>
  </r>
  <r>
    <s v="Fig_3.8"/>
    <s v="Bar"/>
    <x v="1"/>
    <x v="0"/>
    <x v="0"/>
    <x v="0"/>
    <x v="0"/>
    <n v="116.2"/>
    <s v="MtCO2e/yr"/>
  </r>
  <r>
    <s v="Fig_3.8"/>
    <s v="Bar"/>
    <x v="2"/>
    <x v="0"/>
    <x v="0"/>
    <x v="0"/>
    <x v="0"/>
    <n v="78.599999999999994"/>
    <s v="MtCO2e/yr"/>
  </r>
  <r>
    <s v="Fig_3.8"/>
    <s v="Bar"/>
    <x v="3"/>
    <x v="0"/>
    <x v="0"/>
    <x v="0"/>
    <x v="0"/>
    <n v="49.6"/>
    <s v="MtCO2e/yr"/>
  </r>
  <r>
    <s v="Fig_3.8"/>
    <s v="Bar"/>
    <x v="0"/>
    <x v="0"/>
    <x v="0"/>
    <x v="1"/>
    <x v="0"/>
    <n v="39.4"/>
    <s v="MtCO2e/yr"/>
  </r>
  <r>
    <s v="Fig_3.8"/>
    <s v="Bar"/>
    <x v="1"/>
    <x v="0"/>
    <x v="0"/>
    <x v="1"/>
    <x v="0"/>
    <n v="17.100000000000001"/>
    <s v="MtCO2e/yr"/>
  </r>
  <r>
    <s v="Fig_3.8"/>
    <s v="Bar"/>
    <x v="2"/>
    <x v="0"/>
    <x v="0"/>
    <x v="1"/>
    <x v="0"/>
    <n v="8.9"/>
    <s v="MtCO2e/yr"/>
  </r>
  <r>
    <s v="Fig_3.8"/>
    <s v="Bar"/>
    <x v="3"/>
    <x v="0"/>
    <x v="0"/>
    <x v="1"/>
    <x v="0"/>
    <n v="4.2"/>
    <s v="MtCO2e/yr"/>
  </r>
  <r>
    <s v="Fig_3.8"/>
    <s v="Bar"/>
    <x v="0"/>
    <x v="0"/>
    <x v="0"/>
    <x v="0"/>
    <x v="1"/>
    <n v="24"/>
    <s v="MtCO2e/yr"/>
  </r>
  <r>
    <s v="Fig_3.8"/>
    <s v="Bar"/>
    <x v="1"/>
    <x v="0"/>
    <x v="0"/>
    <x v="0"/>
    <x v="1"/>
    <n v="38.799999999999997"/>
    <s v="MtCO2e/yr"/>
  </r>
  <r>
    <s v="Fig_3.8"/>
    <s v="Bar"/>
    <x v="0"/>
    <x v="0"/>
    <x v="1"/>
    <x v="0"/>
    <x v="0"/>
    <n v="-2.9"/>
    <s v="MtCO2e/yr"/>
  </r>
  <r>
    <s v="Fig_3.8"/>
    <s v="Bar"/>
    <x v="1"/>
    <x v="0"/>
    <x v="1"/>
    <x v="0"/>
    <x v="0"/>
    <n v="-6.6"/>
    <s v="MtCO2e/yr"/>
  </r>
  <r>
    <s v="Fig_3.8"/>
    <s v="Bar"/>
    <x v="2"/>
    <x v="0"/>
    <x v="1"/>
    <x v="0"/>
    <x v="0"/>
    <n v="-9.1999999999999993"/>
    <s v="MtCO2e/yr"/>
  </r>
  <r>
    <s v="Fig_3.8"/>
    <s v="Bar"/>
    <x v="3"/>
    <x v="0"/>
    <x v="1"/>
    <x v="0"/>
    <x v="0"/>
    <n v="-11.1"/>
    <s v="MtCO2e/yr"/>
  </r>
  <r>
    <s v="Fig_3.8"/>
    <s v="Bar"/>
    <x v="0"/>
    <x v="0"/>
    <x v="1"/>
    <x v="1"/>
    <x v="0"/>
    <n v="-4.5"/>
    <s v="MtCO2e/yr"/>
  </r>
  <r>
    <s v="Fig_3.8"/>
    <s v="Bar"/>
    <x v="1"/>
    <x v="0"/>
    <x v="1"/>
    <x v="1"/>
    <x v="0"/>
    <n v="-7.4"/>
    <s v="MtCO2e/yr"/>
  </r>
  <r>
    <s v="Fig_3.8"/>
    <s v="Bar"/>
    <x v="2"/>
    <x v="0"/>
    <x v="1"/>
    <x v="1"/>
    <x v="0"/>
    <n v="-9.6999999999999993"/>
    <s v="MtCO2e/yr"/>
  </r>
  <r>
    <s v="Fig_3.8"/>
    <s v="Bar"/>
    <x v="3"/>
    <x v="0"/>
    <x v="1"/>
    <x v="1"/>
    <x v="0"/>
    <n v="-11.2"/>
    <s v="MtCO2e/yr"/>
  </r>
  <r>
    <s v="Fig_3.8"/>
    <s v="Bar"/>
    <x v="0"/>
    <x v="0"/>
    <x v="1"/>
    <x v="0"/>
    <x v="1"/>
    <n v="-0.2"/>
    <s v="MtCO2e/yr"/>
  </r>
  <r>
    <s v="Fig_3.8"/>
    <s v="Bar"/>
    <x v="1"/>
    <x v="0"/>
    <x v="1"/>
    <x v="0"/>
    <x v="1"/>
    <n v="-0.9"/>
    <s v="MtCO2e/yr"/>
  </r>
  <r>
    <s v="Fig_3.8"/>
    <s v="Bar"/>
    <x v="0"/>
    <x v="0"/>
    <x v="2"/>
    <x v="0"/>
    <x v="0"/>
    <n v="-0.9"/>
    <s v="MtCO2e/yr"/>
  </r>
  <r>
    <s v="Fig_3.8"/>
    <s v="Bar"/>
    <x v="1"/>
    <x v="0"/>
    <x v="2"/>
    <x v="0"/>
    <x v="0"/>
    <n v="-4.8"/>
    <s v="MtCO2e/yr"/>
  </r>
  <r>
    <s v="Fig_3.8"/>
    <s v="Bar"/>
    <x v="2"/>
    <x v="0"/>
    <x v="2"/>
    <x v="0"/>
    <x v="0"/>
    <n v="-9.3000000000000007"/>
    <s v="MtCO2e/yr"/>
  </r>
  <r>
    <s v="Fig_3.8"/>
    <s v="Bar"/>
    <x v="3"/>
    <x v="0"/>
    <x v="2"/>
    <x v="0"/>
    <x v="0"/>
    <n v="-12.5"/>
    <s v="MtCO2e/yr"/>
  </r>
  <r>
    <s v="Fig_3.8"/>
    <s v="Bar"/>
    <x v="0"/>
    <x v="0"/>
    <x v="2"/>
    <x v="1"/>
    <x v="0"/>
    <n v="-3.5"/>
    <s v="MtCO2e/yr"/>
  </r>
  <r>
    <s v="Fig_3.8"/>
    <s v="Bar"/>
    <x v="1"/>
    <x v="0"/>
    <x v="2"/>
    <x v="1"/>
    <x v="0"/>
    <n v="-6"/>
    <s v="MtCO2e/yr"/>
  </r>
  <r>
    <s v="Fig_3.8"/>
    <s v="Bar"/>
    <x v="2"/>
    <x v="0"/>
    <x v="2"/>
    <x v="1"/>
    <x v="0"/>
    <n v="-9.3000000000000007"/>
    <s v="MtCO2e/yr"/>
  </r>
  <r>
    <s v="Fig_3.8"/>
    <s v="Bar"/>
    <x v="3"/>
    <x v="0"/>
    <x v="2"/>
    <x v="1"/>
    <x v="0"/>
    <n v="-11.9"/>
    <s v="MtCO2e/yr"/>
  </r>
  <r>
    <s v="Fig_3.8"/>
    <s v="Bar"/>
    <x v="0"/>
    <x v="0"/>
    <x v="2"/>
    <x v="0"/>
    <x v="1"/>
    <n v="-0.4"/>
    <s v="MtCO2e/yr"/>
  </r>
  <r>
    <s v="Fig_3.8"/>
    <s v="Bar"/>
    <x v="1"/>
    <x v="0"/>
    <x v="2"/>
    <x v="0"/>
    <x v="1"/>
    <n v="-0.6"/>
    <s v="MtCO2e/yr"/>
  </r>
  <r>
    <s v="Fig_3.8"/>
    <s v="Bar"/>
    <x v="0"/>
    <x v="0"/>
    <x v="3"/>
    <x v="0"/>
    <x v="0"/>
    <n v="-19"/>
    <s v="MtCO2e/yr"/>
  </r>
  <r>
    <s v="Fig_3.8"/>
    <s v="Bar"/>
    <x v="1"/>
    <x v="0"/>
    <x v="3"/>
    <x v="0"/>
    <x v="0"/>
    <n v="-54.9"/>
    <s v="MtCO2e/yr"/>
  </r>
  <r>
    <s v="Fig_3.8"/>
    <s v="Bar"/>
    <x v="2"/>
    <x v="0"/>
    <x v="3"/>
    <x v="0"/>
    <x v="0"/>
    <n v="-65.7"/>
    <s v="MtCO2e/yr"/>
  </r>
  <r>
    <s v="Fig_3.8"/>
    <s v="Bar"/>
    <x v="3"/>
    <x v="0"/>
    <x v="3"/>
    <x v="0"/>
    <x v="0"/>
    <n v="-78"/>
    <s v="MtCO2e/yr"/>
  </r>
  <r>
    <s v="Fig_3.8"/>
    <s v="Bar"/>
    <x v="0"/>
    <x v="0"/>
    <x v="3"/>
    <x v="1"/>
    <x v="0"/>
    <n v="-36.5"/>
    <s v="MtCO2e/yr"/>
  </r>
  <r>
    <s v="Fig_3.8"/>
    <s v="Bar"/>
    <x v="1"/>
    <x v="0"/>
    <x v="3"/>
    <x v="1"/>
    <x v="0"/>
    <n v="-61.2"/>
    <s v="MtCO2e/yr"/>
  </r>
  <r>
    <s v="Fig_3.8"/>
    <s v="Bar"/>
    <x v="2"/>
    <x v="0"/>
    <x v="3"/>
    <x v="1"/>
    <x v="0"/>
    <n v="-62.5"/>
    <s v="MtCO2e/yr"/>
  </r>
  <r>
    <s v="Fig_3.8"/>
    <s v="Bar"/>
    <x v="3"/>
    <x v="0"/>
    <x v="3"/>
    <x v="1"/>
    <x v="0"/>
    <n v="-61.3"/>
    <s v="MtCO2e/yr"/>
  </r>
  <r>
    <s v="Fig_3.8"/>
    <s v="Bar"/>
    <x v="0"/>
    <x v="0"/>
    <x v="3"/>
    <x v="0"/>
    <x v="1"/>
    <n v="-6.9"/>
    <s v="MtCO2e/yr"/>
  </r>
  <r>
    <s v="Fig_3.8"/>
    <s v="Bar"/>
    <x v="1"/>
    <x v="0"/>
    <x v="3"/>
    <x v="0"/>
    <x v="1"/>
    <n v="-16"/>
    <s v="MtCO2e/yr"/>
  </r>
  <r>
    <s v="Fig_3.8"/>
    <s v="Bar"/>
    <x v="0"/>
    <x v="0"/>
    <x v="4"/>
    <x v="0"/>
    <x v="0"/>
    <m/>
    <s v="MtCO2e/yr"/>
  </r>
  <r>
    <s v="Fig_3.8"/>
    <s v="Bar"/>
    <x v="1"/>
    <x v="0"/>
    <x v="4"/>
    <x v="0"/>
    <x v="0"/>
    <n v="-57.5"/>
    <s v="MtCO2e/yr"/>
  </r>
  <r>
    <s v="Fig_3.8"/>
    <s v="Bar"/>
    <x v="2"/>
    <x v="0"/>
    <x v="4"/>
    <x v="0"/>
    <x v="0"/>
    <n v="-75.7"/>
    <s v="MtCO2e/yr"/>
  </r>
  <r>
    <s v="Fig_3.8"/>
    <s v="Bar"/>
    <x v="3"/>
    <x v="0"/>
    <x v="4"/>
    <x v="0"/>
    <x v="0"/>
    <n v="-92.6"/>
    <s v="MtCO2e/yr"/>
  </r>
  <r>
    <s v="Fig_3.8"/>
    <s v="Bar"/>
    <x v="0"/>
    <x v="0"/>
    <x v="4"/>
    <x v="1"/>
    <x v="0"/>
    <m/>
    <s v="MtCO2e/yr"/>
  </r>
  <r>
    <s v="Fig_3.8"/>
    <s v="Bar"/>
    <x v="1"/>
    <x v="0"/>
    <x v="4"/>
    <x v="1"/>
    <x v="0"/>
    <n v="-60.2"/>
    <s v="MtCO2e/yr"/>
  </r>
  <r>
    <s v="Fig_3.8"/>
    <s v="Bar"/>
    <x v="2"/>
    <x v="0"/>
    <x v="4"/>
    <x v="1"/>
    <x v="0"/>
    <n v="-86.8"/>
    <s v="MtCO2e/yr"/>
  </r>
  <r>
    <s v="Fig_3.8"/>
    <s v="Bar"/>
    <x v="3"/>
    <x v="0"/>
    <x v="4"/>
    <x v="1"/>
    <x v="0"/>
    <n v="-111"/>
    <s v="MtCO2e/yr"/>
  </r>
  <r>
    <s v="Fig_3.8"/>
    <s v="Bar"/>
    <x v="0"/>
    <x v="0"/>
    <x v="4"/>
    <x v="0"/>
    <x v="1"/>
    <m/>
    <s v="MtCO2e/yr"/>
  </r>
  <r>
    <s v="Fig_3.8"/>
    <s v="Bar"/>
    <x v="1"/>
    <x v="0"/>
    <x v="4"/>
    <x v="0"/>
    <x v="1"/>
    <n v="-3.4"/>
    <s v="MtCO2e/yr"/>
  </r>
  <r>
    <s v="Fig_3.8"/>
    <s v="Bar"/>
    <x v="0"/>
    <x v="0"/>
    <x v="5"/>
    <x v="0"/>
    <x v="0"/>
    <n v="1.6"/>
    <s v="MtCO2e/yr"/>
  </r>
  <r>
    <s v="Fig_3.8"/>
    <s v="Bar"/>
    <x v="1"/>
    <x v="0"/>
    <x v="5"/>
    <x v="0"/>
    <x v="0"/>
    <n v="1.6"/>
    <s v="MtCO2e/yr"/>
  </r>
  <r>
    <s v="Fig_3.8"/>
    <s v="Bar"/>
    <x v="2"/>
    <x v="0"/>
    <x v="5"/>
    <x v="0"/>
    <x v="0"/>
    <n v="1.6"/>
    <s v="MtCO2e/yr"/>
  </r>
  <r>
    <s v="Fig_3.8"/>
    <s v="Bar"/>
    <x v="3"/>
    <x v="0"/>
    <x v="5"/>
    <x v="0"/>
    <x v="0"/>
    <n v="1.3"/>
    <s v="MtCO2e/yr"/>
  </r>
  <r>
    <s v="Fig_3.8"/>
    <s v="Bar"/>
    <x v="0"/>
    <x v="0"/>
    <x v="5"/>
    <x v="1"/>
    <x v="0"/>
    <n v="4.0999999999999996"/>
    <s v="MtCO2e/yr"/>
  </r>
  <r>
    <s v="Fig_3.8"/>
    <s v="Bar"/>
    <x v="1"/>
    <x v="0"/>
    <x v="5"/>
    <x v="1"/>
    <x v="0"/>
    <n v="3.1"/>
    <s v="MtCO2e/yr"/>
  </r>
  <r>
    <s v="Fig_3.8"/>
    <s v="Bar"/>
    <x v="2"/>
    <x v="0"/>
    <x v="5"/>
    <x v="1"/>
    <x v="0"/>
    <n v="2.9"/>
    <s v="MtCO2e/yr"/>
  </r>
  <r>
    <s v="Fig_3.8"/>
    <s v="Bar"/>
    <x v="3"/>
    <x v="0"/>
    <x v="5"/>
    <x v="1"/>
    <x v="0"/>
    <n v="2.6"/>
    <s v="MtCO2e/yr"/>
  </r>
  <r>
    <s v="Fig_3.8"/>
    <s v="Bar"/>
    <x v="0"/>
    <x v="0"/>
    <x v="5"/>
    <x v="0"/>
    <x v="1"/>
    <n v="0.7"/>
    <s v="MtCO2e/yr"/>
  </r>
  <r>
    <s v="Fig_3.8"/>
    <s v="Bar"/>
    <x v="1"/>
    <x v="0"/>
    <x v="5"/>
    <x v="0"/>
    <x v="1"/>
    <n v="0.3"/>
    <s v="MtCO2e/yr"/>
  </r>
  <r>
    <s v="Fig_3.8"/>
    <s v="Bar"/>
    <x v="0"/>
    <x v="0"/>
    <x v="6"/>
    <x v="0"/>
    <x v="0"/>
    <n v="-153.4"/>
    <s v="MtCO2e/yr"/>
  </r>
  <r>
    <s v="Fig_3.8"/>
    <s v="Bar"/>
    <x v="1"/>
    <x v="0"/>
    <x v="6"/>
    <x v="0"/>
    <x v="0"/>
    <n v="-162.19999999999999"/>
    <s v="MtCO2e/yr"/>
  </r>
  <r>
    <s v="Fig_3.8"/>
    <s v="Bar"/>
    <x v="2"/>
    <x v="0"/>
    <x v="6"/>
    <x v="0"/>
    <x v="0"/>
    <n v="-144.80000000000001"/>
    <s v="MtCO2e/yr"/>
  </r>
  <r>
    <s v="Fig_3.8"/>
    <s v="Bar"/>
    <x v="3"/>
    <x v="0"/>
    <x v="6"/>
    <x v="0"/>
    <x v="0"/>
    <n v="-125.4"/>
    <s v="MtCO2e/yr"/>
  </r>
  <r>
    <s v="Fig_3.8"/>
    <s v="Bar"/>
    <x v="0"/>
    <x v="0"/>
    <x v="6"/>
    <x v="1"/>
    <x v="0"/>
    <n v="-153.30000000000001"/>
    <s v="MtCO2e/yr"/>
  </r>
  <r>
    <s v="Fig_3.8"/>
    <s v="Bar"/>
    <x v="1"/>
    <x v="0"/>
    <x v="6"/>
    <x v="1"/>
    <x v="0"/>
    <n v="-122.9"/>
    <s v="MtCO2e/yr"/>
  </r>
  <r>
    <s v="Fig_3.8"/>
    <s v="Bar"/>
    <x v="2"/>
    <x v="0"/>
    <x v="6"/>
    <x v="1"/>
    <x v="0"/>
    <n v="-100.8"/>
    <s v="MtCO2e/yr"/>
  </r>
  <r>
    <s v="Fig_3.8"/>
    <s v="Bar"/>
    <x v="3"/>
    <x v="0"/>
    <x v="6"/>
    <x v="1"/>
    <x v="0"/>
    <n v="-92.3"/>
    <s v="MtCO2e/yr"/>
  </r>
  <r>
    <s v="Fig_3.8"/>
    <s v="Bar"/>
    <x v="0"/>
    <x v="0"/>
    <x v="6"/>
    <x v="0"/>
    <x v="1"/>
    <n v="-8.4"/>
    <s v="MtCO2e/yr"/>
  </r>
  <r>
    <s v="Fig_3.8"/>
    <s v="Bar"/>
    <x v="1"/>
    <x v="0"/>
    <x v="6"/>
    <x v="0"/>
    <x v="1"/>
    <n v="-33.700000000000003"/>
    <s v="MtCO2e/yr"/>
  </r>
  <r>
    <s v="Fig_3.8"/>
    <s v="Bar"/>
    <x v="0"/>
    <x v="0"/>
    <x v="7"/>
    <x v="0"/>
    <x v="0"/>
    <n v="-15.2"/>
    <s v="MtCO2e/yr"/>
  </r>
  <r>
    <s v="Fig_3.8"/>
    <s v="Bar"/>
    <x v="1"/>
    <x v="0"/>
    <x v="7"/>
    <x v="0"/>
    <x v="0"/>
    <n v="-28.6"/>
    <s v="MtCO2e/yr"/>
  </r>
  <r>
    <s v="Fig_3.8"/>
    <s v="Bar"/>
    <x v="2"/>
    <x v="0"/>
    <x v="7"/>
    <x v="0"/>
    <x v="0"/>
    <n v="-36.299999999999997"/>
    <s v="MtCO2e/yr"/>
  </r>
  <r>
    <s v="Fig_3.8"/>
    <s v="Bar"/>
    <x v="3"/>
    <x v="0"/>
    <x v="7"/>
    <x v="0"/>
    <x v="0"/>
    <n v="-45.2"/>
    <s v="MtCO2e/yr"/>
  </r>
  <r>
    <s v="Fig_3.8"/>
    <s v="Bar"/>
    <x v="0"/>
    <x v="0"/>
    <x v="7"/>
    <x v="1"/>
    <x v="0"/>
    <n v="-15.5"/>
    <s v="MtCO2e/yr"/>
  </r>
  <r>
    <s v="Fig_3.8"/>
    <s v="Bar"/>
    <x v="1"/>
    <x v="0"/>
    <x v="7"/>
    <x v="1"/>
    <x v="0"/>
    <n v="-21.9"/>
    <s v="MtCO2e/yr"/>
  </r>
  <r>
    <s v="Fig_3.8"/>
    <s v="Bar"/>
    <x v="2"/>
    <x v="0"/>
    <x v="7"/>
    <x v="1"/>
    <x v="0"/>
    <n v="-29.7"/>
    <s v="MtCO2e/yr"/>
  </r>
  <r>
    <s v="Fig_3.8"/>
    <s v="Bar"/>
    <x v="3"/>
    <x v="0"/>
    <x v="7"/>
    <x v="1"/>
    <x v="0"/>
    <n v="-33.799999999999997"/>
    <s v="MtCO2e/yr"/>
  </r>
  <r>
    <s v="Fig_3.8"/>
    <s v="Bar"/>
    <x v="0"/>
    <x v="0"/>
    <x v="7"/>
    <x v="0"/>
    <x v="1"/>
    <n v="-0.5"/>
    <s v="MtCO2e/yr"/>
  </r>
  <r>
    <s v="Fig_3.8"/>
    <s v="Bar"/>
    <x v="1"/>
    <x v="0"/>
    <x v="7"/>
    <x v="0"/>
    <x v="1"/>
    <n v="-1"/>
    <s v="MtCO2e/yr"/>
  </r>
  <r>
    <s v="Fig_3.8"/>
    <s v="Line"/>
    <x v="0"/>
    <x v="0"/>
    <x v="8"/>
    <x v="1"/>
    <x v="2"/>
    <n v="-232.1"/>
    <s v="MtCO2e/yr"/>
  </r>
  <r>
    <s v="Fig_3.8"/>
    <s v="Line"/>
    <x v="0"/>
    <x v="0"/>
    <x v="8"/>
    <x v="1"/>
    <x v="3"/>
    <n v="-77.8"/>
    <s v="MtCO2e/yr"/>
  </r>
  <r>
    <s v="Fig_3.8"/>
    <s v="Line"/>
    <x v="0"/>
    <x v="0"/>
    <x v="8"/>
    <x v="1"/>
    <x v="4"/>
    <n v="-114.7"/>
    <s v="MtCO2e/yr"/>
  </r>
  <r>
    <s v="Fig_3.8"/>
    <s v="Line"/>
    <x v="0"/>
    <x v="0"/>
    <x v="8"/>
    <x v="1"/>
    <x v="1"/>
    <n v="-30.5"/>
    <s v="MtCO2e/yr"/>
  </r>
  <r>
    <s v="Fig_3.8"/>
    <s v="Line"/>
    <x v="0"/>
    <x v="0"/>
    <x v="8"/>
    <x v="1"/>
    <x v="0"/>
    <n v="-169.8"/>
    <s v="MtCO2e/yr"/>
  </r>
  <r>
    <s v="Fig_3.8"/>
    <s v="Line"/>
    <x v="0"/>
    <x v="0"/>
    <x v="8"/>
    <x v="0"/>
    <x v="2"/>
    <n v="-96.9"/>
    <s v="MtCO2e/yr"/>
  </r>
  <r>
    <s v="Fig_3.8"/>
    <s v="Line"/>
    <x v="0"/>
    <x v="0"/>
    <x v="8"/>
    <x v="0"/>
    <x v="3"/>
    <n v="-5.7"/>
    <s v="MtCO2e/yr"/>
  </r>
  <r>
    <s v="Fig_3.8"/>
    <s v="Line"/>
    <x v="0"/>
    <x v="0"/>
    <x v="8"/>
    <x v="0"/>
    <x v="4"/>
    <n v="-6.6"/>
    <s v="MtCO2e/yr"/>
  </r>
  <r>
    <s v="Fig_3.8"/>
    <s v="Line"/>
    <x v="0"/>
    <x v="0"/>
    <x v="8"/>
    <x v="0"/>
    <x v="1"/>
    <n v="8.3000000000000007"/>
    <s v="MtCO2e/yr"/>
  </r>
  <r>
    <s v="Fig_3.8"/>
    <s v="Line"/>
    <x v="0"/>
    <x v="0"/>
    <x v="8"/>
    <x v="0"/>
    <x v="0"/>
    <n v="-62.9"/>
    <s v="MtCO2e/yr"/>
  </r>
  <r>
    <s v="Fig_3.8"/>
    <s v="Bar"/>
    <x v="0"/>
    <x v="1"/>
    <x v="0"/>
    <x v="0"/>
    <x v="0"/>
    <n v="-12.7"/>
    <s v="MtCO2e/yr"/>
  </r>
  <r>
    <s v="Fig_3.8"/>
    <s v="Bar"/>
    <x v="1"/>
    <x v="1"/>
    <x v="0"/>
    <x v="0"/>
    <x v="0"/>
    <n v="-8.8000000000000007"/>
    <s v="MtCO2e/yr"/>
  </r>
  <r>
    <s v="Fig_3.8"/>
    <s v="Bar"/>
    <x v="2"/>
    <x v="1"/>
    <x v="0"/>
    <x v="0"/>
    <x v="0"/>
    <n v="-7.7"/>
    <s v="MtCO2e/yr"/>
  </r>
  <r>
    <s v="Fig_3.8"/>
    <s v="Bar"/>
    <x v="3"/>
    <x v="1"/>
    <x v="0"/>
    <x v="0"/>
    <x v="0"/>
    <n v="-7.2"/>
    <s v="MtCO2e/yr"/>
  </r>
  <r>
    <s v="Fig_3.8"/>
    <s v="Bar"/>
    <x v="0"/>
    <x v="1"/>
    <x v="0"/>
    <x v="1"/>
    <x v="0"/>
    <n v="-12.7"/>
    <s v="MtCO2e/yr"/>
  </r>
  <r>
    <s v="Fig_3.8"/>
    <s v="Bar"/>
    <x v="1"/>
    <x v="1"/>
    <x v="0"/>
    <x v="1"/>
    <x v="0"/>
    <n v="-8.6999999999999993"/>
    <s v="MtCO2e/yr"/>
  </r>
  <r>
    <s v="Fig_3.8"/>
    <s v="Bar"/>
    <x v="2"/>
    <x v="1"/>
    <x v="0"/>
    <x v="1"/>
    <x v="0"/>
    <n v="-7.7"/>
    <s v="MtCO2e/yr"/>
  </r>
  <r>
    <s v="Fig_3.8"/>
    <s v="Bar"/>
    <x v="3"/>
    <x v="1"/>
    <x v="0"/>
    <x v="1"/>
    <x v="0"/>
    <n v="-7.1"/>
    <s v="MtCO2e/yr"/>
  </r>
  <r>
    <s v="Fig_3.8"/>
    <s v="Bar"/>
    <x v="0"/>
    <x v="1"/>
    <x v="0"/>
    <x v="0"/>
    <x v="1"/>
    <n v="-11"/>
    <s v="MtCO2e/yr"/>
  </r>
  <r>
    <s v="Fig_3.8"/>
    <s v="Bar"/>
    <x v="1"/>
    <x v="1"/>
    <x v="0"/>
    <x v="0"/>
    <x v="1"/>
    <n v="-7.3"/>
    <s v="MtCO2e/yr"/>
  </r>
  <r>
    <s v="Fig_3.8"/>
    <s v="Bar"/>
    <x v="2"/>
    <x v="1"/>
    <x v="0"/>
    <x v="0"/>
    <x v="1"/>
    <n v="-6.2"/>
    <s v="MtCO2e/yr"/>
  </r>
  <r>
    <s v="Fig_3.8"/>
    <s v="Bar"/>
    <x v="3"/>
    <x v="1"/>
    <x v="0"/>
    <x v="0"/>
    <x v="1"/>
    <n v="-5.8"/>
    <s v="MtCO2e/yr"/>
  </r>
  <r>
    <s v="Fig_3.8"/>
    <s v="Bar"/>
    <x v="0"/>
    <x v="1"/>
    <x v="0"/>
    <x v="1"/>
    <x v="1"/>
    <n v="-11"/>
    <s v="MtCO2e/yr"/>
  </r>
  <r>
    <s v="Fig_3.8"/>
    <s v="Bar"/>
    <x v="1"/>
    <x v="1"/>
    <x v="0"/>
    <x v="1"/>
    <x v="1"/>
    <n v="-7.3"/>
    <s v="MtCO2e/yr"/>
  </r>
  <r>
    <s v="Fig_3.8"/>
    <s v="Bar"/>
    <x v="2"/>
    <x v="1"/>
    <x v="0"/>
    <x v="1"/>
    <x v="1"/>
    <n v="-5.9"/>
    <s v="MtCO2e/yr"/>
  </r>
  <r>
    <s v="Fig_3.8"/>
    <s v="Bar"/>
    <x v="3"/>
    <x v="1"/>
    <x v="0"/>
    <x v="1"/>
    <x v="1"/>
    <n v="-5.3"/>
    <s v="MtCO2e/yr"/>
  </r>
  <r>
    <s v="Fig_3.8"/>
    <s v="Bar"/>
    <x v="0"/>
    <x v="1"/>
    <x v="0"/>
    <x v="0"/>
    <x v="4"/>
    <n v="-12.1"/>
    <s v="MtCO2e/yr"/>
  </r>
  <r>
    <s v="Fig_3.8"/>
    <s v="Bar"/>
    <x v="1"/>
    <x v="1"/>
    <x v="0"/>
    <x v="0"/>
    <x v="4"/>
    <n v="-8.3000000000000007"/>
    <s v="MtCO2e/yr"/>
  </r>
  <r>
    <s v="Fig_3.8"/>
    <s v="Bar"/>
    <x v="2"/>
    <x v="1"/>
    <x v="0"/>
    <x v="0"/>
    <x v="4"/>
    <n v="-7.2"/>
    <s v="MtCO2e/yr"/>
  </r>
  <r>
    <s v="Fig_3.8"/>
    <s v="Bar"/>
    <x v="3"/>
    <x v="1"/>
    <x v="0"/>
    <x v="0"/>
    <x v="4"/>
    <n v="-6.8"/>
    <s v="MtCO2e/yr"/>
  </r>
  <r>
    <s v="Fig_3.8"/>
    <s v="Bar"/>
    <x v="0"/>
    <x v="1"/>
    <x v="0"/>
    <x v="1"/>
    <x v="4"/>
    <n v="-12.1"/>
    <s v="MtCO2e/yr"/>
  </r>
  <r>
    <s v="Fig_3.8"/>
    <s v="Bar"/>
    <x v="1"/>
    <x v="1"/>
    <x v="0"/>
    <x v="1"/>
    <x v="4"/>
    <n v="-8"/>
    <s v="MtCO2e/yr"/>
  </r>
  <r>
    <s v="Fig_3.8"/>
    <s v="Bar"/>
    <x v="2"/>
    <x v="1"/>
    <x v="0"/>
    <x v="1"/>
    <x v="4"/>
    <n v="-7"/>
    <s v="MtCO2e/yr"/>
  </r>
  <r>
    <s v="Fig_3.8"/>
    <s v="Bar"/>
    <x v="3"/>
    <x v="1"/>
    <x v="0"/>
    <x v="1"/>
    <x v="4"/>
    <n v="-6.5"/>
    <s v="MtCO2e/yr"/>
  </r>
  <r>
    <s v="Fig_3.8"/>
    <s v="Bar"/>
    <x v="0"/>
    <x v="1"/>
    <x v="0"/>
    <x v="0"/>
    <x v="3"/>
    <n v="-12"/>
    <s v="MtCO2e/yr"/>
  </r>
  <r>
    <s v="Fig_3.8"/>
    <s v="Bar"/>
    <x v="1"/>
    <x v="1"/>
    <x v="0"/>
    <x v="0"/>
    <x v="3"/>
    <n v="-8"/>
    <s v="MtCO2e/yr"/>
  </r>
  <r>
    <s v="Fig_3.8"/>
    <s v="Bar"/>
    <x v="2"/>
    <x v="1"/>
    <x v="0"/>
    <x v="0"/>
    <x v="3"/>
    <n v="-7"/>
    <s v="MtCO2e/yr"/>
  </r>
  <r>
    <s v="Fig_3.8"/>
    <s v="Bar"/>
    <x v="3"/>
    <x v="1"/>
    <x v="0"/>
    <x v="0"/>
    <x v="3"/>
    <n v="-6.7"/>
    <s v="MtCO2e/yr"/>
  </r>
  <r>
    <s v="Fig_3.8"/>
    <s v="Bar"/>
    <x v="0"/>
    <x v="1"/>
    <x v="0"/>
    <x v="1"/>
    <x v="3"/>
    <n v="-12"/>
    <s v="MtCO2e/yr"/>
  </r>
  <r>
    <s v="Fig_3.8"/>
    <s v="Bar"/>
    <x v="1"/>
    <x v="1"/>
    <x v="0"/>
    <x v="1"/>
    <x v="3"/>
    <n v="-8"/>
    <s v="MtCO2e/yr"/>
  </r>
  <r>
    <s v="Fig_3.8"/>
    <s v="Bar"/>
    <x v="2"/>
    <x v="1"/>
    <x v="0"/>
    <x v="1"/>
    <x v="3"/>
    <n v="-6.8"/>
    <s v="MtCO2e/yr"/>
  </r>
  <r>
    <s v="Fig_3.8"/>
    <s v="Bar"/>
    <x v="3"/>
    <x v="1"/>
    <x v="0"/>
    <x v="1"/>
    <x v="3"/>
    <n v="-6.4"/>
    <s v="MtCO2e/yr"/>
  </r>
  <r>
    <s v="Fig_3.8"/>
    <s v="Bar"/>
    <x v="0"/>
    <x v="1"/>
    <x v="0"/>
    <x v="0"/>
    <x v="2"/>
    <n v="-13.3"/>
    <s v="MtCO2e/yr"/>
  </r>
  <r>
    <s v="Fig_3.8"/>
    <s v="Bar"/>
    <x v="1"/>
    <x v="1"/>
    <x v="0"/>
    <x v="0"/>
    <x v="2"/>
    <n v="-9.3000000000000007"/>
    <s v="MtCO2e/yr"/>
  </r>
  <r>
    <s v="Fig_3.8"/>
    <s v="Bar"/>
    <x v="2"/>
    <x v="1"/>
    <x v="0"/>
    <x v="0"/>
    <x v="2"/>
    <n v="-7.9"/>
    <s v="MtCO2e/yr"/>
  </r>
  <r>
    <s v="Fig_3.8"/>
    <s v="Bar"/>
    <x v="3"/>
    <x v="1"/>
    <x v="0"/>
    <x v="0"/>
    <x v="2"/>
    <n v="-7.3"/>
    <s v="MtCO2e/yr"/>
  </r>
  <r>
    <s v="Fig_3.8"/>
    <s v="Bar"/>
    <x v="0"/>
    <x v="1"/>
    <x v="0"/>
    <x v="1"/>
    <x v="2"/>
    <n v="-13.3"/>
    <s v="MtCO2e/yr"/>
  </r>
  <r>
    <s v="Fig_3.8"/>
    <s v="Bar"/>
    <x v="1"/>
    <x v="1"/>
    <x v="0"/>
    <x v="1"/>
    <x v="2"/>
    <n v="-9.1"/>
    <s v="MtCO2e/yr"/>
  </r>
  <r>
    <s v="Fig_3.8"/>
    <s v="Bar"/>
    <x v="2"/>
    <x v="1"/>
    <x v="0"/>
    <x v="1"/>
    <x v="2"/>
    <n v="-7.7"/>
    <s v="MtCO2e/yr"/>
  </r>
  <r>
    <s v="Fig_3.8"/>
    <s v="Bar"/>
    <x v="3"/>
    <x v="1"/>
    <x v="0"/>
    <x v="1"/>
    <x v="2"/>
    <n v="-7.1"/>
    <s v="MtCO2e/yr"/>
  </r>
  <r>
    <s v="Fig_3.8"/>
    <s v="Bar"/>
    <x v="0"/>
    <x v="1"/>
    <x v="1"/>
    <x v="0"/>
    <x v="0"/>
    <n v="-17.2"/>
    <s v="MtCO2e/yr"/>
  </r>
  <r>
    <s v="Fig_3.8"/>
    <s v="Bar"/>
    <x v="1"/>
    <x v="1"/>
    <x v="1"/>
    <x v="0"/>
    <x v="0"/>
    <n v="-21.7"/>
    <s v="MtCO2e/yr"/>
  </r>
  <r>
    <s v="Fig_3.8"/>
    <s v="Bar"/>
    <x v="2"/>
    <x v="1"/>
    <x v="1"/>
    <x v="0"/>
    <x v="0"/>
    <n v="-28.7"/>
    <s v="MtCO2e/yr"/>
  </r>
  <r>
    <s v="Fig_3.8"/>
    <s v="Bar"/>
    <x v="3"/>
    <x v="1"/>
    <x v="1"/>
    <x v="0"/>
    <x v="0"/>
    <n v="-37.700000000000003"/>
    <s v="MtCO2e/yr"/>
  </r>
  <r>
    <s v="Fig_3.8"/>
    <s v="Bar"/>
    <x v="0"/>
    <x v="1"/>
    <x v="1"/>
    <x v="1"/>
    <x v="0"/>
    <n v="-17.2"/>
    <s v="MtCO2e/yr"/>
  </r>
  <r>
    <s v="Fig_3.8"/>
    <s v="Bar"/>
    <x v="1"/>
    <x v="1"/>
    <x v="1"/>
    <x v="1"/>
    <x v="0"/>
    <n v="-21.2"/>
    <s v="MtCO2e/yr"/>
  </r>
  <r>
    <s v="Fig_3.8"/>
    <s v="Bar"/>
    <x v="2"/>
    <x v="1"/>
    <x v="1"/>
    <x v="1"/>
    <x v="0"/>
    <n v="-25.6"/>
    <s v="MtCO2e/yr"/>
  </r>
  <r>
    <s v="Fig_3.8"/>
    <s v="Bar"/>
    <x v="3"/>
    <x v="1"/>
    <x v="1"/>
    <x v="1"/>
    <x v="0"/>
    <n v="-30.8"/>
    <s v="MtCO2e/yr"/>
  </r>
  <r>
    <s v="Fig_3.8"/>
    <s v="Bar"/>
    <x v="0"/>
    <x v="1"/>
    <x v="1"/>
    <x v="0"/>
    <x v="1"/>
    <n v="-8.8000000000000007"/>
    <s v="MtCO2e/yr"/>
  </r>
  <r>
    <s v="Fig_3.8"/>
    <s v="Bar"/>
    <x v="1"/>
    <x v="1"/>
    <x v="1"/>
    <x v="0"/>
    <x v="1"/>
    <n v="-10.7"/>
    <s v="MtCO2e/yr"/>
  </r>
  <r>
    <s v="Fig_3.8"/>
    <s v="Line"/>
    <x v="0"/>
    <x v="1"/>
    <x v="8"/>
    <x v="0"/>
    <x v="2"/>
    <n v="-85.6"/>
    <s v="MtCO2e/yr"/>
  </r>
  <r>
    <s v="Fig_3.8"/>
    <s v="Line"/>
    <x v="0"/>
    <x v="1"/>
    <x v="8"/>
    <x v="1"/>
    <x v="3"/>
    <n v="-46"/>
    <s v="MtCO2e/yr"/>
  </r>
  <r>
    <s v="Fig_3.8"/>
    <s v="Line"/>
    <x v="0"/>
    <x v="1"/>
    <x v="8"/>
    <x v="1"/>
    <x v="4"/>
    <n v="-53.7"/>
    <s v="MtCO2e/yr"/>
  </r>
  <r>
    <s v="Fig_3.8"/>
    <s v="Line"/>
    <x v="0"/>
    <x v="1"/>
    <x v="8"/>
    <x v="1"/>
    <x v="1"/>
    <n v="-22.7"/>
    <s v="MtCO2e/yr"/>
  </r>
  <r>
    <s v="Fig_3.8"/>
    <s v="Line"/>
    <x v="0"/>
    <x v="1"/>
    <x v="8"/>
    <x v="1"/>
    <x v="0"/>
    <n v="-65.8"/>
    <s v="MtCO2e/yr"/>
  </r>
  <r>
    <s v="Fig_3.8"/>
    <s v="Line"/>
    <x v="1"/>
    <x v="1"/>
    <x v="8"/>
    <x v="0"/>
    <x v="2"/>
    <n v="-207.9"/>
    <s v="MtCO2e/yr"/>
  </r>
  <r>
    <s v="Fig_3.8"/>
    <s v="Line"/>
    <x v="0"/>
    <x v="1"/>
    <x v="8"/>
    <x v="0"/>
    <x v="3"/>
    <n v="-46"/>
    <s v="MtCO2e/yr"/>
  </r>
  <r>
    <s v="Fig_3.8"/>
    <s v="Line"/>
    <x v="0"/>
    <x v="1"/>
    <x v="8"/>
    <x v="0"/>
    <x v="4"/>
    <n v="-53.7"/>
    <s v="MtCO2e/yr"/>
  </r>
  <r>
    <s v="Fig_3.8"/>
    <s v="Line"/>
    <x v="0"/>
    <x v="1"/>
    <x v="8"/>
    <x v="0"/>
    <x v="1"/>
    <n v="-22.7"/>
    <s v="MtCO2e/yr"/>
  </r>
  <r>
    <s v="Fig_3.8"/>
    <s v="Line"/>
    <x v="0"/>
    <x v="1"/>
    <x v="8"/>
    <x v="0"/>
    <x v="0"/>
    <n v="-65.8"/>
    <s v="MtCO2e/yr"/>
  </r>
  <r>
    <s v="Fig_3.8"/>
    <s v="Bar"/>
    <x v="2"/>
    <x v="0"/>
    <x v="0"/>
    <x v="0"/>
    <x v="1"/>
    <n v="32.5"/>
    <s v="MtCO2e/yr"/>
  </r>
  <r>
    <s v="Fig_3.8"/>
    <s v="Bar"/>
    <x v="3"/>
    <x v="0"/>
    <x v="0"/>
    <x v="0"/>
    <x v="1"/>
    <n v="21.9"/>
    <s v="MtCO2e/yr"/>
  </r>
  <r>
    <s v="Fig_3.8"/>
    <s v="Bar"/>
    <x v="0"/>
    <x v="0"/>
    <x v="0"/>
    <x v="1"/>
    <x v="1"/>
    <n v="-4.7"/>
    <s v="MtCO2e/yr"/>
  </r>
  <r>
    <s v="Fig_3.8"/>
    <s v="Bar"/>
    <x v="1"/>
    <x v="0"/>
    <x v="0"/>
    <x v="1"/>
    <x v="1"/>
    <n v="-6.9"/>
    <s v="MtCO2e/yr"/>
  </r>
  <r>
    <s v="Fig_3.8"/>
    <s v="Bar"/>
    <x v="2"/>
    <x v="0"/>
    <x v="0"/>
    <x v="1"/>
    <x v="1"/>
    <n v="-6.8"/>
    <s v="MtCO2e/yr"/>
  </r>
  <r>
    <s v="Fig_3.8"/>
    <s v="Bar"/>
    <x v="3"/>
    <x v="0"/>
    <x v="0"/>
    <x v="1"/>
    <x v="1"/>
    <n v="-4.9000000000000004"/>
    <s v="MtCO2e/yr"/>
  </r>
  <r>
    <s v="Fig_3.8"/>
    <s v="Bar"/>
    <x v="0"/>
    <x v="0"/>
    <x v="0"/>
    <x v="0"/>
    <x v="4"/>
    <n v="121.7"/>
    <s v="MtCO2e/yr"/>
  </r>
  <r>
    <s v="Fig_3.8"/>
    <s v="Bar"/>
    <x v="1"/>
    <x v="0"/>
    <x v="0"/>
    <x v="0"/>
    <x v="4"/>
    <n v="113.6"/>
    <s v="MtCO2e/yr"/>
  </r>
  <r>
    <s v="Fig_3.8"/>
    <s v="Bar"/>
    <x v="2"/>
    <x v="0"/>
    <x v="0"/>
    <x v="0"/>
    <x v="4"/>
    <n v="80.3"/>
    <s v="MtCO2e/yr"/>
  </r>
  <r>
    <s v="Fig_3.8"/>
    <s v="Bar"/>
    <x v="3"/>
    <x v="0"/>
    <x v="0"/>
    <x v="0"/>
    <x v="4"/>
    <n v="54.4"/>
    <s v="MtCO2e/yr"/>
  </r>
  <r>
    <s v="Fig_3.8"/>
    <s v="Bar"/>
    <x v="2"/>
    <x v="0"/>
    <x v="1"/>
    <x v="0"/>
    <x v="1"/>
    <n v="-1.9"/>
    <s v="MtCO2e/yr"/>
  </r>
  <r>
    <s v="Fig_3.8"/>
    <s v="Bar"/>
    <x v="3"/>
    <x v="0"/>
    <x v="1"/>
    <x v="0"/>
    <x v="1"/>
    <n v="-2.7"/>
    <s v="MtCO2e/yr"/>
  </r>
  <r>
    <s v="Fig_3.8"/>
    <s v="Bar"/>
    <x v="0"/>
    <x v="0"/>
    <x v="1"/>
    <x v="1"/>
    <x v="1"/>
    <n v="-0.2"/>
    <s v="MtCO2e/yr"/>
  </r>
  <r>
    <s v="Fig_3.8"/>
    <s v="Bar"/>
    <x v="1"/>
    <x v="0"/>
    <x v="1"/>
    <x v="1"/>
    <x v="1"/>
    <n v="-0.2"/>
    <s v="MtCO2e/yr"/>
  </r>
  <r>
    <s v="Fig_3.8"/>
    <s v="Bar"/>
    <x v="2"/>
    <x v="0"/>
    <x v="1"/>
    <x v="1"/>
    <x v="1"/>
    <n v="-0.8"/>
    <s v="MtCO2e/yr"/>
  </r>
  <r>
    <s v="Fig_3.8"/>
    <s v="Bar"/>
    <x v="3"/>
    <x v="0"/>
    <x v="1"/>
    <x v="1"/>
    <x v="1"/>
    <n v="-1"/>
    <s v="MtCO2e/yr"/>
  </r>
  <r>
    <s v="Fig_3.8"/>
    <s v="Bar"/>
    <x v="0"/>
    <x v="0"/>
    <x v="1"/>
    <x v="0"/>
    <x v="4"/>
    <n v="-2.6"/>
    <s v="MtCO2e/yr"/>
  </r>
  <r>
    <s v="Fig_3.8"/>
    <s v="Bar"/>
    <x v="1"/>
    <x v="0"/>
    <x v="1"/>
    <x v="0"/>
    <x v="4"/>
    <n v="-5.5"/>
    <s v="MtCO2e/yr"/>
  </r>
  <r>
    <s v="Fig_3.8"/>
    <s v="Bar"/>
    <x v="2"/>
    <x v="0"/>
    <x v="1"/>
    <x v="0"/>
    <x v="4"/>
    <n v="-7.5"/>
    <s v="MtCO2e/yr"/>
  </r>
  <r>
    <s v="Fig_3.8"/>
    <s v="Bar"/>
    <x v="3"/>
    <x v="0"/>
    <x v="1"/>
    <x v="0"/>
    <x v="4"/>
    <n v="-9.1"/>
    <s v="MtCO2e/yr"/>
  </r>
  <r>
    <s v="Fig_3.8"/>
    <s v="Bar"/>
    <x v="2"/>
    <x v="0"/>
    <x v="2"/>
    <x v="0"/>
    <x v="1"/>
    <n v="-0.8"/>
    <s v="MtCO2e/yr"/>
  </r>
  <r>
    <s v="Fig_3.8"/>
    <s v="Bar"/>
    <x v="3"/>
    <x v="0"/>
    <x v="2"/>
    <x v="0"/>
    <x v="1"/>
    <n v="-0.8"/>
    <s v="MtCO2e/yr"/>
  </r>
  <r>
    <s v="Fig_3.8"/>
    <s v="Bar"/>
    <x v="0"/>
    <x v="0"/>
    <x v="2"/>
    <x v="1"/>
    <x v="1"/>
    <n v="-0.3"/>
    <s v="MtCO2e/yr"/>
  </r>
  <r>
    <s v="Fig_3.8"/>
    <s v="Bar"/>
    <x v="1"/>
    <x v="0"/>
    <x v="2"/>
    <x v="1"/>
    <x v="1"/>
    <n v="-0.5"/>
    <s v="MtCO2e/yr"/>
  </r>
  <r>
    <s v="Fig_3.8"/>
    <s v="Bar"/>
    <x v="2"/>
    <x v="0"/>
    <x v="2"/>
    <x v="1"/>
    <x v="1"/>
    <n v="-0.5"/>
    <s v="MtCO2e/yr"/>
  </r>
  <r>
    <s v="Fig_3.8"/>
    <s v="Bar"/>
    <x v="3"/>
    <x v="0"/>
    <x v="2"/>
    <x v="1"/>
    <x v="1"/>
    <n v="-0.5"/>
    <s v="MtCO2e/yr"/>
  </r>
  <r>
    <s v="Fig_3.8"/>
    <s v="Bar"/>
    <x v="0"/>
    <x v="0"/>
    <x v="2"/>
    <x v="0"/>
    <x v="4"/>
    <n v="0.3"/>
    <s v="MtCO2e/yr"/>
  </r>
  <r>
    <s v="Fig_3.8"/>
    <s v="Bar"/>
    <x v="1"/>
    <x v="0"/>
    <x v="2"/>
    <x v="0"/>
    <x v="4"/>
    <n v="-2.2000000000000002"/>
    <s v="MtCO2e/yr"/>
  </r>
  <r>
    <s v="Fig_3.8"/>
    <s v="Bar"/>
    <x v="2"/>
    <x v="0"/>
    <x v="2"/>
    <x v="0"/>
    <x v="4"/>
    <n v="-5.3"/>
    <s v="MtCO2e/yr"/>
  </r>
  <r>
    <s v="Fig_3.8"/>
    <s v="Bar"/>
    <x v="3"/>
    <x v="0"/>
    <x v="2"/>
    <x v="0"/>
    <x v="4"/>
    <n v="-8.1"/>
    <s v="MtCO2e/yr"/>
  </r>
  <r>
    <s v="Fig_3.8"/>
    <s v="Bar"/>
    <x v="2"/>
    <x v="0"/>
    <x v="3"/>
    <x v="0"/>
    <x v="1"/>
    <n v="-22"/>
    <s v="MtCO2e/yr"/>
  </r>
  <r>
    <s v="Fig_3.8"/>
    <s v="Bar"/>
    <x v="3"/>
    <x v="0"/>
    <x v="3"/>
    <x v="0"/>
    <x v="1"/>
    <n v="-28.1"/>
    <s v="MtCO2e/yr"/>
  </r>
  <r>
    <s v="Fig_3.8"/>
    <s v="Bar"/>
    <x v="0"/>
    <x v="0"/>
    <x v="3"/>
    <x v="1"/>
    <x v="1"/>
    <n v="-8.3000000000000007"/>
    <s v="MtCO2e/yr"/>
  </r>
  <r>
    <s v="Fig_3.8"/>
    <s v="Bar"/>
    <x v="1"/>
    <x v="0"/>
    <x v="3"/>
    <x v="1"/>
    <x v="1"/>
    <n v="-8.8000000000000007"/>
    <s v="MtCO2e/yr"/>
  </r>
  <r>
    <s v="Fig_3.8"/>
    <s v="Bar"/>
    <x v="2"/>
    <x v="0"/>
    <x v="3"/>
    <x v="1"/>
    <x v="1"/>
    <n v="-4.5999999999999996"/>
    <s v="MtCO2e/yr"/>
  </r>
  <r>
    <s v="Fig_3.8"/>
    <s v="Bar"/>
    <x v="3"/>
    <x v="0"/>
    <x v="3"/>
    <x v="1"/>
    <x v="1"/>
    <n v="-0.9"/>
    <s v="MtCO2e/yr"/>
  </r>
  <r>
    <s v="Fig_3.8"/>
    <s v="Bar"/>
    <x v="0"/>
    <x v="0"/>
    <x v="3"/>
    <x v="0"/>
    <x v="4"/>
    <n v="-16.2"/>
    <s v="MtCO2e/yr"/>
  </r>
  <r>
    <s v="Fig_3.8"/>
    <s v="Bar"/>
    <x v="1"/>
    <x v="0"/>
    <x v="3"/>
    <x v="0"/>
    <x v="4"/>
    <n v="-50.8"/>
    <s v="MtCO2e/yr"/>
  </r>
  <r>
    <s v="Fig_3.8"/>
    <s v="Bar"/>
    <x v="2"/>
    <x v="0"/>
    <x v="3"/>
    <x v="0"/>
    <x v="4"/>
    <n v="-61.2"/>
    <s v="MtCO2e/yr"/>
  </r>
  <r>
    <s v="Fig_3.8"/>
    <s v="Bar"/>
    <x v="3"/>
    <x v="0"/>
    <x v="3"/>
    <x v="0"/>
    <x v="4"/>
    <n v="-73.2"/>
    <s v="MtCO2e/yr"/>
  </r>
  <r>
    <s v="Fig_3.8"/>
    <s v="Bar"/>
    <x v="2"/>
    <x v="0"/>
    <x v="4"/>
    <x v="0"/>
    <x v="1"/>
    <n v="-0.7"/>
    <s v="MtCO2e/yr"/>
  </r>
  <r>
    <s v="Fig_3.8"/>
    <s v="Bar"/>
    <x v="3"/>
    <x v="0"/>
    <x v="4"/>
    <x v="0"/>
    <x v="1"/>
    <n v="4.8"/>
    <s v="MtCO2e/yr"/>
  </r>
  <r>
    <s v="Fig_3.8"/>
    <s v="Bar"/>
    <x v="0"/>
    <x v="0"/>
    <x v="4"/>
    <x v="1"/>
    <x v="1"/>
    <m/>
    <s v="MtCO2e/yr"/>
  </r>
  <r>
    <s v="Fig_3.8"/>
    <s v="Bar"/>
    <x v="1"/>
    <x v="0"/>
    <x v="4"/>
    <x v="1"/>
    <x v="1"/>
    <n v="-11.1"/>
    <s v="MtCO2e/yr"/>
  </r>
  <r>
    <s v="Fig_3.8"/>
    <s v="Bar"/>
    <x v="2"/>
    <x v="0"/>
    <x v="4"/>
    <x v="1"/>
    <x v="1"/>
    <n v="-19.8"/>
    <s v="MtCO2e/yr"/>
  </r>
  <r>
    <s v="Fig_3.8"/>
    <s v="Bar"/>
    <x v="3"/>
    <x v="0"/>
    <x v="4"/>
    <x v="1"/>
    <x v="1"/>
    <n v="-24.7"/>
    <s v="MtCO2e/yr"/>
  </r>
  <r>
    <s v="Fig_3.8"/>
    <s v="Bar"/>
    <x v="0"/>
    <x v="0"/>
    <x v="4"/>
    <x v="0"/>
    <x v="4"/>
    <m/>
    <s v="MtCO2e/yr"/>
  </r>
  <r>
    <s v="Fig_3.8"/>
    <s v="Bar"/>
    <x v="1"/>
    <x v="0"/>
    <x v="4"/>
    <x v="0"/>
    <x v="4"/>
    <n v="-41.8"/>
    <s v="MtCO2e/yr"/>
  </r>
  <r>
    <s v="Fig_3.8"/>
    <s v="Bar"/>
    <x v="2"/>
    <x v="0"/>
    <x v="4"/>
    <x v="0"/>
    <x v="4"/>
    <n v="-54.8"/>
    <s v="MtCO2e/yr"/>
  </r>
  <r>
    <s v="Fig_3.8"/>
    <s v="Bar"/>
    <x v="3"/>
    <x v="0"/>
    <x v="4"/>
    <x v="0"/>
    <x v="4"/>
    <n v="-66.2"/>
    <s v="MtCO2e/yr"/>
  </r>
  <r>
    <s v="Fig_3.8"/>
    <s v="Bar"/>
    <x v="2"/>
    <x v="0"/>
    <x v="5"/>
    <x v="0"/>
    <x v="1"/>
    <n v="0.1"/>
    <s v="MtCO2e/yr"/>
  </r>
  <r>
    <s v="Fig_3.8"/>
    <s v="Bar"/>
    <x v="3"/>
    <x v="0"/>
    <x v="5"/>
    <x v="0"/>
    <x v="1"/>
    <n v="0.2"/>
    <s v="MtCO2e/yr"/>
  </r>
  <r>
    <s v="Fig_3.8"/>
    <s v="Bar"/>
    <x v="0"/>
    <x v="0"/>
    <x v="5"/>
    <x v="1"/>
    <x v="1"/>
    <n v="0.7"/>
    <s v="MtCO2e/yr"/>
  </r>
  <r>
    <s v="Fig_3.8"/>
    <s v="Bar"/>
    <x v="1"/>
    <x v="0"/>
    <x v="5"/>
    <x v="1"/>
    <x v="1"/>
    <n v="0.4"/>
    <s v="MtCO2e/yr"/>
  </r>
  <r>
    <s v="Fig_3.8"/>
    <s v="Bar"/>
    <x v="2"/>
    <x v="0"/>
    <x v="5"/>
    <x v="1"/>
    <x v="1"/>
    <n v="0.1"/>
    <s v="MtCO2e/yr"/>
  </r>
  <r>
    <s v="Fig_3.8"/>
    <s v="Bar"/>
    <x v="3"/>
    <x v="0"/>
    <x v="5"/>
    <x v="1"/>
    <x v="1"/>
    <n v="0"/>
    <s v="MtCO2e/yr"/>
  </r>
  <r>
    <s v="Fig_3.8"/>
    <s v="Bar"/>
    <x v="0"/>
    <x v="0"/>
    <x v="5"/>
    <x v="0"/>
    <x v="4"/>
    <n v="1.4"/>
    <s v="MtCO2e/yr"/>
  </r>
  <r>
    <s v="Fig_3.8"/>
    <s v="Bar"/>
    <x v="1"/>
    <x v="0"/>
    <x v="5"/>
    <x v="0"/>
    <x v="4"/>
    <n v="1.3"/>
    <s v="MtCO2e/yr"/>
  </r>
  <r>
    <s v="Fig_3.8"/>
    <s v="Bar"/>
    <x v="2"/>
    <x v="0"/>
    <x v="5"/>
    <x v="0"/>
    <x v="4"/>
    <n v="1.3"/>
    <s v="MtCO2e/yr"/>
  </r>
  <r>
    <s v="Fig_3.8"/>
    <s v="Bar"/>
    <x v="3"/>
    <x v="0"/>
    <x v="5"/>
    <x v="0"/>
    <x v="4"/>
    <n v="1.2"/>
    <s v="MtCO2e/yr"/>
  </r>
  <r>
    <s v="Fig_3.8"/>
    <s v="Bar"/>
    <x v="2"/>
    <x v="0"/>
    <x v="6"/>
    <x v="0"/>
    <x v="1"/>
    <n v="-33.299999999999997"/>
    <s v="MtCO2e/yr"/>
  </r>
  <r>
    <s v="Fig_3.8"/>
    <s v="Bar"/>
    <x v="3"/>
    <x v="0"/>
    <x v="6"/>
    <x v="0"/>
    <x v="1"/>
    <n v="-27.3"/>
    <s v="MtCO2e/yr"/>
  </r>
  <r>
    <s v="Fig_3.8"/>
    <s v="Bar"/>
    <x v="0"/>
    <x v="0"/>
    <x v="6"/>
    <x v="1"/>
    <x v="1"/>
    <n v="-17.600000000000001"/>
    <s v="MtCO2e/yr"/>
  </r>
  <r>
    <s v="Fig_3.8"/>
    <s v="Bar"/>
    <x v="1"/>
    <x v="0"/>
    <x v="6"/>
    <x v="1"/>
    <x v="1"/>
    <n v="-13.2"/>
    <s v="MtCO2e/yr"/>
  </r>
  <r>
    <s v="Fig_3.8"/>
    <s v="Bar"/>
    <x v="2"/>
    <x v="0"/>
    <x v="6"/>
    <x v="1"/>
    <x v="1"/>
    <n v="-6.1"/>
    <s v="MtCO2e/yr"/>
  </r>
  <r>
    <s v="Fig_3.8"/>
    <s v="Bar"/>
    <x v="3"/>
    <x v="0"/>
    <x v="6"/>
    <x v="1"/>
    <x v="1"/>
    <n v="-7.9"/>
    <s v="MtCO2e/yr"/>
  </r>
  <r>
    <s v="Fig_3.8"/>
    <s v="Bar"/>
    <x v="0"/>
    <x v="0"/>
    <x v="6"/>
    <x v="0"/>
    <x v="4"/>
    <n v="-101.2"/>
    <s v="MtCO2e/yr"/>
  </r>
  <r>
    <s v="Fig_3.8"/>
    <s v="Bar"/>
    <x v="1"/>
    <x v="0"/>
    <x v="6"/>
    <x v="0"/>
    <x v="4"/>
    <n v="-131.1"/>
    <s v="MtCO2e/yr"/>
  </r>
  <r>
    <s v="Fig_3.8"/>
    <s v="Bar"/>
    <x v="2"/>
    <x v="0"/>
    <x v="6"/>
    <x v="0"/>
    <x v="4"/>
    <n v="-124.7"/>
    <s v="MtCO2e/yr"/>
  </r>
  <r>
    <s v="Fig_3.8"/>
    <s v="Bar"/>
    <x v="3"/>
    <x v="0"/>
    <x v="6"/>
    <x v="0"/>
    <x v="4"/>
    <n v="-112.3"/>
    <s v="MtCO2e/yr"/>
  </r>
  <r>
    <s v="Fig_3.8"/>
    <s v="Bar"/>
    <x v="2"/>
    <x v="0"/>
    <x v="7"/>
    <x v="0"/>
    <x v="1"/>
    <n v="-2.1"/>
    <s v="MtCO2e/yr"/>
  </r>
  <r>
    <s v="Fig_3.8"/>
    <s v="Bar"/>
    <x v="3"/>
    <x v="0"/>
    <x v="7"/>
    <x v="0"/>
    <x v="1"/>
    <n v="-4.5"/>
    <s v="MtCO2e/yr"/>
  </r>
  <r>
    <s v="Fig_3.8"/>
    <s v="Bar"/>
    <x v="0"/>
    <x v="0"/>
    <x v="7"/>
    <x v="1"/>
    <x v="1"/>
    <n v="-0.1"/>
    <s v="MtCO2e/yr"/>
  </r>
  <r>
    <s v="Fig_3.8"/>
    <s v="Bar"/>
    <x v="1"/>
    <x v="0"/>
    <x v="7"/>
    <x v="1"/>
    <x v="1"/>
    <n v="-0.2"/>
    <s v="MtCO2e/yr"/>
  </r>
  <r>
    <s v="Fig_3.8"/>
    <s v="Bar"/>
    <x v="2"/>
    <x v="0"/>
    <x v="7"/>
    <x v="1"/>
    <x v="1"/>
    <n v="-0.5"/>
    <s v="MtCO2e/yr"/>
  </r>
  <r>
    <s v="Fig_3.8"/>
    <s v="Bar"/>
    <x v="3"/>
    <x v="0"/>
    <x v="7"/>
    <x v="1"/>
    <x v="1"/>
    <n v="-2.4"/>
    <s v="MtCO2e/yr"/>
  </r>
  <r>
    <s v="Fig_3.8"/>
    <s v="Bar"/>
    <x v="0"/>
    <x v="0"/>
    <x v="7"/>
    <x v="0"/>
    <x v="4"/>
    <n v="-10"/>
    <s v="MtCO2e/yr"/>
  </r>
  <r>
    <s v="Fig_3.8"/>
    <s v="Bar"/>
    <x v="1"/>
    <x v="0"/>
    <x v="7"/>
    <x v="0"/>
    <x v="4"/>
    <n v="-15"/>
    <s v="MtCO2e/yr"/>
  </r>
  <r>
    <s v="Fig_3.8"/>
    <s v="Bar"/>
    <x v="2"/>
    <x v="0"/>
    <x v="7"/>
    <x v="0"/>
    <x v="4"/>
    <n v="-28.5"/>
    <s v="MtCO2e/yr"/>
  </r>
  <r>
    <s v="Fig_3.8"/>
    <s v="Bar"/>
    <x v="3"/>
    <x v="0"/>
    <x v="7"/>
    <x v="0"/>
    <x v="4"/>
    <n v="-35.5"/>
    <s v="MtCO2e/yr"/>
  </r>
  <r>
    <s v="Fig_3.8"/>
    <s v="Line"/>
    <x v="1"/>
    <x v="0"/>
    <x v="8"/>
    <x v="1"/>
    <x v="2"/>
    <n v="-328.3"/>
    <s v="MtCO2e/yr"/>
  </r>
  <r>
    <s v="Fig_3.8"/>
    <s v="Line"/>
    <x v="1"/>
    <x v="0"/>
    <x v="8"/>
    <x v="1"/>
    <x v="3"/>
    <n v="-104.5"/>
    <s v="MtCO2e/yr"/>
  </r>
  <r>
    <s v="Fig_3.8"/>
    <s v="Line"/>
    <x v="1"/>
    <x v="0"/>
    <x v="8"/>
    <x v="1"/>
    <x v="4"/>
    <n v="-198.2"/>
    <s v="MtCO2e/yr"/>
  </r>
  <r>
    <s v="Fig_3.8"/>
    <s v="Line"/>
    <x v="1"/>
    <x v="0"/>
    <x v="8"/>
    <x v="1"/>
    <x v="1"/>
    <n v="-40.5"/>
    <s v="MtCO2e/yr"/>
  </r>
  <r>
    <s v="Fig_3.8"/>
    <s v="Line"/>
    <x v="1"/>
    <x v="0"/>
    <x v="8"/>
    <x v="1"/>
    <x v="0"/>
    <n v="-259.39999999999998"/>
    <s v="MtCO2e/yr"/>
  </r>
  <r>
    <s v="Fig_3.8"/>
    <s v="Line"/>
    <x v="1"/>
    <x v="0"/>
    <x v="8"/>
    <x v="0"/>
    <x v="2"/>
    <n v="-247.6"/>
    <s v="MtCO2e/yr"/>
  </r>
  <r>
    <s v="Fig_3.8"/>
    <s v="Line"/>
    <x v="1"/>
    <x v="0"/>
    <x v="8"/>
    <x v="0"/>
    <x v="3"/>
    <n v="-78.2"/>
    <s v="MtCO2e/yr"/>
  </r>
  <r>
    <s v="Fig_3.8"/>
    <s v="Line"/>
    <x v="1"/>
    <x v="0"/>
    <x v="8"/>
    <x v="0"/>
    <x v="4"/>
    <n v="-131.5"/>
    <s v="MtCO2e/yr"/>
  </r>
  <r>
    <s v="Fig_3.8"/>
    <s v="Line"/>
    <x v="1"/>
    <x v="0"/>
    <x v="8"/>
    <x v="0"/>
    <x v="1"/>
    <n v="-16.5"/>
    <s v="MtCO2e/yr"/>
  </r>
  <r>
    <s v="Fig_3.8"/>
    <s v="Line"/>
    <x v="1"/>
    <x v="0"/>
    <x v="8"/>
    <x v="0"/>
    <x v="0"/>
    <n v="-196.8"/>
    <s v="MtCO2e/yr"/>
  </r>
  <r>
    <s v="Fig_3.8"/>
    <s v="Line"/>
    <x v="1"/>
    <x v="1"/>
    <x v="8"/>
    <x v="0"/>
    <x v="0"/>
    <n v="-183.1"/>
    <s v="MtCO2e/yr"/>
  </r>
  <r>
    <s v="Fig_3.8"/>
    <s v="Line"/>
    <x v="1"/>
    <x v="1"/>
    <x v="8"/>
    <x v="1"/>
    <x v="0"/>
    <n v="-180.4"/>
    <s v="MtCO2e/yr"/>
  </r>
  <r>
    <s v="Fig_3.8"/>
    <s v="Line"/>
    <x v="1"/>
    <x v="1"/>
    <x v="8"/>
    <x v="0"/>
    <x v="1"/>
    <n v="-111.3"/>
    <s v="MtCO2e/yr"/>
  </r>
  <r>
    <s v="Fig_3.8"/>
    <s v="Line"/>
    <x v="1"/>
    <x v="1"/>
    <x v="8"/>
    <x v="1"/>
    <x v="1"/>
    <n v="-110.7"/>
    <s v="MtCO2e/yr"/>
  </r>
  <r>
    <s v="Fig_3.8"/>
    <s v="Line"/>
    <x v="1"/>
    <x v="1"/>
    <x v="8"/>
    <x v="0"/>
    <x v="4"/>
    <n v="-171.9"/>
    <s v="MtCO2e/yr"/>
  </r>
  <r>
    <s v="Fig_3.8"/>
    <s v="Line"/>
    <x v="1"/>
    <x v="1"/>
    <x v="8"/>
    <x v="1"/>
    <x v="4"/>
    <n v="-168"/>
    <s v="MtCO2e/yr"/>
  </r>
  <r>
    <s v="Fig_3.8"/>
    <s v="Line"/>
    <x v="1"/>
    <x v="1"/>
    <x v="8"/>
    <x v="0"/>
    <x v="3"/>
    <n v="-148.5"/>
    <s v="MtCO2e/yr"/>
  </r>
  <r>
    <s v="Fig_3.8"/>
    <s v="Line"/>
    <x v="1"/>
    <x v="1"/>
    <x v="8"/>
    <x v="1"/>
    <x v="3"/>
    <n v="-142"/>
    <s v="MtCO2e/yr"/>
  </r>
  <r>
    <s v="Fig_3.8"/>
    <s v="Line"/>
    <x v="2"/>
    <x v="1"/>
    <x v="8"/>
    <x v="0"/>
    <x v="2"/>
    <n v="-279.2"/>
    <s v="MtCO2e/yr"/>
  </r>
  <r>
    <s v="Fig_3.8"/>
    <s v="Line"/>
    <x v="3"/>
    <x v="1"/>
    <x v="8"/>
    <x v="0"/>
    <x v="2"/>
    <n v="-339.4"/>
    <s v="MtCO2e/yr"/>
  </r>
  <r>
    <s v="Fig_3.8"/>
    <s v="Bar"/>
    <x v="2"/>
    <x v="1"/>
    <x v="1"/>
    <x v="0"/>
    <x v="1"/>
    <n v="-14.4"/>
    <s v="MtCO2e/yr"/>
  </r>
  <r>
    <s v="Fig_3.8"/>
    <s v="Bar"/>
    <x v="3"/>
    <x v="1"/>
    <x v="1"/>
    <x v="0"/>
    <x v="1"/>
    <n v="-17.899999999999999"/>
    <s v="MtCO2e/yr"/>
  </r>
  <r>
    <s v="Fig_3.8"/>
    <s v="Bar"/>
    <x v="0"/>
    <x v="1"/>
    <x v="1"/>
    <x v="1"/>
    <x v="1"/>
    <n v="-8.8000000000000007"/>
    <s v="MtCO2e/yr"/>
  </r>
  <r>
    <s v="Fig_3.8"/>
    <s v="Bar"/>
    <x v="1"/>
    <x v="1"/>
    <x v="1"/>
    <x v="1"/>
    <x v="1"/>
    <n v="-10.5"/>
    <s v="MtCO2e/yr"/>
  </r>
  <r>
    <s v="Fig_3.8"/>
    <s v="Bar"/>
    <x v="2"/>
    <x v="1"/>
    <x v="1"/>
    <x v="1"/>
    <x v="1"/>
    <n v="-13.7"/>
    <s v="MtCO2e/yr"/>
  </r>
  <r>
    <s v="Fig_3.8"/>
    <s v="Bar"/>
    <x v="3"/>
    <x v="1"/>
    <x v="1"/>
    <x v="1"/>
    <x v="1"/>
    <n v="-16.3"/>
    <s v="MtCO2e/yr"/>
  </r>
  <r>
    <s v="Fig_3.8"/>
    <s v="Bar"/>
    <x v="0"/>
    <x v="1"/>
    <x v="1"/>
    <x v="0"/>
    <x v="4"/>
    <n v="-13.3"/>
    <s v="MtCO2e/yr"/>
  </r>
  <r>
    <s v="Fig_3.8"/>
    <s v="Bar"/>
    <x v="1"/>
    <x v="1"/>
    <x v="1"/>
    <x v="0"/>
    <x v="4"/>
    <n v="-18.8"/>
    <s v="MtCO2e/yr"/>
  </r>
  <r>
    <s v="Fig_3.8"/>
    <s v="Bar"/>
    <x v="2"/>
    <x v="1"/>
    <x v="1"/>
    <x v="0"/>
    <x v="4"/>
    <n v="-23.9"/>
    <s v="MtCO2e/yr"/>
  </r>
  <r>
    <s v="Fig_3.8"/>
    <s v="Bar"/>
    <x v="3"/>
    <x v="1"/>
    <x v="1"/>
    <x v="0"/>
    <x v="4"/>
    <n v="-29.8"/>
    <s v="MtCO2e/yr"/>
  </r>
  <r>
    <s v="Fig_3.8"/>
    <s v="Bar"/>
    <x v="0"/>
    <x v="1"/>
    <x v="1"/>
    <x v="1"/>
    <x v="4"/>
    <n v="-13.3"/>
    <s v="MtCO2e/yr"/>
  </r>
  <r>
    <s v="Fig_3.8"/>
    <s v="Bar"/>
    <x v="1"/>
    <x v="1"/>
    <x v="1"/>
    <x v="1"/>
    <x v="4"/>
    <n v="-18.399999999999999"/>
    <s v="MtCO2e/yr"/>
  </r>
  <r>
    <s v="Fig_3.8"/>
    <s v="Bar"/>
    <x v="2"/>
    <x v="1"/>
    <x v="1"/>
    <x v="1"/>
    <x v="4"/>
    <n v="-22.8"/>
    <s v="MtCO2e/yr"/>
  </r>
  <r>
    <s v="Fig_3.8"/>
    <s v="Bar"/>
    <x v="3"/>
    <x v="1"/>
    <x v="1"/>
    <x v="1"/>
    <x v="4"/>
    <n v="-26.6"/>
    <s v="MtCO2e/yr"/>
  </r>
  <r>
    <s v="Fig_3.8"/>
    <s v="Bar"/>
    <x v="0"/>
    <x v="1"/>
    <x v="1"/>
    <x v="0"/>
    <x v="3"/>
    <n v="-11.4"/>
    <s v="MtCO2e/yr"/>
  </r>
  <r>
    <s v="Fig_3.8"/>
    <s v="Bar"/>
    <x v="1"/>
    <x v="1"/>
    <x v="1"/>
    <x v="0"/>
    <x v="3"/>
    <n v="-15.2"/>
    <s v="MtCO2e/yr"/>
  </r>
  <r>
    <s v="Fig_3.8"/>
    <s v="Bar"/>
    <x v="2"/>
    <x v="1"/>
    <x v="1"/>
    <x v="0"/>
    <x v="3"/>
    <n v="-20.2"/>
    <s v="MtCO2e/yr"/>
  </r>
  <r>
    <s v="Fig_3.8"/>
    <s v="Bar"/>
    <x v="3"/>
    <x v="1"/>
    <x v="1"/>
    <x v="0"/>
    <x v="3"/>
    <n v="-24.5"/>
    <s v="MtCO2e/yr"/>
  </r>
  <r>
    <s v="Fig_3.8"/>
    <s v="Bar"/>
    <x v="0"/>
    <x v="1"/>
    <x v="1"/>
    <x v="1"/>
    <x v="3"/>
    <n v="-11.4"/>
    <s v="MtCO2e/yr"/>
  </r>
  <r>
    <s v="Fig_3.8"/>
    <s v="Bar"/>
    <x v="1"/>
    <x v="1"/>
    <x v="1"/>
    <x v="1"/>
    <x v="3"/>
    <n v="-14.3"/>
    <s v="MtCO2e/yr"/>
  </r>
  <r>
    <s v="Fig_3.8"/>
    <s v="Bar"/>
    <x v="2"/>
    <x v="1"/>
    <x v="1"/>
    <x v="1"/>
    <x v="3"/>
    <n v="-18"/>
    <s v="MtCO2e/yr"/>
  </r>
  <r>
    <s v="Fig_3.8"/>
    <s v="Bar"/>
    <x v="3"/>
    <x v="1"/>
    <x v="1"/>
    <x v="1"/>
    <x v="3"/>
    <n v="-22"/>
    <s v="MtCO2e/yr"/>
  </r>
  <r>
    <s v="Fig_3.8"/>
    <s v="Bar"/>
    <x v="0"/>
    <x v="1"/>
    <x v="1"/>
    <x v="0"/>
    <x v="2"/>
    <n v="-25.9"/>
    <s v="MtCO2e/yr"/>
  </r>
  <r>
    <s v="Fig_3.8"/>
    <s v="Bar"/>
    <x v="1"/>
    <x v="1"/>
    <x v="1"/>
    <x v="0"/>
    <x v="2"/>
    <n v="-33.700000000000003"/>
    <s v="MtCO2e/yr"/>
  </r>
  <r>
    <s v="Fig_3.8"/>
    <s v="Bar"/>
    <x v="2"/>
    <x v="1"/>
    <x v="1"/>
    <x v="0"/>
    <x v="2"/>
    <n v="-43.4"/>
    <s v="MtCO2e/yr"/>
  </r>
  <r>
    <s v="Fig_3.8"/>
    <s v="Bar"/>
    <x v="3"/>
    <x v="1"/>
    <x v="1"/>
    <x v="0"/>
    <x v="2"/>
    <n v="-51.3"/>
    <s v="MtCO2e/yr"/>
  </r>
  <r>
    <s v="Fig_3.8"/>
    <s v="Bar"/>
    <x v="0"/>
    <x v="1"/>
    <x v="1"/>
    <x v="1"/>
    <x v="2"/>
    <n v="-25.9"/>
    <s v="MtCO2e/yr"/>
  </r>
  <r>
    <s v="Fig_3.8"/>
    <s v="Bar"/>
    <x v="1"/>
    <x v="1"/>
    <x v="1"/>
    <x v="1"/>
    <x v="2"/>
    <n v="-31.4"/>
    <s v="MtCO2e/yr"/>
  </r>
  <r>
    <s v="Fig_3.8"/>
    <s v="Bar"/>
    <x v="2"/>
    <x v="1"/>
    <x v="1"/>
    <x v="1"/>
    <x v="2"/>
    <n v="-38.799999999999997"/>
    <s v="MtCO2e/yr"/>
  </r>
  <r>
    <s v="Fig_3.8"/>
    <s v="Bar"/>
    <x v="3"/>
    <x v="1"/>
    <x v="1"/>
    <x v="1"/>
    <x v="2"/>
    <n v="-46.3"/>
    <s v="MtCO2e/yr"/>
  </r>
  <r>
    <s v="Fig_3.8"/>
    <s v="Bar"/>
    <x v="0"/>
    <x v="1"/>
    <x v="3"/>
    <x v="0"/>
    <x v="0"/>
    <n v="-0.1"/>
    <s v="MtCO2e/yr"/>
  </r>
  <r>
    <s v="Fig_3.8"/>
    <s v="Bar"/>
    <x v="1"/>
    <x v="1"/>
    <x v="3"/>
    <x v="0"/>
    <x v="0"/>
    <n v="-106.9"/>
    <s v="MtCO2e/yr"/>
  </r>
  <r>
    <s v="Fig_3.8"/>
    <s v="Bar"/>
    <x v="2"/>
    <x v="1"/>
    <x v="3"/>
    <x v="0"/>
    <x v="0"/>
    <n v="-147.9"/>
    <s v="MtCO2e/yr"/>
  </r>
  <r>
    <s v="Fig_3.8"/>
    <s v="Bar"/>
    <x v="3"/>
    <x v="1"/>
    <x v="3"/>
    <x v="0"/>
    <x v="0"/>
    <n v="-168.2"/>
    <s v="MtCO2e/yr"/>
  </r>
  <r>
    <s v="Fig_3.8"/>
    <s v="Bar"/>
    <x v="0"/>
    <x v="1"/>
    <x v="3"/>
    <x v="1"/>
    <x v="0"/>
    <n v="-0.1"/>
    <s v="MtCO2e/yr"/>
  </r>
  <r>
    <s v="Fig_3.8"/>
    <s v="Bar"/>
    <x v="1"/>
    <x v="1"/>
    <x v="3"/>
    <x v="1"/>
    <x v="0"/>
    <n v="-106.7"/>
    <s v="MtCO2e/yr"/>
  </r>
  <r>
    <s v="Fig_3.8"/>
    <s v="Bar"/>
    <x v="2"/>
    <x v="1"/>
    <x v="3"/>
    <x v="1"/>
    <x v="0"/>
    <n v="-147"/>
    <s v="MtCO2e/yr"/>
  </r>
  <r>
    <s v="Fig_3.8"/>
    <s v="Bar"/>
    <x v="3"/>
    <x v="1"/>
    <x v="3"/>
    <x v="1"/>
    <x v="0"/>
    <n v="-165.4"/>
    <s v="MtCO2e/yr"/>
  </r>
  <r>
    <s v="Fig_3.8"/>
    <s v="Bar"/>
    <x v="0"/>
    <x v="1"/>
    <x v="3"/>
    <x v="0"/>
    <x v="1"/>
    <n v="-0.1"/>
    <s v="MtCO2e/yr"/>
  </r>
  <r>
    <s v="Fig_3.8"/>
    <s v="Bar"/>
    <x v="1"/>
    <x v="1"/>
    <x v="3"/>
    <x v="0"/>
    <x v="1"/>
    <n v="-88.4"/>
    <s v="MtCO2e/yr"/>
  </r>
  <r>
    <s v="Fig_3.8"/>
    <s v="Bar"/>
    <x v="2"/>
    <x v="1"/>
    <x v="3"/>
    <x v="0"/>
    <x v="1"/>
    <n v="-125.1"/>
    <s v="MtCO2e/yr"/>
  </r>
  <r>
    <s v="Fig_3.8"/>
    <s v="Bar"/>
    <x v="3"/>
    <x v="1"/>
    <x v="3"/>
    <x v="0"/>
    <x v="1"/>
    <n v="-143.5"/>
    <s v="MtCO2e/yr"/>
  </r>
  <r>
    <s v="Fig_3.8"/>
    <s v="Bar"/>
    <x v="0"/>
    <x v="1"/>
    <x v="3"/>
    <x v="1"/>
    <x v="1"/>
    <n v="-0.1"/>
    <s v="MtCO2e/yr"/>
  </r>
  <r>
    <s v="Fig_3.8"/>
    <s v="Bar"/>
    <x v="1"/>
    <x v="1"/>
    <x v="3"/>
    <x v="1"/>
    <x v="1"/>
    <n v="-87.7"/>
    <s v="MtCO2e/yr"/>
  </r>
  <r>
    <s v="Fig_3.8"/>
    <s v="Bar"/>
    <x v="2"/>
    <x v="1"/>
    <x v="3"/>
    <x v="1"/>
    <x v="1"/>
    <n v="-124.1"/>
    <s v="MtCO2e/yr"/>
  </r>
  <r>
    <s v="Fig_3.8"/>
    <s v="Bar"/>
    <x v="3"/>
    <x v="1"/>
    <x v="3"/>
    <x v="1"/>
    <x v="1"/>
    <n v="-142.1"/>
    <s v="MtCO2e/yr"/>
  </r>
  <r>
    <s v="Fig_3.8"/>
    <s v="Bar"/>
    <x v="0"/>
    <x v="1"/>
    <x v="3"/>
    <x v="0"/>
    <x v="4"/>
    <n v="-0.6"/>
    <s v="MtCO2e/yr"/>
  </r>
  <r>
    <s v="Fig_3.8"/>
    <s v="Bar"/>
    <x v="1"/>
    <x v="1"/>
    <x v="3"/>
    <x v="0"/>
    <x v="4"/>
    <n v="-106.4"/>
    <s v="MtCO2e/yr"/>
  </r>
  <r>
    <s v="Fig_3.8"/>
    <s v="Bar"/>
    <x v="2"/>
    <x v="1"/>
    <x v="3"/>
    <x v="0"/>
    <x v="4"/>
    <n v="-148.19999999999999"/>
    <s v="MtCO2e/yr"/>
  </r>
  <r>
    <s v="Fig_3.8"/>
    <s v="Bar"/>
    <x v="3"/>
    <x v="1"/>
    <x v="3"/>
    <x v="0"/>
    <x v="4"/>
    <n v="-169.1"/>
    <s v="MtCO2e/yr"/>
  </r>
  <r>
    <s v="Fig_3.8"/>
    <s v="Bar"/>
    <x v="0"/>
    <x v="0"/>
    <x v="0"/>
    <x v="1"/>
    <x v="4"/>
    <n v="50.6"/>
    <s v="MtCO2e/yr"/>
  </r>
  <r>
    <s v="Fig_3.8"/>
    <s v="Bar"/>
    <x v="1"/>
    <x v="0"/>
    <x v="0"/>
    <x v="1"/>
    <x v="4"/>
    <n v="30.7"/>
    <s v="MtCO2e/yr"/>
  </r>
  <r>
    <s v="Fig_3.8"/>
    <s v="Bar"/>
    <x v="2"/>
    <x v="0"/>
    <x v="0"/>
    <x v="1"/>
    <x v="4"/>
    <n v="14.2"/>
    <s v="MtCO2e/yr"/>
  </r>
  <r>
    <s v="Fig_3.8"/>
    <s v="Bar"/>
    <x v="3"/>
    <x v="0"/>
    <x v="0"/>
    <x v="1"/>
    <x v="4"/>
    <n v="5.9"/>
    <s v="MtCO2e/yr"/>
  </r>
  <r>
    <s v="Fig_3.8"/>
    <s v="Bar"/>
    <x v="0"/>
    <x v="0"/>
    <x v="0"/>
    <x v="0"/>
    <x v="3"/>
    <n v="72.8"/>
    <s v="MtCO2e/yr"/>
  </r>
  <r>
    <s v="Fig_3.8"/>
    <s v="Bar"/>
    <x v="1"/>
    <x v="0"/>
    <x v="0"/>
    <x v="0"/>
    <x v="3"/>
    <n v="95.6"/>
    <s v="MtCO2e/yr"/>
  </r>
  <r>
    <s v="Fig_3.8"/>
    <s v="Bar"/>
    <x v="2"/>
    <x v="0"/>
    <x v="0"/>
    <x v="0"/>
    <x v="3"/>
    <n v="71.7"/>
    <s v="MtCO2e/yr"/>
  </r>
  <r>
    <s v="Fig_3.8"/>
    <s v="Bar"/>
    <x v="3"/>
    <x v="0"/>
    <x v="0"/>
    <x v="0"/>
    <x v="3"/>
    <n v="49.8"/>
    <s v="MtCO2e/yr"/>
  </r>
  <r>
    <s v="Fig_3.8"/>
    <s v="Bar"/>
    <x v="0"/>
    <x v="0"/>
    <x v="0"/>
    <x v="1"/>
    <x v="3"/>
    <n v="42.4"/>
    <s v="MtCO2e/yr"/>
  </r>
  <r>
    <s v="Fig_3.8"/>
    <s v="Bar"/>
    <x v="1"/>
    <x v="0"/>
    <x v="0"/>
    <x v="1"/>
    <x v="3"/>
    <n v="23.1"/>
    <s v="MtCO2e/yr"/>
  </r>
  <r>
    <s v="Fig_3.8"/>
    <s v="Bar"/>
    <x v="0"/>
    <x v="0"/>
    <x v="1"/>
    <x v="1"/>
    <x v="4"/>
    <n v="-3.6"/>
    <s v="MtCO2e/yr"/>
  </r>
  <r>
    <s v="Fig_3.8"/>
    <s v="Bar"/>
    <x v="1"/>
    <x v="0"/>
    <x v="1"/>
    <x v="1"/>
    <x v="4"/>
    <n v="-6.1"/>
    <s v="MtCO2e/yr"/>
  </r>
  <r>
    <s v="Fig_3.8"/>
    <s v="Bar"/>
    <x v="2"/>
    <x v="0"/>
    <x v="1"/>
    <x v="1"/>
    <x v="4"/>
    <n v="-8.1999999999999993"/>
    <s v="MtCO2e/yr"/>
  </r>
  <r>
    <s v="Fig_3.8"/>
    <s v="Bar"/>
    <x v="3"/>
    <x v="0"/>
    <x v="1"/>
    <x v="1"/>
    <x v="4"/>
    <n v="-9.8000000000000007"/>
    <s v="MtCO2e/yr"/>
  </r>
  <r>
    <s v="Fig_3.8"/>
    <s v="Bar"/>
    <x v="0"/>
    <x v="0"/>
    <x v="1"/>
    <x v="0"/>
    <x v="3"/>
    <n v="-3.3"/>
    <s v="MtCO2e/yr"/>
  </r>
  <r>
    <s v="Fig_3.8"/>
    <s v="Bar"/>
    <x v="1"/>
    <x v="0"/>
    <x v="1"/>
    <x v="0"/>
    <x v="3"/>
    <n v="-5.5"/>
    <s v="MtCO2e/yr"/>
  </r>
  <r>
    <s v="Fig_3.8"/>
    <s v="Bar"/>
    <x v="2"/>
    <x v="0"/>
    <x v="1"/>
    <x v="0"/>
    <x v="3"/>
    <n v="-6.4"/>
    <s v="MtCO2e/yr"/>
  </r>
  <r>
    <s v="Fig_3.8"/>
    <s v="Bar"/>
    <x v="3"/>
    <x v="0"/>
    <x v="1"/>
    <x v="0"/>
    <x v="3"/>
    <n v="-7.7"/>
    <s v="MtCO2e/yr"/>
  </r>
  <r>
    <s v="Fig_3.8"/>
    <s v="Bar"/>
    <x v="0"/>
    <x v="0"/>
    <x v="1"/>
    <x v="1"/>
    <x v="3"/>
    <n v="-3.2"/>
    <s v="MtCO2e/yr"/>
  </r>
  <r>
    <s v="Fig_3.8"/>
    <s v="Bar"/>
    <x v="1"/>
    <x v="0"/>
    <x v="1"/>
    <x v="1"/>
    <x v="3"/>
    <n v="-5"/>
    <s v="MtCO2e/yr"/>
  </r>
  <r>
    <s v="Fig_3.8"/>
    <s v="Bar"/>
    <x v="0"/>
    <x v="0"/>
    <x v="2"/>
    <x v="1"/>
    <x v="4"/>
    <n v="-1.7"/>
    <s v="MtCO2e/yr"/>
  </r>
  <r>
    <s v="Fig_3.8"/>
    <s v="Bar"/>
    <x v="1"/>
    <x v="0"/>
    <x v="2"/>
    <x v="1"/>
    <x v="4"/>
    <n v="-3.4"/>
    <s v="MtCO2e/yr"/>
  </r>
  <r>
    <s v="Fig_3.8"/>
    <s v="Bar"/>
    <x v="2"/>
    <x v="0"/>
    <x v="2"/>
    <x v="1"/>
    <x v="4"/>
    <n v="-6.6"/>
    <s v="MtCO2e/yr"/>
  </r>
  <r>
    <s v="Fig_3.8"/>
    <s v="Bar"/>
    <x v="3"/>
    <x v="0"/>
    <x v="2"/>
    <x v="1"/>
    <x v="4"/>
    <n v="-8.9"/>
    <s v="MtCO2e/yr"/>
  </r>
  <r>
    <s v="Fig_3.8"/>
    <s v="Bar"/>
    <x v="0"/>
    <x v="0"/>
    <x v="2"/>
    <x v="0"/>
    <x v="3"/>
    <n v="-0.7"/>
    <s v="MtCO2e/yr"/>
  </r>
  <r>
    <s v="Fig_3.8"/>
    <s v="Bar"/>
    <x v="1"/>
    <x v="0"/>
    <x v="2"/>
    <x v="0"/>
    <x v="3"/>
    <n v="-1.8"/>
    <s v="MtCO2e/yr"/>
  </r>
  <r>
    <s v="Fig_3.8"/>
    <s v="Bar"/>
    <x v="2"/>
    <x v="0"/>
    <x v="2"/>
    <x v="0"/>
    <x v="3"/>
    <n v="-3"/>
    <s v="MtCO2e/yr"/>
  </r>
  <r>
    <s v="Fig_3.8"/>
    <s v="Bar"/>
    <x v="3"/>
    <x v="0"/>
    <x v="2"/>
    <x v="0"/>
    <x v="3"/>
    <n v="-4.7"/>
    <s v="MtCO2e/yr"/>
  </r>
  <r>
    <s v="Fig_3.8"/>
    <s v="Bar"/>
    <x v="0"/>
    <x v="0"/>
    <x v="2"/>
    <x v="1"/>
    <x v="3"/>
    <n v="-0.7"/>
    <s v="MtCO2e/yr"/>
  </r>
  <r>
    <s v="Fig_3.8"/>
    <s v="Bar"/>
    <x v="1"/>
    <x v="0"/>
    <x v="2"/>
    <x v="1"/>
    <x v="3"/>
    <n v="-1"/>
    <s v="MtCO2e/yr"/>
  </r>
  <r>
    <s v="Fig_3.8"/>
    <s v="Bar"/>
    <x v="0"/>
    <x v="0"/>
    <x v="3"/>
    <x v="1"/>
    <x v="4"/>
    <n v="-27.5"/>
    <s v="MtCO2e/yr"/>
  </r>
  <r>
    <s v="Fig_3.8"/>
    <s v="Bar"/>
    <x v="1"/>
    <x v="0"/>
    <x v="3"/>
    <x v="1"/>
    <x v="4"/>
    <n v="-50.7"/>
    <s v="MtCO2e/yr"/>
  </r>
  <r>
    <s v="Fig_3.8"/>
    <s v="Bar"/>
    <x v="2"/>
    <x v="0"/>
    <x v="3"/>
    <x v="1"/>
    <x v="4"/>
    <n v="-49.4"/>
    <s v="MtCO2e/yr"/>
  </r>
  <r>
    <s v="Fig_3.8"/>
    <s v="Bar"/>
    <x v="3"/>
    <x v="0"/>
    <x v="3"/>
    <x v="1"/>
    <x v="4"/>
    <n v="-50.5"/>
    <s v="MtCO2e/yr"/>
  </r>
  <r>
    <s v="Fig_3.8"/>
    <s v="Bar"/>
    <x v="0"/>
    <x v="0"/>
    <x v="3"/>
    <x v="0"/>
    <x v="3"/>
    <n v="-13.6"/>
    <s v="MtCO2e/yr"/>
  </r>
  <r>
    <s v="Fig_3.8"/>
    <s v="Bar"/>
    <x v="1"/>
    <x v="0"/>
    <x v="3"/>
    <x v="0"/>
    <x v="3"/>
    <n v="-39.700000000000003"/>
    <s v="MtCO2e/yr"/>
  </r>
  <r>
    <s v="Fig_3.8"/>
    <s v="Bar"/>
    <x v="2"/>
    <x v="0"/>
    <x v="3"/>
    <x v="0"/>
    <x v="3"/>
    <n v="-48.7"/>
    <s v="MtCO2e/yr"/>
  </r>
  <r>
    <s v="Fig_3.8"/>
    <s v="Bar"/>
    <x v="3"/>
    <x v="0"/>
    <x v="3"/>
    <x v="0"/>
    <x v="3"/>
    <n v="-59"/>
    <s v="MtCO2e/yr"/>
  </r>
  <r>
    <s v="Fig_3.8"/>
    <s v="Bar"/>
    <x v="0"/>
    <x v="0"/>
    <x v="3"/>
    <x v="1"/>
    <x v="3"/>
    <n v="-16.7"/>
    <s v="MtCO2e/yr"/>
  </r>
  <r>
    <s v="Fig_3.8"/>
    <s v="Bar"/>
    <x v="1"/>
    <x v="0"/>
    <x v="3"/>
    <x v="1"/>
    <x v="3"/>
    <n v="-32.4"/>
    <s v="MtCO2e/yr"/>
  </r>
  <r>
    <s v="Fig_3.8"/>
    <s v="Bar"/>
    <x v="0"/>
    <x v="0"/>
    <x v="4"/>
    <x v="1"/>
    <x v="4"/>
    <m/>
    <s v="MtCO2e/yr"/>
  </r>
  <r>
    <s v="Fig_3.8"/>
    <s v="Bar"/>
    <x v="1"/>
    <x v="0"/>
    <x v="4"/>
    <x v="1"/>
    <x v="4"/>
    <n v="-51.2"/>
    <s v="MtCO2e/yr"/>
  </r>
  <r>
    <s v="Fig_3.8"/>
    <s v="Bar"/>
    <x v="2"/>
    <x v="0"/>
    <x v="4"/>
    <x v="1"/>
    <x v="4"/>
    <n v="-75.7"/>
    <s v="MtCO2e/yr"/>
  </r>
  <r>
    <s v="Fig_3.8"/>
    <s v="Bar"/>
    <x v="3"/>
    <x v="0"/>
    <x v="4"/>
    <x v="1"/>
    <x v="4"/>
    <n v="-94.3"/>
    <s v="MtCO2e/yr"/>
  </r>
  <r>
    <s v="Fig_3.8"/>
    <s v="Bar"/>
    <x v="0"/>
    <x v="0"/>
    <x v="4"/>
    <x v="0"/>
    <x v="3"/>
    <m/>
    <s v="MtCO2e/yr"/>
  </r>
  <r>
    <s v="Fig_3.8"/>
    <s v="Bar"/>
    <x v="1"/>
    <x v="0"/>
    <x v="4"/>
    <x v="0"/>
    <x v="3"/>
    <n v="-27.8"/>
    <s v="MtCO2e/yr"/>
  </r>
  <r>
    <s v="Fig_3.8"/>
    <s v="Bar"/>
    <x v="2"/>
    <x v="0"/>
    <x v="4"/>
    <x v="0"/>
    <x v="3"/>
    <n v="-30.7"/>
    <s v="MtCO2e/yr"/>
  </r>
  <r>
    <s v="Fig_3.8"/>
    <s v="Bar"/>
    <x v="3"/>
    <x v="0"/>
    <x v="4"/>
    <x v="0"/>
    <x v="3"/>
    <n v="-30.8"/>
    <s v="MtCO2e/yr"/>
  </r>
  <r>
    <s v="Fig_3.8"/>
    <s v="Bar"/>
    <x v="0"/>
    <x v="0"/>
    <x v="4"/>
    <x v="1"/>
    <x v="3"/>
    <m/>
    <s v="MtCO2e/yr"/>
  </r>
  <r>
    <s v="Fig_3.8"/>
    <s v="Bar"/>
    <x v="1"/>
    <x v="0"/>
    <x v="4"/>
    <x v="1"/>
    <x v="3"/>
    <n v="-35"/>
    <s v="MtCO2e/yr"/>
  </r>
  <r>
    <s v="Fig_3.8"/>
    <s v="Bar"/>
    <x v="0"/>
    <x v="0"/>
    <x v="5"/>
    <x v="1"/>
    <x v="4"/>
    <n v="3.3"/>
    <s v="MtCO2e/yr"/>
  </r>
  <r>
    <s v="Fig_3.8"/>
    <s v="Bar"/>
    <x v="1"/>
    <x v="0"/>
    <x v="5"/>
    <x v="1"/>
    <x v="4"/>
    <n v="2.6"/>
    <s v="MtCO2e/yr"/>
  </r>
  <r>
    <s v="Fig_3.8"/>
    <s v="Bar"/>
    <x v="2"/>
    <x v="0"/>
    <x v="5"/>
    <x v="1"/>
    <x v="4"/>
    <n v="2.2000000000000002"/>
    <s v="MtCO2e/yr"/>
  </r>
  <r>
    <s v="Fig_3.8"/>
    <s v="Bar"/>
    <x v="3"/>
    <x v="0"/>
    <x v="5"/>
    <x v="1"/>
    <x v="4"/>
    <n v="2"/>
    <s v="MtCO2e/yr"/>
  </r>
  <r>
    <s v="Fig_3.8"/>
    <s v="Bar"/>
    <x v="0"/>
    <x v="0"/>
    <x v="5"/>
    <x v="0"/>
    <x v="3"/>
    <n v="1.3"/>
    <s v="MtCO2e/yr"/>
  </r>
  <r>
    <s v="Fig_3.8"/>
    <s v="Bar"/>
    <x v="1"/>
    <x v="0"/>
    <x v="5"/>
    <x v="0"/>
    <x v="3"/>
    <n v="0.6"/>
    <s v="MtCO2e/yr"/>
  </r>
  <r>
    <s v="Fig_3.8"/>
    <s v="Bar"/>
    <x v="2"/>
    <x v="0"/>
    <x v="5"/>
    <x v="0"/>
    <x v="3"/>
    <n v="0.6"/>
    <s v="MtCO2e/yr"/>
  </r>
  <r>
    <s v="Fig_3.8"/>
    <s v="Bar"/>
    <x v="3"/>
    <x v="0"/>
    <x v="5"/>
    <x v="0"/>
    <x v="3"/>
    <n v="0.7"/>
    <s v="MtCO2e/yr"/>
  </r>
  <r>
    <s v="Fig_3.8"/>
    <s v="Bar"/>
    <x v="0"/>
    <x v="0"/>
    <x v="5"/>
    <x v="1"/>
    <x v="3"/>
    <n v="1.4"/>
    <s v="MtCO2e/yr"/>
  </r>
  <r>
    <s v="Fig_3.8"/>
    <s v="Bar"/>
    <x v="1"/>
    <x v="0"/>
    <x v="5"/>
    <x v="1"/>
    <x v="3"/>
    <n v="1.4"/>
    <s v="MtCO2e/yr"/>
  </r>
  <r>
    <s v="Fig_3.8"/>
    <s v="Bar"/>
    <x v="0"/>
    <x v="0"/>
    <x v="6"/>
    <x v="1"/>
    <x v="4"/>
    <n v="-125.6"/>
    <s v="MtCO2e/yr"/>
  </r>
  <r>
    <s v="Fig_3.8"/>
    <s v="Bar"/>
    <x v="1"/>
    <x v="0"/>
    <x v="6"/>
    <x v="1"/>
    <x v="4"/>
    <n v="-106.7"/>
    <s v="MtCO2e/yr"/>
  </r>
  <r>
    <s v="Fig_3.8"/>
    <s v="Bar"/>
    <x v="2"/>
    <x v="0"/>
    <x v="6"/>
    <x v="1"/>
    <x v="4"/>
    <n v="-84.3"/>
    <s v="MtCO2e/yr"/>
  </r>
  <r>
    <s v="Fig_3.8"/>
    <s v="Bar"/>
    <x v="3"/>
    <x v="0"/>
    <x v="6"/>
    <x v="1"/>
    <x v="4"/>
    <n v="-80.7"/>
    <s v="MtCO2e/yr"/>
  </r>
  <r>
    <s v="Fig_3.8"/>
    <s v="Bar"/>
    <x v="0"/>
    <x v="0"/>
    <x v="6"/>
    <x v="0"/>
    <x v="3"/>
    <n v="-57.7"/>
    <s v="MtCO2e/yr"/>
  </r>
  <r>
    <s v="Fig_3.8"/>
    <s v="Bar"/>
    <x v="1"/>
    <x v="0"/>
    <x v="6"/>
    <x v="0"/>
    <x v="3"/>
    <n v="-93.3"/>
    <s v="MtCO2e/yr"/>
  </r>
  <r>
    <s v="Fig_3.8"/>
    <s v="Bar"/>
    <x v="2"/>
    <x v="0"/>
    <x v="6"/>
    <x v="0"/>
    <x v="3"/>
    <n v="-81.099999999999994"/>
    <s v="MtCO2e/yr"/>
  </r>
  <r>
    <s v="Fig_3.8"/>
    <s v="Bar"/>
    <x v="3"/>
    <x v="0"/>
    <x v="6"/>
    <x v="0"/>
    <x v="3"/>
    <n v="-81.5"/>
    <s v="MtCO2e/yr"/>
  </r>
  <r>
    <s v="Fig_3.8"/>
    <s v="Bar"/>
    <x v="0"/>
    <x v="0"/>
    <x v="6"/>
    <x v="1"/>
    <x v="3"/>
    <n v="-96.9"/>
    <s v="MtCO2e/yr"/>
  </r>
  <r>
    <s v="Fig_3.8"/>
    <s v="Bar"/>
    <x v="1"/>
    <x v="0"/>
    <x v="6"/>
    <x v="1"/>
    <x v="3"/>
    <n v="-50.6"/>
    <s v="MtCO2e/yr"/>
  </r>
  <r>
    <s v="Fig_3.8"/>
    <s v="Bar"/>
    <x v="0"/>
    <x v="0"/>
    <x v="7"/>
    <x v="1"/>
    <x v="4"/>
    <n v="-10.199999999999999"/>
    <s v="MtCO2e/yr"/>
  </r>
  <r>
    <s v="Fig_3.8"/>
    <s v="Bar"/>
    <x v="1"/>
    <x v="0"/>
    <x v="7"/>
    <x v="1"/>
    <x v="4"/>
    <n v="-13.4"/>
    <s v="MtCO2e/yr"/>
  </r>
  <r>
    <s v="Fig_3.8"/>
    <s v="Bar"/>
    <x v="2"/>
    <x v="0"/>
    <x v="7"/>
    <x v="1"/>
    <x v="4"/>
    <n v="-15.3"/>
    <s v="MtCO2e/yr"/>
  </r>
  <r>
    <s v="Fig_3.8"/>
    <s v="Bar"/>
    <x v="3"/>
    <x v="0"/>
    <x v="7"/>
    <x v="1"/>
    <x v="4"/>
    <n v="-18.899999999999999"/>
    <s v="MtCO2e/yr"/>
  </r>
  <r>
    <s v="Fig_3.8"/>
    <s v="Bar"/>
    <x v="0"/>
    <x v="0"/>
    <x v="7"/>
    <x v="0"/>
    <x v="3"/>
    <n v="-4.5"/>
    <s v="MtCO2e/yr"/>
  </r>
  <r>
    <s v="Fig_3.8"/>
    <s v="Bar"/>
    <x v="1"/>
    <x v="0"/>
    <x v="7"/>
    <x v="0"/>
    <x v="3"/>
    <n v="-6.3"/>
    <s v="MtCO2e/yr"/>
  </r>
  <r>
    <s v="Fig_3.8"/>
    <s v="Bar"/>
    <x v="2"/>
    <x v="0"/>
    <x v="7"/>
    <x v="0"/>
    <x v="3"/>
    <n v="-13.4"/>
    <s v="MtCO2e/yr"/>
  </r>
  <r>
    <s v="Fig_3.8"/>
    <s v="Bar"/>
    <x v="3"/>
    <x v="0"/>
    <x v="7"/>
    <x v="0"/>
    <x v="3"/>
    <n v="-19.899999999999999"/>
    <s v="MtCO2e/yr"/>
  </r>
  <r>
    <s v="Fig_3.8"/>
    <s v="Bar"/>
    <x v="0"/>
    <x v="0"/>
    <x v="7"/>
    <x v="1"/>
    <x v="3"/>
    <n v="-4.0999999999999996"/>
    <s v="MtCO2e/yr"/>
  </r>
  <r>
    <s v="Fig_3.8"/>
    <s v="Bar"/>
    <x v="1"/>
    <x v="0"/>
    <x v="7"/>
    <x v="1"/>
    <x v="3"/>
    <n v="-5"/>
    <s v="MtCO2e/yr"/>
  </r>
  <r>
    <s v="Fig_3.8"/>
    <s v="Line"/>
    <x v="2"/>
    <x v="0"/>
    <x v="8"/>
    <x v="1"/>
    <x v="2"/>
    <n v="-353"/>
    <s v="MtCO2e/yr"/>
  </r>
  <r>
    <s v="Fig_3.8"/>
    <s v="Line"/>
    <x v="2"/>
    <x v="0"/>
    <x v="8"/>
    <x v="1"/>
    <x v="3"/>
    <n v="-109"/>
    <s v="MtCO2e/yr"/>
  </r>
  <r>
    <s v="Fig_3.8"/>
    <s v="Line"/>
    <x v="2"/>
    <x v="0"/>
    <x v="8"/>
    <x v="1"/>
    <x v="4"/>
    <n v="-223.1"/>
    <s v="MtCO2e/yr"/>
  </r>
  <r>
    <s v="Fig_3.8"/>
    <s v="Line"/>
    <x v="2"/>
    <x v="0"/>
    <x v="8"/>
    <x v="1"/>
    <x v="1"/>
    <n v="-39"/>
    <s v="MtCO2e/yr"/>
  </r>
  <r>
    <s v="Fig_3.8"/>
    <s v="Line"/>
    <x v="2"/>
    <x v="0"/>
    <x v="8"/>
    <x v="1"/>
    <x v="0"/>
    <n v="-287"/>
    <s v="MtCO2e/yr"/>
  </r>
  <r>
    <s v="Fig_3.8"/>
    <s v="Line"/>
    <x v="2"/>
    <x v="0"/>
    <x v="8"/>
    <x v="0"/>
    <x v="2"/>
    <n v="-307.8"/>
    <s v="MtCO2e/yr"/>
  </r>
  <r>
    <s v="Fig_3.8"/>
    <s v="Line"/>
    <x v="2"/>
    <x v="0"/>
    <x v="8"/>
    <x v="0"/>
    <x v="3"/>
    <n v="-111"/>
    <s v="MtCO2e/yr"/>
  </r>
  <r>
    <s v="Fig_3.8"/>
    <s v="Line"/>
    <x v="2"/>
    <x v="0"/>
    <x v="8"/>
    <x v="0"/>
    <x v="4"/>
    <n v="-200.4"/>
    <s v="MtCO2e/yr"/>
  </r>
  <r>
    <s v="Fig_3.8"/>
    <s v="Line"/>
    <x v="2"/>
    <x v="0"/>
    <x v="8"/>
    <x v="0"/>
    <x v="1"/>
    <n v="-28.2"/>
    <s v="MtCO2e/yr"/>
  </r>
  <r>
    <s v="Fig_3.8"/>
    <s v="Line"/>
    <x v="2"/>
    <x v="0"/>
    <x v="8"/>
    <x v="0"/>
    <x v="0"/>
    <n v="-260.8"/>
    <s v="MtCO2e/yr"/>
  </r>
  <r>
    <s v="Fig_3.8"/>
    <s v="Bar"/>
    <x v="0"/>
    <x v="1"/>
    <x v="3"/>
    <x v="1"/>
    <x v="4"/>
    <n v="-0.6"/>
    <s v="MtCO2e/yr"/>
  </r>
  <r>
    <s v="Fig_3.8"/>
    <s v="Bar"/>
    <x v="1"/>
    <x v="1"/>
    <x v="3"/>
    <x v="1"/>
    <x v="4"/>
    <n v="-105.4"/>
    <s v="MtCO2e/yr"/>
  </r>
  <r>
    <s v="Fig_3.8"/>
    <s v="Bar"/>
    <x v="2"/>
    <x v="1"/>
    <x v="3"/>
    <x v="1"/>
    <x v="4"/>
    <n v="-146.80000000000001"/>
    <s v="MtCO2e/yr"/>
  </r>
  <r>
    <s v="Fig_3.8"/>
    <s v="Bar"/>
    <x v="3"/>
    <x v="1"/>
    <x v="3"/>
    <x v="1"/>
    <x v="4"/>
    <n v="-166.4"/>
    <s v="MtCO2e/yr"/>
  </r>
  <r>
    <s v="Fig_3.8"/>
    <s v="Bar"/>
    <x v="0"/>
    <x v="1"/>
    <x v="3"/>
    <x v="0"/>
    <x v="3"/>
    <n v="-0.1"/>
    <s v="MtCO2e/yr"/>
  </r>
  <r>
    <s v="Fig_3.8"/>
    <s v="Bar"/>
    <x v="1"/>
    <x v="1"/>
    <x v="3"/>
    <x v="0"/>
    <x v="3"/>
    <n v="-97.3"/>
    <s v="MtCO2e/yr"/>
  </r>
  <r>
    <s v="Fig_3.8"/>
    <s v="Bar"/>
    <x v="2"/>
    <x v="1"/>
    <x v="3"/>
    <x v="0"/>
    <x v="3"/>
    <n v="-140.4"/>
    <s v="MtCO2e/yr"/>
  </r>
  <r>
    <s v="Fig_3.8"/>
    <s v="Bar"/>
    <x v="3"/>
    <x v="1"/>
    <x v="3"/>
    <x v="0"/>
    <x v="3"/>
    <n v="-162.9"/>
    <s v="MtCO2e/yr"/>
  </r>
  <r>
    <s v="Fig_3.8"/>
    <s v="Bar"/>
    <x v="0"/>
    <x v="1"/>
    <x v="3"/>
    <x v="1"/>
    <x v="3"/>
    <n v="-0.1"/>
    <s v="MtCO2e/yr"/>
  </r>
  <r>
    <s v="Fig_3.8"/>
    <s v="Bar"/>
    <x v="1"/>
    <x v="1"/>
    <x v="3"/>
    <x v="1"/>
    <x v="3"/>
    <n v="-93.6"/>
    <s v="MtCO2e/yr"/>
  </r>
  <r>
    <s v="Fig_3.8"/>
    <s v="Bar"/>
    <x v="2"/>
    <x v="1"/>
    <x v="3"/>
    <x v="1"/>
    <x v="3"/>
    <n v="-133.30000000000001"/>
    <s v="MtCO2e/yr"/>
  </r>
  <r>
    <s v="Fig_3.8"/>
    <s v="Bar"/>
    <x v="3"/>
    <x v="1"/>
    <x v="3"/>
    <x v="1"/>
    <x v="3"/>
    <n v="-153.30000000000001"/>
    <s v="MtCO2e/yr"/>
  </r>
  <r>
    <s v="Fig_3.8"/>
    <s v="Bar"/>
    <x v="0"/>
    <x v="1"/>
    <x v="3"/>
    <x v="0"/>
    <x v="2"/>
    <n v="-0.6"/>
    <s v="MtCO2e/yr"/>
  </r>
  <r>
    <s v="Fig_3.8"/>
    <s v="Bar"/>
    <x v="1"/>
    <x v="1"/>
    <x v="3"/>
    <x v="0"/>
    <x v="2"/>
    <n v="-108.4"/>
    <s v="MtCO2e/yr"/>
  </r>
  <r>
    <s v="Fig_3.8"/>
    <s v="Bar"/>
    <x v="2"/>
    <x v="1"/>
    <x v="3"/>
    <x v="0"/>
    <x v="2"/>
    <n v="-149.80000000000001"/>
    <s v="MtCO2e/yr"/>
  </r>
  <r>
    <s v="Fig_3.8"/>
    <s v="Bar"/>
    <x v="3"/>
    <x v="1"/>
    <x v="3"/>
    <x v="0"/>
    <x v="2"/>
    <n v="-172.8"/>
    <s v="MtCO2e/yr"/>
  </r>
  <r>
    <s v="Fig_3.8"/>
    <s v="Bar"/>
    <x v="0"/>
    <x v="1"/>
    <x v="3"/>
    <x v="1"/>
    <x v="2"/>
    <n v="-0.6"/>
    <s v="MtCO2e/yr"/>
  </r>
  <r>
    <s v="Fig_3.8"/>
    <s v="Bar"/>
    <x v="1"/>
    <x v="1"/>
    <x v="3"/>
    <x v="1"/>
    <x v="2"/>
    <n v="-108"/>
    <s v="MtCO2e/yr"/>
  </r>
  <r>
    <s v="Fig_3.8"/>
    <s v="Bar"/>
    <x v="2"/>
    <x v="1"/>
    <x v="3"/>
    <x v="1"/>
    <x v="2"/>
    <n v="-148.80000000000001"/>
    <s v="MtCO2e/yr"/>
  </r>
  <r>
    <s v="Fig_3.8"/>
    <s v="Bar"/>
    <x v="3"/>
    <x v="1"/>
    <x v="3"/>
    <x v="1"/>
    <x v="2"/>
    <n v="-169.5"/>
    <s v="MtCO2e/yr"/>
  </r>
  <r>
    <s v="Fig_3.8"/>
    <s v="Bar"/>
    <x v="0"/>
    <x v="1"/>
    <x v="4"/>
    <x v="0"/>
    <x v="0"/>
    <n v="0.1"/>
    <s v="MtCO2e/yr"/>
  </r>
  <r>
    <s v="Fig_3.8"/>
    <s v="Bar"/>
    <x v="1"/>
    <x v="1"/>
    <x v="4"/>
    <x v="0"/>
    <x v="0"/>
    <n v="-3.6"/>
    <s v="MtCO2e/yr"/>
  </r>
  <r>
    <s v="Fig_3.8"/>
    <s v="Bar"/>
    <x v="2"/>
    <x v="1"/>
    <x v="4"/>
    <x v="0"/>
    <x v="0"/>
    <n v="-15.6"/>
    <s v="MtCO2e/yr"/>
  </r>
  <r>
    <s v="Fig_3.8"/>
    <s v="Bar"/>
    <x v="3"/>
    <x v="1"/>
    <x v="4"/>
    <x v="0"/>
    <x v="0"/>
    <n v="-35.700000000000003"/>
    <s v="MtCO2e/yr"/>
  </r>
  <r>
    <s v="Fig_3.8"/>
    <s v="Bar"/>
    <x v="0"/>
    <x v="1"/>
    <x v="4"/>
    <x v="1"/>
    <x v="0"/>
    <n v="0.1"/>
    <s v="MtCO2e/yr"/>
  </r>
  <r>
    <s v="Fig_3.8"/>
    <s v="Bar"/>
    <x v="1"/>
    <x v="1"/>
    <x v="4"/>
    <x v="1"/>
    <x v="0"/>
    <n v="-3"/>
    <s v="MtCO2e/yr"/>
  </r>
  <r>
    <s v="Fig_3.8"/>
    <s v="Bar"/>
    <x v="2"/>
    <x v="1"/>
    <x v="4"/>
    <x v="1"/>
    <x v="0"/>
    <n v="-13.3"/>
    <s v="MtCO2e/yr"/>
  </r>
  <r>
    <s v="Fig_3.8"/>
    <s v="Bar"/>
    <x v="3"/>
    <x v="1"/>
    <x v="4"/>
    <x v="1"/>
    <x v="0"/>
    <n v="-30.3"/>
    <s v="MtCO2e/yr"/>
  </r>
  <r>
    <s v="Fig_3.8"/>
    <s v="Bar"/>
    <x v="0"/>
    <x v="1"/>
    <x v="4"/>
    <x v="0"/>
    <x v="1"/>
    <n v="0.1"/>
    <s v="MtCO2e/yr"/>
  </r>
  <r>
    <s v="Fig_3.8"/>
    <s v="Bar"/>
    <x v="1"/>
    <x v="1"/>
    <x v="4"/>
    <x v="0"/>
    <x v="1"/>
    <n v="0.3"/>
    <s v="MtCO2e/yr"/>
  </r>
  <r>
    <s v="Fig_3.8"/>
    <s v="Bar"/>
    <x v="2"/>
    <x v="1"/>
    <x v="4"/>
    <x v="0"/>
    <x v="1"/>
    <n v="0.2"/>
    <s v="MtCO2e/yr"/>
  </r>
  <r>
    <s v="Fig_3.8"/>
    <s v="Bar"/>
    <x v="3"/>
    <x v="1"/>
    <x v="4"/>
    <x v="0"/>
    <x v="1"/>
    <n v="-1.2"/>
    <s v="MtCO2e/yr"/>
  </r>
  <r>
    <s v="Fig_3.8"/>
    <s v="Bar"/>
    <x v="0"/>
    <x v="1"/>
    <x v="4"/>
    <x v="1"/>
    <x v="1"/>
    <n v="0.1"/>
    <s v="MtCO2e/yr"/>
  </r>
  <r>
    <s v="Fig_3.8"/>
    <s v="Bar"/>
    <x v="1"/>
    <x v="1"/>
    <x v="4"/>
    <x v="1"/>
    <x v="1"/>
    <n v="0.3"/>
    <s v="MtCO2e/yr"/>
  </r>
  <r>
    <s v="Fig_3.8"/>
    <s v="Bar"/>
    <x v="2"/>
    <x v="1"/>
    <x v="4"/>
    <x v="1"/>
    <x v="1"/>
    <n v="0.4"/>
    <s v="MtCO2e/yr"/>
  </r>
  <r>
    <s v="Fig_3.8"/>
    <s v="Bar"/>
    <x v="3"/>
    <x v="1"/>
    <x v="4"/>
    <x v="1"/>
    <x v="1"/>
    <n v="-0.2"/>
    <s v="MtCO2e/yr"/>
  </r>
  <r>
    <s v="Fig_3.8"/>
    <s v="Bar"/>
    <x v="0"/>
    <x v="1"/>
    <x v="4"/>
    <x v="0"/>
    <x v="4"/>
    <n v="0.1"/>
    <s v="MtCO2e/yr"/>
  </r>
  <r>
    <s v="Fig_3.8"/>
    <s v="Bar"/>
    <x v="1"/>
    <x v="1"/>
    <x v="4"/>
    <x v="0"/>
    <x v="4"/>
    <n v="-2.1"/>
    <s v="MtCO2e/yr"/>
  </r>
  <r>
    <s v="Fig_3.8"/>
    <s v="Bar"/>
    <x v="2"/>
    <x v="1"/>
    <x v="4"/>
    <x v="0"/>
    <x v="4"/>
    <n v="-10.5"/>
    <s v="MtCO2e/yr"/>
  </r>
  <r>
    <s v="Fig_3.8"/>
    <s v="Bar"/>
    <x v="3"/>
    <x v="1"/>
    <x v="4"/>
    <x v="0"/>
    <x v="4"/>
    <n v="-26.1"/>
    <s v="MtCO2e/yr"/>
  </r>
  <r>
    <s v="Fig_3.8"/>
    <s v="Bar"/>
    <x v="0"/>
    <x v="1"/>
    <x v="4"/>
    <x v="1"/>
    <x v="4"/>
    <n v="0.1"/>
    <s v="MtCO2e/yr"/>
  </r>
  <r>
    <s v="Fig_3.8"/>
    <s v="Bar"/>
    <x v="1"/>
    <x v="1"/>
    <x v="4"/>
    <x v="1"/>
    <x v="4"/>
    <n v="-1.7"/>
    <s v="MtCO2e/yr"/>
  </r>
  <r>
    <s v="Fig_3.8"/>
    <s v="Bar"/>
    <x v="2"/>
    <x v="1"/>
    <x v="4"/>
    <x v="1"/>
    <x v="4"/>
    <n v="-8.1"/>
    <s v="MtCO2e/yr"/>
  </r>
  <r>
    <s v="Fig_3.8"/>
    <s v="Bar"/>
    <x v="3"/>
    <x v="1"/>
    <x v="4"/>
    <x v="1"/>
    <x v="4"/>
    <n v="-19.7"/>
    <s v="MtCO2e/yr"/>
  </r>
  <r>
    <s v="Fig_3.8"/>
    <s v="Bar"/>
    <x v="0"/>
    <x v="1"/>
    <x v="4"/>
    <x v="0"/>
    <x v="3"/>
    <n v="0.1"/>
    <s v="MtCO2e/yr"/>
  </r>
  <r>
    <s v="Fig_3.8"/>
    <s v="Bar"/>
    <x v="1"/>
    <x v="1"/>
    <x v="4"/>
    <x v="0"/>
    <x v="3"/>
    <n v="-0.5"/>
    <s v="MtCO2e/yr"/>
  </r>
  <r>
    <s v="Fig_3.8"/>
    <s v="Bar"/>
    <x v="2"/>
    <x v="1"/>
    <x v="4"/>
    <x v="0"/>
    <x v="3"/>
    <n v="-4.2"/>
    <s v="MtCO2e/yr"/>
  </r>
  <r>
    <s v="Fig_3.8"/>
    <s v="Bar"/>
    <x v="3"/>
    <x v="1"/>
    <x v="4"/>
    <x v="0"/>
    <x v="3"/>
    <n v="-12.6"/>
    <s v="MtCO2e/yr"/>
  </r>
  <r>
    <s v="Fig_3.8"/>
    <s v="Bar"/>
    <x v="0"/>
    <x v="1"/>
    <x v="4"/>
    <x v="1"/>
    <x v="3"/>
    <n v="0.1"/>
    <s v="MtCO2e/yr"/>
  </r>
  <r>
    <s v="Fig_3.8"/>
    <s v="Bar"/>
    <x v="1"/>
    <x v="1"/>
    <x v="4"/>
    <x v="1"/>
    <x v="3"/>
    <n v="-0.2"/>
    <s v="MtCO2e/yr"/>
  </r>
  <r>
    <s v="Fig_3.8"/>
    <s v="Line"/>
    <x v="0"/>
    <x v="1"/>
    <x v="8"/>
    <x v="1"/>
    <x v="2"/>
    <n v="-85.6"/>
    <s v="MtCO2e/yr"/>
  </r>
  <r>
    <s v="Fig_3.8"/>
    <s v="Line"/>
    <x v="2"/>
    <x v="1"/>
    <x v="8"/>
    <x v="1"/>
    <x v="3"/>
    <n v="-193.3"/>
    <s v="MtCO2e/yr"/>
  </r>
  <r>
    <s v="Fig_3.8"/>
    <s v="Line"/>
    <x v="2"/>
    <x v="1"/>
    <x v="8"/>
    <x v="1"/>
    <x v="4"/>
    <n v="-225.8"/>
    <s v="MtCO2e/yr"/>
  </r>
  <r>
    <s v="Fig_3.8"/>
    <s v="Line"/>
    <x v="2"/>
    <x v="1"/>
    <x v="8"/>
    <x v="1"/>
    <x v="1"/>
    <n v="-152"/>
    <s v="MtCO2e/yr"/>
  </r>
  <r>
    <s v="Fig_3.8"/>
    <s v="Line"/>
    <x v="2"/>
    <x v="1"/>
    <x v="8"/>
    <x v="1"/>
    <x v="0"/>
    <n v="-240.4"/>
    <s v="MtCO2e/yr"/>
  </r>
  <r>
    <s v="Fig_3.8"/>
    <s v="Line"/>
    <x v="1"/>
    <x v="1"/>
    <x v="8"/>
    <x v="1"/>
    <x v="2"/>
    <n v="-204.1"/>
    <s v="MtCO2e/yr"/>
  </r>
  <r>
    <s v="Fig_3.8"/>
    <s v="Line"/>
    <x v="2"/>
    <x v="1"/>
    <x v="8"/>
    <x v="0"/>
    <x v="3"/>
    <n v="-208"/>
    <s v="MtCO2e/yr"/>
  </r>
  <r>
    <s v="Fig_3.8"/>
    <s v="Line"/>
    <x v="2"/>
    <x v="1"/>
    <x v="8"/>
    <x v="0"/>
    <x v="4"/>
    <n v="-234.1"/>
    <s v="MtCO2e/yr"/>
  </r>
  <r>
    <s v="Fig_3.8"/>
    <s v="Line"/>
    <x v="2"/>
    <x v="1"/>
    <x v="8"/>
    <x v="0"/>
    <x v="1"/>
    <n v="-154.1"/>
    <s v="MtCO2e/yr"/>
  </r>
  <r>
    <s v="Fig_3.8"/>
    <s v="Line"/>
    <x v="2"/>
    <x v="1"/>
    <x v="8"/>
    <x v="0"/>
    <x v="0"/>
    <n v="-248.7"/>
    <s v="MtCO2e/yr"/>
  </r>
  <r>
    <s v="Fig_3.8"/>
    <s v="Bar"/>
    <x v="2"/>
    <x v="0"/>
    <x v="0"/>
    <x v="1"/>
    <x v="3"/>
    <n v="13.7"/>
    <s v="MtCO2e/yr"/>
  </r>
  <r>
    <s v="Fig_3.8"/>
    <s v="Bar"/>
    <x v="3"/>
    <x v="0"/>
    <x v="0"/>
    <x v="1"/>
    <x v="3"/>
    <n v="7.7"/>
    <s v="MtCO2e/yr"/>
  </r>
  <r>
    <s v="Fig_3.8"/>
    <s v="Bar"/>
    <x v="0"/>
    <x v="0"/>
    <x v="0"/>
    <x v="0"/>
    <x v="2"/>
    <n v="124.1"/>
    <s v="MtCO2e/yr"/>
  </r>
  <r>
    <s v="Fig_3.8"/>
    <s v="Bar"/>
    <x v="1"/>
    <x v="0"/>
    <x v="0"/>
    <x v="0"/>
    <x v="2"/>
    <n v="109.7"/>
    <s v="MtCO2e/yr"/>
  </r>
  <r>
    <s v="Fig_3.8"/>
    <s v="Bar"/>
    <x v="2"/>
    <x v="0"/>
    <x v="0"/>
    <x v="0"/>
    <x v="2"/>
    <n v="73.5"/>
    <s v="MtCO2e/yr"/>
  </r>
  <r>
    <s v="Fig_3.8"/>
    <s v="Bar"/>
    <x v="3"/>
    <x v="0"/>
    <x v="0"/>
    <x v="0"/>
    <x v="2"/>
    <n v="45.3"/>
    <s v="MtCO2e/yr"/>
  </r>
  <r>
    <s v="Fig_3.8"/>
    <s v="Bar"/>
    <x v="0"/>
    <x v="0"/>
    <x v="0"/>
    <x v="1"/>
    <x v="2"/>
    <n v="15.7"/>
    <s v="MtCO2e/yr"/>
  </r>
  <r>
    <s v="Fig_3.8"/>
    <s v="Bar"/>
    <x v="1"/>
    <x v="0"/>
    <x v="0"/>
    <x v="1"/>
    <x v="2"/>
    <n v="19.7"/>
    <s v="MtCO2e/yr"/>
  </r>
  <r>
    <s v="Fig_3.8"/>
    <s v="Bar"/>
    <x v="2"/>
    <x v="0"/>
    <x v="0"/>
    <x v="1"/>
    <x v="2"/>
    <n v="9"/>
    <s v="MtCO2e/yr"/>
  </r>
  <r>
    <s v="Fig_3.8"/>
    <s v="Bar"/>
    <x v="3"/>
    <x v="0"/>
    <x v="0"/>
    <x v="1"/>
    <x v="2"/>
    <n v="5.0999999999999996"/>
    <s v="MtCO2e/yr"/>
  </r>
  <r>
    <s v="Fig_3.8"/>
    <s v="Bar"/>
    <x v="2"/>
    <x v="0"/>
    <x v="1"/>
    <x v="1"/>
    <x v="3"/>
    <n v="-6.1"/>
    <s v="MtCO2e/yr"/>
  </r>
  <r>
    <s v="Fig_3.8"/>
    <s v="Bar"/>
    <x v="3"/>
    <x v="0"/>
    <x v="1"/>
    <x v="1"/>
    <x v="3"/>
    <n v="-6.9"/>
    <s v="MtCO2e/yr"/>
  </r>
  <r>
    <s v="Fig_3.8"/>
    <s v="Bar"/>
    <x v="0"/>
    <x v="0"/>
    <x v="1"/>
    <x v="0"/>
    <x v="2"/>
    <n v="-3.8"/>
    <s v="MtCO2e/yr"/>
  </r>
  <r>
    <s v="Fig_3.8"/>
    <s v="Bar"/>
    <x v="1"/>
    <x v="0"/>
    <x v="1"/>
    <x v="0"/>
    <x v="2"/>
    <n v="-7.6"/>
    <s v="MtCO2e/yr"/>
  </r>
  <r>
    <s v="Fig_3.8"/>
    <s v="Bar"/>
    <x v="2"/>
    <x v="0"/>
    <x v="1"/>
    <x v="0"/>
    <x v="2"/>
    <n v="-10.199999999999999"/>
    <s v="MtCO2e/yr"/>
  </r>
  <r>
    <s v="Fig_3.8"/>
    <s v="Bar"/>
    <x v="3"/>
    <x v="0"/>
    <x v="1"/>
    <x v="0"/>
    <x v="2"/>
    <n v="-12"/>
    <s v="MtCO2e/yr"/>
  </r>
  <r>
    <s v="Fig_3.8"/>
    <s v="Bar"/>
    <x v="0"/>
    <x v="0"/>
    <x v="1"/>
    <x v="1"/>
    <x v="2"/>
    <n v="-5.7"/>
    <s v="MtCO2e/yr"/>
  </r>
  <r>
    <s v="Fig_3.8"/>
    <s v="Bar"/>
    <x v="1"/>
    <x v="0"/>
    <x v="1"/>
    <x v="1"/>
    <x v="2"/>
    <n v="-9.1"/>
    <s v="MtCO2e/yr"/>
  </r>
  <r>
    <s v="Fig_3.8"/>
    <s v="Bar"/>
    <x v="2"/>
    <x v="0"/>
    <x v="1"/>
    <x v="1"/>
    <x v="2"/>
    <n v="-11.3"/>
    <s v="MtCO2e/yr"/>
  </r>
  <r>
    <s v="Fig_3.8"/>
    <s v="Bar"/>
    <x v="3"/>
    <x v="0"/>
    <x v="1"/>
    <x v="1"/>
    <x v="2"/>
    <n v="-12.9"/>
    <s v="MtCO2e/yr"/>
  </r>
  <r>
    <s v="Fig_3.8"/>
    <s v="Bar"/>
    <x v="2"/>
    <x v="0"/>
    <x v="2"/>
    <x v="1"/>
    <x v="3"/>
    <n v="-1.9"/>
    <s v="MtCO2e/yr"/>
  </r>
  <r>
    <s v="Fig_3.8"/>
    <s v="Bar"/>
    <x v="3"/>
    <x v="0"/>
    <x v="2"/>
    <x v="1"/>
    <x v="3"/>
    <n v="-2.9"/>
    <s v="MtCO2e/yr"/>
  </r>
  <r>
    <s v="Fig_3.8"/>
    <s v="Bar"/>
    <x v="0"/>
    <x v="0"/>
    <x v="2"/>
    <x v="0"/>
    <x v="2"/>
    <n v="-4"/>
    <s v="MtCO2e/yr"/>
  </r>
  <r>
    <s v="Fig_3.8"/>
    <s v="Bar"/>
    <x v="1"/>
    <x v="0"/>
    <x v="2"/>
    <x v="0"/>
    <x v="2"/>
    <n v="-8.8000000000000007"/>
    <s v="MtCO2e/yr"/>
  </r>
  <r>
    <s v="Fig_3.8"/>
    <s v="Bar"/>
    <x v="2"/>
    <x v="0"/>
    <x v="2"/>
    <x v="0"/>
    <x v="2"/>
    <n v="-13"/>
    <s v="MtCO2e/yr"/>
  </r>
  <r>
    <s v="Fig_3.8"/>
    <s v="Bar"/>
    <x v="3"/>
    <x v="0"/>
    <x v="2"/>
    <x v="0"/>
    <x v="2"/>
    <n v="-15.8"/>
    <s v="MtCO2e/yr"/>
  </r>
  <r>
    <s v="Fig_3.8"/>
    <s v="Bar"/>
    <x v="0"/>
    <x v="0"/>
    <x v="2"/>
    <x v="1"/>
    <x v="2"/>
    <n v="-7"/>
    <s v="MtCO2e/yr"/>
  </r>
  <r>
    <s v="Fig_3.8"/>
    <s v="Bar"/>
    <x v="1"/>
    <x v="0"/>
    <x v="2"/>
    <x v="1"/>
    <x v="2"/>
    <n v="-10.7"/>
    <s v="MtCO2e/yr"/>
  </r>
  <r>
    <s v="Fig_3.8"/>
    <s v="Bar"/>
    <x v="2"/>
    <x v="0"/>
    <x v="2"/>
    <x v="1"/>
    <x v="2"/>
    <n v="-14.2"/>
    <s v="MtCO2e/yr"/>
  </r>
  <r>
    <s v="Fig_3.8"/>
    <s v="Bar"/>
    <x v="3"/>
    <x v="0"/>
    <x v="2"/>
    <x v="1"/>
    <x v="2"/>
    <n v="-16.7"/>
    <s v="MtCO2e/yr"/>
  </r>
  <r>
    <s v="Fig_3.8"/>
    <s v="Bar"/>
    <x v="2"/>
    <x v="0"/>
    <x v="3"/>
    <x v="1"/>
    <x v="3"/>
    <n v="-31.3"/>
    <s v="MtCO2e/yr"/>
  </r>
  <r>
    <s v="Fig_3.8"/>
    <s v="Bar"/>
    <x v="3"/>
    <x v="0"/>
    <x v="3"/>
    <x v="1"/>
    <x v="3"/>
    <n v="-32.700000000000003"/>
    <s v="MtCO2e/yr"/>
  </r>
  <r>
    <s v="Fig_3.8"/>
    <s v="Bar"/>
    <x v="0"/>
    <x v="0"/>
    <x v="3"/>
    <x v="0"/>
    <x v="2"/>
    <n v="-30.3"/>
    <s v="MtCO2e/yr"/>
  </r>
  <r>
    <s v="Fig_3.8"/>
    <s v="Bar"/>
    <x v="1"/>
    <x v="0"/>
    <x v="3"/>
    <x v="0"/>
    <x v="2"/>
    <n v="-67.099999999999994"/>
    <s v="MtCO2e/yr"/>
  </r>
  <r>
    <s v="Fig_3.8"/>
    <s v="Bar"/>
    <x v="2"/>
    <x v="0"/>
    <x v="3"/>
    <x v="0"/>
    <x v="2"/>
    <n v="-77.8"/>
    <s v="MtCO2e/yr"/>
  </r>
  <r>
    <s v="Fig_3.8"/>
    <s v="Bar"/>
    <x v="3"/>
    <x v="0"/>
    <x v="3"/>
    <x v="0"/>
    <x v="2"/>
    <n v="-91.9"/>
    <s v="MtCO2e/yr"/>
  </r>
  <r>
    <s v="Fig_3.8"/>
    <s v="Bar"/>
    <x v="0"/>
    <x v="0"/>
    <x v="3"/>
    <x v="1"/>
    <x v="2"/>
    <n v="-54.7"/>
    <s v="MtCO2e/yr"/>
  </r>
  <r>
    <s v="Fig_3.8"/>
    <s v="Bar"/>
    <x v="1"/>
    <x v="0"/>
    <x v="3"/>
    <x v="1"/>
    <x v="2"/>
    <n v="-91.1"/>
    <s v="MtCO2e/yr"/>
  </r>
  <r>
    <s v="Fig_3.8"/>
    <s v="Bar"/>
    <x v="2"/>
    <x v="0"/>
    <x v="3"/>
    <x v="1"/>
    <x v="2"/>
    <n v="-93.6"/>
    <s v="MtCO2e/yr"/>
  </r>
  <r>
    <s v="Fig_3.8"/>
    <s v="Bar"/>
    <x v="3"/>
    <x v="0"/>
    <x v="3"/>
    <x v="1"/>
    <x v="2"/>
    <n v="-89.6"/>
    <s v="MtCO2e/yr"/>
  </r>
  <r>
    <s v="Fig_3.8"/>
    <s v="Bar"/>
    <x v="2"/>
    <x v="0"/>
    <x v="4"/>
    <x v="1"/>
    <x v="3"/>
    <n v="-42.6"/>
    <s v="MtCO2e/yr"/>
  </r>
  <r>
    <s v="Fig_3.8"/>
    <s v="Bar"/>
    <x v="3"/>
    <x v="0"/>
    <x v="4"/>
    <x v="1"/>
    <x v="3"/>
    <n v="-47.6"/>
    <s v="MtCO2e/yr"/>
  </r>
  <r>
    <s v="Fig_3.8"/>
    <s v="Bar"/>
    <x v="0"/>
    <x v="0"/>
    <x v="4"/>
    <x v="0"/>
    <x v="2"/>
    <m/>
    <s v="MtCO2e/yr"/>
  </r>
  <r>
    <s v="Fig_3.8"/>
    <s v="Bar"/>
    <x v="1"/>
    <x v="0"/>
    <x v="4"/>
    <x v="0"/>
    <x v="2"/>
    <n v="-59"/>
    <s v="MtCO2e/yr"/>
  </r>
  <r>
    <s v="Fig_3.8"/>
    <s v="Bar"/>
    <x v="2"/>
    <x v="0"/>
    <x v="4"/>
    <x v="0"/>
    <x v="2"/>
    <n v="-77.599999999999994"/>
    <s v="MtCO2e/yr"/>
  </r>
  <r>
    <s v="Fig_3.8"/>
    <s v="Bar"/>
    <x v="3"/>
    <x v="0"/>
    <x v="4"/>
    <x v="0"/>
    <x v="2"/>
    <n v="-107"/>
    <s v="MtCO2e/yr"/>
  </r>
  <r>
    <s v="Fig_3.8"/>
    <s v="Bar"/>
    <x v="0"/>
    <x v="0"/>
    <x v="4"/>
    <x v="1"/>
    <x v="2"/>
    <m/>
    <s v="MtCO2e/yr"/>
  </r>
  <r>
    <s v="Fig_3.8"/>
    <s v="Bar"/>
    <x v="1"/>
    <x v="0"/>
    <x v="4"/>
    <x v="1"/>
    <x v="2"/>
    <n v="-60.3"/>
    <s v="MtCO2e/yr"/>
  </r>
  <r>
    <s v="Fig_3.8"/>
    <s v="Bar"/>
    <x v="2"/>
    <x v="0"/>
    <x v="4"/>
    <x v="1"/>
    <x v="2"/>
    <n v="-87.8"/>
    <s v="MtCO2e/yr"/>
  </r>
  <r>
    <s v="Fig_3.8"/>
    <s v="Bar"/>
    <x v="3"/>
    <x v="0"/>
    <x v="4"/>
    <x v="1"/>
    <x v="2"/>
    <n v="-115.7"/>
    <s v="MtCO2e/yr"/>
  </r>
  <r>
    <s v="Fig_3.8"/>
    <s v="Bar"/>
    <x v="2"/>
    <x v="0"/>
    <x v="5"/>
    <x v="1"/>
    <x v="3"/>
    <n v="1.1000000000000001"/>
    <s v="MtCO2e/yr"/>
  </r>
  <r>
    <s v="Fig_3.8"/>
    <s v="Bar"/>
    <x v="3"/>
    <x v="0"/>
    <x v="5"/>
    <x v="1"/>
    <x v="3"/>
    <n v="1"/>
    <s v="MtCO2e/yr"/>
  </r>
  <r>
    <s v="Fig_3.8"/>
    <s v="Bar"/>
    <x v="0"/>
    <x v="0"/>
    <x v="5"/>
    <x v="0"/>
    <x v="2"/>
    <n v="3.6"/>
    <s v="MtCO2e/yr"/>
  </r>
  <r>
    <s v="Fig_3.8"/>
    <s v="Bar"/>
    <x v="1"/>
    <x v="0"/>
    <x v="5"/>
    <x v="0"/>
    <x v="2"/>
    <n v="3"/>
    <s v="MtCO2e/yr"/>
  </r>
  <r>
    <s v="Fig_3.8"/>
    <s v="Bar"/>
    <x v="2"/>
    <x v="0"/>
    <x v="5"/>
    <x v="0"/>
    <x v="2"/>
    <n v="2.6"/>
    <s v="MtCO2e/yr"/>
  </r>
  <r>
    <s v="Fig_3.8"/>
    <s v="Bar"/>
    <x v="3"/>
    <x v="0"/>
    <x v="5"/>
    <x v="0"/>
    <x v="2"/>
    <n v="2.4"/>
    <s v="MtCO2e/yr"/>
  </r>
  <r>
    <s v="Fig_3.8"/>
    <s v="Bar"/>
    <x v="0"/>
    <x v="0"/>
    <x v="5"/>
    <x v="1"/>
    <x v="2"/>
    <n v="6.9"/>
    <s v="MtCO2e/yr"/>
  </r>
  <r>
    <s v="Fig_3.8"/>
    <s v="Bar"/>
    <x v="1"/>
    <x v="0"/>
    <x v="5"/>
    <x v="1"/>
    <x v="2"/>
    <n v="5.4"/>
    <s v="MtCO2e/yr"/>
  </r>
  <r>
    <s v="Fig_3.8"/>
    <s v="Bar"/>
    <x v="2"/>
    <x v="0"/>
    <x v="5"/>
    <x v="1"/>
    <x v="2"/>
    <n v="5"/>
    <s v="MtCO2e/yr"/>
  </r>
  <r>
    <s v="Fig_3.8"/>
    <s v="Bar"/>
    <x v="3"/>
    <x v="0"/>
    <x v="5"/>
    <x v="1"/>
    <x v="2"/>
    <n v="4.5999999999999996"/>
    <s v="MtCO2e/yr"/>
  </r>
  <r>
    <s v="Fig_3.8"/>
    <s v="Bar"/>
    <x v="2"/>
    <x v="0"/>
    <x v="6"/>
    <x v="1"/>
    <x v="3"/>
    <n v="-36.4"/>
    <s v="MtCO2e/yr"/>
  </r>
  <r>
    <s v="Fig_3.8"/>
    <s v="Bar"/>
    <x v="3"/>
    <x v="0"/>
    <x v="6"/>
    <x v="1"/>
    <x v="3"/>
    <n v="-33.9"/>
    <s v="MtCO2e/yr"/>
  </r>
  <r>
    <s v="Fig_3.8"/>
    <s v="Bar"/>
    <x v="0"/>
    <x v="0"/>
    <x v="6"/>
    <x v="0"/>
    <x v="2"/>
    <n v="-153.19999999999999"/>
    <s v="MtCO2e/yr"/>
  </r>
  <r>
    <s v="Fig_3.8"/>
    <s v="Bar"/>
    <x v="1"/>
    <x v="0"/>
    <x v="6"/>
    <x v="0"/>
    <x v="2"/>
    <n v="-173.5"/>
    <s v="MtCO2e/yr"/>
  </r>
  <r>
    <s v="Fig_3.8"/>
    <s v="Bar"/>
    <x v="2"/>
    <x v="0"/>
    <x v="6"/>
    <x v="0"/>
    <x v="2"/>
    <n v="-154.1"/>
    <s v="MtCO2e/yr"/>
  </r>
  <r>
    <s v="Fig_3.8"/>
    <s v="Bar"/>
    <x v="3"/>
    <x v="0"/>
    <x v="6"/>
    <x v="0"/>
    <x v="2"/>
    <n v="-130.19999999999999"/>
    <s v="MtCO2e/yr"/>
  </r>
  <r>
    <s v="Fig_3.8"/>
    <s v="Bar"/>
    <x v="0"/>
    <x v="0"/>
    <x v="6"/>
    <x v="1"/>
    <x v="2"/>
    <n v="-153.1"/>
    <s v="MtCO2e/yr"/>
  </r>
  <r>
    <s v="Fig_3.8"/>
    <s v="Bar"/>
    <x v="1"/>
    <x v="0"/>
    <x v="6"/>
    <x v="1"/>
    <x v="2"/>
    <n v="-138.6"/>
    <s v="MtCO2e/yr"/>
  </r>
  <r>
    <s v="Fig_3.8"/>
    <s v="Bar"/>
    <x v="2"/>
    <x v="0"/>
    <x v="6"/>
    <x v="1"/>
    <x v="2"/>
    <n v="-112.8"/>
    <s v="MtCO2e/yr"/>
  </r>
  <r>
    <s v="Fig_3.8"/>
    <s v="Bar"/>
    <x v="3"/>
    <x v="0"/>
    <x v="6"/>
    <x v="1"/>
    <x v="2"/>
    <n v="-97.8"/>
    <s v="MtCO2e/yr"/>
  </r>
  <r>
    <s v="Fig_3.8"/>
    <s v="Bar"/>
    <x v="2"/>
    <x v="0"/>
    <x v="7"/>
    <x v="1"/>
    <x v="3"/>
    <n v="-5.5"/>
    <s v="MtCO2e/yr"/>
  </r>
  <r>
    <s v="Fig_3.8"/>
    <s v="Bar"/>
    <x v="3"/>
    <x v="0"/>
    <x v="7"/>
    <x v="1"/>
    <x v="3"/>
    <n v="-8"/>
    <s v="MtCO2e/yr"/>
  </r>
  <r>
    <s v="Fig_3.8"/>
    <s v="Bar"/>
    <x v="0"/>
    <x v="0"/>
    <x v="7"/>
    <x v="0"/>
    <x v="2"/>
    <n v="-33.299999999999997"/>
    <s v="MtCO2e/yr"/>
  </r>
  <r>
    <s v="Fig_3.8"/>
    <s v="Bar"/>
    <x v="1"/>
    <x v="0"/>
    <x v="7"/>
    <x v="0"/>
    <x v="2"/>
    <n v="-44.3"/>
    <s v="MtCO2e/yr"/>
  </r>
  <r>
    <s v="Fig_3.8"/>
    <s v="Bar"/>
    <x v="2"/>
    <x v="0"/>
    <x v="7"/>
    <x v="0"/>
    <x v="2"/>
    <n v="-51.2"/>
    <s v="MtCO2e/yr"/>
  </r>
  <r>
    <s v="Fig_3.8"/>
    <s v="Bar"/>
    <x v="3"/>
    <x v="0"/>
    <x v="7"/>
    <x v="0"/>
    <x v="2"/>
    <n v="-59.2"/>
    <s v="MtCO2e/yr"/>
  </r>
  <r>
    <s v="Fig_3.8"/>
    <s v="Bar"/>
    <x v="0"/>
    <x v="0"/>
    <x v="7"/>
    <x v="1"/>
    <x v="2"/>
    <n v="-34.200000000000003"/>
    <s v="MtCO2e/yr"/>
  </r>
  <r>
    <s v="Fig_3.8"/>
    <s v="Bar"/>
    <x v="1"/>
    <x v="0"/>
    <x v="7"/>
    <x v="1"/>
    <x v="2"/>
    <n v="-43.6"/>
    <s v="MtCO2e/yr"/>
  </r>
  <r>
    <s v="Fig_3.8"/>
    <s v="Bar"/>
    <x v="2"/>
    <x v="0"/>
    <x v="7"/>
    <x v="1"/>
    <x v="2"/>
    <n v="-47.3"/>
    <s v="MtCO2e/yr"/>
  </r>
  <r>
    <s v="Fig_3.8"/>
    <s v="Bar"/>
    <x v="3"/>
    <x v="0"/>
    <x v="7"/>
    <x v="1"/>
    <x v="2"/>
    <n v="-52"/>
    <s v="MtCO2e/yr"/>
  </r>
  <r>
    <s v="Fig_3.8"/>
    <s v="Line"/>
    <x v="3"/>
    <x v="0"/>
    <x v="8"/>
    <x v="1"/>
    <x v="2"/>
    <n v="-375"/>
    <s v="MtCO2e/yr"/>
  </r>
  <r>
    <s v="Fig_3.8"/>
    <s v="Line"/>
    <x v="3"/>
    <x v="0"/>
    <x v="8"/>
    <x v="1"/>
    <x v="3"/>
    <n v="-123.3"/>
    <s v="MtCO2e/yr"/>
  </r>
  <r>
    <s v="Fig_3.8"/>
    <s v="Line"/>
    <x v="3"/>
    <x v="0"/>
    <x v="8"/>
    <x v="1"/>
    <x v="4"/>
    <n v="-255.2"/>
    <s v="MtCO2e/yr"/>
  </r>
  <r>
    <s v="Fig_3.8"/>
    <s v="Line"/>
    <x v="3"/>
    <x v="0"/>
    <x v="8"/>
    <x v="1"/>
    <x v="1"/>
    <n v="-42.3"/>
    <s v="MtCO2e/yr"/>
  </r>
  <r>
    <s v="Fig_3.8"/>
    <s v="Line"/>
    <x v="3"/>
    <x v="0"/>
    <x v="8"/>
    <x v="1"/>
    <x v="0"/>
    <n v="-314.7"/>
    <s v="MtCO2e/yr"/>
  </r>
  <r>
    <s v="Fig_3.8"/>
    <s v="Line"/>
    <x v="3"/>
    <x v="0"/>
    <x v="8"/>
    <x v="0"/>
    <x v="2"/>
    <n v="-368.4"/>
    <s v="MtCO2e/yr"/>
  </r>
  <r>
    <s v="Fig_3.8"/>
    <s v="Line"/>
    <x v="3"/>
    <x v="0"/>
    <x v="8"/>
    <x v="0"/>
    <x v="3"/>
    <n v="-153.1"/>
    <s v="MtCO2e/yr"/>
  </r>
  <r>
    <s v="Fig_3.8"/>
    <s v="Line"/>
    <x v="3"/>
    <x v="0"/>
    <x v="8"/>
    <x v="0"/>
    <x v="4"/>
    <n v="-248.8"/>
    <s v="MtCO2e/yr"/>
  </r>
  <r>
    <s v="Fig_3.8"/>
    <s v="Line"/>
    <x v="3"/>
    <x v="0"/>
    <x v="8"/>
    <x v="0"/>
    <x v="1"/>
    <n v="-36.5"/>
    <s v="MtCO2e/yr"/>
  </r>
  <r>
    <s v="Fig_3.8"/>
    <s v="Line"/>
    <x v="3"/>
    <x v="0"/>
    <x v="8"/>
    <x v="0"/>
    <x v="0"/>
    <n v="-313.89999999999998"/>
    <s v="MtCO2e/yr"/>
  </r>
  <r>
    <s v="Fig_3.8"/>
    <s v="Bar"/>
    <x v="2"/>
    <x v="1"/>
    <x v="4"/>
    <x v="1"/>
    <x v="3"/>
    <n v="-2.5"/>
    <s v="MtCO2e/yr"/>
  </r>
  <r>
    <s v="Fig_3.8"/>
    <s v="Bar"/>
    <x v="3"/>
    <x v="1"/>
    <x v="4"/>
    <x v="1"/>
    <x v="3"/>
    <n v="-7.6"/>
    <s v="MtCO2e/yr"/>
  </r>
  <r>
    <s v="Fig_3.8"/>
    <s v="Bar"/>
    <x v="0"/>
    <x v="1"/>
    <x v="4"/>
    <x v="0"/>
    <x v="2"/>
    <n v="0"/>
    <s v="MtCO2e/yr"/>
  </r>
  <r>
    <s v="Fig_3.8"/>
    <s v="Bar"/>
    <x v="1"/>
    <x v="1"/>
    <x v="4"/>
    <x v="0"/>
    <x v="2"/>
    <n v="-5.8"/>
    <s v="MtCO2e/yr"/>
  </r>
  <r>
    <s v="Fig_3.8"/>
    <s v="Bar"/>
    <x v="2"/>
    <x v="1"/>
    <x v="4"/>
    <x v="0"/>
    <x v="2"/>
    <n v="-22.5"/>
    <s v="MtCO2e/yr"/>
  </r>
  <r>
    <s v="Fig_3.8"/>
    <s v="Bar"/>
    <x v="3"/>
    <x v="1"/>
    <x v="4"/>
    <x v="0"/>
    <x v="2"/>
    <n v="-48.3"/>
    <s v="MtCO2e/yr"/>
  </r>
  <r>
    <s v="Fig_3.8"/>
    <s v="Bar"/>
    <x v="0"/>
    <x v="1"/>
    <x v="4"/>
    <x v="1"/>
    <x v="2"/>
    <n v="0"/>
    <s v="MtCO2e/yr"/>
  </r>
  <r>
    <s v="Fig_3.8"/>
    <s v="Bar"/>
    <x v="1"/>
    <x v="1"/>
    <x v="4"/>
    <x v="1"/>
    <x v="2"/>
    <n v="-5.5"/>
    <s v="MtCO2e/yr"/>
  </r>
  <r>
    <s v="Fig_3.8"/>
    <s v="Bar"/>
    <x v="2"/>
    <x v="1"/>
    <x v="4"/>
    <x v="1"/>
    <x v="2"/>
    <n v="-21.5"/>
    <s v="MtCO2e/yr"/>
  </r>
  <r>
    <s v="Fig_3.8"/>
    <s v="Bar"/>
    <x v="3"/>
    <x v="1"/>
    <x v="4"/>
    <x v="1"/>
    <x v="2"/>
    <n v="-45.9"/>
    <s v="MtCO2e/yr"/>
  </r>
  <r>
    <s v="Fig_3.8"/>
    <s v="Bar"/>
    <x v="0"/>
    <x v="1"/>
    <x v="7"/>
    <x v="0"/>
    <x v="0"/>
    <n v="-35.799999999999997"/>
    <s v="MtCO2e/yr"/>
  </r>
  <r>
    <s v="Fig_3.8"/>
    <s v="Bar"/>
    <x v="1"/>
    <x v="1"/>
    <x v="7"/>
    <x v="0"/>
    <x v="0"/>
    <n v="-42.1"/>
    <s v="MtCO2e/yr"/>
  </r>
  <r>
    <s v="Fig_3.8"/>
    <s v="Bar"/>
    <x v="2"/>
    <x v="1"/>
    <x v="7"/>
    <x v="0"/>
    <x v="0"/>
    <n v="-48.7"/>
    <s v="MtCO2e/yr"/>
  </r>
  <r>
    <s v="Fig_3.8"/>
    <s v="Bar"/>
    <x v="3"/>
    <x v="1"/>
    <x v="7"/>
    <x v="0"/>
    <x v="0"/>
    <n v="-53.5"/>
    <s v="MtCO2e/yr"/>
  </r>
  <r>
    <s v="Fig_3.8"/>
    <s v="Bar"/>
    <x v="0"/>
    <x v="1"/>
    <x v="7"/>
    <x v="1"/>
    <x v="0"/>
    <n v="-35.799999999999997"/>
    <s v="MtCO2e/yr"/>
  </r>
  <r>
    <s v="Fig_3.8"/>
    <s v="Bar"/>
    <x v="1"/>
    <x v="1"/>
    <x v="7"/>
    <x v="1"/>
    <x v="0"/>
    <n v="-40.700000000000003"/>
    <s v="MtCO2e/yr"/>
  </r>
  <r>
    <s v="Fig_3.8"/>
    <s v="Bar"/>
    <x v="2"/>
    <x v="1"/>
    <x v="7"/>
    <x v="1"/>
    <x v="0"/>
    <n v="-46.8"/>
    <s v="MtCO2e/yr"/>
  </r>
  <r>
    <s v="Fig_3.8"/>
    <s v="Bar"/>
    <x v="3"/>
    <x v="1"/>
    <x v="7"/>
    <x v="1"/>
    <x v="0"/>
    <n v="-51.6"/>
    <s v="MtCO2e/yr"/>
  </r>
  <r>
    <s v="Fig_3.8"/>
    <s v="Bar"/>
    <x v="0"/>
    <x v="1"/>
    <x v="7"/>
    <x v="0"/>
    <x v="1"/>
    <n v="-3"/>
    <s v="MtCO2e/yr"/>
  </r>
  <r>
    <s v="Fig_3.8"/>
    <s v="Bar"/>
    <x v="1"/>
    <x v="1"/>
    <x v="7"/>
    <x v="0"/>
    <x v="1"/>
    <n v="-5.3"/>
    <s v="MtCO2e/yr"/>
  </r>
  <r>
    <s v="Fig_3.8"/>
    <s v="Bar"/>
    <x v="2"/>
    <x v="1"/>
    <x v="7"/>
    <x v="0"/>
    <x v="1"/>
    <n v="-8.6999999999999993"/>
    <s v="MtCO2e/yr"/>
  </r>
  <r>
    <s v="Fig_3.8"/>
    <s v="Bar"/>
    <x v="3"/>
    <x v="1"/>
    <x v="7"/>
    <x v="0"/>
    <x v="1"/>
    <n v="-17"/>
    <s v="MtCO2e/yr"/>
  </r>
  <r>
    <s v="Fig_3.8"/>
    <s v="Bar"/>
    <x v="0"/>
    <x v="1"/>
    <x v="7"/>
    <x v="1"/>
    <x v="1"/>
    <n v="-3"/>
    <s v="MtCO2e/yr"/>
  </r>
  <r>
    <s v="Fig_3.8"/>
    <s v="Bar"/>
    <x v="1"/>
    <x v="1"/>
    <x v="7"/>
    <x v="1"/>
    <x v="1"/>
    <n v="-5.5"/>
    <s v="MtCO2e/yr"/>
  </r>
  <r>
    <s v="Fig_3.8"/>
    <s v="Bar"/>
    <x v="2"/>
    <x v="1"/>
    <x v="7"/>
    <x v="1"/>
    <x v="1"/>
    <n v="-8.6999999999999993"/>
    <s v="MtCO2e/yr"/>
  </r>
  <r>
    <s v="Fig_3.8"/>
    <s v="Bar"/>
    <x v="3"/>
    <x v="1"/>
    <x v="7"/>
    <x v="1"/>
    <x v="1"/>
    <n v="-10.8"/>
    <s v="MtCO2e/yr"/>
  </r>
  <r>
    <s v="Fig_3.8"/>
    <s v="Bar"/>
    <x v="0"/>
    <x v="1"/>
    <x v="7"/>
    <x v="0"/>
    <x v="4"/>
    <n v="-27.8"/>
    <s v="MtCO2e/yr"/>
  </r>
  <r>
    <s v="Fig_3.8"/>
    <s v="Bar"/>
    <x v="1"/>
    <x v="1"/>
    <x v="7"/>
    <x v="0"/>
    <x v="4"/>
    <n v="-36.299999999999997"/>
    <s v="MtCO2e/yr"/>
  </r>
  <r>
    <s v="Fig_3.8"/>
    <s v="Bar"/>
    <x v="2"/>
    <x v="1"/>
    <x v="7"/>
    <x v="0"/>
    <x v="4"/>
    <n v="-44.3"/>
    <s v="MtCO2e/yr"/>
  </r>
  <r>
    <s v="Fig_3.8"/>
    <s v="Bar"/>
    <x v="3"/>
    <x v="1"/>
    <x v="7"/>
    <x v="0"/>
    <x v="4"/>
    <n v="-49.8"/>
    <s v="MtCO2e/yr"/>
  </r>
  <r>
    <s v="Fig_3.8"/>
    <s v="Bar"/>
    <x v="0"/>
    <x v="1"/>
    <x v="7"/>
    <x v="1"/>
    <x v="4"/>
    <n v="-27.8"/>
    <s v="MtCO2e/yr"/>
  </r>
  <r>
    <s v="Fig_3.8"/>
    <s v="Bar"/>
    <x v="1"/>
    <x v="1"/>
    <x v="7"/>
    <x v="1"/>
    <x v="4"/>
    <n v="-34.5"/>
    <s v="MtCO2e/yr"/>
  </r>
  <r>
    <s v="Fig_3.8"/>
    <s v="Bar"/>
    <x v="2"/>
    <x v="1"/>
    <x v="7"/>
    <x v="1"/>
    <x v="4"/>
    <n v="-41.1"/>
    <s v="MtCO2e/yr"/>
  </r>
  <r>
    <s v="Fig_3.8"/>
    <s v="Bar"/>
    <x v="3"/>
    <x v="1"/>
    <x v="7"/>
    <x v="1"/>
    <x v="4"/>
    <n v="-45.8"/>
    <s v="MtCO2e/yr"/>
  </r>
  <r>
    <s v="Fig_3.8"/>
    <s v="Bar"/>
    <x v="0"/>
    <x v="1"/>
    <x v="7"/>
    <x v="0"/>
    <x v="3"/>
    <n v="-22.7"/>
    <s v="MtCO2e/yr"/>
  </r>
  <r>
    <s v="Fig_3.8"/>
    <s v="Bar"/>
    <x v="1"/>
    <x v="1"/>
    <x v="7"/>
    <x v="0"/>
    <x v="3"/>
    <n v="-27.5"/>
    <s v="MtCO2e/yr"/>
  </r>
  <r>
    <s v="Fig_3.8"/>
    <s v="Bar"/>
    <x v="2"/>
    <x v="1"/>
    <x v="7"/>
    <x v="0"/>
    <x v="3"/>
    <n v="-36.200000000000003"/>
    <s v="MtCO2e/yr"/>
  </r>
  <r>
    <s v="Fig_3.8"/>
    <s v="Bar"/>
    <x v="3"/>
    <x v="1"/>
    <x v="7"/>
    <x v="0"/>
    <x v="3"/>
    <n v="-42.5"/>
    <s v="MtCO2e/yr"/>
  </r>
  <r>
    <s v="Fig_3.8"/>
    <s v="Bar"/>
    <x v="0"/>
    <x v="1"/>
    <x v="7"/>
    <x v="1"/>
    <x v="3"/>
    <n v="-22.7"/>
    <s v="MtCO2e/yr"/>
  </r>
  <r>
    <s v="Fig_3.8"/>
    <s v="Bar"/>
    <x v="1"/>
    <x v="1"/>
    <x v="7"/>
    <x v="1"/>
    <x v="3"/>
    <n v="-25.8"/>
    <s v="MtCO2e/yr"/>
  </r>
  <r>
    <s v="Fig_3.8"/>
    <s v="Bar"/>
    <x v="2"/>
    <x v="1"/>
    <x v="7"/>
    <x v="1"/>
    <x v="3"/>
    <n v="-32.6"/>
    <s v="MtCO2e/yr"/>
  </r>
  <r>
    <s v="Fig_3.8"/>
    <s v="Bar"/>
    <x v="3"/>
    <x v="1"/>
    <x v="7"/>
    <x v="1"/>
    <x v="3"/>
    <n v="-38.9"/>
    <s v="MtCO2e/yr"/>
  </r>
  <r>
    <s v="Fig_3.8"/>
    <s v="Bar"/>
    <x v="0"/>
    <x v="1"/>
    <x v="7"/>
    <x v="0"/>
    <x v="2"/>
    <n v="-45.9"/>
    <s v="MtCO2e/yr"/>
  </r>
  <r>
    <s v="Fig_3.8"/>
    <s v="Bar"/>
    <x v="1"/>
    <x v="1"/>
    <x v="7"/>
    <x v="0"/>
    <x v="2"/>
    <n v="-50.8"/>
    <s v="MtCO2e/yr"/>
  </r>
  <r>
    <s v="Fig_3.8"/>
    <s v="Bar"/>
    <x v="2"/>
    <x v="1"/>
    <x v="7"/>
    <x v="0"/>
    <x v="2"/>
    <n v="-55.7"/>
    <s v="MtCO2e/yr"/>
  </r>
  <r>
    <s v="Fig_3.8"/>
    <s v="Bar"/>
    <x v="3"/>
    <x v="1"/>
    <x v="7"/>
    <x v="0"/>
    <x v="2"/>
    <n v="-59.7"/>
    <s v="MtCO2e/yr"/>
  </r>
  <r>
    <s v="Fig_3.8"/>
    <s v="Bar"/>
    <x v="0"/>
    <x v="1"/>
    <x v="7"/>
    <x v="1"/>
    <x v="2"/>
    <n v="-45.9"/>
    <s v="MtCO2e/yr"/>
  </r>
  <r>
    <s v="Fig_3.8"/>
    <s v="Bar"/>
    <x v="1"/>
    <x v="1"/>
    <x v="7"/>
    <x v="1"/>
    <x v="2"/>
    <n v="-50.2"/>
    <s v="MtCO2e/yr"/>
  </r>
  <r>
    <s v="Fig_3.8"/>
    <s v="Bar"/>
    <x v="2"/>
    <x v="1"/>
    <x v="7"/>
    <x v="1"/>
    <x v="2"/>
    <n v="-54.5"/>
    <s v="MtCO2e/yr"/>
  </r>
  <r>
    <s v="Fig_3.8"/>
    <s v="Bar"/>
    <x v="3"/>
    <x v="1"/>
    <x v="7"/>
    <x v="1"/>
    <x v="2"/>
    <n v="-57.9"/>
    <s v="MtCO2e/yr"/>
  </r>
  <r>
    <s v="Fig_3.8"/>
    <s v="Line"/>
    <x v="2"/>
    <x v="1"/>
    <x v="8"/>
    <x v="1"/>
    <x v="2"/>
    <n v="-271.3"/>
    <s v="MtCO2e/yr"/>
  </r>
  <r>
    <s v="Fig_3.8"/>
    <s v="Line"/>
    <x v="3"/>
    <x v="1"/>
    <x v="8"/>
    <x v="1"/>
    <x v="3"/>
    <n v="-228.2"/>
    <s v="MtCO2e/yr"/>
  </r>
  <r>
    <s v="Fig_3.8"/>
    <s v="Line"/>
    <x v="3"/>
    <x v="1"/>
    <x v="8"/>
    <x v="1"/>
    <x v="4"/>
    <n v="-265"/>
    <s v="MtCO2e/yr"/>
  </r>
  <r>
    <s v="Fig_3.8"/>
    <s v="Line"/>
    <x v="3"/>
    <x v="1"/>
    <x v="8"/>
    <x v="1"/>
    <x v="1"/>
    <n v="-174.7"/>
    <s v="MtCO2e/yr"/>
  </r>
  <r>
    <s v="Fig_3.8"/>
    <s v="Line"/>
    <x v="3"/>
    <x v="1"/>
    <x v="8"/>
    <x v="1"/>
    <x v="0"/>
    <n v="-285.2"/>
    <s v="MtCO2e/yr"/>
  </r>
  <r>
    <s v="Fig_3.8"/>
    <s v="Line"/>
    <x v="3"/>
    <x v="1"/>
    <x v="8"/>
    <x v="1"/>
    <x v="2"/>
    <n v="-326.7"/>
    <s v="MtCO2e/yr"/>
  </r>
  <r>
    <s v="Fig_3.8"/>
    <s v="Line"/>
    <x v="3"/>
    <x v="1"/>
    <x v="8"/>
    <x v="0"/>
    <x v="3"/>
    <n v="-249.2"/>
    <s v="MtCO2e/yr"/>
  </r>
  <r>
    <s v="Fig_3.8"/>
    <s v="Line"/>
    <x v="3"/>
    <x v="1"/>
    <x v="8"/>
    <x v="0"/>
    <x v="4"/>
    <n v="-281.60000000000002"/>
    <s v="MtCO2e/yr"/>
  </r>
  <r>
    <s v="Fig_3.8"/>
    <s v="Line"/>
    <x v="3"/>
    <x v="1"/>
    <x v="8"/>
    <x v="0"/>
    <x v="1"/>
    <n v="-185.4"/>
    <s v="MtCO2e/yr"/>
  </r>
  <r>
    <s v="Fig_3.8"/>
    <s v="Line"/>
    <x v="3"/>
    <x v="1"/>
    <x v="8"/>
    <x v="0"/>
    <x v="0"/>
    <n v="-302.3"/>
    <s v="MtCO2e/yr"/>
  </r>
  <r>
    <m/>
    <m/>
    <x v="4"/>
    <x v="2"/>
    <x v="9"/>
    <x v="2"/>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6E194-24DA-4C46-8097-71C6F2CA831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16" firstHeaderRow="1" firstDataRow="2" firstDataCol="1" rowPageCount="3" colPageCount="1"/>
  <pivotFields count="9">
    <pivotField showAll="0"/>
    <pivotField showAll="0"/>
    <pivotField axis="axisCol" showAll="0">
      <items count="6">
        <item x="0"/>
        <item x="1"/>
        <item x="2"/>
        <item x="3"/>
        <item x="4"/>
        <item t="default"/>
      </items>
    </pivotField>
    <pivotField axis="axisPage" showAll="0">
      <items count="4">
        <item x="0"/>
        <item x="1"/>
        <item x="2"/>
        <item t="default"/>
      </items>
    </pivotField>
    <pivotField axis="axisRow" showAll="0">
      <items count="11">
        <item x="0"/>
        <item x="2"/>
        <item x="1"/>
        <item x="3"/>
        <item x="4"/>
        <item x="5"/>
        <item x="6"/>
        <item x="7"/>
        <item x="8"/>
        <item x="9"/>
        <item t="default"/>
      </items>
    </pivotField>
    <pivotField axis="axisPage" showAll="0">
      <items count="4">
        <item x="1"/>
        <item x="0"/>
        <item x="2"/>
        <item t="default"/>
      </items>
    </pivotField>
    <pivotField axis="axisPage" showAll="0">
      <items count="7">
        <item x="2"/>
        <item x="3"/>
        <item x="4"/>
        <item x="1"/>
        <item x="0"/>
        <item x="5"/>
        <item t="default"/>
      </items>
    </pivotField>
    <pivotField dataField="1" showAll="0"/>
    <pivotField showAll="0"/>
  </pivotFields>
  <rowFields count="1">
    <field x="4"/>
  </rowFields>
  <rowItems count="10">
    <i>
      <x/>
    </i>
    <i>
      <x v="1"/>
    </i>
    <i>
      <x v="2"/>
    </i>
    <i>
      <x v="3"/>
    </i>
    <i>
      <x v="4"/>
    </i>
    <i>
      <x v="5"/>
    </i>
    <i>
      <x v="6"/>
    </i>
    <i>
      <x v="7"/>
    </i>
    <i>
      <x v="8"/>
    </i>
    <i t="grand">
      <x/>
    </i>
  </rowItems>
  <colFields count="1">
    <field x="2"/>
  </colFields>
  <colItems count="5">
    <i>
      <x/>
    </i>
    <i>
      <x v="1"/>
    </i>
    <i>
      <x v="2"/>
    </i>
    <i>
      <x v="3"/>
    </i>
    <i t="grand">
      <x/>
    </i>
  </colItems>
  <pageFields count="3">
    <pageField fld="3" item="0" hier="-1"/>
    <pageField fld="5" item="1" hier="-1"/>
    <pageField fld="6" item="0" hier="-1"/>
  </pageFields>
  <dataFields count="1">
    <dataField name="Sum of 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activeCell="B6" sqref="B6"/>
    </sheetView>
  </sheetViews>
  <sheetFormatPr defaultRowHeight="14.5" x14ac:dyDescent="0.35"/>
  <cols>
    <col min="1" max="1" width="19.1796875" customWidth="1"/>
    <col min="2" max="2" width="51.54296875" customWidth="1"/>
  </cols>
  <sheetData>
    <row r="1" spans="1:2" x14ac:dyDescent="0.35">
      <c r="A1" s="1" t="s">
        <v>6</v>
      </c>
    </row>
    <row r="3" spans="1:2" x14ac:dyDescent="0.35">
      <c r="A3" s="1" t="s">
        <v>0</v>
      </c>
      <c r="B3" s="26" t="s">
        <v>151</v>
      </c>
    </row>
    <row r="4" spans="1:2" x14ac:dyDescent="0.35">
      <c r="B4" t="s">
        <v>24</v>
      </c>
    </row>
    <row r="5" spans="1:2" x14ac:dyDescent="0.35">
      <c r="B5" s="4">
        <v>2024</v>
      </c>
    </row>
    <row r="6" spans="1:2" x14ac:dyDescent="0.35">
      <c r="B6" t="s">
        <v>99</v>
      </c>
    </row>
    <row r="7" spans="1:2" x14ac:dyDescent="0.35">
      <c r="B7" s="2" t="s">
        <v>100</v>
      </c>
    </row>
    <row r="8" spans="1:2" x14ac:dyDescent="0.35">
      <c r="B8" t="s">
        <v>101</v>
      </c>
    </row>
    <row r="10" spans="1:2" x14ac:dyDescent="0.35">
      <c r="B10" s="26" t="s">
        <v>152</v>
      </c>
    </row>
    <row r="11" spans="1:2" x14ac:dyDescent="0.35">
      <c r="B11" t="s">
        <v>147</v>
      </c>
    </row>
    <row r="12" spans="1:2" x14ac:dyDescent="0.35">
      <c r="B12" s="4">
        <v>2024</v>
      </c>
    </row>
    <row r="13" spans="1:2" x14ac:dyDescent="0.35">
      <c r="B13" t="s">
        <v>148</v>
      </c>
    </row>
    <row r="14" spans="1:2" x14ac:dyDescent="0.35">
      <c r="B14" t="s">
        <v>149</v>
      </c>
    </row>
    <row r="15" spans="1:2" x14ac:dyDescent="0.35">
      <c r="B15" t="s">
        <v>150</v>
      </c>
    </row>
    <row r="17" spans="1:2" x14ac:dyDescent="0.35">
      <c r="A17" t="s">
        <v>75</v>
      </c>
      <c r="B17">
        <v>28</v>
      </c>
    </row>
    <row r="18" spans="1:2" x14ac:dyDescent="0.35">
      <c r="A18" t="s">
        <v>76</v>
      </c>
      <c r="B18">
        <v>265</v>
      </c>
    </row>
    <row r="20" spans="1:2" x14ac:dyDescent="0.35">
      <c r="A20" s="1" t="s">
        <v>5</v>
      </c>
    </row>
    <row r="21" spans="1:2" x14ac:dyDescent="0.35">
      <c r="A21" t="s">
        <v>74</v>
      </c>
    </row>
    <row r="23" spans="1:2" x14ac:dyDescent="0.35">
      <c r="A23" t="s">
        <v>93</v>
      </c>
    </row>
    <row r="24" spans="1:2" x14ac:dyDescent="0.35">
      <c r="A24" t="s">
        <v>94</v>
      </c>
    </row>
    <row r="27" spans="1:2" x14ac:dyDescent="0.35">
      <c r="A27" t="s">
        <v>145</v>
      </c>
      <c r="B27">
        <v>0.88711067149387013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5"/>
  <sheetViews>
    <sheetView topLeftCell="E1" workbookViewId="0">
      <selection activeCell="E4" sqref="E4:AF4"/>
    </sheetView>
  </sheetViews>
  <sheetFormatPr defaultRowHeight="14.5" x14ac:dyDescent="0.35"/>
  <cols>
    <col min="1" max="1" width="63.26953125" customWidth="1"/>
  </cols>
  <sheetData>
    <row r="1" spans="1:34" x14ac:dyDescent="0.35">
      <c r="A1" s="1" t="s">
        <v>1</v>
      </c>
    </row>
    <row r="2" spans="1:34" x14ac:dyDescent="0.35">
      <c r="A2" s="1" t="s">
        <v>2</v>
      </c>
    </row>
    <row r="3" spans="1:34" x14ac:dyDescent="0.35">
      <c r="B3" s="6">
        <v>2020</v>
      </c>
      <c r="C3" s="6">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1:34" x14ac:dyDescent="0.35">
      <c r="A4" t="s">
        <v>71</v>
      </c>
      <c r="B4" s="6">
        <f>'EPA Table 6-1'!AF42</f>
        <v>-972.8</v>
      </c>
      <c r="C4" s="6">
        <f>'EPA Table 6-1'!AG42</f>
        <v>-983.4</v>
      </c>
      <c r="D4" s="6">
        <f>'EPA Table 6-1'!AH42</f>
        <v>-921.8</v>
      </c>
      <c r="E4" cm="1">
        <f t="array" ref="E4">TREND($Y13:$AH13,$Y$12:$AH$12,E$3)</f>
        <v>-956.47333333333336</v>
      </c>
      <c r="F4" cm="1">
        <f t="array" ref="F4">TREND($Y13:$AH13,$Y$12:$AH$12,F$3)</f>
        <v>-956.38484848484848</v>
      </c>
      <c r="G4" cm="1">
        <f t="array" ref="G4">TREND($Y13:$AH13,$Y$12:$AH$12,G$3)</f>
        <v>-956.29636363636359</v>
      </c>
      <c r="H4" cm="1">
        <f t="array" ref="H4">TREND($Y13:$AH13,$Y$12:$AH$12,H$3)</f>
        <v>-956.20787878787883</v>
      </c>
      <c r="I4" cm="1">
        <f t="array" ref="I4">TREND($Y13:$AH13,$Y$12:$AH$12,I$3)</f>
        <v>-956.11939393939394</v>
      </c>
      <c r="J4" cm="1">
        <f t="array" ref="J4">TREND($Y13:$AH13,$Y$12:$AH$12,J$3)</f>
        <v>-956.03090909090906</v>
      </c>
      <c r="K4" cm="1">
        <f t="array" ref="K4">TREND($Y13:$AH13,$Y$12:$AH$12,K$3)</f>
        <v>-955.94242424242429</v>
      </c>
      <c r="L4" cm="1">
        <f t="array" ref="L4">TREND($Y13:$AH13,$Y$12:$AH$12,L$3)</f>
        <v>-955.85393939393941</v>
      </c>
      <c r="M4" cm="1">
        <f t="array" ref="M4">TREND($Y13:$AH13,$Y$12:$AH$12,M$3)</f>
        <v>-955.76545454545453</v>
      </c>
      <c r="N4" cm="1">
        <f t="array" ref="N4">TREND($Y13:$AH13,$Y$12:$AH$12,N$3)</f>
        <v>-955.67696969696965</v>
      </c>
      <c r="O4" cm="1">
        <f t="array" ref="O4">TREND($Y13:$AH13,$Y$12:$AH$12,O$3)</f>
        <v>-955.58848484848477</v>
      </c>
      <c r="P4" cm="1">
        <f t="array" ref="P4">TREND($Y13:$AH13,$Y$12:$AH$12,P$3)</f>
        <v>-955.5</v>
      </c>
      <c r="Q4" cm="1">
        <f t="array" ref="Q4">TREND($Y13:$AH13,$Y$12:$AH$12,Q$3)</f>
        <v>-955.41151515151512</v>
      </c>
      <c r="R4" cm="1">
        <f t="array" ref="R4">TREND($Y13:$AH13,$Y$12:$AH$12,R$3)</f>
        <v>-955.32303030303024</v>
      </c>
      <c r="S4" cm="1">
        <f t="array" ref="S4">TREND($Y13:$AH13,$Y$12:$AH$12,S$3)</f>
        <v>-955.23454545454547</v>
      </c>
      <c r="T4" cm="1">
        <f t="array" ref="T4">TREND($Y13:$AH13,$Y$12:$AH$12,T$3)</f>
        <v>-955.14606060606059</v>
      </c>
      <c r="U4" cm="1">
        <f t="array" ref="U4">TREND($Y13:$AH13,$Y$12:$AH$12,U$3)</f>
        <v>-955.05757575757571</v>
      </c>
      <c r="V4" cm="1">
        <f t="array" ref="V4">TREND($Y13:$AH13,$Y$12:$AH$12,V$3)</f>
        <v>-954.96909090909082</v>
      </c>
      <c r="W4" cm="1">
        <f t="array" ref="W4">TREND($Y13:$AH13,$Y$12:$AH$12,W$3)</f>
        <v>-954.88060606060606</v>
      </c>
      <c r="X4" cm="1">
        <f t="array" ref="X4">TREND($Y13:$AH13,$Y$12:$AH$12,X$3)</f>
        <v>-954.79212121212117</v>
      </c>
      <c r="Y4" cm="1">
        <f t="array" ref="Y4">TREND($Y13:$AH13,$Y$12:$AH$12,Y$3)</f>
        <v>-954.70363636363629</v>
      </c>
      <c r="Z4" cm="1">
        <f t="array" ref="Z4">TREND($Y13:$AH13,$Y$12:$AH$12,Z$3)</f>
        <v>-954.61515151515141</v>
      </c>
      <c r="AA4" cm="1">
        <f t="array" ref="AA4">TREND($Y13:$AH13,$Y$12:$AH$12,AA$3)</f>
        <v>-954.52666666666664</v>
      </c>
      <c r="AB4" cm="1">
        <f t="array" ref="AB4">TREND($Y13:$AH13,$Y$12:$AH$12,AB$3)</f>
        <v>-954.43818181818176</v>
      </c>
      <c r="AC4" cm="1">
        <f t="array" ref="AC4">TREND($Y13:$AH13,$Y$12:$AH$12,AC$3)</f>
        <v>-954.34969696969688</v>
      </c>
      <c r="AD4" cm="1">
        <f t="array" ref="AD4">TREND($Y13:$AH13,$Y$12:$AH$12,AD$3)</f>
        <v>-954.26121212121211</v>
      </c>
      <c r="AE4" cm="1">
        <f t="array" ref="AE4">TREND($Y13:$AH13,$Y$12:$AH$12,AE$3)</f>
        <v>-954.17272727272723</v>
      </c>
      <c r="AF4" cm="1">
        <f t="array" ref="AF4">TREND($Y13:$AH13,$Y$12:$AH$12,AF$3)</f>
        <v>-954.08424242424235</v>
      </c>
    </row>
    <row r="5" spans="1:34" x14ac:dyDescent="0.35">
      <c r="A5" t="s">
        <v>72</v>
      </c>
      <c r="B5" s="6">
        <f>'EPA Table 6-1'!AF40</f>
        <v>59.3</v>
      </c>
      <c r="C5" s="6">
        <f>'EPA Table 6-1'!AG40</f>
        <v>62.1</v>
      </c>
      <c r="D5" s="6">
        <f>'EPA Table 6-1'!AH40</f>
        <v>58.4</v>
      </c>
      <c r="E5" cm="1">
        <f t="array" ref="E5">TREND($X14:$AG14,$X$12:$AG$12,E$3)</f>
        <v>59.389696969696956</v>
      </c>
      <c r="F5" cm="1">
        <f t="array" ref="F5">TREND($X14:$AG14,$X$12:$AG$12,F$3)</f>
        <v>59.832727272727311</v>
      </c>
      <c r="G5" cm="1">
        <f t="array" ref="G5">TREND($X14:$AG14,$X$12:$AG$12,G$3)</f>
        <v>60.275757575757666</v>
      </c>
      <c r="H5" cm="1">
        <f t="array" ref="H5">TREND($X14:$AG14,$X$12:$AG$12,H$3)</f>
        <v>60.718787878787907</v>
      </c>
      <c r="I5" cm="1">
        <f t="array" ref="I5">TREND($X14:$AG14,$X$12:$AG$12,I$3)</f>
        <v>61.161818181818262</v>
      </c>
      <c r="J5" cm="1">
        <f t="array" ref="J5">TREND($X14:$AG14,$X$12:$AG$12,J$3)</f>
        <v>61.604848484848503</v>
      </c>
      <c r="K5" cm="1">
        <f t="array" ref="K5">TREND($X14:$AG14,$X$12:$AG$12,K$3)</f>
        <v>62.047878787878858</v>
      </c>
      <c r="L5" cm="1">
        <f t="array" ref="L5">TREND($X14:$AG14,$X$12:$AG$12,L$3)</f>
        <v>62.490909090909099</v>
      </c>
      <c r="M5" cm="1">
        <f t="array" ref="M5">TREND($X14:$AG14,$X$12:$AG$12,M$3)</f>
        <v>62.933939393939454</v>
      </c>
      <c r="N5" cm="1">
        <f t="array" ref="N5">TREND($X14:$AG14,$X$12:$AG$12,N$3)</f>
        <v>63.376969696969695</v>
      </c>
      <c r="O5" cm="1">
        <f t="array" ref="O5">TREND($X14:$AG14,$X$12:$AG$12,O$3)</f>
        <v>63.82000000000005</v>
      </c>
      <c r="P5" cm="1">
        <f t="array" ref="P5">TREND($X14:$AG14,$X$12:$AG$12,P$3)</f>
        <v>64.263030303030291</v>
      </c>
      <c r="Q5" cm="1">
        <f t="array" ref="Q5">TREND($X14:$AG14,$X$12:$AG$12,Q$3)</f>
        <v>64.706060606060646</v>
      </c>
      <c r="R5" cm="1">
        <f t="array" ref="R5">TREND($X14:$AG14,$X$12:$AG$12,R$3)</f>
        <v>65.149090909091001</v>
      </c>
      <c r="S5" cm="1">
        <f t="array" ref="S5">TREND($X14:$AG14,$X$12:$AG$12,S$3)</f>
        <v>65.592121212121242</v>
      </c>
      <c r="T5" cm="1">
        <f t="array" ref="T5">TREND($X14:$AG14,$X$12:$AG$12,T$3)</f>
        <v>66.035151515151597</v>
      </c>
      <c r="U5" cm="1">
        <f t="array" ref="U5">TREND($X14:$AG14,$X$12:$AG$12,U$3)</f>
        <v>66.478181818181838</v>
      </c>
      <c r="V5" cm="1">
        <f t="array" ref="V5">TREND($X14:$AG14,$X$12:$AG$12,V$3)</f>
        <v>66.921212121212193</v>
      </c>
      <c r="W5" cm="1">
        <f t="array" ref="W5">TREND($X14:$AG14,$X$12:$AG$12,W$3)</f>
        <v>67.364242424242434</v>
      </c>
      <c r="X5" cm="1">
        <f t="array" ref="X5">TREND($X14:$AG14,$X$12:$AG$12,X$3)</f>
        <v>67.807272727272789</v>
      </c>
      <c r="Y5" cm="1">
        <f t="array" ref="Y5">TREND($X14:$AG14,$X$12:$AG$12,Y$3)</f>
        <v>68.25030303030303</v>
      </c>
      <c r="Z5" cm="1">
        <f t="array" ref="Z5">TREND($X14:$AG14,$X$12:$AG$12,Z$3)</f>
        <v>68.693333333333385</v>
      </c>
      <c r="AA5" cm="1">
        <f t="array" ref="AA5">TREND($X14:$AG14,$X$12:$AG$12,AA$3)</f>
        <v>69.136363636363626</v>
      </c>
      <c r="AB5" cm="1">
        <f t="array" ref="AB5">TREND($X14:$AG14,$X$12:$AG$12,AB$3)</f>
        <v>69.579393939393981</v>
      </c>
      <c r="AC5" cm="1">
        <f t="array" ref="AC5">TREND($X14:$AG14,$X$12:$AG$12,AC$3)</f>
        <v>70.022424242424222</v>
      </c>
      <c r="AD5" cm="1">
        <f t="array" ref="AD5">TREND($X14:$AG14,$X$12:$AG$12,AD$3)</f>
        <v>70.465454545454577</v>
      </c>
      <c r="AE5" cm="1">
        <f t="array" ref="AE5">TREND($X14:$AG14,$X$12:$AG$12,AE$3)</f>
        <v>70.908484848484932</v>
      </c>
      <c r="AF5" cm="1">
        <f t="array" ref="AF5">TREND($X14:$AG14,$X$12:$AG$12,AF$3)</f>
        <v>71.351515151515173</v>
      </c>
    </row>
    <row r="6" spans="1:34" x14ac:dyDescent="0.35">
      <c r="A6" t="s">
        <v>73</v>
      </c>
      <c r="B6" s="6">
        <f>'EPA Table 6-1'!AF41</f>
        <v>9.1</v>
      </c>
      <c r="C6" s="6">
        <f>'EPA Table 6-1'!AG41</f>
        <v>10.7</v>
      </c>
      <c r="D6" s="6">
        <f>'EPA Table 6-1'!AH41</f>
        <v>9.1</v>
      </c>
      <c r="E6" cm="1">
        <f t="array" ref="E6">TREND($X15:$AG15,$X$12:$AG$12,E$3)</f>
        <v>9.2248484848485077</v>
      </c>
      <c r="F6" cm="1">
        <f t="array" ref="F6">TREND($X15:$AG15,$X$12:$AG$12,F$3)</f>
        <v>9.4563636363636761</v>
      </c>
      <c r="G6" cm="1">
        <f t="array" ref="G6">TREND($X15:$AG15,$X$12:$AG$12,G$3)</f>
        <v>9.6878787878788444</v>
      </c>
      <c r="H6" cm="1">
        <f t="array" ref="H6">TREND($X15:$AG15,$X$12:$AG$12,H$3)</f>
        <v>9.9193939393940127</v>
      </c>
      <c r="I6" cm="1">
        <f t="array" ref="I6">TREND($X15:$AG15,$X$12:$AG$12,I$3)</f>
        <v>10.150909090909124</v>
      </c>
      <c r="J6" cm="1">
        <f t="array" ref="J6">TREND($X15:$AG15,$X$12:$AG$12,J$3)</f>
        <v>10.382424242424293</v>
      </c>
      <c r="K6" cm="1">
        <f t="array" ref="K6">TREND($X15:$AG15,$X$12:$AG$12,K$3)</f>
        <v>10.613939393939461</v>
      </c>
      <c r="L6" cm="1">
        <f t="array" ref="L6">TREND($X15:$AG15,$X$12:$AG$12,L$3)</f>
        <v>10.845454545454572</v>
      </c>
      <c r="M6" cm="1">
        <f t="array" ref="M6">TREND($X15:$AG15,$X$12:$AG$12,M$3)</f>
        <v>11.076969696969741</v>
      </c>
      <c r="N6" cm="1">
        <f t="array" ref="N6">TREND($X15:$AG15,$X$12:$AG$12,N$3)</f>
        <v>11.308484848484909</v>
      </c>
      <c r="O6" cm="1">
        <f t="array" ref="O6">TREND($X15:$AG15,$X$12:$AG$12,O$3)</f>
        <v>11.54000000000002</v>
      </c>
      <c r="P6" cm="1">
        <f t="array" ref="P6">TREND($X15:$AG15,$X$12:$AG$12,P$3)</f>
        <v>11.771515151515189</v>
      </c>
      <c r="Q6" cm="1">
        <f t="array" ref="Q6">TREND($X15:$AG15,$X$12:$AG$12,Q$3)</f>
        <v>12.003030303030357</v>
      </c>
      <c r="R6" cm="1">
        <f t="array" ref="R6">TREND($X15:$AG15,$X$12:$AG$12,R$3)</f>
        <v>12.234545454545525</v>
      </c>
      <c r="S6" cm="1">
        <f t="array" ref="S6">TREND($X15:$AG15,$X$12:$AG$12,S$3)</f>
        <v>12.466060606060637</v>
      </c>
      <c r="T6" cm="1">
        <f t="array" ref="T6">TREND($X15:$AG15,$X$12:$AG$12,T$3)</f>
        <v>12.697575757575805</v>
      </c>
      <c r="U6" cm="1">
        <f t="array" ref="U6">TREND($X15:$AG15,$X$12:$AG$12,U$3)</f>
        <v>12.929090909090974</v>
      </c>
      <c r="V6" cm="1">
        <f t="array" ref="V6">TREND($X15:$AG15,$X$12:$AG$12,V$3)</f>
        <v>13.160606060606085</v>
      </c>
      <c r="W6" cm="1">
        <f t="array" ref="W6">TREND($X15:$AG15,$X$12:$AG$12,W$3)</f>
        <v>13.392121212121253</v>
      </c>
      <c r="X6" cm="1">
        <f t="array" ref="X6">TREND($X15:$AG15,$X$12:$AG$12,X$3)</f>
        <v>13.623636363636422</v>
      </c>
      <c r="Y6" cm="1">
        <f t="array" ref="Y6">TREND($X15:$AG15,$X$12:$AG$12,Y$3)</f>
        <v>13.855151515151533</v>
      </c>
      <c r="Z6" cm="1">
        <f t="array" ref="Z6">TREND($X15:$AG15,$X$12:$AG$12,Z$3)</f>
        <v>14.086666666666702</v>
      </c>
      <c r="AA6" cm="1">
        <f t="array" ref="AA6">TREND($X15:$AG15,$X$12:$AG$12,AA$3)</f>
        <v>14.31818181818187</v>
      </c>
      <c r="AB6" cm="1">
        <f t="array" ref="AB6">TREND($X15:$AG15,$X$12:$AG$12,AB$3)</f>
        <v>14.549696969697038</v>
      </c>
      <c r="AC6" cm="1">
        <f t="array" ref="AC6">TREND($X15:$AG15,$X$12:$AG$12,AC$3)</f>
        <v>14.78121212121215</v>
      </c>
      <c r="AD6" cm="1">
        <f t="array" ref="AD6">TREND($X15:$AG15,$X$12:$AG$12,AD$3)</f>
        <v>15.012727272727318</v>
      </c>
      <c r="AE6" cm="1">
        <f t="array" ref="AE6">TREND($X15:$AG15,$X$12:$AG$12,AE$3)</f>
        <v>15.244242424242486</v>
      </c>
      <c r="AF6" cm="1">
        <f t="array" ref="AF6">TREND($X15:$AG15,$X$12:$AG$12,AF$3)</f>
        <v>15.475757575757598</v>
      </c>
    </row>
    <row r="7" spans="1:34" x14ac:dyDescent="0.35">
      <c r="C7" s="5"/>
      <c r="D7" s="5"/>
      <c r="E7" s="5"/>
      <c r="F7" s="5"/>
    </row>
    <row r="9" spans="1:34" x14ac:dyDescent="0.35">
      <c r="A9" t="s">
        <v>3</v>
      </c>
    </row>
    <row r="10" spans="1:34" x14ac:dyDescent="0.35">
      <c r="A10" t="s">
        <v>4</v>
      </c>
    </row>
    <row r="11" spans="1:34" x14ac:dyDescent="0.35">
      <c r="AG11" s="7" t="s">
        <v>23</v>
      </c>
      <c r="AH11" s="7"/>
    </row>
    <row r="12" spans="1:34" x14ac:dyDescent="0.35">
      <c r="A12" t="s">
        <v>22</v>
      </c>
      <c r="B12">
        <v>1990</v>
      </c>
      <c r="C12">
        <v>1991</v>
      </c>
      <c r="D12">
        <v>1992</v>
      </c>
      <c r="E12">
        <v>1993</v>
      </c>
      <c r="F12">
        <v>1994</v>
      </c>
      <c r="G12">
        <v>1995</v>
      </c>
      <c r="H12">
        <v>1996</v>
      </c>
      <c r="I12">
        <v>1997</v>
      </c>
      <c r="J12">
        <v>1998</v>
      </c>
      <c r="K12">
        <v>1999</v>
      </c>
      <c r="L12">
        <v>2000</v>
      </c>
      <c r="M12">
        <v>2001</v>
      </c>
      <c r="N12">
        <v>2002</v>
      </c>
      <c r="O12">
        <v>2003</v>
      </c>
      <c r="P12">
        <v>2004</v>
      </c>
      <c r="Q12">
        <v>2005</v>
      </c>
      <c r="R12">
        <v>2006</v>
      </c>
      <c r="S12">
        <v>2007</v>
      </c>
      <c r="T12">
        <v>2008</v>
      </c>
      <c r="U12">
        <v>2009</v>
      </c>
      <c r="V12">
        <v>2010</v>
      </c>
      <c r="W12">
        <v>2011</v>
      </c>
      <c r="X12">
        <v>2012</v>
      </c>
      <c r="Y12">
        <v>2013</v>
      </c>
      <c r="Z12">
        <v>2014</v>
      </c>
      <c r="AA12">
        <v>2015</v>
      </c>
      <c r="AB12">
        <v>2016</v>
      </c>
      <c r="AC12">
        <v>2017</v>
      </c>
      <c r="AD12">
        <v>2018</v>
      </c>
      <c r="AE12">
        <v>2019</v>
      </c>
      <c r="AF12">
        <v>2020</v>
      </c>
      <c r="AG12" s="6">
        <v>2021</v>
      </c>
      <c r="AH12" s="6">
        <v>2022</v>
      </c>
    </row>
    <row r="13" spans="1:34" x14ac:dyDescent="0.35">
      <c r="A13" t="s">
        <v>19</v>
      </c>
      <c r="B13">
        <f>'EPA Table 6-1'!B42</f>
        <v>-1034.7</v>
      </c>
      <c r="C13">
        <f>'EPA Table 6-1'!C42</f>
        <v>-1045.5999999999999</v>
      </c>
      <c r="D13">
        <f>'EPA Table 6-1'!D42</f>
        <v>-1061.0999999999999</v>
      </c>
      <c r="E13">
        <f>'EPA Table 6-1'!E42</f>
        <v>-1045.7</v>
      </c>
      <c r="F13">
        <f>'EPA Table 6-1'!F42</f>
        <v>-1062.7</v>
      </c>
      <c r="G13">
        <f>'EPA Table 6-1'!G42</f>
        <v>-1033.8</v>
      </c>
      <c r="H13">
        <f>'EPA Table 6-1'!H42</f>
        <v>-1067.8</v>
      </c>
      <c r="I13">
        <f>'EPA Table 6-1'!I42</f>
        <v>-1038.3</v>
      </c>
      <c r="J13">
        <f>'EPA Table 6-1'!J42</f>
        <v>-1050.5</v>
      </c>
      <c r="K13">
        <f>'EPA Table 6-1'!K42</f>
        <v>-1026.3</v>
      </c>
      <c r="L13">
        <f>'EPA Table 6-1'!L42</f>
        <v>-1046.8</v>
      </c>
      <c r="M13">
        <f>'EPA Table 6-1'!M42</f>
        <v>-1036.0999999999999</v>
      </c>
      <c r="N13">
        <f>'EPA Table 6-1'!N42</f>
        <v>-991.8</v>
      </c>
      <c r="O13">
        <f>'EPA Table 6-1'!O42</f>
        <v>-1019.8</v>
      </c>
      <c r="P13">
        <f>'EPA Table 6-1'!P42</f>
        <v>-936.9</v>
      </c>
      <c r="Q13">
        <f>'EPA Table 6-1'!Q42</f>
        <v>-976.6</v>
      </c>
      <c r="R13">
        <f>'EPA Table 6-1'!R42</f>
        <v>-1013.9</v>
      </c>
      <c r="S13">
        <f>'EPA Table 6-1'!S42</f>
        <v>-966.3</v>
      </c>
      <c r="T13">
        <f>'EPA Table 6-1'!T42</f>
        <v>-973.1</v>
      </c>
      <c r="U13">
        <f>'EPA Table 6-1'!U42</f>
        <v>-915</v>
      </c>
      <c r="V13">
        <f>'EPA Table 6-1'!V42</f>
        <v>-941.6</v>
      </c>
      <c r="W13">
        <f>'EPA Table 6-1'!W42</f>
        <v>-1001.9</v>
      </c>
      <c r="X13">
        <f>'EPA Table 6-1'!X42</f>
        <v>-991.3</v>
      </c>
      <c r="Y13">
        <f>'EPA Table 6-1'!Y42</f>
        <v>-949.4</v>
      </c>
      <c r="Z13">
        <f>'EPA Table 6-1'!Z42</f>
        <v>-980.4</v>
      </c>
      <c r="AA13">
        <f>'EPA Table 6-1'!AA42</f>
        <v>-896.2</v>
      </c>
      <c r="AB13">
        <f>'EPA Table 6-1'!AB42</f>
        <v>-973.8</v>
      </c>
      <c r="AC13">
        <f>'EPA Table 6-1'!AC42</f>
        <v>-991.9</v>
      </c>
      <c r="AD13">
        <f>'EPA Table 6-1'!AD42</f>
        <v>-978.3</v>
      </c>
      <c r="AE13">
        <f>'EPA Table 6-1'!AE42</f>
        <v>-921.6</v>
      </c>
      <c r="AF13">
        <f>'EPA Table 6-1'!AF42</f>
        <v>-972.8</v>
      </c>
      <c r="AG13">
        <f>'EPA Table 6-1'!AG42</f>
        <v>-983.4</v>
      </c>
      <c r="AH13">
        <f>'EPA Table 6-1'!AH42</f>
        <v>-921.8</v>
      </c>
    </row>
    <row r="14" spans="1:34" x14ac:dyDescent="0.35">
      <c r="A14" t="s">
        <v>20</v>
      </c>
      <c r="B14">
        <f>'EPA Table 6-1'!B40</f>
        <v>53.1</v>
      </c>
      <c r="C14">
        <f>'EPA Table 6-1'!C40</f>
        <v>52.2</v>
      </c>
      <c r="D14">
        <f>'EPA Table 6-1'!D40</f>
        <v>50.5</v>
      </c>
      <c r="E14">
        <f>'EPA Table 6-1'!E40</f>
        <v>50.7</v>
      </c>
      <c r="F14">
        <f>'EPA Table 6-1'!F40</f>
        <v>52.6</v>
      </c>
      <c r="G14">
        <f>'EPA Table 6-1'!G40</f>
        <v>50.1</v>
      </c>
      <c r="H14">
        <f>'EPA Table 6-1'!H40</f>
        <v>51.9</v>
      </c>
      <c r="I14">
        <f>'EPA Table 6-1'!I40</f>
        <v>49.7</v>
      </c>
      <c r="J14">
        <f>'EPA Table 6-1'!J40</f>
        <v>50.5</v>
      </c>
      <c r="K14">
        <f>'EPA Table 6-1'!K40</f>
        <v>52.5</v>
      </c>
      <c r="L14">
        <f>'EPA Table 6-1'!L40</f>
        <v>55.7</v>
      </c>
      <c r="M14">
        <f>'EPA Table 6-1'!M40</f>
        <v>51.5</v>
      </c>
      <c r="N14">
        <f>'EPA Table 6-1'!N40</f>
        <v>58.1</v>
      </c>
      <c r="O14">
        <f>'EPA Table 6-1'!O40</f>
        <v>55.1</v>
      </c>
      <c r="P14">
        <f>'EPA Table 6-1'!P40</f>
        <v>63.1</v>
      </c>
      <c r="Q14">
        <f>'EPA Table 6-1'!Q40</f>
        <v>58.5</v>
      </c>
      <c r="R14">
        <f>'EPA Table 6-1'!R40</f>
        <v>54.5</v>
      </c>
      <c r="S14">
        <f>'EPA Table 6-1'!S40</f>
        <v>57</v>
      </c>
      <c r="T14">
        <f>'EPA Table 6-1'!T40</f>
        <v>53.5</v>
      </c>
      <c r="U14">
        <f>'EPA Table 6-1'!U40</f>
        <v>55.7</v>
      </c>
      <c r="V14">
        <f>'EPA Table 6-1'!V40</f>
        <v>50.8</v>
      </c>
      <c r="W14">
        <f>'EPA Table 6-1'!W40</f>
        <v>53.6</v>
      </c>
      <c r="X14">
        <f>'EPA Table 6-1'!X40</f>
        <v>55.2</v>
      </c>
      <c r="Y14">
        <f>'EPA Table 6-1'!Y40</f>
        <v>55.6</v>
      </c>
      <c r="Z14">
        <f>'EPA Table 6-1'!Z40</f>
        <v>51.7</v>
      </c>
      <c r="AA14">
        <f>'EPA Table 6-1'!AA40</f>
        <v>63.7</v>
      </c>
      <c r="AB14">
        <f>'EPA Table 6-1'!AB40</f>
        <v>51.9</v>
      </c>
      <c r="AC14">
        <f>'EPA Table 6-1'!AC40</f>
        <v>57.6</v>
      </c>
      <c r="AD14">
        <f>'EPA Table 6-1'!AD40</f>
        <v>55.5</v>
      </c>
      <c r="AE14">
        <f>'EPA Table 6-1'!AE40</f>
        <v>52.5</v>
      </c>
      <c r="AF14">
        <f>'EPA Table 6-1'!AF40</f>
        <v>59.3</v>
      </c>
      <c r="AG14">
        <f>'EPA Table 6-1'!AG40</f>
        <v>62.1</v>
      </c>
      <c r="AH14">
        <f>'EPA Table 6-1'!AH40</f>
        <v>58.4</v>
      </c>
    </row>
    <row r="15" spans="1:34" x14ac:dyDescent="0.35">
      <c r="A15" t="s">
        <v>21</v>
      </c>
      <c r="B15">
        <f>'EPA Table 6-1'!B41</f>
        <v>4.8</v>
      </c>
      <c r="C15">
        <f>'EPA Table 6-1'!C41</f>
        <v>4.4000000000000004</v>
      </c>
      <c r="D15">
        <f>'EPA Table 6-1'!D41</f>
        <v>3.3</v>
      </c>
      <c r="E15">
        <f>'EPA Table 6-1'!E41</f>
        <v>3.7</v>
      </c>
      <c r="F15">
        <f>'EPA Table 6-1'!F41</f>
        <v>4.8</v>
      </c>
      <c r="G15">
        <f>'EPA Table 6-1'!G41</f>
        <v>3.4</v>
      </c>
      <c r="H15">
        <f>'EPA Table 6-1'!H41</f>
        <v>4.8</v>
      </c>
      <c r="I15">
        <f>'EPA Table 6-1'!I41</f>
        <v>3.4</v>
      </c>
      <c r="J15">
        <f>'EPA Table 6-1'!J41</f>
        <v>3.6</v>
      </c>
      <c r="K15">
        <f>'EPA Table 6-1'!K41</f>
        <v>5.3</v>
      </c>
      <c r="L15">
        <f>'EPA Table 6-1'!L41</f>
        <v>7.3</v>
      </c>
      <c r="M15">
        <f>'EPA Table 6-1'!M41</f>
        <v>4.9000000000000004</v>
      </c>
      <c r="N15">
        <f>'EPA Table 6-1'!N41</f>
        <v>8.9</v>
      </c>
      <c r="O15">
        <f>'EPA Table 6-1'!O41</f>
        <v>6.8</v>
      </c>
      <c r="P15">
        <f>'EPA Table 6-1'!P41</f>
        <v>13.6</v>
      </c>
      <c r="Q15">
        <f>'EPA Table 6-1'!Q41</f>
        <v>10.3</v>
      </c>
      <c r="R15">
        <f>'EPA Table 6-1'!R41</f>
        <v>7.4</v>
      </c>
      <c r="S15">
        <f>'EPA Table 6-1'!S41</f>
        <v>8.9</v>
      </c>
      <c r="T15">
        <f>'EPA Table 6-1'!T41</f>
        <v>6.7</v>
      </c>
      <c r="U15">
        <f>'EPA Table 6-1'!U41</f>
        <v>8.4</v>
      </c>
      <c r="V15">
        <f>'EPA Table 6-1'!V41</f>
        <v>4.4000000000000004</v>
      </c>
      <c r="W15">
        <f>'EPA Table 6-1'!W41</f>
        <v>6.5</v>
      </c>
      <c r="X15">
        <f>'EPA Table 6-1'!X41</f>
        <v>6.9</v>
      </c>
      <c r="Y15">
        <f>'EPA Table 6-1'!Y41</f>
        <v>7.2</v>
      </c>
      <c r="Z15">
        <f>'EPA Table 6-1'!Z41</f>
        <v>5</v>
      </c>
      <c r="AA15">
        <f>'EPA Table 6-1'!AA41</f>
        <v>12.3</v>
      </c>
      <c r="AB15">
        <f>'EPA Table 6-1'!AB41</f>
        <v>5</v>
      </c>
      <c r="AC15">
        <f>'EPA Table 6-1'!AC41</f>
        <v>8.1999999999999993</v>
      </c>
      <c r="AD15">
        <f>'EPA Table 6-1'!AD41</f>
        <v>7.3</v>
      </c>
      <c r="AE15">
        <f>'EPA Table 6-1'!AE41</f>
        <v>5.5</v>
      </c>
      <c r="AF15">
        <f>'EPA Table 6-1'!AF41</f>
        <v>9.1</v>
      </c>
      <c r="AG15">
        <f>'EPA Table 6-1'!AG41</f>
        <v>10.7</v>
      </c>
      <c r="AH15">
        <f>'EPA Table 6-1'!AH41</f>
        <v>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56"/>
  <sheetViews>
    <sheetView workbookViewId="0">
      <selection activeCell="A3" sqref="A3:AH43"/>
    </sheetView>
  </sheetViews>
  <sheetFormatPr defaultRowHeight="14.5" x14ac:dyDescent="0.35"/>
  <cols>
    <col min="1" max="1" width="255.7265625" bestFit="1" customWidth="1"/>
    <col min="2" max="33" width="6.7265625" bestFit="1" customWidth="1"/>
  </cols>
  <sheetData>
    <row r="1" spans="1:34" x14ac:dyDescent="0.35">
      <c r="A1" t="s">
        <v>25</v>
      </c>
    </row>
    <row r="3" spans="1:34" x14ac:dyDescent="0.35">
      <c r="A3" t="s">
        <v>26</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v>2022</v>
      </c>
    </row>
    <row r="4" spans="1:34" x14ac:dyDescent="0.35">
      <c r="A4" t="s">
        <v>27</v>
      </c>
      <c r="B4">
        <v>-968.8</v>
      </c>
      <c r="C4">
        <v>-971.7</v>
      </c>
      <c r="D4">
        <v>-977.8</v>
      </c>
      <c r="E4">
        <v>-972.8</v>
      </c>
      <c r="F4">
        <v>-963.1</v>
      </c>
      <c r="G4">
        <v>-957.4</v>
      </c>
      <c r="H4">
        <v>-956</v>
      </c>
      <c r="I4">
        <v>-955.7</v>
      </c>
      <c r="J4">
        <v>-950.4</v>
      </c>
      <c r="K4">
        <v>-933.9</v>
      </c>
      <c r="L4">
        <v>-908.4</v>
      </c>
      <c r="M4">
        <v>-921.3</v>
      </c>
      <c r="N4">
        <v>-868.1</v>
      </c>
      <c r="O4">
        <v>-907.5</v>
      </c>
      <c r="P4">
        <v>-805.6</v>
      </c>
      <c r="Q4">
        <v>-860</v>
      </c>
      <c r="R4">
        <v>-897.3</v>
      </c>
      <c r="S4">
        <v>-863.6</v>
      </c>
      <c r="T4">
        <v>-848.4</v>
      </c>
      <c r="U4">
        <v>-807.9</v>
      </c>
      <c r="V4">
        <v>-852.1</v>
      </c>
      <c r="W4">
        <v>-860.9</v>
      </c>
      <c r="X4">
        <v>-857.3</v>
      </c>
      <c r="Y4">
        <v>-840.4</v>
      </c>
      <c r="Z4">
        <v>-874.8</v>
      </c>
      <c r="AA4">
        <v>-763</v>
      </c>
      <c r="AB4">
        <v>-881.5</v>
      </c>
      <c r="AC4">
        <v>-875</v>
      </c>
      <c r="AD4">
        <v>-863.4</v>
      </c>
      <c r="AE4">
        <v>-807</v>
      </c>
      <c r="AF4">
        <v>-846.3</v>
      </c>
      <c r="AG4">
        <v>-823.8</v>
      </c>
      <c r="AH4">
        <v>-771.7</v>
      </c>
    </row>
    <row r="5" spans="1:34" x14ac:dyDescent="0.35">
      <c r="A5" t="s">
        <v>28</v>
      </c>
      <c r="B5">
        <v>-974.8</v>
      </c>
      <c r="C5">
        <v>-976.3</v>
      </c>
      <c r="D5">
        <v>-979.2</v>
      </c>
      <c r="E5">
        <v>-974.8</v>
      </c>
      <c r="F5">
        <v>-968</v>
      </c>
      <c r="G5">
        <v>-958.7</v>
      </c>
      <c r="H5">
        <v>-959.7</v>
      </c>
      <c r="I5">
        <v>-956.7</v>
      </c>
      <c r="J5">
        <v>-952.7</v>
      </c>
      <c r="K5">
        <v>-939.5</v>
      </c>
      <c r="L5">
        <v>-918.6</v>
      </c>
      <c r="M5">
        <v>-925.5</v>
      </c>
      <c r="N5">
        <v>-883.2</v>
      </c>
      <c r="O5">
        <v>-917.4</v>
      </c>
      <c r="P5">
        <v>-829.8</v>
      </c>
      <c r="Q5">
        <v>-876</v>
      </c>
      <c r="R5">
        <v>-905.6</v>
      </c>
      <c r="S5">
        <v>-876.2</v>
      </c>
      <c r="T5">
        <v>-855.7</v>
      </c>
      <c r="U5">
        <v>-819.1</v>
      </c>
      <c r="V5">
        <v>-855.7</v>
      </c>
      <c r="W5">
        <v>-867.9</v>
      </c>
      <c r="X5">
        <v>-866.8</v>
      </c>
      <c r="Y5">
        <v>-851.5</v>
      </c>
      <c r="Z5">
        <v>-879.4</v>
      </c>
      <c r="AA5">
        <v>-786.9</v>
      </c>
      <c r="AB5">
        <v>-886.1</v>
      </c>
      <c r="AC5">
        <v>-887.9</v>
      </c>
      <c r="AD5">
        <v>-873.5</v>
      </c>
      <c r="AE5">
        <v>-813.2</v>
      </c>
      <c r="AF5">
        <v>-862</v>
      </c>
      <c r="AG5">
        <v>-844.2</v>
      </c>
      <c r="AH5">
        <v>-787</v>
      </c>
    </row>
    <row r="6" spans="1:34" x14ac:dyDescent="0.35">
      <c r="A6" t="s">
        <v>29</v>
      </c>
      <c r="B6">
        <v>5.8</v>
      </c>
      <c r="C6">
        <v>4.5</v>
      </c>
      <c r="D6">
        <v>1.3</v>
      </c>
      <c r="E6">
        <v>1.8</v>
      </c>
      <c r="F6">
        <v>4.7</v>
      </c>
      <c r="G6">
        <v>1</v>
      </c>
      <c r="H6">
        <v>3.3</v>
      </c>
      <c r="I6">
        <v>0.6</v>
      </c>
      <c r="J6">
        <v>1.8</v>
      </c>
      <c r="K6">
        <v>5</v>
      </c>
      <c r="L6">
        <v>9.8000000000000007</v>
      </c>
      <c r="M6">
        <v>3.7</v>
      </c>
      <c r="N6">
        <v>14.5</v>
      </c>
      <c r="O6">
        <v>9.4</v>
      </c>
      <c r="P6">
        <v>23.8</v>
      </c>
      <c r="Q6">
        <v>15.5</v>
      </c>
      <c r="R6">
        <v>7.8</v>
      </c>
      <c r="S6">
        <v>12.1</v>
      </c>
      <c r="T6">
        <v>6.9</v>
      </c>
      <c r="U6">
        <v>10.8</v>
      </c>
      <c r="V6">
        <v>3.1</v>
      </c>
      <c r="W6">
        <v>6.5</v>
      </c>
      <c r="X6">
        <v>9</v>
      </c>
      <c r="Y6">
        <v>10.6</v>
      </c>
      <c r="Z6">
        <v>4.0999999999999996</v>
      </c>
      <c r="AA6">
        <v>23.3</v>
      </c>
      <c r="AB6">
        <v>4.0999999999999996</v>
      </c>
      <c r="AC6">
        <v>12.4</v>
      </c>
      <c r="AD6">
        <v>9.6999999999999993</v>
      </c>
      <c r="AE6">
        <v>5.7</v>
      </c>
      <c r="AF6">
        <v>15.3</v>
      </c>
      <c r="AG6">
        <v>19.899999999999999</v>
      </c>
      <c r="AH6">
        <v>14.8</v>
      </c>
    </row>
    <row r="7" spans="1:34" x14ac:dyDescent="0.35">
      <c r="A7" t="s">
        <v>30</v>
      </c>
      <c r="B7">
        <v>0.1</v>
      </c>
      <c r="C7">
        <v>0.1</v>
      </c>
      <c r="D7">
        <v>0.1</v>
      </c>
      <c r="E7">
        <v>0.1</v>
      </c>
      <c r="F7">
        <v>0.2</v>
      </c>
      <c r="G7">
        <v>0.2</v>
      </c>
      <c r="H7">
        <v>0.3</v>
      </c>
      <c r="I7">
        <v>0.4</v>
      </c>
      <c r="J7">
        <v>0.4</v>
      </c>
      <c r="K7">
        <v>0.5</v>
      </c>
      <c r="L7">
        <v>0.5</v>
      </c>
      <c r="M7">
        <v>0.5</v>
      </c>
      <c r="N7">
        <v>0.5</v>
      </c>
      <c r="O7">
        <v>0.5</v>
      </c>
      <c r="P7">
        <v>0.4</v>
      </c>
      <c r="Q7">
        <v>0.4</v>
      </c>
      <c r="R7">
        <v>0.4</v>
      </c>
      <c r="S7">
        <v>0.4</v>
      </c>
      <c r="T7">
        <v>0.4</v>
      </c>
      <c r="U7">
        <v>0.4</v>
      </c>
      <c r="V7">
        <v>0.4</v>
      </c>
      <c r="W7">
        <v>0.4</v>
      </c>
      <c r="X7">
        <v>0.4</v>
      </c>
      <c r="Y7">
        <v>0.4</v>
      </c>
      <c r="Z7">
        <v>0.4</v>
      </c>
      <c r="AA7">
        <v>0.4</v>
      </c>
      <c r="AB7">
        <v>0.4</v>
      </c>
      <c r="AC7">
        <v>0.4</v>
      </c>
      <c r="AD7">
        <v>0.4</v>
      </c>
      <c r="AE7">
        <v>0.4</v>
      </c>
      <c r="AF7">
        <v>0.4</v>
      </c>
      <c r="AG7">
        <v>0.4</v>
      </c>
      <c r="AH7">
        <v>0.4</v>
      </c>
    </row>
    <row r="8" spans="1:34" x14ac:dyDescent="0.35">
      <c r="A8" t="s">
        <v>31</v>
      </c>
      <c r="B8">
        <v>0.1</v>
      </c>
      <c r="C8">
        <v>0.1</v>
      </c>
      <c r="D8">
        <v>0.1</v>
      </c>
      <c r="E8">
        <v>0.1</v>
      </c>
      <c r="F8">
        <v>0.1</v>
      </c>
      <c r="G8">
        <v>0.1</v>
      </c>
      <c r="H8">
        <v>0.1</v>
      </c>
      <c r="I8">
        <v>0.1</v>
      </c>
      <c r="J8">
        <v>0.1</v>
      </c>
      <c r="K8">
        <v>0.1</v>
      </c>
      <c r="L8">
        <v>0.1</v>
      </c>
      <c r="M8">
        <v>0.1</v>
      </c>
      <c r="N8">
        <v>0.1</v>
      </c>
      <c r="O8">
        <v>0.1</v>
      </c>
      <c r="P8">
        <v>0.1</v>
      </c>
      <c r="Q8">
        <v>0.1</v>
      </c>
      <c r="R8">
        <v>0.1</v>
      </c>
      <c r="S8">
        <v>0.1</v>
      </c>
      <c r="T8">
        <v>0.1</v>
      </c>
      <c r="U8">
        <v>0.1</v>
      </c>
      <c r="V8">
        <v>0.1</v>
      </c>
      <c r="W8">
        <v>0.1</v>
      </c>
      <c r="X8">
        <v>0.1</v>
      </c>
      <c r="Y8">
        <v>0.1</v>
      </c>
      <c r="Z8">
        <v>0.1</v>
      </c>
      <c r="AA8">
        <v>0.1</v>
      </c>
      <c r="AB8">
        <v>0.1</v>
      </c>
      <c r="AC8">
        <v>0.1</v>
      </c>
      <c r="AD8">
        <v>0.1</v>
      </c>
      <c r="AE8">
        <v>0.1</v>
      </c>
      <c r="AF8">
        <v>0.1</v>
      </c>
      <c r="AG8">
        <v>0.1</v>
      </c>
      <c r="AH8">
        <v>0.1</v>
      </c>
    </row>
    <row r="9" spans="1:34" x14ac:dyDescent="0.35">
      <c r="A9" t="s">
        <v>32</v>
      </c>
      <c r="B9">
        <v>-100.2</v>
      </c>
      <c r="C9">
        <v>-100.1</v>
      </c>
      <c r="D9">
        <v>-100</v>
      </c>
      <c r="E9">
        <v>-100</v>
      </c>
      <c r="F9">
        <v>-100</v>
      </c>
      <c r="G9">
        <v>-100.1</v>
      </c>
      <c r="H9">
        <v>-100.1</v>
      </c>
      <c r="I9">
        <v>-100</v>
      </c>
      <c r="J9">
        <v>-100.1</v>
      </c>
      <c r="K9">
        <v>-100.1</v>
      </c>
      <c r="L9">
        <v>-100.1</v>
      </c>
      <c r="M9">
        <v>-100.1</v>
      </c>
      <c r="N9">
        <v>-100.1</v>
      </c>
      <c r="O9">
        <v>-100.1</v>
      </c>
      <c r="P9">
        <v>-100.1</v>
      </c>
      <c r="Q9">
        <v>-100.2</v>
      </c>
      <c r="R9">
        <v>-100.2</v>
      </c>
      <c r="S9">
        <v>-100.2</v>
      </c>
      <c r="T9">
        <v>-100.2</v>
      </c>
      <c r="U9">
        <v>-100.2</v>
      </c>
      <c r="V9">
        <v>-100.2</v>
      </c>
      <c r="W9">
        <v>-100.2</v>
      </c>
      <c r="X9">
        <v>-100.2</v>
      </c>
      <c r="Y9">
        <v>-100.3</v>
      </c>
      <c r="Z9">
        <v>-100.3</v>
      </c>
      <c r="AA9">
        <v>-100.3</v>
      </c>
      <c r="AB9">
        <v>-100.4</v>
      </c>
      <c r="AC9">
        <v>-100.4</v>
      </c>
      <c r="AD9">
        <v>-100.4</v>
      </c>
      <c r="AE9">
        <v>-100.3</v>
      </c>
      <c r="AF9">
        <v>-100.3</v>
      </c>
      <c r="AG9">
        <v>-100.3</v>
      </c>
      <c r="AH9">
        <v>-100.3</v>
      </c>
    </row>
    <row r="10" spans="1:34" x14ac:dyDescent="0.35">
      <c r="A10" t="s">
        <v>33</v>
      </c>
      <c r="B10">
        <v>-100.2</v>
      </c>
      <c r="C10">
        <v>-100.1</v>
      </c>
      <c r="D10">
        <v>-100</v>
      </c>
      <c r="E10">
        <v>-100</v>
      </c>
      <c r="F10">
        <v>-100</v>
      </c>
      <c r="G10">
        <v>-100.1</v>
      </c>
      <c r="H10">
        <v>-100.1</v>
      </c>
      <c r="I10">
        <v>-100</v>
      </c>
      <c r="J10">
        <v>-100.1</v>
      </c>
      <c r="K10">
        <v>-100.1</v>
      </c>
      <c r="L10">
        <v>-100.1</v>
      </c>
      <c r="M10">
        <v>-100.1</v>
      </c>
      <c r="N10">
        <v>-100.1</v>
      </c>
      <c r="O10">
        <v>-100.1</v>
      </c>
      <c r="P10">
        <v>-100.1</v>
      </c>
      <c r="Q10">
        <v>-100.2</v>
      </c>
      <c r="R10">
        <v>-100.2</v>
      </c>
      <c r="S10">
        <v>-100.2</v>
      </c>
      <c r="T10">
        <v>-100.2</v>
      </c>
      <c r="U10">
        <v>-100.2</v>
      </c>
      <c r="V10">
        <v>-100.2</v>
      </c>
      <c r="W10">
        <v>-100.2</v>
      </c>
      <c r="X10">
        <v>-100.2</v>
      </c>
      <c r="Y10">
        <v>-100.3</v>
      </c>
      <c r="Z10">
        <v>-100.3</v>
      </c>
      <c r="AA10">
        <v>-100.3</v>
      </c>
      <c r="AB10">
        <v>-100.4</v>
      </c>
      <c r="AC10">
        <v>-100.4</v>
      </c>
      <c r="AD10">
        <v>-100.4</v>
      </c>
      <c r="AE10">
        <v>-100.3</v>
      </c>
      <c r="AF10">
        <v>-100.3</v>
      </c>
      <c r="AG10">
        <v>-100.3</v>
      </c>
      <c r="AH10">
        <v>-100.3</v>
      </c>
    </row>
    <row r="11" spans="1:34" x14ac:dyDescent="0.35">
      <c r="A11" t="s">
        <v>34</v>
      </c>
      <c r="B11">
        <v>-5</v>
      </c>
      <c r="C11">
        <v>-18.600000000000001</v>
      </c>
      <c r="D11">
        <v>-26.7</v>
      </c>
      <c r="E11">
        <v>-13.6</v>
      </c>
      <c r="F11">
        <v>-21.5</v>
      </c>
      <c r="G11">
        <v>-18.2</v>
      </c>
      <c r="H11">
        <v>-38.200000000000003</v>
      </c>
      <c r="I11">
        <v>-35</v>
      </c>
      <c r="J11">
        <v>-30.4</v>
      </c>
      <c r="K11">
        <v>-32.200000000000003</v>
      </c>
      <c r="L11">
        <v>-38</v>
      </c>
      <c r="M11">
        <v>-35.799999999999997</v>
      </c>
      <c r="N11">
        <v>-38.1</v>
      </c>
      <c r="O11">
        <v>-29</v>
      </c>
      <c r="P11">
        <v>-33.700000000000003</v>
      </c>
      <c r="Q11">
        <v>-31.6</v>
      </c>
      <c r="R11">
        <v>-28.3</v>
      </c>
      <c r="S11">
        <v>-27</v>
      </c>
      <c r="T11">
        <v>-33.799999999999997</v>
      </c>
      <c r="U11">
        <v>-15.6</v>
      </c>
      <c r="V11">
        <v>-19.899999999999999</v>
      </c>
      <c r="W11">
        <v>-38.5</v>
      </c>
      <c r="X11">
        <v>-27.1</v>
      </c>
      <c r="Y11">
        <v>-16</v>
      </c>
      <c r="Z11">
        <v>-22.4</v>
      </c>
      <c r="AA11">
        <v>-24</v>
      </c>
      <c r="AB11">
        <v>-22.5</v>
      </c>
      <c r="AC11">
        <v>-18.8</v>
      </c>
      <c r="AD11">
        <v>-17.8</v>
      </c>
      <c r="AE11">
        <v>-19.399999999999999</v>
      </c>
      <c r="AF11">
        <v>-8.8000000000000007</v>
      </c>
      <c r="AG11">
        <v>-32</v>
      </c>
      <c r="AH11">
        <v>-31.7</v>
      </c>
    </row>
    <row r="12" spans="1:34" x14ac:dyDescent="0.35">
      <c r="A12" t="s">
        <v>35</v>
      </c>
      <c r="B12">
        <v>-5</v>
      </c>
      <c r="C12">
        <v>-18.600000000000001</v>
      </c>
      <c r="D12">
        <v>-26.7</v>
      </c>
      <c r="E12">
        <v>-13.6</v>
      </c>
      <c r="F12">
        <v>-21.5</v>
      </c>
      <c r="G12">
        <v>-18.2</v>
      </c>
      <c r="H12">
        <v>-38.200000000000003</v>
      </c>
      <c r="I12">
        <v>-35</v>
      </c>
      <c r="J12">
        <v>-30.4</v>
      </c>
      <c r="K12">
        <v>-32.200000000000003</v>
      </c>
      <c r="L12">
        <v>-38</v>
      </c>
      <c r="M12">
        <v>-35.799999999999997</v>
      </c>
      <c r="N12">
        <v>-38.1</v>
      </c>
      <c r="O12">
        <v>-29</v>
      </c>
      <c r="P12">
        <v>-33.700000000000003</v>
      </c>
      <c r="Q12">
        <v>-31.6</v>
      </c>
      <c r="R12">
        <v>-28.3</v>
      </c>
      <c r="S12">
        <v>-27</v>
      </c>
      <c r="T12">
        <v>-33.799999999999997</v>
      </c>
      <c r="U12">
        <v>-15.6</v>
      </c>
      <c r="V12">
        <v>-19.899999999999999</v>
      </c>
      <c r="W12">
        <v>-38.5</v>
      </c>
      <c r="X12">
        <v>-27.1</v>
      </c>
      <c r="Y12">
        <v>-16</v>
      </c>
      <c r="Z12">
        <v>-22.4</v>
      </c>
      <c r="AA12">
        <v>-24</v>
      </c>
      <c r="AB12">
        <v>-22.5</v>
      </c>
      <c r="AC12">
        <v>-18.8</v>
      </c>
      <c r="AD12">
        <v>-17.8</v>
      </c>
      <c r="AE12">
        <v>-19.399999999999999</v>
      </c>
      <c r="AF12">
        <v>-8.8000000000000007</v>
      </c>
      <c r="AG12">
        <v>-32</v>
      </c>
      <c r="AH12">
        <v>-31.7</v>
      </c>
    </row>
    <row r="13" spans="1:34" x14ac:dyDescent="0.35">
      <c r="A13" t="s">
        <v>36</v>
      </c>
      <c r="B13">
        <v>45.4</v>
      </c>
      <c r="C13">
        <v>46.6</v>
      </c>
      <c r="D13">
        <v>43.2</v>
      </c>
      <c r="E13">
        <v>40.700000000000003</v>
      </c>
      <c r="F13">
        <v>40.700000000000003</v>
      </c>
      <c r="G13">
        <v>42.7</v>
      </c>
      <c r="H13">
        <v>40.4</v>
      </c>
      <c r="I13">
        <v>40.700000000000003</v>
      </c>
      <c r="J13">
        <v>38.5</v>
      </c>
      <c r="K13">
        <v>40.9</v>
      </c>
      <c r="L13">
        <v>37.4</v>
      </c>
      <c r="M13">
        <v>36</v>
      </c>
      <c r="N13">
        <v>35.700000000000003</v>
      </c>
      <c r="O13">
        <v>35.799999999999997</v>
      </c>
      <c r="P13">
        <v>34.6</v>
      </c>
      <c r="Q13">
        <v>34.5</v>
      </c>
      <c r="R13">
        <v>32.4</v>
      </c>
      <c r="S13">
        <v>33.6</v>
      </c>
      <c r="T13">
        <v>30.3</v>
      </c>
      <c r="U13">
        <v>30.9</v>
      </c>
      <c r="V13">
        <v>32.299999999999997</v>
      </c>
      <c r="W13">
        <v>29.6</v>
      </c>
      <c r="X13">
        <v>32</v>
      </c>
      <c r="Y13">
        <v>33.5</v>
      </c>
      <c r="Z13">
        <v>32</v>
      </c>
      <c r="AA13">
        <v>33.299999999999997</v>
      </c>
      <c r="AB13">
        <v>34.1</v>
      </c>
      <c r="AC13">
        <v>33.200000000000003</v>
      </c>
      <c r="AD13">
        <v>31.9</v>
      </c>
      <c r="AE13">
        <v>31.4</v>
      </c>
      <c r="AF13">
        <v>29.3</v>
      </c>
      <c r="AG13">
        <v>34.9</v>
      </c>
      <c r="AH13">
        <v>35.1</v>
      </c>
    </row>
    <row r="14" spans="1:34" x14ac:dyDescent="0.35">
      <c r="A14" t="s">
        <v>37</v>
      </c>
      <c r="B14">
        <v>45.4</v>
      </c>
      <c r="C14">
        <v>46.6</v>
      </c>
      <c r="D14">
        <v>43.2</v>
      </c>
      <c r="E14">
        <v>40.700000000000003</v>
      </c>
      <c r="F14">
        <v>40.700000000000003</v>
      </c>
      <c r="G14">
        <v>42.7</v>
      </c>
      <c r="H14">
        <v>40.4</v>
      </c>
      <c r="I14">
        <v>40.700000000000003</v>
      </c>
      <c r="J14">
        <v>38.5</v>
      </c>
      <c r="K14">
        <v>40.9</v>
      </c>
      <c r="L14">
        <v>37.4</v>
      </c>
      <c r="M14">
        <v>36</v>
      </c>
      <c r="N14">
        <v>35.700000000000003</v>
      </c>
      <c r="O14">
        <v>35.799999999999997</v>
      </c>
      <c r="P14">
        <v>34.6</v>
      </c>
      <c r="Q14">
        <v>34.5</v>
      </c>
      <c r="R14">
        <v>32.4</v>
      </c>
      <c r="S14">
        <v>33.6</v>
      </c>
      <c r="T14">
        <v>30.3</v>
      </c>
      <c r="U14">
        <v>30.9</v>
      </c>
      <c r="V14">
        <v>32.299999999999997</v>
      </c>
      <c r="W14">
        <v>29.6</v>
      </c>
      <c r="X14">
        <v>32</v>
      </c>
      <c r="Y14">
        <v>33.5</v>
      </c>
      <c r="Z14">
        <v>32</v>
      </c>
      <c r="AA14">
        <v>33.299999999999997</v>
      </c>
      <c r="AB14">
        <v>34.1</v>
      </c>
      <c r="AC14">
        <v>33.200000000000003</v>
      </c>
      <c r="AD14">
        <v>31.9</v>
      </c>
      <c r="AE14">
        <v>31.4</v>
      </c>
      <c r="AF14">
        <v>29.3</v>
      </c>
      <c r="AG14">
        <v>34.9</v>
      </c>
      <c r="AH14">
        <v>35.1</v>
      </c>
    </row>
    <row r="15" spans="1:34" x14ac:dyDescent="0.35">
      <c r="A15" t="s">
        <v>38</v>
      </c>
      <c r="B15">
        <v>24.6</v>
      </c>
      <c r="C15">
        <v>27.3</v>
      </c>
      <c r="D15">
        <v>23.8</v>
      </c>
      <c r="E15">
        <v>23.7</v>
      </c>
      <c r="F15">
        <v>7.6</v>
      </c>
      <c r="G15">
        <v>19.399999999999999</v>
      </c>
      <c r="H15">
        <v>10.5</v>
      </c>
      <c r="I15">
        <v>31.5</v>
      </c>
      <c r="J15">
        <v>17.100000000000001</v>
      </c>
      <c r="K15">
        <v>28.6</v>
      </c>
      <c r="L15">
        <v>-0.7</v>
      </c>
      <c r="M15">
        <v>15.8</v>
      </c>
      <c r="N15">
        <v>19.3</v>
      </c>
      <c r="O15">
        <v>16.600000000000001</v>
      </c>
      <c r="P15">
        <v>19.399999999999999</v>
      </c>
      <c r="Q15">
        <v>24.9</v>
      </c>
      <c r="R15">
        <v>10</v>
      </c>
      <c r="S15">
        <v>24.8</v>
      </c>
      <c r="T15">
        <v>11</v>
      </c>
      <c r="U15">
        <v>14.1</v>
      </c>
      <c r="V15">
        <v>27.8</v>
      </c>
      <c r="W15">
        <v>13.8</v>
      </c>
      <c r="X15">
        <v>11.7</v>
      </c>
      <c r="Y15">
        <v>25.7</v>
      </c>
      <c r="Z15">
        <v>30.5</v>
      </c>
      <c r="AA15">
        <v>25.6</v>
      </c>
      <c r="AB15">
        <v>43.5</v>
      </c>
      <c r="AC15">
        <v>30.3</v>
      </c>
      <c r="AD15">
        <v>29.7</v>
      </c>
      <c r="AE15">
        <v>28.9</v>
      </c>
      <c r="AF15">
        <v>17.100000000000001</v>
      </c>
      <c r="AG15">
        <v>11.5</v>
      </c>
      <c r="AH15">
        <v>14</v>
      </c>
    </row>
    <row r="16" spans="1:34" x14ac:dyDescent="0.35">
      <c r="A16" t="s">
        <v>35</v>
      </c>
      <c r="B16">
        <v>24.4</v>
      </c>
      <c r="C16">
        <v>27.1</v>
      </c>
      <c r="D16">
        <v>23.5</v>
      </c>
      <c r="E16">
        <v>23.4</v>
      </c>
      <c r="F16">
        <v>7</v>
      </c>
      <c r="G16">
        <v>19.100000000000001</v>
      </c>
      <c r="H16">
        <v>9.5</v>
      </c>
      <c r="I16">
        <v>31.3</v>
      </c>
      <c r="J16">
        <v>16.7</v>
      </c>
      <c r="K16">
        <v>27.7</v>
      </c>
      <c r="L16">
        <v>-1.6</v>
      </c>
      <c r="M16">
        <v>15.4</v>
      </c>
      <c r="N16">
        <v>18.8</v>
      </c>
      <c r="O16">
        <v>16.2</v>
      </c>
      <c r="P16">
        <v>19.2</v>
      </c>
      <c r="Q16">
        <v>24.1</v>
      </c>
      <c r="R16">
        <v>8.5</v>
      </c>
      <c r="S16">
        <v>23.7</v>
      </c>
      <c r="T16">
        <v>10.3</v>
      </c>
      <c r="U16">
        <v>13.3</v>
      </c>
      <c r="V16">
        <v>27.4</v>
      </c>
      <c r="W16">
        <v>12.1</v>
      </c>
      <c r="X16">
        <v>10.3</v>
      </c>
      <c r="Y16">
        <v>25.4</v>
      </c>
      <c r="Z16">
        <v>29.7</v>
      </c>
      <c r="AA16">
        <v>24.8</v>
      </c>
      <c r="AB16">
        <v>42.5</v>
      </c>
      <c r="AC16">
        <v>28.8</v>
      </c>
      <c r="AD16">
        <v>28.6</v>
      </c>
      <c r="AE16">
        <v>28.5</v>
      </c>
      <c r="AF16">
        <v>16.100000000000001</v>
      </c>
      <c r="AG16">
        <v>10.6</v>
      </c>
      <c r="AH16">
        <v>13.4</v>
      </c>
    </row>
    <row r="17" spans="1:34" x14ac:dyDescent="0.35">
      <c r="A17" t="s">
        <v>39</v>
      </c>
      <c r="B17">
        <v>0.2</v>
      </c>
      <c r="C17">
        <v>0.2</v>
      </c>
      <c r="D17">
        <v>0.3</v>
      </c>
      <c r="E17">
        <v>0.3</v>
      </c>
      <c r="F17">
        <v>0.5</v>
      </c>
      <c r="G17">
        <v>0.3</v>
      </c>
      <c r="H17">
        <v>1</v>
      </c>
      <c r="I17">
        <v>0.2</v>
      </c>
      <c r="J17">
        <v>0.3</v>
      </c>
      <c r="K17">
        <v>0.9</v>
      </c>
      <c r="L17">
        <v>0.9</v>
      </c>
      <c r="M17">
        <v>0.4</v>
      </c>
      <c r="N17">
        <v>0.4</v>
      </c>
      <c r="O17">
        <v>0.4</v>
      </c>
      <c r="P17">
        <v>0.2</v>
      </c>
      <c r="Q17">
        <v>0.8</v>
      </c>
      <c r="R17">
        <v>1.4</v>
      </c>
      <c r="S17">
        <v>1.1000000000000001</v>
      </c>
      <c r="T17">
        <v>0.7</v>
      </c>
      <c r="U17">
        <v>0.8</v>
      </c>
      <c r="V17">
        <v>0.4</v>
      </c>
      <c r="W17">
        <v>1.7</v>
      </c>
      <c r="X17">
        <v>1.3</v>
      </c>
      <c r="Y17">
        <v>0.3</v>
      </c>
      <c r="Z17">
        <v>0.8</v>
      </c>
      <c r="AA17">
        <v>0.8</v>
      </c>
      <c r="AB17">
        <v>1</v>
      </c>
      <c r="AC17">
        <v>1.5</v>
      </c>
      <c r="AD17">
        <v>1.1000000000000001</v>
      </c>
      <c r="AE17">
        <v>0.3</v>
      </c>
      <c r="AF17">
        <v>1.1000000000000001</v>
      </c>
      <c r="AG17">
        <v>0.9</v>
      </c>
      <c r="AH17">
        <v>0.6</v>
      </c>
    </row>
    <row r="18" spans="1:34" x14ac:dyDescent="0.35">
      <c r="A18" t="s">
        <v>40</v>
      </c>
      <c r="B18">
        <v>35.299999999999997</v>
      </c>
      <c r="C18">
        <v>34.799999999999997</v>
      </c>
      <c r="D18">
        <v>34.299999999999997</v>
      </c>
      <c r="E18">
        <v>32.5</v>
      </c>
      <c r="F18">
        <v>30.1</v>
      </c>
      <c r="G18">
        <v>30.3</v>
      </c>
      <c r="H18">
        <v>28.7</v>
      </c>
      <c r="I18">
        <v>28.3</v>
      </c>
      <c r="J18">
        <v>24.6</v>
      </c>
      <c r="K18">
        <v>25.3</v>
      </c>
      <c r="L18">
        <v>22.1</v>
      </c>
      <c r="M18">
        <v>21.7</v>
      </c>
      <c r="N18">
        <v>21.3</v>
      </c>
      <c r="O18">
        <v>21.5</v>
      </c>
      <c r="P18">
        <v>21</v>
      </c>
      <c r="Q18">
        <v>21.8</v>
      </c>
      <c r="R18">
        <v>20.5</v>
      </c>
      <c r="S18">
        <v>21.6</v>
      </c>
      <c r="T18">
        <v>21.4</v>
      </c>
      <c r="U18">
        <v>23.1</v>
      </c>
      <c r="V18">
        <v>22.7</v>
      </c>
      <c r="W18">
        <v>22.8</v>
      </c>
      <c r="X18">
        <v>20.9</v>
      </c>
      <c r="Y18">
        <v>22.1</v>
      </c>
      <c r="Z18">
        <v>24</v>
      </c>
      <c r="AA18">
        <v>21.2</v>
      </c>
      <c r="AB18">
        <v>23.7</v>
      </c>
      <c r="AC18">
        <v>23.8</v>
      </c>
      <c r="AD18">
        <v>25.2</v>
      </c>
      <c r="AE18">
        <v>25.4</v>
      </c>
      <c r="AF18">
        <v>28.7</v>
      </c>
      <c r="AG18">
        <v>24.5</v>
      </c>
      <c r="AH18">
        <v>25.6</v>
      </c>
    </row>
    <row r="19" spans="1:34" x14ac:dyDescent="0.35">
      <c r="A19" t="s">
        <v>37</v>
      </c>
      <c r="B19">
        <v>35.299999999999997</v>
      </c>
      <c r="C19">
        <v>34.799999999999997</v>
      </c>
      <c r="D19">
        <v>34.299999999999997</v>
      </c>
      <c r="E19">
        <v>32.5</v>
      </c>
      <c r="F19">
        <v>30.1</v>
      </c>
      <c r="G19">
        <v>30.3</v>
      </c>
      <c r="H19">
        <v>28.7</v>
      </c>
      <c r="I19">
        <v>28.3</v>
      </c>
      <c r="J19">
        <v>24.6</v>
      </c>
      <c r="K19">
        <v>25.3</v>
      </c>
      <c r="L19">
        <v>22.1</v>
      </c>
      <c r="M19">
        <v>21.7</v>
      </c>
      <c r="N19">
        <v>21.3</v>
      </c>
      <c r="O19">
        <v>21.5</v>
      </c>
      <c r="P19">
        <v>21</v>
      </c>
      <c r="Q19">
        <v>21.8</v>
      </c>
      <c r="R19">
        <v>20.5</v>
      </c>
      <c r="S19">
        <v>21.6</v>
      </c>
      <c r="T19">
        <v>21.4</v>
      </c>
      <c r="U19">
        <v>23.1</v>
      </c>
      <c r="V19">
        <v>22.7</v>
      </c>
      <c r="W19">
        <v>22.8</v>
      </c>
      <c r="X19">
        <v>20.9</v>
      </c>
      <c r="Y19">
        <v>22.1</v>
      </c>
      <c r="Z19">
        <v>24</v>
      </c>
      <c r="AA19">
        <v>21.2</v>
      </c>
      <c r="AB19">
        <v>23.7</v>
      </c>
      <c r="AC19">
        <v>23.8</v>
      </c>
      <c r="AD19">
        <v>25.2</v>
      </c>
      <c r="AE19">
        <v>25.4</v>
      </c>
      <c r="AF19">
        <v>28.7</v>
      </c>
      <c r="AG19">
        <v>24.5</v>
      </c>
      <c r="AH19">
        <v>25.6</v>
      </c>
    </row>
    <row r="20" spans="1:34" x14ac:dyDescent="0.35">
      <c r="A20" t="s">
        <v>41</v>
      </c>
      <c r="B20">
        <v>36.799999999999997</v>
      </c>
      <c r="C20">
        <v>36.799999999999997</v>
      </c>
      <c r="D20">
        <v>36.9</v>
      </c>
      <c r="E20">
        <v>37.200000000000003</v>
      </c>
      <c r="F20">
        <v>37.299999999999997</v>
      </c>
      <c r="G20">
        <v>37.5</v>
      </c>
      <c r="H20">
        <v>37.4</v>
      </c>
      <c r="I20">
        <v>37.700000000000003</v>
      </c>
      <c r="J20">
        <v>38</v>
      </c>
      <c r="K20">
        <v>38.299999999999997</v>
      </c>
      <c r="L20">
        <v>38.5</v>
      </c>
      <c r="M20">
        <v>39.299999999999997</v>
      </c>
      <c r="N20">
        <v>39.299999999999997</v>
      </c>
      <c r="O20">
        <v>39.299999999999997</v>
      </c>
      <c r="P20">
        <v>39.4</v>
      </c>
      <c r="Q20">
        <v>39.4</v>
      </c>
      <c r="R20">
        <v>48.1</v>
      </c>
      <c r="S20">
        <v>48.5</v>
      </c>
      <c r="T20">
        <v>48.6</v>
      </c>
      <c r="U20">
        <v>48.7</v>
      </c>
      <c r="V20">
        <v>48.7</v>
      </c>
      <c r="W20">
        <v>38.6</v>
      </c>
      <c r="X20">
        <v>38.200000000000003</v>
      </c>
      <c r="Y20">
        <v>38.200000000000003</v>
      </c>
      <c r="Z20">
        <v>38.200000000000003</v>
      </c>
      <c r="AA20">
        <v>38.200000000000003</v>
      </c>
      <c r="AB20">
        <v>38.200000000000003</v>
      </c>
      <c r="AC20">
        <v>38.299999999999997</v>
      </c>
      <c r="AD20">
        <v>38.200000000000003</v>
      </c>
      <c r="AE20">
        <v>38.1</v>
      </c>
      <c r="AF20">
        <v>38.1</v>
      </c>
      <c r="AG20">
        <v>38.1</v>
      </c>
      <c r="AH20">
        <v>38.1</v>
      </c>
    </row>
    <row r="21" spans="1:34" x14ac:dyDescent="0.35">
      <c r="A21" t="s">
        <v>42</v>
      </c>
      <c r="B21">
        <v>1.1000000000000001</v>
      </c>
      <c r="C21">
        <v>1</v>
      </c>
      <c r="D21">
        <v>0.9</v>
      </c>
      <c r="E21">
        <v>1</v>
      </c>
      <c r="F21">
        <v>0.9</v>
      </c>
      <c r="G21">
        <v>1.1000000000000001</v>
      </c>
      <c r="H21">
        <v>0.9</v>
      </c>
      <c r="I21">
        <v>1.1000000000000001</v>
      </c>
      <c r="J21">
        <v>1.1000000000000001</v>
      </c>
      <c r="K21">
        <v>1.2</v>
      </c>
      <c r="L21">
        <v>1.3</v>
      </c>
      <c r="M21">
        <v>1.2</v>
      </c>
      <c r="N21">
        <v>1</v>
      </c>
      <c r="O21">
        <v>1</v>
      </c>
      <c r="P21">
        <v>1.2</v>
      </c>
      <c r="Q21">
        <v>1.1000000000000001</v>
      </c>
      <c r="R21">
        <v>0.9</v>
      </c>
      <c r="S21">
        <v>1</v>
      </c>
      <c r="T21">
        <v>1</v>
      </c>
      <c r="U21">
        <v>1</v>
      </c>
      <c r="V21">
        <v>1</v>
      </c>
      <c r="W21">
        <v>0.9</v>
      </c>
      <c r="X21">
        <v>0.8</v>
      </c>
      <c r="Y21">
        <v>0.8</v>
      </c>
      <c r="Z21">
        <v>0.8</v>
      </c>
      <c r="AA21">
        <v>0.8</v>
      </c>
      <c r="AB21">
        <v>0.7</v>
      </c>
      <c r="AC21">
        <v>0.8</v>
      </c>
      <c r="AD21">
        <v>0.7</v>
      </c>
      <c r="AE21">
        <v>0.6</v>
      </c>
      <c r="AF21">
        <v>0.6</v>
      </c>
      <c r="AG21">
        <v>0.5</v>
      </c>
      <c r="AH21">
        <v>0.6</v>
      </c>
    </row>
    <row r="22" spans="1:34" x14ac:dyDescent="0.35">
      <c r="A22" t="s">
        <v>43</v>
      </c>
      <c r="B22" t="s">
        <v>173</v>
      </c>
      <c r="C22" t="s">
        <v>173</v>
      </c>
      <c r="D22" t="s">
        <v>173</v>
      </c>
      <c r="E22" t="s">
        <v>173</v>
      </c>
      <c r="F22" t="s">
        <v>173</v>
      </c>
      <c r="G22" t="s">
        <v>173</v>
      </c>
      <c r="H22" t="s">
        <v>173</v>
      </c>
      <c r="I22" t="s">
        <v>173</v>
      </c>
      <c r="J22" t="s">
        <v>173</v>
      </c>
      <c r="K22" t="s">
        <v>173</v>
      </c>
      <c r="L22" t="s">
        <v>173</v>
      </c>
      <c r="M22" t="s">
        <v>173</v>
      </c>
      <c r="N22" t="s">
        <v>173</v>
      </c>
      <c r="O22" t="s">
        <v>173</v>
      </c>
      <c r="P22" t="s">
        <v>173</v>
      </c>
      <c r="Q22" t="s">
        <v>173</v>
      </c>
      <c r="R22" t="s">
        <v>173</v>
      </c>
      <c r="S22" t="s">
        <v>173</v>
      </c>
      <c r="T22" t="s">
        <v>173</v>
      </c>
      <c r="U22" t="s">
        <v>173</v>
      </c>
      <c r="V22" t="s">
        <v>173</v>
      </c>
      <c r="W22" t="s">
        <v>173</v>
      </c>
      <c r="X22" t="s">
        <v>173</v>
      </c>
      <c r="Y22" t="s">
        <v>173</v>
      </c>
      <c r="Z22" t="s">
        <v>173</v>
      </c>
      <c r="AA22" t="s">
        <v>173</v>
      </c>
      <c r="AB22" t="s">
        <v>173</v>
      </c>
      <c r="AC22" t="s">
        <v>173</v>
      </c>
      <c r="AD22" t="s">
        <v>173</v>
      </c>
      <c r="AE22" t="s">
        <v>173</v>
      </c>
      <c r="AF22" t="s">
        <v>173</v>
      </c>
      <c r="AG22" t="s">
        <v>173</v>
      </c>
      <c r="AH22" t="s">
        <v>173</v>
      </c>
    </row>
    <row r="23" spans="1:34" x14ac:dyDescent="0.35">
      <c r="A23" t="s">
        <v>44</v>
      </c>
      <c r="B23">
        <v>-10.8</v>
      </c>
      <c r="C23">
        <v>-10.8</v>
      </c>
      <c r="D23">
        <v>-10.8</v>
      </c>
      <c r="E23">
        <v>-10.8</v>
      </c>
      <c r="F23">
        <v>-10.8</v>
      </c>
      <c r="G23">
        <v>-10.8</v>
      </c>
      <c r="H23">
        <v>-10.8</v>
      </c>
      <c r="I23">
        <v>-10.8</v>
      </c>
      <c r="J23">
        <v>-10.8</v>
      </c>
      <c r="K23">
        <v>-10.8</v>
      </c>
      <c r="L23">
        <v>-10.8</v>
      </c>
      <c r="M23">
        <v>-10.1</v>
      </c>
      <c r="N23">
        <v>-10.1</v>
      </c>
      <c r="O23">
        <v>-10.1</v>
      </c>
      <c r="P23">
        <v>-10.1</v>
      </c>
      <c r="Q23">
        <v>-10.1</v>
      </c>
      <c r="R23">
        <v>-1.2</v>
      </c>
      <c r="S23">
        <v>-0.9</v>
      </c>
      <c r="T23">
        <v>-0.9</v>
      </c>
      <c r="U23">
        <v>-0.9</v>
      </c>
      <c r="V23">
        <v>-0.8</v>
      </c>
      <c r="W23">
        <v>-10.8</v>
      </c>
      <c r="X23">
        <v>-11.1</v>
      </c>
      <c r="Y23">
        <v>-11.1</v>
      </c>
      <c r="Z23">
        <v>-11.1</v>
      </c>
      <c r="AA23">
        <v>-11.1</v>
      </c>
      <c r="AB23">
        <v>-11.1</v>
      </c>
      <c r="AC23">
        <v>-11.1</v>
      </c>
      <c r="AD23">
        <v>-11.1</v>
      </c>
      <c r="AE23">
        <v>-11.1</v>
      </c>
      <c r="AF23">
        <v>-11.1</v>
      </c>
      <c r="AG23">
        <v>-11.1</v>
      </c>
      <c r="AH23">
        <v>-11.1</v>
      </c>
    </row>
    <row r="24" spans="1:34" x14ac:dyDescent="0.35">
      <c r="A24" t="s">
        <v>45</v>
      </c>
      <c r="B24">
        <v>4.2</v>
      </c>
      <c r="C24">
        <v>4.2</v>
      </c>
      <c r="D24">
        <v>4.2</v>
      </c>
      <c r="E24">
        <v>4.2</v>
      </c>
      <c r="F24">
        <v>4.2</v>
      </c>
      <c r="G24">
        <v>4.2</v>
      </c>
      <c r="H24">
        <v>4.2</v>
      </c>
      <c r="I24">
        <v>4.2</v>
      </c>
      <c r="J24">
        <v>4.2</v>
      </c>
      <c r="K24">
        <v>4.3</v>
      </c>
      <c r="L24">
        <v>4.3</v>
      </c>
      <c r="M24">
        <v>4.3</v>
      </c>
      <c r="N24">
        <v>4.3</v>
      </c>
      <c r="O24">
        <v>4.2</v>
      </c>
      <c r="P24">
        <v>4.2</v>
      </c>
      <c r="Q24">
        <v>4.2</v>
      </c>
      <c r="R24">
        <v>4.2</v>
      </c>
      <c r="S24">
        <v>4.2</v>
      </c>
      <c r="T24">
        <v>4.2</v>
      </c>
      <c r="U24">
        <v>4.2</v>
      </c>
      <c r="V24">
        <v>4.2</v>
      </c>
      <c r="W24">
        <v>4.2</v>
      </c>
      <c r="X24">
        <v>4.2</v>
      </c>
      <c r="Y24">
        <v>4.2</v>
      </c>
      <c r="Z24">
        <v>4.3</v>
      </c>
      <c r="AA24">
        <v>4.3</v>
      </c>
      <c r="AB24">
        <v>4.3</v>
      </c>
      <c r="AC24">
        <v>4.3</v>
      </c>
      <c r="AD24">
        <v>4.3</v>
      </c>
      <c r="AE24">
        <v>4.3</v>
      </c>
      <c r="AF24">
        <v>4.3</v>
      </c>
      <c r="AG24">
        <v>4.3</v>
      </c>
      <c r="AH24">
        <v>4.3</v>
      </c>
    </row>
    <row r="25" spans="1:34" x14ac:dyDescent="0.35">
      <c r="A25" t="s">
        <v>46</v>
      </c>
      <c r="B25">
        <v>0.1</v>
      </c>
      <c r="C25">
        <v>0.1</v>
      </c>
      <c r="D25">
        <v>0.1</v>
      </c>
      <c r="E25">
        <v>0.1</v>
      </c>
      <c r="F25">
        <v>0.1</v>
      </c>
      <c r="G25">
        <v>0.1</v>
      </c>
      <c r="H25">
        <v>0.1</v>
      </c>
      <c r="I25">
        <v>0.2</v>
      </c>
      <c r="J25">
        <v>0.2</v>
      </c>
      <c r="K25">
        <v>0.2</v>
      </c>
      <c r="L25">
        <v>0.2</v>
      </c>
      <c r="M25">
        <v>0.2</v>
      </c>
      <c r="N25">
        <v>0.2</v>
      </c>
      <c r="O25">
        <v>0.2</v>
      </c>
      <c r="P25">
        <v>0.2</v>
      </c>
      <c r="Q25">
        <v>0.2</v>
      </c>
      <c r="R25">
        <v>0.2</v>
      </c>
      <c r="S25">
        <v>0.2</v>
      </c>
      <c r="T25">
        <v>0.2</v>
      </c>
      <c r="U25">
        <v>0.1</v>
      </c>
      <c r="V25">
        <v>0.2</v>
      </c>
      <c r="W25">
        <v>0.1</v>
      </c>
      <c r="X25">
        <v>0.1</v>
      </c>
      <c r="Y25">
        <v>0.1</v>
      </c>
      <c r="Z25">
        <v>0.1</v>
      </c>
      <c r="AA25">
        <v>0.1</v>
      </c>
      <c r="AB25">
        <v>0.1</v>
      </c>
      <c r="AC25">
        <v>0.1</v>
      </c>
      <c r="AD25">
        <v>0.1</v>
      </c>
      <c r="AE25">
        <v>0.1</v>
      </c>
      <c r="AF25">
        <v>0.1</v>
      </c>
      <c r="AG25">
        <v>0.1</v>
      </c>
      <c r="AH25">
        <v>0.1</v>
      </c>
    </row>
    <row r="26" spans="1:34" x14ac:dyDescent="0.35">
      <c r="A26" t="s">
        <v>47</v>
      </c>
      <c r="B26">
        <v>42.3</v>
      </c>
      <c r="C26">
        <v>42.4</v>
      </c>
      <c r="D26">
        <v>42.5</v>
      </c>
      <c r="E26">
        <v>42.7</v>
      </c>
      <c r="F26">
        <v>42.8</v>
      </c>
      <c r="G26">
        <v>42.9</v>
      </c>
      <c r="H26">
        <v>43</v>
      </c>
      <c r="I26">
        <v>43.1</v>
      </c>
      <c r="J26">
        <v>43.3</v>
      </c>
      <c r="K26">
        <v>43.5</v>
      </c>
      <c r="L26">
        <v>43.6</v>
      </c>
      <c r="M26">
        <v>43.8</v>
      </c>
      <c r="N26">
        <v>43.9</v>
      </c>
      <c r="O26">
        <v>43.9</v>
      </c>
      <c r="P26">
        <v>43.9</v>
      </c>
      <c r="Q26">
        <v>44</v>
      </c>
      <c r="R26">
        <v>44</v>
      </c>
      <c r="S26">
        <v>44</v>
      </c>
      <c r="T26">
        <v>44.1</v>
      </c>
      <c r="U26">
        <v>44.1</v>
      </c>
      <c r="V26">
        <v>44.1</v>
      </c>
      <c r="W26">
        <v>44.2</v>
      </c>
      <c r="X26">
        <v>44.2</v>
      </c>
      <c r="Y26">
        <v>44.2</v>
      </c>
      <c r="Z26">
        <v>44.2</v>
      </c>
      <c r="AA26">
        <v>44.2</v>
      </c>
      <c r="AB26">
        <v>44.2</v>
      </c>
      <c r="AC26">
        <v>44.2</v>
      </c>
      <c r="AD26">
        <v>44.2</v>
      </c>
      <c r="AE26">
        <v>44.2</v>
      </c>
      <c r="AF26">
        <v>44.2</v>
      </c>
      <c r="AG26">
        <v>44.2</v>
      </c>
      <c r="AH26">
        <v>44.2</v>
      </c>
    </row>
    <row r="27" spans="1:34" x14ac:dyDescent="0.35">
      <c r="A27" t="s">
        <v>48</v>
      </c>
      <c r="B27">
        <v>7.2</v>
      </c>
      <c r="C27">
        <v>6.8</v>
      </c>
      <c r="D27">
        <v>6.5</v>
      </c>
      <c r="E27">
        <v>5.9</v>
      </c>
      <c r="F27">
        <v>5.4</v>
      </c>
      <c r="G27">
        <v>5</v>
      </c>
      <c r="H27">
        <v>4.7</v>
      </c>
      <c r="I27">
        <v>4.4000000000000004</v>
      </c>
      <c r="J27">
        <v>3.9</v>
      </c>
      <c r="K27">
        <v>3.1</v>
      </c>
      <c r="L27">
        <v>2.9</v>
      </c>
      <c r="M27">
        <v>2.2999999999999998</v>
      </c>
      <c r="N27">
        <v>2</v>
      </c>
      <c r="O27">
        <v>1.9</v>
      </c>
      <c r="P27">
        <v>1.8</v>
      </c>
      <c r="Q27">
        <v>1.8</v>
      </c>
      <c r="R27">
        <v>1.6</v>
      </c>
      <c r="S27">
        <v>1.6</v>
      </c>
      <c r="T27">
        <v>1.2</v>
      </c>
      <c r="U27">
        <v>1.2</v>
      </c>
      <c r="V27">
        <v>1.1000000000000001</v>
      </c>
      <c r="W27">
        <v>0.6</v>
      </c>
      <c r="X27">
        <v>0.6</v>
      </c>
      <c r="Y27">
        <v>0.5</v>
      </c>
      <c r="Z27">
        <v>0.5</v>
      </c>
      <c r="AA27">
        <v>0.8</v>
      </c>
      <c r="AB27">
        <v>0.8</v>
      </c>
      <c r="AC27">
        <v>0.8</v>
      </c>
      <c r="AD27">
        <v>0.7</v>
      </c>
      <c r="AE27">
        <v>0.7</v>
      </c>
      <c r="AF27">
        <v>0.7</v>
      </c>
      <c r="AG27">
        <v>0.7</v>
      </c>
      <c r="AH27">
        <v>0.7</v>
      </c>
    </row>
    <row r="28" spans="1:34" x14ac:dyDescent="0.35">
      <c r="A28" t="s">
        <v>49</v>
      </c>
      <c r="B28">
        <v>0.5</v>
      </c>
      <c r="C28">
        <v>0.5</v>
      </c>
      <c r="D28">
        <v>0.5</v>
      </c>
      <c r="E28">
        <v>0.5</v>
      </c>
      <c r="F28">
        <v>0.5</v>
      </c>
      <c r="G28">
        <v>0.5</v>
      </c>
      <c r="H28">
        <v>0.5</v>
      </c>
      <c r="I28">
        <v>0.5</v>
      </c>
      <c r="J28">
        <v>0.5</v>
      </c>
      <c r="K28">
        <v>0.5</v>
      </c>
      <c r="L28">
        <v>0.5</v>
      </c>
      <c r="M28">
        <v>0.5</v>
      </c>
      <c r="N28">
        <v>0.5</v>
      </c>
      <c r="O28">
        <v>0.5</v>
      </c>
      <c r="P28">
        <v>0.5</v>
      </c>
      <c r="Q28">
        <v>0.5</v>
      </c>
      <c r="R28">
        <v>0.5</v>
      </c>
      <c r="S28">
        <v>0.5</v>
      </c>
      <c r="T28">
        <v>0.5</v>
      </c>
      <c r="U28">
        <v>0.5</v>
      </c>
      <c r="V28">
        <v>0.5</v>
      </c>
      <c r="W28" t="s">
        <v>174</v>
      </c>
      <c r="X28" t="s">
        <v>174</v>
      </c>
      <c r="Y28" t="s">
        <v>174</v>
      </c>
      <c r="Z28" t="s">
        <v>174</v>
      </c>
      <c r="AA28" t="s">
        <v>174</v>
      </c>
      <c r="AB28" t="s">
        <v>174</v>
      </c>
      <c r="AC28" t="s">
        <v>174</v>
      </c>
      <c r="AD28" t="s">
        <v>174</v>
      </c>
      <c r="AE28" t="s">
        <v>174</v>
      </c>
      <c r="AF28" t="s">
        <v>174</v>
      </c>
      <c r="AG28" t="s">
        <v>174</v>
      </c>
      <c r="AH28" t="s">
        <v>174</v>
      </c>
    </row>
    <row r="29" spans="1:34" x14ac:dyDescent="0.35">
      <c r="A29" t="s">
        <v>50</v>
      </c>
      <c r="B29">
        <v>0.3</v>
      </c>
      <c r="C29">
        <v>0.3</v>
      </c>
      <c r="D29">
        <v>0.3</v>
      </c>
      <c r="E29">
        <v>0.3</v>
      </c>
      <c r="F29">
        <v>0.3</v>
      </c>
      <c r="G29">
        <v>0.3</v>
      </c>
      <c r="H29">
        <v>0.3</v>
      </c>
      <c r="I29">
        <v>0.3</v>
      </c>
      <c r="J29">
        <v>0.3</v>
      </c>
      <c r="K29">
        <v>0.3</v>
      </c>
      <c r="L29">
        <v>0.3</v>
      </c>
      <c r="M29">
        <v>0.3</v>
      </c>
      <c r="N29">
        <v>0.3</v>
      </c>
      <c r="O29">
        <v>0.3</v>
      </c>
      <c r="P29">
        <v>0.3</v>
      </c>
      <c r="Q29">
        <v>0.3</v>
      </c>
      <c r="R29">
        <v>0.3</v>
      </c>
      <c r="S29">
        <v>0.3</v>
      </c>
      <c r="T29">
        <v>0.3</v>
      </c>
      <c r="U29">
        <v>0.3</v>
      </c>
      <c r="V29">
        <v>0.3</v>
      </c>
      <c r="W29">
        <v>0.3</v>
      </c>
      <c r="X29">
        <v>0.3</v>
      </c>
      <c r="Y29">
        <v>0.3</v>
      </c>
      <c r="Z29">
        <v>0.2</v>
      </c>
      <c r="AA29">
        <v>0.2</v>
      </c>
      <c r="AB29">
        <v>0.2</v>
      </c>
      <c r="AC29">
        <v>0.2</v>
      </c>
      <c r="AD29">
        <v>0.2</v>
      </c>
      <c r="AE29">
        <v>0.2</v>
      </c>
      <c r="AF29">
        <v>0.2</v>
      </c>
      <c r="AG29">
        <v>0.2</v>
      </c>
      <c r="AH29">
        <v>0.2</v>
      </c>
    </row>
    <row r="30" spans="1:34" x14ac:dyDescent="0.35">
      <c r="A30" t="s">
        <v>51</v>
      </c>
      <c r="B30">
        <v>3.6</v>
      </c>
      <c r="C30">
        <v>3.4</v>
      </c>
      <c r="D30">
        <v>3.2</v>
      </c>
      <c r="E30">
        <v>2.8</v>
      </c>
      <c r="F30">
        <v>2.6</v>
      </c>
      <c r="G30">
        <v>2.2999999999999998</v>
      </c>
      <c r="H30">
        <v>2.2000000000000002</v>
      </c>
      <c r="I30">
        <v>2</v>
      </c>
      <c r="J30">
        <v>1.8</v>
      </c>
      <c r="K30">
        <v>1.3</v>
      </c>
      <c r="L30">
        <v>1.2</v>
      </c>
      <c r="M30">
        <v>0.8</v>
      </c>
      <c r="N30">
        <v>0.7</v>
      </c>
      <c r="O30">
        <v>0.7</v>
      </c>
      <c r="P30">
        <v>0.6</v>
      </c>
      <c r="Q30">
        <v>0.6</v>
      </c>
      <c r="R30">
        <v>0.5</v>
      </c>
      <c r="S30">
        <v>0.5</v>
      </c>
      <c r="T30">
        <v>0.3</v>
      </c>
      <c r="U30">
        <v>0.2</v>
      </c>
      <c r="V30">
        <v>0.2</v>
      </c>
      <c r="W30">
        <v>0.2</v>
      </c>
      <c r="X30">
        <v>0.2</v>
      </c>
      <c r="Y30">
        <v>0.2</v>
      </c>
      <c r="Z30">
        <v>0.2</v>
      </c>
      <c r="AA30">
        <v>0.4</v>
      </c>
      <c r="AB30">
        <v>0.3</v>
      </c>
      <c r="AC30">
        <v>0.3</v>
      </c>
      <c r="AD30">
        <v>0.3</v>
      </c>
      <c r="AE30">
        <v>0.3</v>
      </c>
      <c r="AF30">
        <v>0.3</v>
      </c>
      <c r="AG30">
        <v>0.3</v>
      </c>
      <c r="AH30">
        <v>0.3</v>
      </c>
    </row>
    <row r="31" spans="1:34" x14ac:dyDescent="0.35">
      <c r="A31" t="s">
        <v>52</v>
      </c>
      <c r="B31">
        <v>2.9</v>
      </c>
      <c r="C31">
        <v>2.7</v>
      </c>
      <c r="D31">
        <v>2.5</v>
      </c>
      <c r="E31">
        <v>2.2999999999999998</v>
      </c>
      <c r="F31">
        <v>2.1</v>
      </c>
      <c r="G31">
        <v>1.9</v>
      </c>
      <c r="H31">
        <v>1.8</v>
      </c>
      <c r="I31">
        <v>1.6</v>
      </c>
      <c r="J31">
        <v>1.4</v>
      </c>
      <c r="K31">
        <v>1</v>
      </c>
      <c r="L31">
        <v>0.9</v>
      </c>
      <c r="M31">
        <v>0.7</v>
      </c>
      <c r="N31">
        <v>0.5</v>
      </c>
      <c r="O31">
        <v>0.5</v>
      </c>
      <c r="P31">
        <v>0.4</v>
      </c>
      <c r="Q31">
        <v>0.4</v>
      </c>
      <c r="R31">
        <v>0.4</v>
      </c>
      <c r="S31">
        <v>0.4</v>
      </c>
      <c r="T31">
        <v>0.2</v>
      </c>
      <c r="U31">
        <v>0.2</v>
      </c>
      <c r="V31">
        <v>0.2</v>
      </c>
      <c r="W31">
        <v>0.2</v>
      </c>
      <c r="X31">
        <v>0.2</v>
      </c>
      <c r="Y31">
        <v>0.1</v>
      </c>
      <c r="Z31">
        <v>0.1</v>
      </c>
      <c r="AA31">
        <v>0.3</v>
      </c>
      <c r="AB31">
        <v>0.3</v>
      </c>
      <c r="AC31">
        <v>0.2</v>
      </c>
      <c r="AD31">
        <v>0.2</v>
      </c>
      <c r="AE31">
        <v>0.2</v>
      </c>
      <c r="AF31">
        <v>0.2</v>
      </c>
      <c r="AG31">
        <v>0.2</v>
      </c>
      <c r="AH31">
        <v>0.2</v>
      </c>
    </row>
    <row r="32" spans="1:34" x14ac:dyDescent="0.35">
      <c r="A32" t="s">
        <v>53</v>
      </c>
      <c r="B32">
        <v>-109.1</v>
      </c>
      <c r="C32">
        <v>-109.7</v>
      </c>
      <c r="D32">
        <v>-107.6</v>
      </c>
      <c r="E32">
        <v>-106.5</v>
      </c>
      <c r="F32">
        <v>-104.8</v>
      </c>
      <c r="G32">
        <v>-104.3</v>
      </c>
      <c r="H32">
        <v>-105.3</v>
      </c>
      <c r="I32">
        <v>-105.7</v>
      </c>
      <c r="J32">
        <v>-107.8</v>
      </c>
      <c r="K32">
        <v>-110.3</v>
      </c>
      <c r="L32">
        <v>-111.1</v>
      </c>
      <c r="M32">
        <v>-112.8</v>
      </c>
      <c r="N32">
        <v>-112.1</v>
      </c>
      <c r="O32">
        <v>-113</v>
      </c>
      <c r="P32">
        <v>-113.9</v>
      </c>
      <c r="Q32">
        <v>-115.2</v>
      </c>
      <c r="R32">
        <v>-115.8</v>
      </c>
      <c r="S32">
        <v>-117</v>
      </c>
      <c r="T32">
        <v>-120.2</v>
      </c>
      <c r="U32">
        <v>-122.2</v>
      </c>
      <c r="V32">
        <v>-123.5</v>
      </c>
      <c r="W32">
        <v>-123.8</v>
      </c>
      <c r="X32">
        <v>-123.9</v>
      </c>
      <c r="Y32">
        <v>-125.2</v>
      </c>
      <c r="Z32">
        <v>-126.2</v>
      </c>
      <c r="AA32">
        <v>-126</v>
      </c>
      <c r="AB32">
        <v>-125.6</v>
      </c>
      <c r="AC32">
        <v>-130.69999999999999</v>
      </c>
      <c r="AD32">
        <v>-131</v>
      </c>
      <c r="AE32">
        <v>-131.5</v>
      </c>
      <c r="AF32">
        <v>-131.80000000000001</v>
      </c>
      <c r="AG32">
        <v>-132.30000000000001</v>
      </c>
      <c r="AH32">
        <v>-132.30000000000001</v>
      </c>
    </row>
    <row r="33" spans="1:34" x14ac:dyDescent="0.35">
      <c r="A33" t="s">
        <v>54</v>
      </c>
      <c r="B33">
        <v>9.9</v>
      </c>
      <c r="C33">
        <v>9.9</v>
      </c>
      <c r="D33">
        <v>9.9</v>
      </c>
      <c r="E33">
        <v>9.9</v>
      </c>
      <c r="F33">
        <v>9.8000000000000007</v>
      </c>
      <c r="G33">
        <v>9.9</v>
      </c>
      <c r="H33">
        <v>9.9</v>
      </c>
      <c r="I33">
        <v>9.8000000000000007</v>
      </c>
      <c r="J33">
        <v>9.8000000000000007</v>
      </c>
      <c r="K33">
        <v>9.8000000000000007</v>
      </c>
      <c r="L33">
        <v>9.8000000000000007</v>
      </c>
      <c r="M33">
        <v>9.4</v>
      </c>
      <c r="N33">
        <v>9.4</v>
      </c>
      <c r="O33">
        <v>9.6</v>
      </c>
      <c r="P33">
        <v>9.8000000000000007</v>
      </c>
      <c r="Q33">
        <v>10.1</v>
      </c>
      <c r="R33">
        <v>10.3</v>
      </c>
      <c r="S33">
        <v>10.6</v>
      </c>
      <c r="T33">
        <v>10.8</v>
      </c>
      <c r="U33">
        <v>11</v>
      </c>
      <c r="V33">
        <v>11.4</v>
      </c>
      <c r="W33">
        <v>11.6</v>
      </c>
      <c r="X33">
        <v>11.9</v>
      </c>
      <c r="Y33">
        <v>12.3</v>
      </c>
      <c r="Z33">
        <v>12.8</v>
      </c>
      <c r="AA33">
        <v>13.1</v>
      </c>
      <c r="AB33">
        <v>13.5</v>
      </c>
      <c r="AC33">
        <v>13.9</v>
      </c>
      <c r="AD33">
        <v>14.4</v>
      </c>
      <c r="AE33">
        <v>14.6</v>
      </c>
      <c r="AF33">
        <v>15.1</v>
      </c>
      <c r="AG33">
        <v>15.4</v>
      </c>
      <c r="AH33">
        <v>15.4</v>
      </c>
    </row>
    <row r="34" spans="1:34" x14ac:dyDescent="0.35">
      <c r="A34" t="s">
        <v>55</v>
      </c>
      <c r="B34">
        <v>-96.6</v>
      </c>
      <c r="C34">
        <v>-97.7</v>
      </c>
      <c r="D34">
        <v>-98.7</v>
      </c>
      <c r="E34">
        <v>-100.2</v>
      </c>
      <c r="F34">
        <v>-101.6</v>
      </c>
      <c r="G34">
        <v>-103.2</v>
      </c>
      <c r="H34">
        <v>-104.8</v>
      </c>
      <c r="I34">
        <v>-106.3</v>
      </c>
      <c r="J34">
        <v>-107.5</v>
      </c>
      <c r="K34">
        <v>-108.9</v>
      </c>
      <c r="L34">
        <v>-110.1</v>
      </c>
      <c r="M34">
        <v>-111.2</v>
      </c>
      <c r="N34">
        <v>-112.1</v>
      </c>
      <c r="O34">
        <v>-113.8</v>
      </c>
      <c r="P34">
        <v>-115.5</v>
      </c>
      <c r="Q34">
        <v>-117</v>
      </c>
      <c r="R34">
        <v>-118.5</v>
      </c>
      <c r="S34">
        <v>-120</v>
      </c>
      <c r="T34">
        <v>-121.6</v>
      </c>
      <c r="U34">
        <v>-123</v>
      </c>
      <c r="V34">
        <v>-124.4</v>
      </c>
      <c r="W34">
        <v>-125.6</v>
      </c>
      <c r="X34">
        <v>-126.4</v>
      </c>
      <c r="Y34">
        <v>-127.8</v>
      </c>
      <c r="Z34">
        <v>-129.1</v>
      </c>
      <c r="AA34">
        <v>-130.19999999999999</v>
      </c>
      <c r="AB34">
        <v>-131.4</v>
      </c>
      <c r="AC34">
        <v>-133.19999999999999</v>
      </c>
      <c r="AD34">
        <v>-134.4</v>
      </c>
      <c r="AE34">
        <v>-135.6</v>
      </c>
      <c r="AF34">
        <v>-136.69999999999999</v>
      </c>
      <c r="AG34">
        <v>-137.80000000000001</v>
      </c>
      <c r="AH34">
        <v>-138.5</v>
      </c>
    </row>
    <row r="35" spans="1:34" x14ac:dyDescent="0.35">
      <c r="A35" t="s">
        <v>56</v>
      </c>
      <c r="B35">
        <v>2.1</v>
      </c>
      <c r="C35">
        <v>2.1</v>
      </c>
      <c r="D35">
        <v>2.2999999999999998</v>
      </c>
      <c r="E35">
        <v>2.5</v>
      </c>
      <c r="F35">
        <v>2.5</v>
      </c>
      <c r="G35">
        <v>2.5</v>
      </c>
      <c r="H35">
        <v>2.6</v>
      </c>
      <c r="I35">
        <v>2.5</v>
      </c>
      <c r="J35">
        <v>2.1</v>
      </c>
      <c r="K35">
        <v>2.2000000000000002</v>
      </c>
      <c r="L35">
        <v>2.6</v>
      </c>
      <c r="M35">
        <v>2.6</v>
      </c>
      <c r="N35">
        <v>2.2999999999999998</v>
      </c>
      <c r="O35">
        <v>2.4</v>
      </c>
      <c r="P35">
        <v>3.1</v>
      </c>
      <c r="Q35">
        <v>3.1</v>
      </c>
      <c r="R35">
        <v>3.2</v>
      </c>
      <c r="S35">
        <v>3.2</v>
      </c>
      <c r="T35">
        <v>3.2</v>
      </c>
      <c r="U35">
        <v>3</v>
      </c>
      <c r="V35">
        <v>2.2999999999999998</v>
      </c>
      <c r="W35">
        <v>2.5</v>
      </c>
      <c r="X35">
        <v>2.2999999999999998</v>
      </c>
      <c r="Y35">
        <v>2.4</v>
      </c>
      <c r="Z35">
        <v>2.4</v>
      </c>
      <c r="AA35">
        <v>2.2999999999999998</v>
      </c>
      <c r="AB35">
        <v>2.2999999999999998</v>
      </c>
      <c r="AC35">
        <v>2.4</v>
      </c>
      <c r="AD35">
        <v>2.4</v>
      </c>
      <c r="AE35">
        <v>2.5</v>
      </c>
      <c r="AF35">
        <v>2.5</v>
      </c>
      <c r="AG35">
        <v>2.5</v>
      </c>
      <c r="AH35">
        <v>2.5</v>
      </c>
    </row>
    <row r="36" spans="1:34" x14ac:dyDescent="0.35">
      <c r="A36" t="s">
        <v>57</v>
      </c>
      <c r="B36">
        <v>-24.5</v>
      </c>
      <c r="C36">
        <v>-24</v>
      </c>
      <c r="D36">
        <v>-21</v>
      </c>
      <c r="E36">
        <v>-18.600000000000001</v>
      </c>
      <c r="F36">
        <v>-15.5</v>
      </c>
      <c r="G36">
        <v>-13.5</v>
      </c>
      <c r="H36">
        <v>-13</v>
      </c>
      <c r="I36">
        <v>-11.8</v>
      </c>
      <c r="J36">
        <v>-12.2</v>
      </c>
      <c r="K36">
        <v>-13.4</v>
      </c>
      <c r="L36">
        <v>-13.4</v>
      </c>
      <c r="M36">
        <v>-13.6</v>
      </c>
      <c r="N36">
        <v>-11.8</v>
      </c>
      <c r="O36">
        <v>-11.3</v>
      </c>
      <c r="P36">
        <v>-11.4</v>
      </c>
      <c r="Q36">
        <v>-11.4</v>
      </c>
      <c r="R36">
        <v>-10.7</v>
      </c>
      <c r="S36">
        <v>-10.7</v>
      </c>
      <c r="T36">
        <v>-12.6</v>
      </c>
      <c r="U36">
        <v>-13.3</v>
      </c>
      <c r="V36">
        <v>-12.7</v>
      </c>
      <c r="W36">
        <v>-12.3</v>
      </c>
      <c r="X36">
        <v>-11.7</v>
      </c>
      <c r="Y36">
        <v>-12.1</v>
      </c>
      <c r="Z36">
        <v>-12.3</v>
      </c>
      <c r="AA36">
        <v>-11.1</v>
      </c>
      <c r="AB36">
        <v>-10</v>
      </c>
      <c r="AC36">
        <v>-13.8</v>
      </c>
      <c r="AD36">
        <v>-13.4</v>
      </c>
      <c r="AE36">
        <v>-13.1</v>
      </c>
      <c r="AF36">
        <v>-12.8</v>
      </c>
      <c r="AG36">
        <v>-12.5</v>
      </c>
      <c r="AH36">
        <v>-11.8</v>
      </c>
    </row>
    <row r="37" spans="1:34" x14ac:dyDescent="0.35">
      <c r="A37" t="s">
        <v>58</v>
      </c>
      <c r="B37">
        <v>57.2</v>
      </c>
      <c r="C37">
        <v>58.6</v>
      </c>
      <c r="D37">
        <v>59.9</v>
      </c>
      <c r="E37">
        <v>61.6</v>
      </c>
      <c r="F37">
        <v>63.2</v>
      </c>
      <c r="G37">
        <v>64.900000000000006</v>
      </c>
      <c r="H37">
        <v>66.7</v>
      </c>
      <c r="I37">
        <v>68.599999999999994</v>
      </c>
      <c r="J37">
        <v>70.3</v>
      </c>
      <c r="K37">
        <v>71.900000000000006</v>
      </c>
      <c r="L37">
        <v>73.7</v>
      </c>
      <c r="M37">
        <v>75.099999999999994</v>
      </c>
      <c r="N37">
        <v>76.099999999999994</v>
      </c>
      <c r="O37">
        <v>76.599999999999994</v>
      </c>
      <c r="P37">
        <v>76.900000000000006</v>
      </c>
      <c r="Q37">
        <v>77.099999999999994</v>
      </c>
      <c r="R37">
        <v>77.099999999999994</v>
      </c>
      <c r="S37">
        <v>77.3</v>
      </c>
      <c r="T37">
        <v>77.2</v>
      </c>
      <c r="U37">
        <v>77</v>
      </c>
      <c r="V37">
        <v>76.7</v>
      </c>
      <c r="W37">
        <v>76.3</v>
      </c>
      <c r="X37">
        <v>75.900000000000006</v>
      </c>
      <c r="Y37">
        <v>75.3</v>
      </c>
      <c r="Z37">
        <v>74.8</v>
      </c>
      <c r="AA37">
        <v>74</v>
      </c>
      <c r="AB37">
        <v>73</v>
      </c>
      <c r="AC37">
        <v>72.599999999999994</v>
      </c>
      <c r="AD37">
        <v>71.400000000000006</v>
      </c>
      <c r="AE37">
        <v>70.2</v>
      </c>
      <c r="AF37">
        <v>68.8</v>
      </c>
      <c r="AG37">
        <v>68.2</v>
      </c>
      <c r="AH37">
        <v>68.2</v>
      </c>
    </row>
    <row r="38" spans="1:34" x14ac:dyDescent="0.35">
      <c r="A38" t="s">
        <v>37</v>
      </c>
      <c r="B38">
        <v>57.2</v>
      </c>
      <c r="C38">
        <v>58.6</v>
      </c>
      <c r="D38">
        <v>59.9</v>
      </c>
      <c r="E38">
        <v>61.6</v>
      </c>
      <c r="F38">
        <v>63.2</v>
      </c>
      <c r="G38">
        <v>64.900000000000006</v>
      </c>
      <c r="H38">
        <v>66.7</v>
      </c>
      <c r="I38">
        <v>68.599999999999994</v>
      </c>
      <c r="J38">
        <v>70.3</v>
      </c>
      <c r="K38">
        <v>71.900000000000006</v>
      </c>
      <c r="L38">
        <v>73.7</v>
      </c>
      <c r="M38">
        <v>75.099999999999994</v>
      </c>
      <c r="N38">
        <v>76.099999999999994</v>
      </c>
      <c r="O38">
        <v>76.599999999999994</v>
      </c>
      <c r="P38">
        <v>76.900000000000006</v>
      </c>
      <c r="Q38">
        <v>77.099999999999994</v>
      </c>
      <c r="R38">
        <v>77.099999999999994</v>
      </c>
      <c r="S38">
        <v>77.3</v>
      </c>
      <c r="T38">
        <v>77.2</v>
      </c>
      <c r="U38">
        <v>77</v>
      </c>
      <c r="V38">
        <v>76.7</v>
      </c>
      <c r="W38">
        <v>76.3</v>
      </c>
      <c r="X38">
        <v>75.900000000000006</v>
      </c>
      <c r="Y38">
        <v>75.3</v>
      </c>
      <c r="Z38">
        <v>74.8</v>
      </c>
      <c r="AA38">
        <v>74</v>
      </c>
      <c r="AB38">
        <v>73</v>
      </c>
      <c r="AC38">
        <v>72.599999999999994</v>
      </c>
      <c r="AD38">
        <v>71.400000000000006</v>
      </c>
      <c r="AE38">
        <v>70.2</v>
      </c>
      <c r="AF38">
        <v>68.8</v>
      </c>
      <c r="AG38">
        <v>68.2</v>
      </c>
      <c r="AH38">
        <v>68.2</v>
      </c>
    </row>
    <row r="39" spans="1:34" x14ac:dyDescent="0.35">
      <c r="A39" t="s">
        <v>59</v>
      </c>
      <c r="B39">
        <v>58</v>
      </c>
      <c r="C39">
        <v>56.6</v>
      </c>
      <c r="D39">
        <v>53.7</v>
      </c>
      <c r="E39">
        <v>54.4</v>
      </c>
      <c r="F39">
        <v>57.4</v>
      </c>
      <c r="G39">
        <v>53.5</v>
      </c>
      <c r="H39">
        <v>56.6</v>
      </c>
      <c r="I39">
        <v>53.1</v>
      </c>
      <c r="J39">
        <v>54.1</v>
      </c>
      <c r="K39">
        <v>57.9</v>
      </c>
      <c r="L39">
        <v>63.1</v>
      </c>
      <c r="M39">
        <v>56.4</v>
      </c>
      <c r="N39">
        <v>66.900000000000006</v>
      </c>
      <c r="O39">
        <v>61.9</v>
      </c>
      <c r="P39">
        <v>76.7</v>
      </c>
      <c r="Q39">
        <v>68.900000000000006</v>
      </c>
      <c r="R39">
        <v>61.9</v>
      </c>
      <c r="S39">
        <v>65.900000000000006</v>
      </c>
      <c r="T39">
        <v>60.3</v>
      </c>
      <c r="U39">
        <v>64.099999999999994</v>
      </c>
      <c r="V39">
        <v>55.2</v>
      </c>
      <c r="W39">
        <v>60.1</v>
      </c>
      <c r="X39">
        <v>62.1</v>
      </c>
      <c r="Y39">
        <v>62.7</v>
      </c>
      <c r="Z39">
        <v>56.7</v>
      </c>
      <c r="AA39">
        <v>76</v>
      </c>
      <c r="AB39">
        <v>57</v>
      </c>
      <c r="AC39">
        <v>65.900000000000006</v>
      </c>
      <c r="AD39">
        <v>62.8</v>
      </c>
      <c r="AE39">
        <v>58</v>
      </c>
      <c r="AF39">
        <v>68.400000000000006</v>
      </c>
      <c r="AG39">
        <v>72.900000000000006</v>
      </c>
      <c r="AH39">
        <v>67.599999999999994</v>
      </c>
    </row>
    <row r="40" spans="1:34" x14ac:dyDescent="0.35">
      <c r="A40" t="s">
        <v>20</v>
      </c>
      <c r="B40">
        <v>53.1</v>
      </c>
      <c r="C40">
        <v>52.2</v>
      </c>
      <c r="D40">
        <v>50.5</v>
      </c>
      <c r="E40">
        <v>50.7</v>
      </c>
      <c r="F40">
        <v>52.6</v>
      </c>
      <c r="G40">
        <v>50.1</v>
      </c>
      <c r="H40">
        <v>51.9</v>
      </c>
      <c r="I40">
        <v>49.7</v>
      </c>
      <c r="J40">
        <v>50.5</v>
      </c>
      <c r="K40">
        <v>52.5</v>
      </c>
      <c r="L40">
        <v>55.7</v>
      </c>
      <c r="M40">
        <v>51.5</v>
      </c>
      <c r="N40">
        <v>58.1</v>
      </c>
      <c r="O40">
        <v>55.1</v>
      </c>
      <c r="P40">
        <v>63.1</v>
      </c>
      <c r="Q40">
        <v>58.5</v>
      </c>
      <c r="R40">
        <v>54.5</v>
      </c>
      <c r="S40">
        <v>57</v>
      </c>
      <c r="T40">
        <v>53.5</v>
      </c>
      <c r="U40">
        <v>55.7</v>
      </c>
      <c r="V40">
        <v>50.8</v>
      </c>
      <c r="W40">
        <v>53.6</v>
      </c>
      <c r="X40">
        <v>55.2</v>
      </c>
      <c r="Y40">
        <v>55.6</v>
      </c>
      <c r="Z40">
        <v>51.7</v>
      </c>
      <c r="AA40">
        <v>63.7</v>
      </c>
      <c r="AB40">
        <v>51.9</v>
      </c>
      <c r="AC40">
        <v>57.6</v>
      </c>
      <c r="AD40">
        <v>55.5</v>
      </c>
      <c r="AE40">
        <v>52.5</v>
      </c>
      <c r="AF40">
        <v>59.3</v>
      </c>
      <c r="AG40">
        <v>62.1</v>
      </c>
      <c r="AH40">
        <v>58.4</v>
      </c>
    </row>
    <row r="41" spans="1:34" x14ac:dyDescent="0.35">
      <c r="A41" t="s">
        <v>21</v>
      </c>
      <c r="B41">
        <v>4.8</v>
      </c>
      <c r="C41">
        <v>4.4000000000000004</v>
      </c>
      <c r="D41">
        <v>3.3</v>
      </c>
      <c r="E41">
        <v>3.7</v>
      </c>
      <c r="F41">
        <v>4.8</v>
      </c>
      <c r="G41">
        <v>3.4</v>
      </c>
      <c r="H41">
        <v>4.8</v>
      </c>
      <c r="I41">
        <v>3.4</v>
      </c>
      <c r="J41">
        <v>3.6</v>
      </c>
      <c r="K41">
        <v>5.3</v>
      </c>
      <c r="L41">
        <v>7.3</v>
      </c>
      <c r="M41">
        <v>4.9000000000000004</v>
      </c>
      <c r="N41">
        <v>8.9</v>
      </c>
      <c r="O41">
        <v>6.8</v>
      </c>
      <c r="P41">
        <v>13.6</v>
      </c>
      <c r="Q41">
        <v>10.3</v>
      </c>
      <c r="R41">
        <v>7.4</v>
      </c>
      <c r="S41">
        <v>8.9</v>
      </c>
      <c r="T41">
        <v>6.7</v>
      </c>
      <c r="U41">
        <v>8.4</v>
      </c>
      <c r="V41">
        <v>4.4000000000000004</v>
      </c>
      <c r="W41">
        <v>6.5</v>
      </c>
      <c r="X41">
        <v>6.9</v>
      </c>
      <c r="Y41">
        <v>7.2</v>
      </c>
      <c r="Z41">
        <v>5</v>
      </c>
      <c r="AA41">
        <v>12.3</v>
      </c>
      <c r="AB41">
        <v>5</v>
      </c>
      <c r="AC41">
        <v>8.1999999999999993</v>
      </c>
      <c r="AD41">
        <v>7.3</v>
      </c>
      <c r="AE41">
        <v>5.5</v>
      </c>
      <c r="AF41">
        <v>9.1</v>
      </c>
      <c r="AG41">
        <v>10.7</v>
      </c>
      <c r="AH41">
        <v>9.1</v>
      </c>
    </row>
    <row r="42" spans="1:34" x14ac:dyDescent="0.35">
      <c r="A42" t="s">
        <v>60</v>
      </c>
      <c r="B42">
        <v>-1034.7</v>
      </c>
      <c r="C42">
        <v>-1045.5999999999999</v>
      </c>
      <c r="D42">
        <v>-1061.0999999999999</v>
      </c>
      <c r="E42">
        <v>-1045.7</v>
      </c>
      <c r="F42">
        <v>-1062.7</v>
      </c>
      <c r="G42">
        <v>-1033.8</v>
      </c>
      <c r="H42">
        <v>-1067.8</v>
      </c>
      <c r="I42">
        <v>-1038.3</v>
      </c>
      <c r="J42">
        <v>-1050.5</v>
      </c>
      <c r="K42">
        <v>-1026.3</v>
      </c>
      <c r="L42">
        <v>-1046.8</v>
      </c>
      <c r="M42">
        <v>-1036.0999999999999</v>
      </c>
      <c r="N42">
        <v>-991.8</v>
      </c>
      <c r="O42">
        <v>-1019.8</v>
      </c>
      <c r="P42">
        <v>-936.9</v>
      </c>
      <c r="Q42">
        <v>-976.6</v>
      </c>
      <c r="R42">
        <v>-1013.9</v>
      </c>
      <c r="S42">
        <v>-966.3</v>
      </c>
      <c r="T42">
        <v>-973.1</v>
      </c>
      <c r="U42">
        <v>-915</v>
      </c>
      <c r="V42">
        <v>-941.6</v>
      </c>
      <c r="W42">
        <v>-1001.9</v>
      </c>
      <c r="X42">
        <v>-991.3</v>
      </c>
      <c r="Y42">
        <v>-949.4</v>
      </c>
      <c r="Z42">
        <v>-980.4</v>
      </c>
      <c r="AA42">
        <v>-896.2</v>
      </c>
      <c r="AB42">
        <v>-973.8</v>
      </c>
      <c r="AC42">
        <v>-991.9</v>
      </c>
      <c r="AD42">
        <v>-978.3</v>
      </c>
      <c r="AE42">
        <v>-921.6</v>
      </c>
      <c r="AF42">
        <v>-972.8</v>
      </c>
      <c r="AG42">
        <v>-983.4</v>
      </c>
      <c r="AH42">
        <v>-921.8</v>
      </c>
    </row>
    <row r="43" spans="1:34" x14ac:dyDescent="0.35">
      <c r="A43" t="s">
        <v>61</v>
      </c>
      <c r="B43">
        <v>-976.7</v>
      </c>
      <c r="C43">
        <v>-989</v>
      </c>
      <c r="D43">
        <v>-1007.4</v>
      </c>
      <c r="E43">
        <v>-991.3</v>
      </c>
      <c r="F43">
        <v>-1005.2</v>
      </c>
      <c r="G43">
        <v>-980.2</v>
      </c>
      <c r="H43">
        <v>-1011.2</v>
      </c>
      <c r="I43">
        <v>-985.2</v>
      </c>
      <c r="J43">
        <v>-996.3</v>
      </c>
      <c r="K43">
        <v>-968.5</v>
      </c>
      <c r="L43">
        <v>-983.7</v>
      </c>
      <c r="M43">
        <v>-979.8</v>
      </c>
      <c r="N43">
        <v>-924.8</v>
      </c>
      <c r="O43">
        <v>-957.9</v>
      </c>
      <c r="P43">
        <v>-860.2</v>
      </c>
      <c r="Q43">
        <v>-907.7</v>
      </c>
      <c r="R43">
        <v>-951.9</v>
      </c>
      <c r="S43">
        <v>-900.3</v>
      </c>
      <c r="T43">
        <v>-912.8</v>
      </c>
      <c r="U43">
        <v>-850.9</v>
      </c>
      <c r="V43">
        <v>-886.3</v>
      </c>
      <c r="W43">
        <v>-941.7</v>
      </c>
      <c r="X43">
        <v>-929.2</v>
      </c>
      <c r="Y43">
        <v>-886.6</v>
      </c>
      <c r="Z43">
        <v>-923.7</v>
      </c>
      <c r="AA43">
        <v>-820.2</v>
      </c>
      <c r="AB43">
        <v>-916.8</v>
      </c>
      <c r="AC43">
        <v>-926</v>
      </c>
      <c r="AD43">
        <v>-915.5</v>
      </c>
      <c r="AE43">
        <v>-863.6</v>
      </c>
      <c r="AF43">
        <v>-904.4</v>
      </c>
      <c r="AG43">
        <v>-910.6</v>
      </c>
      <c r="AH43">
        <v>-854.2</v>
      </c>
    </row>
    <row r="44" spans="1:34" x14ac:dyDescent="0.35">
      <c r="A44" t="s">
        <v>62</v>
      </c>
    </row>
    <row r="45" spans="1:34" x14ac:dyDescent="0.35">
      <c r="A45" t="s">
        <v>63</v>
      </c>
    </row>
    <row r="46" spans="1:34" x14ac:dyDescent="0.35">
      <c r="A46" t="s">
        <v>64</v>
      </c>
    </row>
    <row r="47" spans="1:34" x14ac:dyDescent="0.35">
      <c r="A47" t="s">
        <v>65</v>
      </c>
    </row>
    <row r="48" spans="1:34" x14ac:dyDescent="0.35">
      <c r="A48" t="s">
        <v>66</v>
      </c>
    </row>
    <row r="49" spans="1:1" x14ac:dyDescent="0.35">
      <c r="A49" t="s">
        <v>67</v>
      </c>
    </row>
    <row r="50" spans="1:1" x14ac:dyDescent="0.35">
      <c r="A50" t="s">
        <v>95</v>
      </c>
    </row>
    <row r="51" spans="1:1" x14ac:dyDescent="0.35">
      <c r="A51" t="s">
        <v>68</v>
      </c>
    </row>
    <row r="52" spans="1:1" x14ac:dyDescent="0.35">
      <c r="A52" t="s">
        <v>69</v>
      </c>
    </row>
    <row r="53" spans="1:1" x14ac:dyDescent="0.35">
      <c r="A53" t="s">
        <v>96</v>
      </c>
    </row>
    <row r="54" spans="1:1" x14ac:dyDescent="0.35">
      <c r="A54" t="s">
        <v>97</v>
      </c>
    </row>
    <row r="55" spans="1:1" x14ac:dyDescent="0.35">
      <c r="A55" t="s">
        <v>98</v>
      </c>
    </row>
    <row r="56" spans="1:1" x14ac:dyDescent="0.35">
      <c r="A56" t="s">
        <v>70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D2ED-A995-4355-B1B7-DFF537DF2BE3}">
  <sheetPr filterMode="1"/>
  <dimension ref="A1:AE602"/>
  <sheetViews>
    <sheetView topLeftCell="A12" workbookViewId="0">
      <selection activeCell="N44" sqref="N44:AE44"/>
    </sheetView>
  </sheetViews>
  <sheetFormatPr defaultColWidth="11.453125" defaultRowHeight="14.5" x14ac:dyDescent="0.35"/>
  <cols>
    <col min="1" max="4" width="11.453125" style="20"/>
    <col min="5" max="5" width="18.26953125" style="20" customWidth="1"/>
    <col min="6" max="16384" width="11.453125" style="20"/>
  </cols>
  <sheetData>
    <row r="1" spans="1:11" ht="120" customHeight="1" x14ac:dyDescent="0.35">
      <c r="A1" s="39" t="s">
        <v>103</v>
      </c>
      <c r="B1" s="39"/>
      <c r="C1" s="39"/>
      <c r="D1" s="39"/>
      <c r="E1" s="39"/>
      <c r="F1" s="39"/>
      <c r="G1" s="39"/>
      <c r="H1" s="39"/>
      <c r="I1" s="39"/>
    </row>
    <row r="2" spans="1:11" x14ac:dyDescent="0.35">
      <c r="A2" s="20" t="s">
        <v>104</v>
      </c>
      <c r="B2" s="20" t="s">
        <v>105</v>
      </c>
      <c r="C2" s="20" t="s">
        <v>106</v>
      </c>
      <c r="D2" s="20" t="s">
        <v>107</v>
      </c>
      <c r="E2" s="20" t="s">
        <v>108</v>
      </c>
      <c r="F2" s="20" t="s">
        <v>109</v>
      </c>
      <c r="G2" s="20" t="s">
        <v>110</v>
      </c>
      <c r="H2" s="20" t="s">
        <v>111</v>
      </c>
      <c r="I2" s="20" t="s">
        <v>112</v>
      </c>
      <c r="K2" s="20" t="s">
        <v>113</v>
      </c>
    </row>
    <row r="3" spans="1:11" x14ac:dyDescent="0.35">
      <c r="A3" s="20" t="s">
        <v>114</v>
      </c>
      <c r="B3" s="20" t="s">
        <v>115</v>
      </c>
      <c r="C3" s="20">
        <v>2025</v>
      </c>
      <c r="D3" s="20" t="s">
        <v>116</v>
      </c>
      <c r="E3" s="20" t="s">
        <v>117</v>
      </c>
      <c r="F3" s="20" t="s">
        <v>118</v>
      </c>
      <c r="G3" s="20" t="s">
        <v>119</v>
      </c>
      <c r="H3" s="20">
        <v>126.9</v>
      </c>
      <c r="I3" s="20" t="s">
        <v>120</v>
      </c>
      <c r="K3" s="20" t="str">
        <f>INDEX('EPA land and ag calcs'!$G$7:$G$14,MATCH('EPA land and ag potential'!E3,'EPA land and ag calcs'!$A$7:$A$15,0))</f>
        <v>afforestation and reforestation</v>
      </c>
    </row>
    <row r="4" spans="1:11" x14ac:dyDescent="0.35">
      <c r="A4" s="20" t="s">
        <v>114</v>
      </c>
      <c r="B4" s="20" t="s">
        <v>115</v>
      </c>
      <c r="C4" s="20">
        <v>2035</v>
      </c>
      <c r="D4" s="20" t="s">
        <v>116</v>
      </c>
      <c r="E4" s="20" t="s">
        <v>117</v>
      </c>
      <c r="F4" s="20" t="s">
        <v>118</v>
      </c>
      <c r="G4" s="20" t="s">
        <v>119</v>
      </c>
      <c r="H4" s="20">
        <v>116.2</v>
      </c>
      <c r="I4" s="20" t="s">
        <v>120</v>
      </c>
      <c r="K4" s="20" t="str">
        <f>INDEX('EPA land and ag calcs'!$G$7:$G$14,MATCH('EPA land and ag potential'!E4,'EPA land and ag calcs'!$A$7:$A$15,0))</f>
        <v>afforestation and reforestation</v>
      </c>
    </row>
    <row r="5" spans="1:11" x14ac:dyDescent="0.35">
      <c r="A5" s="20" t="s">
        <v>114</v>
      </c>
      <c r="B5" s="20" t="s">
        <v>115</v>
      </c>
      <c r="C5" s="20">
        <v>2045</v>
      </c>
      <c r="D5" s="20" t="s">
        <v>116</v>
      </c>
      <c r="E5" s="20" t="s">
        <v>117</v>
      </c>
      <c r="F5" s="20" t="s">
        <v>118</v>
      </c>
      <c r="G5" s="20" t="s">
        <v>119</v>
      </c>
      <c r="H5" s="20">
        <v>78.599999999999994</v>
      </c>
      <c r="I5" s="20" t="s">
        <v>120</v>
      </c>
      <c r="K5" s="20" t="str">
        <f>INDEX('EPA land and ag calcs'!$G$7:$G$14,MATCH('EPA land and ag potential'!E5,'EPA land and ag calcs'!$A$7:$A$15,0))</f>
        <v>afforestation and reforestation</v>
      </c>
    </row>
    <row r="6" spans="1:11" x14ac:dyDescent="0.35">
      <c r="A6" s="20" t="s">
        <v>114</v>
      </c>
      <c r="B6" s="20" t="s">
        <v>115</v>
      </c>
      <c r="C6" s="20">
        <v>2055</v>
      </c>
      <c r="D6" s="20" t="s">
        <v>116</v>
      </c>
      <c r="E6" s="20" t="s">
        <v>117</v>
      </c>
      <c r="F6" s="20" t="s">
        <v>118</v>
      </c>
      <c r="G6" s="20" t="s">
        <v>119</v>
      </c>
      <c r="H6" s="20">
        <v>49.6</v>
      </c>
      <c r="I6" s="20" t="s">
        <v>120</v>
      </c>
      <c r="K6" s="20" t="str">
        <f>INDEX('EPA land and ag calcs'!$G$7:$G$14,MATCH('EPA land and ag potential'!E6,'EPA land and ag calcs'!$A$7:$A$15,0))</f>
        <v>afforestation and reforestation</v>
      </c>
    </row>
    <row r="7" spans="1:11" hidden="1" x14ac:dyDescent="0.35">
      <c r="A7" s="20" t="s">
        <v>114</v>
      </c>
      <c r="B7" s="20" t="s">
        <v>115</v>
      </c>
      <c r="C7" s="20">
        <v>2025</v>
      </c>
      <c r="D7" s="20" t="s">
        <v>116</v>
      </c>
      <c r="E7" s="20" t="s">
        <v>117</v>
      </c>
      <c r="F7" s="20" t="s">
        <v>121</v>
      </c>
      <c r="G7" s="20" t="s">
        <v>119</v>
      </c>
      <c r="H7" s="20">
        <v>39.4</v>
      </c>
      <c r="I7" s="20" t="s">
        <v>120</v>
      </c>
    </row>
    <row r="8" spans="1:11" hidden="1" x14ac:dyDescent="0.35">
      <c r="A8" s="20" t="s">
        <v>114</v>
      </c>
      <c r="B8" s="20" t="s">
        <v>115</v>
      </c>
      <c r="C8" s="20">
        <v>2035</v>
      </c>
      <c r="D8" s="20" t="s">
        <v>116</v>
      </c>
      <c r="E8" s="20" t="s">
        <v>117</v>
      </c>
      <c r="F8" s="20" t="s">
        <v>121</v>
      </c>
      <c r="G8" s="20" t="s">
        <v>119</v>
      </c>
      <c r="H8" s="20">
        <v>17.100000000000001</v>
      </c>
      <c r="I8" s="20" t="s">
        <v>120</v>
      </c>
    </row>
    <row r="9" spans="1:11" hidden="1" x14ac:dyDescent="0.35">
      <c r="A9" s="20" t="s">
        <v>114</v>
      </c>
      <c r="B9" s="20" t="s">
        <v>115</v>
      </c>
      <c r="C9" s="20">
        <v>2045</v>
      </c>
      <c r="D9" s="20" t="s">
        <v>116</v>
      </c>
      <c r="E9" s="20" t="s">
        <v>117</v>
      </c>
      <c r="F9" s="20" t="s">
        <v>121</v>
      </c>
      <c r="G9" s="20" t="s">
        <v>119</v>
      </c>
      <c r="H9" s="20">
        <v>8.9</v>
      </c>
      <c r="I9" s="20" t="s">
        <v>120</v>
      </c>
    </row>
    <row r="10" spans="1:11" hidden="1" x14ac:dyDescent="0.35">
      <c r="A10" s="20" t="s">
        <v>114</v>
      </c>
      <c r="B10" s="20" t="s">
        <v>115</v>
      </c>
      <c r="C10" s="20">
        <v>2055</v>
      </c>
      <c r="D10" s="20" t="s">
        <v>116</v>
      </c>
      <c r="E10" s="20" t="s">
        <v>117</v>
      </c>
      <c r="F10" s="20" t="s">
        <v>121</v>
      </c>
      <c r="G10" s="20" t="s">
        <v>119</v>
      </c>
      <c r="H10" s="20">
        <v>4.2</v>
      </c>
      <c r="I10" s="20" t="s">
        <v>120</v>
      </c>
    </row>
    <row r="11" spans="1:11" x14ac:dyDescent="0.35">
      <c r="A11" s="20" t="s">
        <v>114</v>
      </c>
      <c r="B11" s="20" t="s">
        <v>115</v>
      </c>
      <c r="C11" s="20">
        <v>2025</v>
      </c>
      <c r="D11" s="20" t="s">
        <v>116</v>
      </c>
      <c r="E11" s="20" t="s">
        <v>117</v>
      </c>
      <c r="F11" s="20" t="s">
        <v>118</v>
      </c>
      <c r="G11" s="20" t="s">
        <v>122</v>
      </c>
      <c r="H11" s="20">
        <v>24</v>
      </c>
      <c r="I11" s="20" t="s">
        <v>120</v>
      </c>
      <c r="K11" s="20" t="str">
        <f>INDEX('EPA land and ag calcs'!$G$7:$G$14,MATCH('EPA land and ag potential'!E11,'EPA land and ag calcs'!$A$7:$A$15,0))</f>
        <v>afforestation and reforestation</v>
      </c>
    </row>
    <row r="12" spans="1:11" x14ac:dyDescent="0.35">
      <c r="A12" s="20" t="s">
        <v>114</v>
      </c>
      <c r="B12" s="20" t="s">
        <v>115</v>
      </c>
      <c r="C12" s="20">
        <v>2035</v>
      </c>
      <c r="D12" s="20" t="s">
        <v>116</v>
      </c>
      <c r="E12" s="20" t="s">
        <v>117</v>
      </c>
      <c r="F12" s="20" t="s">
        <v>118</v>
      </c>
      <c r="G12" s="20" t="s">
        <v>122</v>
      </c>
      <c r="H12" s="20">
        <v>38.799999999999997</v>
      </c>
      <c r="I12" s="20" t="s">
        <v>120</v>
      </c>
      <c r="K12" s="20" t="str">
        <f>INDEX('EPA land and ag calcs'!$G$7:$G$14,MATCH('EPA land and ag potential'!E12,'EPA land and ag calcs'!$A$7:$A$15,0))</f>
        <v>afforestation and reforestation</v>
      </c>
    </row>
    <row r="13" spans="1:11" x14ac:dyDescent="0.35">
      <c r="A13" s="20" t="s">
        <v>114</v>
      </c>
      <c r="B13" s="20" t="s">
        <v>115</v>
      </c>
      <c r="C13" s="20">
        <v>2025</v>
      </c>
      <c r="D13" s="20" t="s">
        <v>116</v>
      </c>
      <c r="E13" s="20" t="s">
        <v>123</v>
      </c>
      <c r="F13" s="20" t="s">
        <v>118</v>
      </c>
      <c r="G13" s="20" t="s">
        <v>119</v>
      </c>
      <c r="H13" s="20">
        <v>-2.9</v>
      </c>
      <c r="I13" s="20" t="s">
        <v>120</v>
      </c>
      <c r="K13" s="20" t="str">
        <f>INDEX('EPA land and ag calcs'!$G$7:$G$14,MATCH('EPA land and ag potential'!E13,'EPA land and ag calcs'!$A$7:$A$15,0))</f>
        <v>*handled in agriculture files</v>
      </c>
    </row>
    <row r="14" spans="1:11" x14ac:dyDescent="0.35">
      <c r="A14" s="20" t="s">
        <v>114</v>
      </c>
      <c r="B14" s="20" t="s">
        <v>115</v>
      </c>
      <c r="C14" s="20">
        <v>2035</v>
      </c>
      <c r="D14" s="20" t="s">
        <v>116</v>
      </c>
      <c r="E14" s="20" t="s">
        <v>123</v>
      </c>
      <c r="F14" s="20" t="s">
        <v>118</v>
      </c>
      <c r="G14" s="20" t="s">
        <v>119</v>
      </c>
      <c r="H14" s="20">
        <v>-6.6</v>
      </c>
      <c r="I14" s="20" t="s">
        <v>120</v>
      </c>
      <c r="K14" s="20" t="str">
        <f>INDEX('EPA land and ag calcs'!$G$7:$G$14,MATCH('EPA land and ag potential'!E14,'EPA land and ag calcs'!$A$7:$A$15,0))</f>
        <v>*handled in agriculture files</v>
      </c>
    </row>
    <row r="15" spans="1:11" x14ac:dyDescent="0.35">
      <c r="A15" s="20" t="s">
        <v>114</v>
      </c>
      <c r="B15" s="20" t="s">
        <v>115</v>
      </c>
      <c r="C15" s="20">
        <v>2045</v>
      </c>
      <c r="D15" s="20" t="s">
        <v>116</v>
      </c>
      <c r="E15" s="20" t="s">
        <v>123</v>
      </c>
      <c r="F15" s="20" t="s">
        <v>118</v>
      </c>
      <c r="G15" s="20" t="s">
        <v>119</v>
      </c>
      <c r="H15" s="20">
        <v>-9.1999999999999993</v>
      </c>
      <c r="I15" s="20" t="s">
        <v>120</v>
      </c>
      <c r="K15" s="20" t="str">
        <f>INDEX('EPA land and ag calcs'!$G$7:$G$14,MATCH('EPA land and ag potential'!E15,'EPA land and ag calcs'!$A$7:$A$15,0))</f>
        <v>*handled in agriculture files</v>
      </c>
    </row>
    <row r="16" spans="1:11" x14ac:dyDescent="0.35">
      <c r="A16" s="20" t="s">
        <v>114</v>
      </c>
      <c r="B16" s="20" t="s">
        <v>115</v>
      </c>
      <c r="C16" s="20">
        <v>2055</v>
      </c>
      <c r="D16" s="20" t="s">
        <v>116</v>
      </c>
      <c r="E16" s="20" t="s">
        <v>123</v>
      </c>
      <c r="F16" s="20" t="s">
        <v>118</v>
      </c>
      <c r="G16" s="20" t="s">
        <v>119</v>
      </c>
      <c r="H16" s="20">
        <v>-11.1</v>
      </c>
      <c r="I16" s="20" t="s">
        <v>120</v>
      </c>
      <c r="K16" s="20" t="str">
        <f>INDEX('EPA land and ag calcs'!$G$7:$G$14,MATCH('EPA land and ag potential'!E16,'EPA land and ag calcs'!$A$7:$A$15,0))</f>
        <v>*handled in agriculture files</v>
      </c>
    </row>
    <row r="17" spans="1:11" hidden="1" x14ac:dyDescent="0.35">
      <c r="A17" s="20" t="s">
        <v>114</v>
      </c>
      <c r="B17" s="20" t="s">
        <v>115</v>
      </c>
      <c r="C17" s="20">
        <v>2025</v>
      </c>
      <c r="D17" s="20" t="s">
        <v>116</v>
      </c>
      <c r="E17" s="20" t="s">
        <v>123</v>
      </c>
      <c r="F17" s="20" t="s">
        <v>121</v>
      </c>
      <c r="G17" s="20" t="s">
        <v>119</v>
      </c>
      <c r="H17" s="20">
        <v>-4.5</v>
      </c>
      <c r="I17" s="20" t="s">
        <v>120</v>
      </c>
    </row>
    <row r="18" spans="1:11" hidden="1" x14ac:dyDescent="0.35">
      <c r="A18" s="20" t="s">
        <v>114</v>
      </c>
      <c r="B18" s="20" t="s">
        <v>115</v>
      </c>
      <c r="C18" s="20">
        <v>2035</v>
      </c>
      <c r="D18" s="20" t="s">
        <v>116</v>
      </c>
      <c r="E18" s="20" t="s">
        <v>123</v>
      </c>
      <c r="F18" s="20" t="s">
        <v>121</v>
      </c>
      <c r="G18" s="20" t="s">
        <v>119</v>
      </c>
      <c r="H18" s="20">
        <v>-7.4</v>
      </c>
      <c r="I18" s="20" t="s">
        <v>120</v>
      </c>
    </row>
    <row r="19" spans="1:11" hidden="1" x14ac:dyDescent="0.35">
      <c r="A19" s="20" t="s">
        <v>114</v>
      </c>
      <c r="B19" s="20" t="s">
        <v>115</v>
      </c>
      <c r="C19" s="20">
        <v>2045</v>
      </c>
      <c r="D19" s="20" t="s">
        <v>116</v>
      </c>
      <c r="E19" s="20" t="s">
        <v>123</v>
      </c>
      <c r="F19" s="20" t="s">
        <v>121</v>
      </c>
      <c r="G19" s="20" t="s">
        <v>119</v>
      </c>
      <c r="H19" s="20">
        <v>-9.6999999999999993</v>
      </c>
      <c r="I19" s="20" t="s">
        <v>120</v>
      </c>
    </row>
    <row r="20" spans="1:11" hidden="1" x14ac:dyDescent="0.35">
      <c r="A20" s="20" t="s">
        <v>114</v>
      </c>
      <c r="B20" s="20" t="s">
        <v>115</v>
      </c>
      <c r="C20" s="20">
        <v>2055</v>
      </c>
      <c r="D20" s="20" t="s">
        <v>116</v>
      </c>
      <c r="E20" s="20" t="s">
        <v>123</v>
      </c>
      <c r="F20" s="20" t="s">
        <v>121</v>
      </c>
      <c r="G20" s="20" t="s">
        <v>119</v>
      </c>
      <c r="H20" s="20">
        <v>-11.2</v>
      </c>
      <c r="I20" s="20" t="s">
        <v>120</v>
      </c>
    </row>
    <row r="21" spans="1:11" x14ac:dyDescent="0.35">
      <c r="A21" s="20" t="s">
        <v>114</v>
      </c>
      <c r="B21" s="20" t="s">
        <v>115</v>
      </c>
      <c r="C21" s="20">
        <v>2025</v>
      </c>
      <c r="D21" s="20" t="s">
        <v>116</v>
      </c>
      <c r="E21" s="20" t="s">
        <v>123</v>
      </c>
      <c r="F21" s="20" t="s">
        <v>118</v>
      </c>
      <c r="G21" s="20" t="s">
        <v>122</v>
      </c>
      <c r="H21" s="20">
        <v>-0.2</v>
      </c>
      <c r="I21" s="20" t="s">
        <v>120</v>
      </c>
      <c r="K21" s="20" t="str">
        <f>INDEX('EPA land and ag calcs'!$G$7:$G$14,MATCH('EPA land and ag potential'!E21,'EPA land and ag calcs'!$A$7:$A$15,0))</f>
        <v>*handled in agriculture files</v>
      </c>
    </row>
    <row r="22" spans="1:11" x14ac:dyDescent="0.35">
      <c r="A22" s="20" t="s">
        <v>114</v>
      </c>
      <c r="B22" s="20" t="s">
        <v>115</v>
      </c>
      <c r="C22" s="20">
        <v>2035</v>
      </c>
      <c r="D22" s="20" t="s">
        <v>116</v>
      </c>
      <c r="E22" s="20" t="s">
        <v>123</v>
      </c>
      <c r="F22" s="20" t="s">
        <v>118</v>
      </c>
      <c r="G22" s="20" t="s">
        <v>122</v>
      </c>
      <c r="H22" s="20">
        <v>-0.9</v>
      </c>
      <c r="I22" s="20" t="s">
        <v>120</v>
      </c>
      <c r="K22" s="20" t="str">
        <f>INDEX('EPA land and ag calcs'!$G$7:$G$14,MATCH('EPA land and ag potential'!E22,'EPA land and ag calcs'!$A$7:$A$15,0))</f>
        <v>*handled in agriculture files</v>
      </c>
    </row>
    <row r="23" spans="1:11" x14ac:dyDescent="0.35">
      <c r="A23" s="20" t="s">
        <v>114</v>
      </c>
      <c r="B23" s="20" t="s">
        <v>115</v>
      </c>
      <c r="C23" s="20">
        <v>2025</v>
      </c>
      <c r="D23" s="20" t="s">
        <v>116</v>
      </c>
      <c r="E23" s="20" t="s">
        <v>124</v>
      </c>
      <c r="F23" s="20" t="s">
        <v>118</v>
      </c>
      <c r="G23" s="20" t="s">
        <v>119</v>
      </c>
      <c r="H23" s="20">
        <v>-0.9</v>
      </c>
      <c r="I23" s="20" t="s">
        <v>120</v>
      </c>
      <c r="K23" s="20" t="str">
        <f>INDEX('EPA land and ag calcs'!$G$7:$G$14,MATCH('EPA land and ag potential'!E23,'EPA land and ag calcs'!$A$7:$A$15,0))</f>
        <v>*handled in agriculture files</v>
      </c>
    </row>
    <row r="24" spans="1:11" x14ac:dyDescent="0.35">
      <c r="A24" s="20" t="s">
        <v>114</v>
      </c>
      <c r="B24" s="20" t="s">
        <v>115</v>
      </c>
      <c r="C24" s="20">
        <v>2035</v>
      </c>
      <c r="D24" s="20" t="s">
        <v>116</v>
      </c>
      <c r="E24" s="20" t="s">
        <v>124</v>
      </c>
      <c r="F24" s="20" t="s">
        <v>118</v>
      </c>
      <c r="G24" s="20" t="s">
        <v>119</v>
      </c>
      <c r="H24" s="20">
        <v>-4.8</v>
      </c>
      <c r="I24" s="20" t="s">
        <v>120</v>
      </c>
      <c r="K24" s="20" t="str">
        <f>INDEX('EPA land and ag calcs'!$G$7:$G$14,MATCH('EPA land and ag potential'!E24,'EPA land and ag calcs'!$A$7:$A$15,0))</f>
        <v>*handled in agriculture files</v>
      </c>
    </row>
    <row r="25" spans="1:11" x14ac:dyDescent="0.35">
      <c r="A25" s="20" t="s">
        <v>114</v>
      </c>
      <c r="B25" s="20" t="s">
        <v>115</v>
      </c>
      <c r="C25" s="20">
        <v>2045</v>
      </c>
      <c r="D25" s="20" t="s">
        <v>116</v>
      </c>
      <c r="E25" s="20" t="s">
        <v>124</v>
      </c>
      <c r="F25" s="20" t="s">
        <v>118</v>
      </c>
      <c r="G25" s="20" t="s">
        <v>119</v>
      </c>
      <c r="H25" s="20">
        <v>-9.3000000000000007</v>
      </c>
      <c r="I25" s="20" t="s">
        <v>120</v>
      </c>
      <c r="K25" s="20" t="str">
        <f>INDEX('EPA land and ag calcs'!$G$7:$G$14,MATCH('EPA land and ag potential'!E25,'EPA land and ag calcs'!$A$7:$A$15,0))</f>
        <v>*handled in agriculture files</v>
      </c>
    </row>
    <row r="26" spans="1:11" x14ac:dyDescent="0.35">
      <c r="A26" s="20" t="s">
        <v>114</v>
      </c>
      <c r="B26" s="20" t="s">
        <v>115</v>
      </c>
      <c r="C26" s="20">
        <v>2055</v>
      </c>
      <c r="D26" s="20" t="s">
        <v>116</v>
      </c>
      <c r="E26" s="20" t="s">
        <v>124</v>
      </c>
      <c r="F26" s="20" t="s">
        <v>118</v>
      </c>
      <c r="G26" s="20" t="s">
        <v>119</v>
      </c>
      <c r="H26" s="20">
        <v>-12.5</v>
      </c>
      <c r="I26" s="20" t="s">
        <v>120</v>
      </c>
      <c r="K26" s="20" t="str">
        <f>INDEX('EPA land and ag calcs'!$G$7:$G$14,MATCH('EPA land and ag potential'!E26,'EPA land and ag calcs'!$A$7:$A$15,0))</f>
        <v>*handled in agriculture files</v>
      </c>
    </row>
    <row r="27" spans="1:11" hidden="1" x14ac:dyDescent="0.35">
      <c r="A27" s="20" t="s">
        <v>114</v>
      </c>
      <c r="B27" s="20" t="s">
        <v>115</v>
      </c>
      <c r="C27" s="20">
        <v>2025</v>
      </c>
      <c r="D27" s="20" t="s">
        <v>116</v>
      </c>
      <c r="E27" s="20" t="s">
        <v>124</v>
      </c>
      <c r="F27" s="20" t="s">
        <v>121</v>
      </c>
      <c r="G27" s="20" t="s">
        <v>119</v>
      </c>
      <c r="H27" s="20">
        <v>-3.5</v>
      </c>
      <c r="I27" s="20" t="s">
        <v>120</v>
      </c>
    </row>
    <row r="28" spans="1:11" hidden="1" x14ac:dyDescent="0.35">
      <c r="A28" s="20" t="s">
        <v>114</v>
      </c>
      <c r="B28" s="20" t="s">
        <v>115</v>
      </c>
      <c r="C28" s="20">
        <v>2035</v>
      </c>
      <c r="D28" s="20" t="s">
        <v>116</v>
      </c>
      <c r="E28" s="20" t="s">
        <v>124</v>
      </c>
      <c r="F28" s="20" t="s">
        <v>121</v>
      </c>
      <c r="G28" s="20" t="s">
        <v>119</v>
      </c>
      <c r="H28" s="20">
        <v>-6</v>
      </c>
      <c r="I28" s="20" t="s">
        <v>120</v>
      </c>
    </row>
    <row r="29" spans="1:11" hidden="1" x14ac:dyDescent="0.35">
      <c r="A29" s="20" t="s">
        <v>114</v>
      </c>
      <c r="B29" s="20" t="s">
        <v>115</v>
      </c>
      <c r="C29" s="20">
        <v>2045</v>
      </c>
      <c r="D29" s="20" t="s">
        <v>116</v>
      </c>
      <c r="E29" s="20" t="s">
        <v>124</v>
      </c>
      <c r="F29" s="20" t="s">
        <v>121</v>
      </c>
      <c r="G29" s="20" t="s">
        <v>119</v>
      </c>
      <c r="H29" s="20">
        <v>-9.3000000000000007</v>
      </c>
      <c r="I29" s="20" t="s">
        <v>120</v>
      </c>
    </row>
    <row r="30" spans="1:11" hidden="1" x14ac:dyDescent="0.35">
      <c r="A30" s="20" t="s">
        <v>114</v>
      </c>
      <c r="B30" s="20" t="s">
        <v>115</v>
      </c>
      <c r="C30" s="20">
        <v>2055</v>
      </c>
      <c r="D30" s="20" t="s">
        <v>116</v>
      </c>
      <c r="E30" s="20" t="s">
        <v>124</v>
      </c>
      <c r="F30" s="20" t="s">
        <v>121</v>
      </c>
      <c r="G30" s="20" t="s">
        <v>119</v>
      </c>
      <c r="H30" s="20">
        <v>-11.9</v>
      </c>
      <c r="I30" s="20" t="s">
        <v>120</v>
      </c>
    </row>
    <row r="31" spans="1:11" x14ac:dyDescent="0.35">
      <c r="A31" s="20" t="s">
        <v>114</v>
      </c>
      <c r="B31" s="20" t="s">
        <v>115</v>
      </c>
      <c r="C31" s="20">
        <v>2025</v>
      </c>
      <c r="D31" s="20" t="s">
        <v>116</v>
      </c>
      <c r="E31" s="20" t="s">
        <v>124</v>
      </c>
      <c r="F31" s="20" t="s">
        <v>118</v>
      </c>
      <c r="G31" s="20" t="s">
        <v>122</v>
      </c>
      <c r="H31" s="20">
        <v>-0.4</v>
      </c>
      <c r="I31" s="20" t="s">
        <v>120</v>
      </c>
      <c r="K31" s="20" t="str">
        <f>INDEX('EPA land and ag calcs'!$G$7:$G$14,MATCH('EPA land and ag potential'!E31,'EPA land and ag calcs'!$A$7:$A$15,0))</f>
        <v>*handled in agriculture files</v>
      </c>
    </row>
    <row r="32" spans="1:11" x14ac:dyDescent="0.35">
      <c r="A32" s="20" t="s">
        <v>114</v>
      </c>
      <c r="B32" s="20" t="s">
        <v>115</v>
      </c>
      <c r="C32" s="20">
        <v>2035</v>
      </c>
      <c r="D32" s="20" t="s">
        <v>116</v>
      </c>
      <c r="E32" s="20" t="s">
        <v>124</v>
      </c>
      <c r="F32" s="20" t="s">
        <v>118</v>
      </c>
      <c r="G32" s="20" t="s">
        <v>122</v>
      </c>
      <c r="H32" s="20">
        <v>-0.6</v>
      </c>
      <c r="I32" s="20" t="s">
        <v>120</v>
      </c>
      <c r="K32" s="20" t="str">
        <f>INDEX('EPA land and ag calcs'!$G$7:$G$14,MATCH('EPA land and ag potential'!E32,'EPA land and ag calcs'!$A$7:$A$15,0))</f>
        <v>*handled in agriculture files</v>
      </c>
    </row>
    <row r="33" spans="1:31" x14ac:dyDescent="0.35">
      <c r="A33" s="20" t="s">
        <v>114</v>
      </c>
      <c r="B33" s="20" t="s">
        <v>115</v>
      </c>
      <c r="C33" s="20">
        <v>2025</v>
      </c>
      <c r="D33" s="20" t="s">
        <v>116</v>
      </c>
      <c r="E33" s="20" t="s">
        <v>125</v>
      </c>
      <c r="F33" s="20" t="s">
        <v>118</v>
      </c>
      <c r="G33" s="20" t="s">
        <v>119</v>
      </c>
      <c r="H33" s="20">
        <v>-19</v>
      </c>
      <c r="I33" s="20" t="s">
        <v>120</v>
      </c>
      <c r="K33" s="20" t="str">
        <f>INDEX('EPA land and ag calcs'!$G$7:$G$14,MATCH('EPA land and ag potential'!E33,'EPA land and ag calcs'!$A$7:$A$15,0))</f>
        <v>forest management</v>
      </c>
    </row>
    <row r="34" spans="1:31" x14ac:dyDescent="0.35">
      <c r="A34" s="20" t="s">
        <v>114</v>
      </c>
      <c r="B34" s="20" t="s">
        <v>115</v>
      </c>
      <c r="C34" s="20">
        <v>2035</v>
      </c>
      <c r="D34" s="20" t="s">
        <v>116</v>
      </c>
      <c r="E34" s="20" t="s">
        <v>125</v>
      </c>
      <c r="F34" s="20" t="s">
        <v>118</v>
      </c>
      <c r="G34" s="20" t="s">
        <v>119</v>
      </c>
      <c r="H34" s="20">
        <v>-54.9</v>
      </c>
      <c r="I34" s="20" t="s">
        <v>120</v>
      </c>
      <c r="K34" s="20" t="str">
        <f>INDEX('EPA land and ag calcs'!$G$7:$G$14,MATCH('EPA land and ag potential'!E34,'EPA land and ag calcs'!$A$7:$A$15,0))</f>
        <v>forest management</v>
      </c>
    </row>
    <row r="35" spans="1:31" x14ac:dyDescent="0.35">
      <c r="A35" s="20" t="s">
        <v>114</v>
      </c>
      <c r="B35" s="20" t="s">
        <v>115</v>
      </c>
      <c r="C35" s="20">
        <v>2045</v>
      </c>
      <c r="D35" s="20" t="s">
        <v>116</v>
      </c>
      <c r="E35" s="20" t="s">
        <v>125</v>
      </c>
      <c r="F35" s="20" t="s">
        <v>118</v>
      </c>
      <c r="G35" s="20" t="s">
        <v>119</v>
      </c>
      <c r="H35" s="20">
        <v>-65.7</v>
      </c>
      <c r="I35" s="20" t="s">
        <v>120</v>
      </c>
      <c r="K35" s="20" t="str">
        <f>INDEX('EPA land and ag calcs'!$G$7:$G$14,MATCH('EPA land and ag potential'!E35,'EPA land and ag calcs'!$A$7:$A$15,0))</f>
        <v>forest management</v>
      </c>
    </row>
    <row r="36" spans="1:31" x14ac:dyDescent="0.35">
      <c r="A36" s="20" t="s">
        <v>114</v>
      </c>
      <c r="B36" s="20" t="s">
        <v>115</v>
      </c>
      <c r="C36" s="20">
        <v>2055</v>
      </c>
      <c r="D36" s="20" t="s">
        <v>116</v>
      </c>
      <c r="E36" s="20" t="s">
        <v>125</v>
      </c>
      <c r="F36" s="20" t="s">
        <v>118</v>
      </c>
      <c r="G36" s="20" t="s">
        <v>119</v>
      </c>
      <c r="H36" s="20">
        <v>-78</v>
      </c>
      <c r="I36" s="20" t="s">
        <v>120</v>
      </c>
      <c r="K36" s="20" t="str">
        <f>INDEX('EPA land and ag calcs'!$G$7:$G$14,MATCH('EPA land and ag potential'!E36,'EPA land and ag calcs'!$A$7:$A$15,0))</f>
        <v>forest management</v>
      </c>
    </row>
    <row r="37" spans="1:31" hidden="1" x14ac:dyDescent="0.35">
      <c r="A37" s="20" t="s">
        <v>114</v>
      </c>
      <c r="B37" s="20" t="s">
        <v>115</v>
      </c>
      <c r="C37" s="20">
        <v>2025</v>
      </c>
      <c r="D37" s="20" t="s">
        <v>116</v>
      </c>
      <c r="E37" s="20" t="s">
        <v>125</v>
      </c>
      <c r="F37" s="20" t="s">
        <v>121</v>
      </c>
      <c r="G37" s="20" t="s">
        <v>119</v>
      </c>
      <c r="H37" s="20">
        <v>-36.5</v>
      </c>
      <c r="I37" s="20" t="s">
        <v>120</v>
      </c>
    </row>
    <row r="38" spans="1:31" hidden="1" x14ac:dyDescent="0.35">
      <c r="A38" s="20" t="s">
        <v>114</v>
      </c>
      <c r="B38" s="20" t="s">
        <v>115</v>
      </c>
      <c r="C38" s="20">
        <v>2035</v>
      </c>
      <c r="D38" s="20" t="s">
        <v>116</v>
      </c>
      <c r="E38" s="20" t="s">
        <v>125</v>
      </c>
      <c r="F38" s="20" t="s">
        <v>121</v>
      </c>
      <c r="G38" s="20" t="s">
        <v>119</v>
      </c>
      <c r="H38" s="20">
        <v>-61.2</v>
      </c>
      <c r="I38" s="20" t="s">
        <v>120</v>
      </c>
    </row>
    <row r="39" spans="1:31" hidden="1" x14ac:dyDescent="0.35">
      <c r="A39" s="20" t="s">
        <v>114</v>
      </c>
      <c r="B39" s="20" t="s">
        <v>115</v>
      </c>
      <c r="C39" s="20">
        <v>2045</v>
      </c>
      <c r="D39" s="20" t="s">
        <v>116</v>
      </c>
      <c r="E39" s="20" t="s">
        <v>125</v>
      </c>
      <c r="F39" s="20" t="s">
        <v>121</v>
      </c>
      <c r="G39" s="20" t="s">
        <v>119</v>
      </c>
      <c r="H39" s="20">
        <v>-62.5</v>
      </c>
      <c r="I39" s="20" t="s">
        <v>120</v>
      </c>
    </row>
    <row r="40" spans="1:31" hidden="1" x14ac:dyDescent="0.35">
      <c r="A40" s="20" t="s">
        <v>114</v>
      </c>
      <c r="B40" s="20" t="s">
        <v>115</v>
      </c>
      <c r="C40" s="20">
        <v>2055</v>
      </c>
      <c r="D40" s="20" t="s">
        <v>116</v>
      </c>
      <c r="E40" s="20" t="s">
        <v>125</v>
      </c>
      <c r="F40" s="20" t="s">
        <v>121</v>
      </c>
      <c r="G40" s="20" t="s">
        <v>119</v>
      </c>
      <c r="H40" s="20">
        <v>-61.3</v>
      </c>
      <c r="I40" s="20" t="s">
        <v>120</v>
      </c>
    </row>
    <row r="41" spans="1:31" x14ac:dyDescent="0.35">
      <c r="A41" s="20" t="s">
        <v>114</v>
      </c>
      <c r="B41" s="20" t="s">
        <v>115</v>
      </c>
      <c r="C41" s="20">
        <v>2025</v>
      </c>
      <c r="D41" s="20" t="s">
        <v>116</v>
      </c>
      <c r="E41" s="20" t="s">
        <v>125</v>
      </c>
      <c r="F41" s="20" t="s">
        <v>118</v>
      </c>
      <c r="G41" s="20" t="s">
        <v>122</v>
      </c>
      <c r="H41" s="20">
        <v>-6.9</v>
      </c>
      <c r="I41" s="20" t="s">
        <v>120</v>
      </c>
      <c r="K41" s="20" t="str">
        <f>INDEX('EPA land and ag calcs'!$G$7:$G$14,MATCH('EPA land and ag potential'!E41,'EPA land and ag calcs'!$A$7:$A$15,0))</f>
        <v>forest management</v>
      </c>
    </row>
    <row r="42" spans="1:31" x14ac:dyDescent="0.35">
      <c r="A42" s="20" t="s">
        <v>114</v>
      </c>
      <c r="B42" s="20" t="s">
        <v>115</v>
      </c>
      <c r="C42" s="20">
        <v>2035</v>
      </c>
      <c r="D42" s="20" t="s">
        <v>116</v>
      </c>
      <c r="E42" s="20" t="s">
        <v>125</v>
      </c>
      <c r="F42" s="20" t="s">
        <v>118</v>
      </c>
      <c r="G42" s="20" t="s">
        <v>122</v>
      </c>
      <c r="H42" s="20">
        <v>-16</v>
      </c>
      <c r="I42" s="20" t="s">
        <v>120</v>
      </c>
      <c r="K42" s="20" t="str">
        <f>INDEX('EPA land and ag calcs'!$G$7:$G$14,MATCH('EPA land and ag potential'!E42,'EPA land and ag calcs'!$A$7:$A$15,0))</f>
        <v>forest management</v>
      </c>
    </row>
    <row r="43" spans="1:31" x14ac:dyDescent="0.35">
      <c r="A43" s="20" t="s">
        <v>114</v>
      </c>
      <c r="B43" s="20" t="s">
        <v>115</v>
      </c>
      <c r="C43" s="20">
        <v>2025</v>
      </c>
      <c r="D43" s="20" t="s">
        <v>116</v>
      </c>
      <c r="E43" s="20" t="s">
        <v>126</v>
      </c>
      <c r="F43" s="20" t="s">
        <v>118</v>
      </c>
      <c r="G43" s="20" t="s">
        <v>119</v>
      </c>
      <c r="I43" s="20" t="s">
        <v>120</v>
      </c>
      <c r="K43" s="20" t="str">
        <f>INDEX('EPA land and ag calcs'!$G$7:$G$14,MATCH('EPA land and ag potential'!E43,'EPA land and ag calcs'!$A$7:$A$15,0))</f>
        <v>afforestation and reforestation</v>
      </c>
    </row>
    <row r="44" spans="1:31" x14ac:dyDescent="0.35">
      <c r="A44" s="20" t="s">
        <v>114</v>
      </c>
      <c r="B44" s="20" t="s">
        <v>115</v>
      </c>
      <c r="C44" s="20">
        <v>2035</v>
      </c>
      <c r="D44" s="20" t="s">
        <v>116</v>
      </c>
      <c r="E44" s="20" t="s">
        <v>126</v>
      </c>
      <c r="F44" s="20" t="s">
        <v>118</v>
      </c>
      <c r="G44" s="20" t="s">
        <v>119</v>
      </c>
      <c r="H44" s="20">
        <v>-57.5</v>
      </c>
      <c r="I44" s="20" t="s">
        <v>120</v>
      </c>
      <c r="K44" s="20" t="str">
        <f>INDEX('EPA land and ag calcs'!$G$7:$G$14,MATCH('EPA land and ag potential'!E44,'EPA land and ag calcs'!$A$7:$A$15,0))</f>
        <v>afforestation and reforestation</v>
      </c>
      <c r="N44" s="20">
        <f>M44</f>
        <v>0</v>
      </c>
      <c r="O44" s="20">
        <f t="shared" ref="O44:AE44" si="0">N44</f>
        <v>0</v>
      </c>
      <c r="P44" s="20">
        <f t="shared" si="0"/>
        <v>0</v>
      </c>
      <c r="Q44" s="20">
        <f t="shared" si="0"/>
        <v>0</v>
      </c>
      <c r="R44" s="20">
        <f t="shared" si="0"/>
        <v>0</v>
      </c>
      <c r="S44" s="20">
        <f t="shared" si="0"/>
        <v>0</v>
      </c>
      <c r="T44" s="20">
        <f t="shared" si="0"/>
        <v>0</v>
      </c>
      <c r="U44" s="20">
        <f t="shared" si="0"/>
        <v>0</v>
      </c>
      <c r="V44" s="20">
        <f t="shared" si="0"/>
        <v>0</v>
      </c>
      <c r="W44" s="20">
        <f t="shared" si="0"/>
        <v>0</v>
      </c>
      <c r="X44" s="20">
        <f t="shared" si="0"/>
        <v>0</v>
      </c>
      <c r="Y44" s="20">
        <f t="shared" si="0"/>
        <v>0</v>
      </c>
      <c r="Z44" s="20">
        <f t="shared" si="0"/>
        <v>0</v>
      </c>
      <c r="AA44" s="20">
        <f t="shared" si="0"/>
        <v>0</v>
      </c>
      <c r="AB44" s="20">
        <f t="shared" si="0"/>
        <v>0</v>
      </c>
      <c r="AC44" s="20">
        <f t="shared" si="0"/>
        <v>0</v>
      </c>
      <c r="AD44" s="20">
        <f t="shared" si="0"/>
        <v>0</v>
      </c>
      <c r="AE44" s="20">
        <f t="shared" si="0"/>
        <v>0</v>
      </c>
    </row>
    <row r="45" spans="1:31" x14ac:dyDescent="0.35">
      <c r="A45" s="20" t="s">
        <v>114</v>
      </c>
      <c r="B45" s="20" t="s">
        <v>115</v>
      </c>
      <c r="C45" s="20">
        <v>2045</v>
      </c>
      <c r="D45" s="20" t="s">
        <v>116</v>
      </c>
      <c r="E45" s="20" t="s">
        <v>126</v>
      </c>
      <c r="F45" s="20" t="s">
        <v>118</v>
      </c>
      <c r="G45" s="20" t="s">
        <v>119</v>
      </c>
      <c r="H45" s="20">
        <v>-75.7</v>
      </c>
      <c r="I45" s="20" t="s">
        <v>120</v>
      </c>
      <c r="K45" s="20" t="str">
        <f>INDEX('EPA land and ag calcs'!$G$7:$G$14,MATCH('EPA land and ag potential'!E45,'EPA land and ag calcs'!$A$7:$A$15,0))</f>
        <v>afforestation and reforestation</v>
      </c>
    </row>
    <row r="46" spans="1:31" x14ac:dyDescent="0.35">
      <c r="A46" s="20" t="s">
        <v>114</v>
      </c>
      <c r="B46" s="20" t="s">
        <v>115</v>
      </c>
      <c r="C46" s="20">
        <v>2055</v>
      </c>
      <c r="D46" s="20" t="s">
        <v>116</v>
      </c>
      <c r="E46" s="20" t="s">
        <v>126</v>
      </c>
      <c r="F46" s="20" t="s">
        <v>118</v>
      </c>
      <c r="G46" s="20" t="s">
        <v>119</v>
      </c>
      <c r="H46" s="20">
        <v>-92.6</v>
      </c>
      <c r="I46" s="20" t="s">
        <v>120</v>
      </c>
      <c r="K46" s="20" t="str">
        <f>INDEX('EPA land and ag calcs'!$G$7:$G$14,MATCH('EPA land and ag potential'!E46,'EPA land and ag calcs'!$A$7:$A$15,0))</f>
        <v>afforestation and reforestation</v>
      </c>
    </row>
    <row r="47" spans="1:31" hidden="1" x14ac:dyDescent="0.35">
      <c r="A47" s="20" t="s">
        <v>114</v>
      </c>
      <c r="B47" s="20" t="s">
        <v>115</v>
      </c>
      <c r="C47" s="20">
        <v>2025</v>
      </c>
      <c r="D47" s="20" t="s">
        <v>116</v>
      </c>
      <c r="E47" s="20" t="s">
        <v>126</v>
      </c>
      <c r="F47" s="20" t="s">
        <v>121</v>
      </c>
      <c r="G47" s="20" t="s">
        <v>119</v>
      </c>
      <c r="I47" s="20" t="s">
        <v>120</v>
      </c>
    </row>
    <row r="48" spans="1:31" hidden="1" x14ac:dyDescent="0.35">
      <c r="A48" s="20" t="s">
        <v>114</v>
      </c>
      <c r="B48" s="20" t="s">
        <v>115</v>
      </c>
      <c r="C48" s="20">
        <v>2035</v>
      </c>
      <c r="D48" s="20" t="s">
        <v>116</v>
      </c>
      <c r="E48" s="20" t="s">
        <v>126</v>
      </c>
      <c r="F48" s="20" t="s">
        <v>121</v>
      </c>
      <c r="G48" s="20" t="s">
        <v>119</v>
      </c>
      <c r="H48" s="20">
        <v>-60.2</v>
      </c>
      <c r="I48" s="20" t="s">
        <v>120</v>
      </c>
    </row>
    <row r="49" spans="1:11" hidden="1" x14ac:dyDescent="0.35">
      <c r="A49" s="20" t="s">
        <v>114</v>
      </c>
      <c r="B49" s="20" t="s">
        <v>115</v>
      </c>
      <c r="C49" s="20">
        <v>2045</v>
      </c>
      <c r="D49" s="20" t="s">
        <v>116</v>
      </c>
      <c r="E49" s="20" t="s">
        <v>126</v>
      </c>
      <c r="F49" s="20" t="s">
        <v>121</v>
      </c>
      <c r="G49" s="20" t="s">
        <v>119</v>
      </c>
      <c r="H49" s="20">
        <v>-86.8</v>
      </c>
      <c r="I49" s="20" t="s">
        <v>120</v>
      </c>
    </row>
    <row r="50" spans="1:11" hidden="1" x14ac:dyDescent="0.35">
      <c r="A50" s="20" t="s">
        <v>114</v>
      </c>
      <c r="B50" s="20" t="s">
        <v>115</v>
      </c>
      <c r="C50" s="20">
        <v>2055</v>
      </c>
      <c r="D50" s="20" t="s">
        <v>116</v>
      </c>
      <c r="E50" s="20" t="s">
        <v>126</v>
      </c>
      <c r="F50" s="20" t="s">
        <v>121</v>
      </c>
      <c r="G50" s="20" t="s">
        <v>119</v>
      </c>
      <c r="H50" s="20">
        <v>-111</v>
      </c>
      <c r="I50" s="20" t="s">
        <v>120</v>
      </c>
    </row>
    <row r="51" spans="1:11" x14ac:dyDescent="0.35">
      <c r="A51" s="20" t="s">
        <v>114</v>
      </c>
      <c r="B51" s="20" t="s">
        <v>115</v>
      </c>
      <c r="C51" s="20">
        <v>2025</v>
      </c>
      <c r="D51" s="20" t="s">
        <v>116</v>
      </c>
      <c r="E51" s="20" t="s">
        <v>126</v>
      </c>
      <c r="F51" s="20" t="s">
        <v>118</v>
      </c>
      <c r="G51" s="20" t="s">
        <v>122</v>
      </c>
      <c r="I51" s="20" t="s">
        <v>120</v>
      </c>
      <c r="K51" s="20" t="str">
        <f>INDEX('EPA land and ag calcs'!$G$7:$G$14,MATCH('EPA land and ag potential'!E51,'EPA land and ag calcs'!$A$7:$A$15,0))</f>
        <v>afforestation and reforestation</v>
      </c>
    </row>
    <row r="52" spans="1:11" x14ac:dyDescent="0.35">
      <c r="A52" s="20" t="s">
        <v>114</v>
      </c>
      <c r="B52" s="20" t="s">
        <v>115</v>
      </c>
      <c r="C52" s="20">
        <v>2035</v>
      </c>
      <c r="D52" s="20" t="s">
        <v>116</v>
      </c>
      <c r="E52" s="20" t="s">
        <v>126</v>
      </c>
      <c r="F52" s="20" t="s">
        <v>118</v>
      </c>
      <c r="G52" s="20" t="s">
        <v>122</v>
      </c>
      <c r="H52" s="20">
        <v>-3.4</v>
      </c>
      <c r="I52" s="20" t="s">
        <v>120</v>
      </c>
      <c r="K52" s="20" t="str">
        <f>INDEX('EPA land and ag calcs'!$G$7:$G$14,MATCH('EPA land and ag potential'!E52,'EPA land and ag calcs'!$A$7:$A$15,0))</f>
        <v>afforestation and reforestation</v>
      </c>
    </row>
    <row r="53" spans="1:11" x14ac:dyDescent="0.35">
      <c r="A53" s="20" t="s">
        <v>114</v>
      </c>
      <c r="B53" s="20" t="s">
        <v>115</v>
      </c>
      <c r="C53" s="20">
        <v>2025</v>
      </c>
      <c r="D53" s="20" t="s">
        <v>116</v>
      </c>
      <c r="E53" s="20" t="s">
        <v>127</v>
      </c>
      <c r="F53" s="20" t="s">
        <v>118</v>
      </c>
      <c r="G53" s="20" t="s">
        <v>119</v>
      </c>
      <c r="H53" s="20">
        <v>1.6</v>
      </c>
      <c r="I53" s="20" t="s">
        <v>120</v>
      </c>
      <c r="K53" s="20" t="str">
        <f>INDEX('EPA land and ag calcs'!$G$7:$G$14,MATCH('EPA land and ag potential'!E53,'EPA land and ag calcs'!$A$7:$A$15,0))</f>
        <v>forest management</v>
      </c>
    </row>
    <row r="54" spans="1:11" x14ac:dyDescent="0.35">
      <c r="A54" s="20" t="s">
        <v>114</v>
      </c>
      <c r="B54" s="20" t="s">
        <v>115</v>
      </c>
      <c r="C54" s="20">
        <v>2035</v>
      </c>
      <c r="D54" s="20" t="s">
        <v>116</v>
      </c>
      <c r="E54" s="20" t="s">
        <v>127</v>
      </c>
      <c r="F54" s="20" t="s">
        <v>118</v>
      </c>
      <c r="G54" s="20" t="s">
        <v>119</v>
      </c>
      <c r="H54" s="20">
        <v>1.6</v>
      </c>
      <c r="I54" s="20" t="s">
        <v>120</v>
      </c>
      <c r="K54" s="20" t="str">
        <f>INDEX('EPA land and ag calcs'!$G$7:$G$14,MATCH('EPA land and ag potential'!E54,'EPA land and ag calcs'!$A$7:$A$15,0))</f>
        <v>forest management</v>
      </c>
    </row>
    <row r="55" spans="1:11" x14ac:dyDescent="0.35">
      <c r="A55" s="20" t="s">
        <v>114</v>
      </c>
      <c r="B55" s="20" t="s">
        <v>115</v>
      </c>
      <c r="C55" s="20">
        <v>2045</v>
      </c>
      <c r="D55" s="20" t="s">
        <v>116</v>
      </c>
      <c r="E55" s="20" t="s">
        <v>127</v>
      </c>
      <c r="F55" s="20" t="s">
        <v>118</v>
      </c>
      <c r="G55" s="20" t="s">
        <v>119</v>
      </c>
      <c r="H55" s="20">
        <v>1.6</v>
      </c>
      <c r="I55" s="20" t="s">
        <v>120</v>
      </c>
      <c r="K55" s="20" t="str">
        <f>INDEX('EPA land and ag calcs'!$G$7:$G$14,MATCH('EPA land and ag potential'!E55,'EPA land and ag calcs'!$A$7:$A$15,0))</f>
        <v>forest management</v>
      </c>
    </row>
    <row r="56" spans="1:11" x14ac:dyDescent="0.35">
      <c r="A56" s="20" t="s">
        <v>114</v>
      </c>
      <c r="B56" s="20" t="s">
        <v>115</v>
      </c>
      <c r="C56" s="20">
        <v>2055</v>
      </c>
      <c r="D56" s="20" t="s">
        <v>116</v>
      </c>
      <c r="E56" s="20" t="s">
        <v>127</v>
      </c>
      <c r="F56" s="20" t="s">
        <v>118</v>
      </c>
      <c r="G56" s="20" t="s">
        <v>119</v>
      </c>
      <c r="H56" s="20">
        <v>1.3</v>
      </c>
      <c r="I56" s="20" t="s">
        <v>120</v>
      </c>
      <c r="K56" s="20" t="str">
        <f>INDEX('EPA land and ag calcs'!$G$7:$G$14,MATCH('EPA land and ag potential'!E56,'EPA land and ag calcs'!$A$7:$A$15,0))</f>
        <v>forest management</v>
      </c>
    </row>
    <row r="57" spans="1:11" hidden="1" x14ac:dyDescent="0.35">
      <c r="A57" s="20" t="s">
        <v>114</v>
      </c>
      <c r="B57" s="20" t="s">
        <v>115</v>
      </c>
      <c r="C57" s="20">
        <v>2025</v>
      </c>
      <c r="D57" s="20" t="s">
        <v>116</v>
      </c>
      <c r="E57" s="20" t="s">
        <v>127</v>
      </c>
      <c r="F57" s="20" t="s">
        <v>121</v>
      </c>
      <c r="G57" s="20" t="s">
        <v>119</v>
      </c>
      <c r="H57" s="20">
        <v>4.0999999999999996</v>
      </c>
      <c r="I57" s="20" t="s">
        <v>120</v>
      </c>
    </row>
    <row r="58" spans="1:11" hidden="1" x14ac:dyDescent="0.35">
      <c r="A58" s="20" t="s">
        <v>114</v>
      </c>
      <c r="B58" s="20" t="s">
        <v>115</v>
      </c>
      <c r="C58" s="20">
        <v>2035</v>
      </c>
      <c r="D58" s="20" t="s">
        <v>116</v>
      </c>
      <c r="E58" s="20" t="s">
        <v>127</v>
      </c>
      <c r="F58" s="20" t="s">
        <v>121</v>
      </c>
      <c r="G58" s="20" t="s">
        <v>119</v>
      </c>
      <c r="H58" s="20">
        <v>3.1</v>
      </c>
      <c r="I58" s="20" t="s">
        <v>120</v>
      </c>
    </row>
    <row r="59" spans="1:11" hidden="1" x14ac:dyDescent="0.35">
      <c r="A59" s="20" t="s">
        <v>114</v>
      </c>
      <c r="B59" s="20" t="s">
        <v>115</v>
      </c>
      <c r="C59" s="20">
        <v>2045</v>
      </c>
      <c r="D59" s="20" t="s">
        <v>116</v>
      </c>
      <c r="E59" s="20" t="s">
        <v>127</v>
      </c>
      <c r="F59" s="20" t="s">
        <v>121</v>
      </c>
      <c r="G59" s="20" t="s">
        <v>119</v>
      </c>
      <c r="H59" s="20">
        <v>2.9</v>
      </c>
      <c r="I59" s="20" t="s">
        <v>120</v>
      </c>
    </row>
    <row r="60" spans="1:11" hidden="1" x14ac:dyDescent="0.35">
      <c r="A60" s="20" t="s">
        <v>114</v>
      </c>
      <c r="B60" s="20" t="s">
        <v>115</v>
      </c>
      <c r="C60" s="20">
        <v>2055</v>
      </c>
      <c r="D60" s="20" t="s">
        <v>116</v>
      </c>
      <c r="E60" s="20" t="s">
        <v>127</v>
      </c>
      <c r="F60" s="20" t="s">
        <v>121</v>
      </c>
      <c r="G60" s="20" t="s">
        <v>119</v>
      </c>
      <c r="H60" s="20">
        <v>2.6</v>
      </c>
      <c r="I60" s="20" t="s">
        <v>120</v>
      </c>
    </row>
    <row r="61" spans="1:11" x14ac:dyDescent="0.35">
      <c r="A61" s="20" t="s">
        <v>114</v>
      </c>
      <c r="B61" s="20" t="s">
        <v>115</v>
      </c>
      <c r="C61" s="20">
        <v>2025</v>
      </c>
      <c r="D61" s="20" t="s">
        <v>116</v>
      </c>
      <c r="E61" s="20" t="s">
        <v>127</v>
      </c>
      <c r="F61" s="20" t="s">
        <v>118</v>
      </c>
      <c r="G61" s="20" t="s">
        <v>122</v>
      </c>
      <c r="H61" s="20">
        <v>0.7</v>
      </c>
      <c r="I61" s="20" t="s">
        <v>120</v>
      </c>
      <c r="K61" s="20" t="str">
        <f>INDEX('EPA land and ag calcs'!$G$7:$G$14,MATCH('EPA land and ag potential'!E61,'EPA land and ag calcs'!$A$7:$A$15,0))</f>
        <v>forest management</v>
      </c>
    </row>
    <row r="62" spans="1:11" x14ac:dyDescent="0.35">
      <c r="A62" s="20" t="s">
        <v>114</v>
      </c>
      <c r="B62" s="20" t="s">
        <v>115</v>
      </c>
      <c r="C62" s="20">
        <v>2035</v>
      </c>
      <c r="D62" s="20" t="s">
        <v>116</v>
      </c>
      <c r="E62" s="20" t="s">
        <v>127</v>
      </c>
      <c r="F62" s="20" t="s">
        <v>118</v>
      </c>
      <c r="G62" s="20" t="s">
        <v>122</v>
      </c>
      <c r="H62" s="20">
        <v>0.3</v>
      </c>
      <c r="I62" s="20" t="s">
        <v>120</v>
      </c>
      <c r="K62" s="20" t="str">
        <f>INDEX('EPA land and ag calcs'!$G$7:$G$14,MATCH('EPA land and ag potential'!E62,'EPA land and ag calcs'!$A$7:$A$15,0))</f>
        <v>forest management</v>
      </c>
    </row>
    <row r="63" spans="1:11" x14ac:dyDescent="0.35">
      <c r="A63" s="20" t="s">
        <v>114</v>
      </c>
      <c r="B63" s="20" t="s">
        <v>115</v>
      </c>
      <c r="C63" s="20">
        <v>2025</v>
      </c>
      <c r="D63" s="20" t="s">
        <v>116</v>
      </c>
      <c r="E63" s="20" t="s">
        <v>128</v>
      </c>
      <c r="F63" s="20" t="s">
        <v>118</v>
      </c>
      <c r="G63" s="20" t="s">
        <v>119</v>
      </c>
      <c r="H63" s="20">
        <v>-153.4</v>
      </c>
      <c r="I63" s="20" t="s">
        <v>120</v>
      </c>
      <c r="K63" s="20" t="str">
        <f>INDEX('EPA land and ag calcs'!$G$7:$G$14,MATCH('EPA land and ag potential'!E63,'EPA land and ag calcs'!$A$7:$A$15,0))</f>
        <v>afforestation and reforestation</v>
      </c>
    </row>
    <row r="64" spans="1:11" x14ac:dyDescent="0.35">
      <c r="A64" s="20" t="s">
        <v>114</v>
      </c>
      <c r="B64" s="20" t="s">
        <v>115</v>
      </c>
      <c r="C64" s="20">
        <v>2035</v>
      </c>
      <c r="D64" s="20" t="s">
        <v>116</v>
      </c>
      <c r="E64" s="20" t="s">
        <v>128</v>
      </c>
      <c r="F64" s="20" t="s">
        <v>118</v>
      </c>
      <c r="G64" s="20" t="s">
        <v>119</v>
      </c>
      <c r="H64" s="20">
        <v>-162.19999999999999</v>
      </c>
      <c r="I64" s="20" t="s">
        <v>120</v>
      </c>
      <c r="K64" s="20" t="str">
        <f>INDEX('EPA land and ag calcs'!$G$7:$G$14,MATCH('EPA land and ag potential'!E64,'EPA land and ag calcs'!$A$7:$A$15,0))</f>
        <v>afforestation and reforestation</v>
      </c>
    </row>
    <row r="65" spans="1:11" x14ac:dyDescent="0.35">
      <c r="A65" s="20" t="s">
        <v>114</v>
      </c>
      <c r="B65" s="20" t="s">
        <v>115</v>
      </c>
      <c r="C65" s="20">
        <v>2045</v>
      </c>
      <c r="D65" s="20" t="s">
        <v>116</v>
      </c>
      <c r="E65" s="20" t="s">
        <v>128</v>
      </c>
      <c r="F65" s="20" t="s">
        <v>118</v>
      </c>
      <c r="G65" s="20" t="s">
        <v>119</v>
      </c>
      <c r="H65" s="20">
        <v>-144.80000000000001</v>
      </c>
      <c r="I65" s="20" t="s">
        <v>120</v>
      </c>
      <c r="K65" s="20" t="str">
        <f>INDEX('EPA land and ag calcs'!$G$7:$G$14,MATCH('EPA land and ag potential'!E65,'EPA land and ag calcs'!$A$7:$A$15,0))</f>
        <v>afforestation and reforestation</v>
      </c>
    </row>
    <row r="66" spans="1:11" x14ac:dyDescent="0.35">
      <c r="A66" s="20" t="s">
        <v>114</v>
      </c>
      <c r="B66" s="20" t="s">
        <v>115</v>
      </c>
      <c r="C66" s="20">
        <v>2055</v>
      </c>
      <c r="D66" s="20" t="s">
        <v>116</v>
      </c>
      <c r="E66" s="20" t="s">
        <v>128</v>
      </c>
      <c r="F66" s="20" t="s">
        <v>118</v>
      </c>
      <c r="G66" s="20" t="s">
        <v>119</v>
      </c>
      <c r="H66" s="20">
        <v>-125.4</v>
      </c>
      <c r="I66" s="20" t="s">
        <v>120</v>
      </c>
      <c r="K66" s="20" t="str">
        <f>INDEX('EPA land and ag calcs'!$G$7:$G$14,MATCH('EPA land and ag potential'!E66,'EPA land and ag calcs'!$A$7:$A$15,0))</f>
        <v>afforestation and reforestation</v>
      </c>
    </row>
    <row r="67" spans="1:11" hidden="1" x14ac:dyDescent="0.35">
      <c r="A67" s="20" t="s">
        <v>114</v>
      </c>
      <c r="B67" s="20" t="s">
        <v>115</v>
      </c>
      <c r="C67" s="20">
        <v>2025</v>
      </c>
      <c r="D67" s="20" t="s">
        <v>116</v>
      </c>
      <c r="E67" s="20" t="s">
        <v>128</v>
      </c>
      <c r="F67" s="20" t="s">
        <v>121</v>
      </c>
      <c r="G67" s="20" t="s">
        <v>119</v>
      </c>
      <c r="H67" s="20">
        <v>-153.30000000000001</v>
      </c>
      <c r="I67" s="20" t="s">
        <v>120</v>
      </c>
    </row>
    <row r="68" spans="1:11" hidden="1" x14ac:dyDescent="0.35">
      <c r="A68" s="20" t="s">
        <v>114</v>
      </c>
      <c r="B68" s="20" t="s">
        <v>115</v>
      </c>
      <c r="C68" s="20">
        <v>2035</v>
      </c>
      <c r="D68" s="20" t="s">
        <v>116</v>
      </c>
      <c r="E68" s="20" t="s">
        <v>128</v>
      </c>
      <c r="F68" s="20" t="s">
        <v>121</v>
      </c>
      <c r="G68" s="20" t="s">
        <v>119</v>
      </c>
      <c r="H68" s="20">
        <v>-122.9</v>
      </c>
      <c r="I68" s="20" t="s">
        <v>120</v>
      </c>
    </row>
    <row r="69" spans="1:11" hidden="1" x14ac:dyDescent="0.35">
      <c r="A69" s="20" t="s">
        <v>114</v>
      </c>
      <c r="B69" s="20" t="s">
        <v>115</v>
      </c>
      <c r="C69" s="20">
        <v>2045</v>
      </c>
      <c r="D69" s="20" t="s">
        <v>116</v>
      </c>
      <c r="E69" s="20" t="s">
        <v>128</v>
      </c>
      <c r="F69" s="20" t="s">
        <v>121</v>
      </c>
      <c r="G69" s="20" t="s">
        <v>119</v>
      </c>
      <c r="H69" s="20">
        <v>-100.8</v>
      </c>
      <c r="I69" s="20" t="s">
        <v>120</v>
      </c>
    </row>
    <row r="70" spans="1:11" hidden="1" x14ac:dyDescent="0.35">
      <c r="A70" s="20" t="s">
        <v>114</v>
      </c>
      <c r="B70" s="20" t="s">
        <v>115</v>
      </c>
      <c r="C70" s="20">
        <v>2055</v>
      </c>
      <c r="D70" s="20" t="s">
        <v>116</v>
      </c>
      <c r="E70" s="20" t="s">
        <v>128</v>
      </c>
      <c r="F70" s="20" t="s">
        <v>121</v>
      </c>
      <c r="G70" s="20" t="s">
        <v>119</v>
      </c>
      <c r="H70" s="20">
        <v>-92.3</v>
      </c>
      <c r="I70" s="20" t="s">
        <v>120</v>
      </c>
    </row>
    <row r="71" spans="1:11" x14ac:dyDescent="0.35">
      <c r="A71" s="20" t="s">
        <v>114</v>
      </c>
      <c r="B71" s="20" t="s">
        <v>115</v>
      </c>
      <c r="C71" s="20">
        <v>2025</v>
      </c>
      <c r="D71" s="20" t="s">
        <v>116</v>
      </c>
      <c r="E71" s="20" t="s">
        <v>128</v>
      </c>
      <c r="F71" s="20" t="s">
        <v>118</v>
      </c>
      <c r="G71" s="20" t="s">
        <v>122</v>
      </c>
      <c r="H71" s="20">
        <v>-8.4</v>
      </c>
      <c r="I71" s="20" t="s">
        <v>120</v>
      </c>
      <c r="K71" s="20" t="str">
        <f>INDEX('EPA land and ag calcs'!$G$7:$G$14,MATCH('EPA land and ag potential'!E71,'EPA land and ag calcs'!$A$7:$A$15,0))</f>
        <v>afforestation and reforestation</v>
      </c>
    </row>
    <row r="72" spans="1:11" x14ac:dyDescent="0.35">
      <c r="A72" s="20" t="s">
        <v>114</v>
      </c>
      <c r="B72" s="20" t="s">
        <v>115</v>
      </c>
      <c r="C72" s="20">
        <v>2035</v>
      </c>
      <c r="D72" s="20" t="s">
        <v>116</v>
      </c>
      <c r="E72" s="20" t="s">
        <v>128</v>
      </c>
      <c r="F72" s="20" t="s">
        <v>118</v>
      </c>
      <c r="G72" s="20" t="s">
        <v>122</v>
      </c>
      <c r="H72" s="20">
        <v>-33.700000000000003</v>
      </c>
      <c r="I72" s="20" t="s">
        <v>120</v>
      </c>
      <c r="K72" s="20" t="str">
        <f>INDEX('EPA land and ag calcs'!$G$7:$G$14,MATCH('EPA land and ag potential'!E72,'EPA land and ag calcs'!$A$7:$A$15,0))</f>
        <v>afforestation and reforestation</v>
      </c>
    </row>
    <row r="73" spans="1:11" x14ac:dyDescent="0.35">
      <c r="A73" s="20" t="s">
        <v>114</v>
      </c>
      <c r="B73" s="20" t="s">
        <v>115</v>
      </c>
      <c r="C73" s="20">
        <v>2025</v>
      </c>
      <c r="D73" s="20" t="s">
        <v>116</v>
      </c>
      <c r="E73" s="20" t="s">
        <v>129</v>
      </c>
      <c r="F73" s="20" t="s">
        <v>118</v>
      </c>
      <c r="G73" s="20" t="s">
        <v>119</v>
      </c>
      <c r="H73" s="20">
        <v>-15.2</v>
      </c>
      <c r="I73" s="20" t="s">
        <v>120</v>
      </c>
      <c r="K73" s="20" t="str">
        <f>INDEX('EPA land and ag calcs'!$G$7:$G$14,MATCH('EPA land and ag potential'!E73,'EPA land and ag calcs'!$A$7:$A$15,0))</f>
        <v>*handled in agriculture files</v>
      </c>
    </row>
    <row r="74" spans="1:11" x14ac:dyDescent="0.35">
      <c r="A74" s="20" t="s">
        <v>114</v>
      </c>
      <c r="B74" s="20" t="s">
        <v>115</v>
      </c>
      <c r="C74" s="20">
        <v>2035</v>
      </c>
      <c r="D74" s="20" t="s">
        <v>116</v>
      </c>
      <c r="E74" s="20" t="s">
        <v>129</v>
      </c>
      <c r="F74" s="20" t="s">
        <v>118</v>
      </c>
      <c r="G74" s="20" t="s">
        <v>119</v>
      </c>
      <c r="H74" s="20">
        <v>-28.6</v>
      </c>
      <c r="I74" s="20" t="s">
        <v>120</v>
      </c>
      <c r="K74" s="20" t="str">
        <f>INDEX('EPA land and ag calcs'!$G$7:$G$14,MATCH('EPA land and ag potential'!E74,'EPA land and ag calcs'!$A$7:$A$15,0))</f>
        <v>*handled in agriculture files</v>
      </c>
    </row>
    <row r="75" spans="1:11" x14ac:dyDescent="0.35">
      <c r="A75" s="20" t="s">
        <v>114</v>
      </c>
      <c r="B75" s="20" t="s">
        <v>115</v>
      </c>
      <c r="C75" s="20">
        <v>2045</v>
      </c>
      <c r="D75" s="20" t="s">
        <v>116</v>
      </c>
      <c r="E75" s="20" t="s">
        <v>129</v>
      </c>
      <c r="F75" s="20" t="s">
        <v>118</v>
      </c>
      <c r="G75" s="20" t="s">
        <v>119</v>
      </c>
      <c r="H75" s="20">
        <v>-36.299999999999997</v>
      </c>
      <c r="I75" s="20" t="s">
        <v>120</v>
      </c>
      <c r="K75" s="20" t="str">
        <f>INDEX('EPA land and ag calcs'!$G$7:$G$14,MATCH('EPA land and ag potential'!E75,'EPA land and ag calcs'!$A$7:$A$15,0))</f>
        <v>*handled in agriculture files</v>
      </c>
    </row>
    <row r="76" spans="1:11" x14ac:dyDescent="0.35">
      <c r="A76" s="20" t="s">
        <v>114</v>
      </c>
      <c r="B76" s="20" t="s">
        <v>115</v>
      </c>
      <c r="C76" s="20">
        <v>2055</v>
      </c>
      <c r="D76" s="20" t="s">
        <v>116</v>
      </c>
      <c r="E76" s="20" t="s">
        <v>129</v>
      </c>
      <c r="F76" s="20" t="s">
        <v>118</v>
      </c>
      <c r="G76" s="20" t="s">
        <v>119</v>
      </c>
      <c r="H76" s="20">
        <v>-45.2</v>
      </c>
      <c r="I76" s="20" t="s">
        <v>120</v>
      </c>
      <c r="K76" s="20" t="str">
        <f>INDEX('EPA land and ag calcs'!$G$7:$G$14,MATCH('EPA land and ag potential'!E76,'EPA land and ag calcs'!$A$7:$A$15,0))</f>
        <v>*handled in agriculture files</v>
      </c>
    </row>
    <row r="77" spans="1:11" hidden="1" x14ac:dyDescent="0.35">
      <c r="A77" s="20" t="s">
        <v>114</v>
      </c>
      <c r="B77" s="20" t="s">
        <v>115</v>
      </c>
      <c r="C77" s="20">
        <v>2025</v>
      </c>
      <c r="D77" s="20" t="s">
        <v>116</v>
      </c>
      <c r="E77" s="20" t="s">
        <v>129</v>
      </c>
      <c r="F77" s="20" t="s">
        <v>121</v>
      </c>
      <c r="G77" s="20" t="s">
        <v>119</v>
      </c>
      <c r="H77" s="20">
        <v>-15.5</v>
      </c>
      <c r="I77" s="20" t="s">
        <v>120</v>
      </c>
    </row>
    <row r="78" spans="1:11" hidden="1" x14ac:dyDescent="0.35">
      <c r="A78" s="20" t="s">
        <v>114</v>
      </c>
      <c r="B78" s="20" t="s">
        <v>115</v>
      </c>
      <c r="C78" s="20">
        <v>2035</v>
      </c>
      <c r="D78" s="20" t="s">
        <v>116</v>
      </c>
      <c r="E78" s="20" t="s">
        <v>129</v>
      </c>
      <c r="F78" s="20" t="s">
        <v>121</v>
      </c>
      <c r="G78" s="20" t="s">
        <v>119</v>
      </c>
      <c r="H78" s="20">
        <v>-21.9</v>
      </c>
      <c r="I78" s="20" t="s">
        <v>120</v>
      </c>
    </row>
    <row r="79" spans="1:11" hidden="1" x14ac:dyDescent="0.35">
      <c r="A79" s="20" t="s">
        <v>114</v>
      </c>
      <c r="B79" s="20" t="s">
        <v>115</v>
      </c>
      <c r="C79" s="20">
        <v>2045</v>
      </c>
      <c r="D79" s="20" t="s">
        <v>116</v>
      </c>
      <c r="E79" s="20" t="s">
        <v>129</v>
      </c>
      <c r="F79" s="20" t="s">
        <v>121</v>
      </c>
      <c r="G79" s="20" t="s">
        <v>119</v>
      </c>
      <c r="H79" s="20">
        <v>-29.7</v>
      </c>
      <c r="I79" s="20" t="s">
        <v>120</v>
      </c>
    </row>
    <row r="80" spans="1:11" hidden="1" x14ac:dyDescent="0.35">
      <c r="A80" s="20" t="s">
        <v>114</v>
      </c>
      <c r="B80" s="20" t="s">
        <v>115</v>
      </c>
      <c r="C80" s="20">
        <v>2055</v>
      </c>
      <c r="D80" s="20" t="s">
        <v>116</v>
      </c>
      <c r="E80" s="20" t="s">
        <v>129</v>
      </c>
      <c r="F80" s="20" t="s">
        <v>121</v>
      </c>
      <c r="G80" s="20" t="s">
        <v>119</v>
      </c>
      <c r="H80" s="20">
        <v>-33.799999999999997</v>
      </c>
      <c r="I80" s="20" t="s">
        <v>120</v>
      </c>
    </row>
    <row r="81" spans="1:11" x14ac:dyDescent="0.35">
      <c r="A81" s="20" t="s">
        <v>114</v>
      </c>
      <c r="B81" s="20" t="s">
        <v>115</v>
      </c>
      <c r="C81" s="20">
        <v>2025</v>
      </c>
      <c r="D81" s="20" t="s">
        <v>116</v>
      </c>
      <c r="E81" s="20" t="s">
        <v>129</v>
      </c>
      <c r="F81" s="20" t="s">
        <v>118</v>
      </c>
      <c r="G81" s="20" t="s">
        <v>122</v>
      </c>
      <c r="H81" s="20">
        <v>-0.5</v>
      </c>
      <c r="I81" s="20" t="s">
        <v>120</v>
      </c>
      <c r="K81" s="20" t="str">
        <f>INDEX('EPA land and ag calcs'!$G$7:$G$14,MATCH('EPA land and ag potential'!E81,'EPA land and ag calcs'!$A$7:$A$15,0))</f>
        <v>*handled in agriculture files</v>
      </c>
    </row>
    <row r="82" spans="1:11" x14ac:dyDescent="0.35">
      <c r="A82" s="20" t="s">
        <v>114</v>
      </c>
      <c r="B82" s="20" t="s">
        <v>115</v>
      </c>
      <c r="C82" s="20">
        <v>2035</v>
      </c>
      <c r="D82" s="20" t="s">
        <v>116</v>
      </c>
      <c r="E82" s="20" t="s">
        <v>129</v>
      </c>
      <c r="F82" s="20" t="s">
        <v>118</v>
      </c>
      <c r="G82" s="20" t="s">
        <v>122</v>
      </c>
      <c r="H82" s="20">
        <v>-1</v>
      </c>
      <c r="I82" s="20" t="s">
        <v>120</v>
      </c>
      <c r="K82" s="20" t="str">
        <f>INDEX('EPA land and ag calcs'!$G$7:$G$14,MATCH('EPA land and ag potential'!E82,'EPA land and ag calcs'!$A$7:$A$15,0))</f>
        <v>*handled in agriculture files</v>
      </c>
    </row>
    <row r="83" spans="1:11" hidden="1" x14ac:dyDescent="0.35">
      <c r="A83" s="20" t="s">
        <v>114</v>
      </c>
      <c r="B83" s="20" t="s">
        <v>130</v>
      </c>
      <c r="C83" s="20">
        <v>2025</v>
      </c>
      <c r="D83" s="20" t="s">
        <v>116</v>
      </c>
      <c r="E83" s="20" t="s">
        <v>131</v>
      </c>
      <c r="F83" s="20" t="s">
        <v>121</v>
      </c>
      <c r="G83" s="20" t="s">
        <v>132</v>
      </c>
      <c r="H83" s="20">
        <v>-232.1</v>
      </c>
      <c r="I83" s="20" t="s">
        <v>120</v>
      </c>
    </row>
    <row r="84" spans="1:11" hidden="1" x14ac:dyDescent="0.35">
      <c r="A84" s="20" t="s">
        <v>114</v>
      </c>
      <c r="B84" s="20" t="s">
        <v>130</v>
      </c>
      <c r="C84" s="20">
        <v>2025</v>
      </c>
      <c r="D84" s="20" t="s">
        <v>116</v>
      </c>
      <c r="E84" s="20" t="s">
        <v>131</v>
      </c>
      <c r="F84" s="20" t="s">
        <v>121</v>
      </c>
      <c r="G84" s="20" t="s">
        <v>133</v>
      </c>
      <c r="H84" s="20">
        <v>-77.8</v>
      </c>
      <c r="I84" s="20" t="s">
        <v>120</v>
      </c>
    </row>
    <row r="85" spans="1:11" hidden="1" x14ac:dyDescent="0.35">
      <c r="A85" s="20" t="s">
        <v>114</v>
      </c>
      <c r="B85" s="20" t="s">
        <v>130</v>
      </c>
      <c r="C85" s="20">
        <v>2025</v>
      </c>
      <c r="D85" s="20" t="s">
        <v>116</v>
      </c>
      <c r="E85" s="20" t="s">
        <v>131</v>
      </c>
      <c r="F85" s="20" t="s">
        <v>121</v>
      </c>
      <c r="G85" s="20" t="s">
        <v>134</v>
      </c>
      <c r="H85" s="20">
        <v>-114.7</v>
      </c>
      <c r="I85" s="20" t="s">
        <v>120</v>
      </c>
    </row>
    <row r="86" spans="1:11" hidden="1" x14ac:dyDescent="0.35">
      <c r="A86" s="20" t="s">
        <v>114</v>
      </c>
      <c r="B86" s="20" t="s">
        <v>130</v>
      </c>
      <c r="C86" s="20">
        <v>2025</v>
      </c>
      <c r="D86" s="20" t="s">
        <v>116</v>
      </c>
      <c r="E86" s="20" t="s">
        <v>131</v>
      </c>
      <c r="F86" s="20" t="s">
        <v>121</v>
      </c>
      <c r="G86" s="20" t="s">
        <v>122</v>
      </c>
      <c r="H86" s="20">
        <v>-30.5</v>
      </c>
      <c r="I86" s="20" t="s">
        <v>120</v>
      </c>
    </row>
    <row r="87" spans="1:11" hidden="1" x14ac:dyDescent="0.35">
      <c r="A87" s="20" t="s">
        <v>114</v>
      </c>
      <c r="B87" s="20" t="s">
        <v>130</v>
      </c>
      <c r="C87" s="20">
        <v>2025</v>
      </c>
      <c r="D87" s="20" t="s">
        <v>116</v>
      </c>
      <c r="E87" s="20" t="s">
        <v>131</v>
      </c>
      <c r="F87" s="20" t="s">
        <v>121</v>
      </c>
      <c r="G87" s="20" t="s">
        <v>119</v>
      </c>
      <c r="H87" s="20">
        <v>-169.8</v>
      </c>
      <c r="I87" s="20" t="s">
        <v>120</v>
      </c>
    </row>
    <row r="88" spans="1:11" x14ac:dyDescent="0.35">
      <c r="A88" s="20" t="s">
        <v>114</v>
      </c>
      <c r="B88" s="20" t="s">
        <v>130</v>
      </c>
      <c r="C88" s="20">
        <v>2025</v>
      </c>
      <c r="D88" s="20" t="s">
        <v>116</v>
      </c>
      <c r="E88" s="20" t="s">
        <v>131</v>
      </c>
      <c r="F88" s="20" t="s">
        <v>118</v>
      </c>
      <c r="G88" s="20" t="s">
        <v>132</v>
      </c>
      <c r="H88" s="20">
        <v>-96.9</v>
      </c>
      <c r="I88" s="20" t="s">
        <v>120</v>
      </c>
      <c r="K88" s="20" t="e">
        <f>INDEX('EPA land and ag calcs'!$G$7:$G$14,MATCH('EPA land and ag potential'!E88,'EPA land and ag calcs'!$A$7:$A$15,0))</f>
        <v>#REF!</v>
      </c>
    </row>
    <row r="89" spans="1:11" x14ac:dyDescent="0.35">
      <c r="A89" s="20" t="s">
        <v>114</v>
      </c>
      <c r="B89" s="20" t="s">
        <v>130</v>
      </c>
      <c r="C89" s="20">
        <v>2025</v>
      </c>
      <c r="D89" s="20" t="s">
        <v>116</v>
      </c>
      <c r="E89" s="20" t="s">
        <v>131</v>
      </c>
      <c r="F89" s="20" t="s">
        <v>118</v>
      </c>
      <c r="G89" s="20" t="s">
        <v>133</v>
      </c>
      <c r="H89" s="20">
        <v>-5.7</v>
      </c>
      <c r="I89" s="20" t="s">
        <v>120</v>
      </c>
      <c r="K89" s="20" t="e">
        <f>INDEX('EPA land and ag calcs'!$G$7:$G$14,MATCH('EPA land and ag potential'!E89,'EPA land and ag calcs'!$A$7:$A$15,0))</f>
        <v>#REF!</v>
      </c>
    </row>
    <row r="90" spans="1:11" x14ac:dyDescent="0.35">
      <c r="A90" s="20" t="s">
        <v>114</v>
      </c>
      <c r="B90" s="20" t="s">
        <v>130</v>
      </c>
      <c r="C90" s="20">
        <v>2025</v>
      </c>
      <c r="D90" s="20" t="s">
        <v>116</v>
      </c>
      <c r="E90" s="20" t="s">
        <v>131</v>
      </c>
      <c r="F90" s="20" t="s">
        <v>118</v>
      </c>
      <c r="G90" s="20" t="s">
        <v>134</v>
      </c>
      <c r="H90" s="20">
        <v>-6.6</v>
      </c>
      <c r="I90" s="20" t="s">
        <v>120</v>
      </c>
      <c r="K90" s="20" t="e">
        <f>INDEX('EPA land and ag calcs'!$G$7:$G$14,MATCH('EPA land and ag potential'!E90,'EPA land and ag calcs'!$A$7:$A$15,0))</f>
        <v>#REF!</v>
      </c>
    </row>
    <row r="91" spans="1:11" x14ac:dyDescent="0.35">
      <c r="A91" s="20" t="s">
        <v>114</v>
      </c>
      <c r="B91" s="20" t="s">
        <v>130</v>
      </c>
      <c r="C91" s="20">
        <v>2025</v>
      </c>
      <c r="D91" s="20" t="s">
        <v>116</v>
      </c>
      <c r="E91" s="20" t="s">
        <v>131</v>
      </c>
      <c r="F91" s="20" t="s">
        <v>118</v>
      </c>
      <c r="G91" s="20" t="s">
        <v>122</v>
      </c>
      <c r="H91" s="20">
        <v>8.3000000000000007</v>
      </c>
      <c r="I91" s="20" t="s">
        <v>120</v>
      </c>
      <c r="K91" s="20" t="e">
        <f>INDEX('EPA land and ag calcs'!$G$7:$G$14,MATCH('EPA land and ag potential'!E91,'EPA land and ag calcs'!$A$7:$A$15,0))</f>
        <v>#REF!</v>
      </c>
    </row>
    <row r="92" spans="1:11" x14ac:dyDescent="0.35">
      <c r="A92" s="20" t="s">
        <v>114</v>
      </c>
      <c r="B92" s="20" t="s">
        <v>130</v>
      </c>
      <c r="C92" s="20">
        <v>2025</v>
      </c>
      <c r="D92" s="20" t="s">
        <v>116</v>
      </c>
      <c r="E92" s="20" t="s">
        <v>131</v>
      </c>
      <c r="F92" s="20" t="s">
        <v>118</v>
      </c>
      <c r="G92" s="20" t="s">
        <v>119</v>
      </c>
      <c r="H92" s="20">
        <v>-62.9</v>
      </c>
      <c r="I92" s="20" t="s">
        <v>120</v>
      </c>
      <c r="K92" s="20" t="e">
        <f>INDEX('EPA land and ag calcs'!$G$7:$G$14,MATCH('EPA land and ag potential'!E92,'EPA land and ag calcs'!$A$7:$A$15,0))</f>
        <v>#REF!</v>
      </c>
    </row>
    <row r="93" spans="1:11" hidden="1" x14ac:dyDescent="0.35">
      <c r="A93" s="20" t="s">
        <v>114</v>
      </c>
      <c r="B93" s="20" t="s">
        <v>115</v>
      </c>
      <c r="C93" s="20">
        <v>2025</v>
      </c>
      <c r="D93" s="20" t="s">
        <v>135</v>
      </c>
      <c r="E93" s="20" t="s">
        <v>117</v>
      </c>
      <c r="F93" s="20" t="s">
        <v>118</v>
      </c>
      <c r="G93" s="20" t="s">
        <v>119</v>
      </c>
      <c r="H93" s="20">
        <v>-12.7</v>
      </c>
      <c r="I93" s="20" t="s">
        <v>120</v>
      </c>
    </row>
    <row r="94" spans="1:11" hidden="1" x14ac:dyDescent="0.35">
      <c r="A94" s="20" t="s">
        <v>114</v>
      </c>
      <c r="B94" s="20" t="s">
        <v>115</v>
      </c>
      <c r="C94" s="20">
        <v>2035</v>
      </c>
      <c r="D94" s="20" t="s">
        <v>135</v>
      </c>
      <c r="E94" s="20" t="s">
        <v>117</v>
      </c>
      <c r="F94" s="20" t="s">
        <v>118</v>
      </c>
      <c r="G94" s="20" t="s">
        <v>119</v>
      </c>
      <c r="H94" s="20">
        <v>-8.8000000000000007</v>
      </c>
      <c r="I94" s="20" t="s">
        <v>120</v>
      </c>
    </row>
    <row r="95" spans="1:11" hidden="1" x14ac:dyDescent="0.35">
      <c r="A95" s="20" t="s">
        <v>114</v>
      </c>
      <c r="B95" s="20" t="s">
        <v>115</v>
      </c>
      <c r="C95" s="20">
        <v>2045</v>
      </c>
      <c r="D95" s="20" t="s">
        <v>135</v>
      </c>
      <c r="E95" s="20" t="s">
        <v>117</v>
      </c>
      <c r="F95" s="20" t="s">
        <v>118</v>
      </c>
      <c r="G95" s="20" t="s">
        <v>119</v>
      </c>
      <c r="H95" s="20">
        <v>-7.7</v>
      </c>
      <c r="I95" s="20" t="s">
        <v>120</v>
      </c>
    </row>
    <row r="96" spans="1:11" hidden="1" x14ac:dyDescent="0.35">
      <c r="A96" s="20" t="s">
        <v>114</v>
      </c>
      <c r="B96" s="20" t="s">
        <v>115</v>
      </c>
      <c r="C96" s="20">
        <v>2055</v>
      </c>
      <c r="D96" s="20" t="s">
        <v>135</v>
      </c>
      <c r="E96" s="20" t="s">
        <v>117</v>
      </c>
      <c r="F96" s="20" t="s">
        <v>118</v>
      </c>
      <c r="G96" s="20" t="s">
        <v>119</v>
      </c>
      <c r="H96" s="20">
        <v>-7.2</v>
      </c>
      <c r="I96" s="20" t="s">
        <v>120</v>
      </c>
    </row>
    <row r="97" spans="1:9" hidden="1" x14ac:dyDescent="0.35">
      <c r="A97" s="20" t="s">
        <v>114</v>
      </c>
      <c r="B97" s="20" t="s">
        <v>115</v>
      </c>
      <c r="C97" s="20">
        <v>2025</v>
      </c>
      <c r="D97" s="20" t="s">
        <v>135</v>
      </c>
      <c r="E97" s="20" t="s">
        <v>117</v>
      </c>
      <c r="F97" s="20" t="s">
        <v>121</v>
      </c>
      <c r="G97" s="20" t="s">
        <v>119</v>
      </c>
      <c r="H97" s="20">
        <v>-12.7</v>
      </c>
      <c r="I97" s="20" t="s">
        <v>120</v>
      </c>
    </row>
    <row r="98" spans="1:9" hidden="1" x14ac:dyDescent="0.35">
      <c r="A98" s="20" t="s">
        <v>114</v>
      </c>
      <c r="B98" s="20" t="s">
        <v>115</v>
      </c>
      <c r="C98" s="20">
        <v>2035</v>
      </c>
      <c r="D98" s="20" t="s">
        <v>135</v>
      </c>
      <c r="E98" s="20" t="s">
        <v>117</v>
      </c>
      <c r="F98" s="20" t="s">
        <v>121</v>
      </c>
      <c r="G98" s="20" t="s">
        <v>119</v>
      </c>
      <c r="H98" s="20">
        <v>-8.6999999999999993</v>
      </c>
      <c r="I98" s="20" t="s">
        <v>120</v>
      </c>
    </row>
    <row r="99" spans="1:9" hidden="1" x14ac:dyDescent="0.35">
      <c r="A99" s="20" t="s">
        <v>114</v>
      </c>
      <c r="B99" s="20" t="s">
        <v>115</v>
      </c>
      <c r="C99" s="20">
        <v>2045</v>
      </c>
      <c r="D99" s="20" t="s">
        <v>135</v>
      </c>
      <c r="E99" s="20" t="s">
        <v>117</v>
      </c>
      <c r="F99" s="20" t="s">
        <v>121</v>
      </c>
      <c r="G99" s="20" t="s">
        <v>119</v>
      </c>
      <c r="H99" s="20">
        <v>-7.7</v>
      </c>
      <c r="I99" s="20" t="s">
        <v>120</v>
      </c>
    </row>
    <row r="100" spans="1:9" hidden="1" x14ac:dyDescent="0.35">
      <c r="A100" s="20" t="s">
        <v>114</v>
      </c>
      <c r="B100" s="20" t="s">
        <v>115</v>
      </c>
      <c r="C100" s="20">
        <v>2055</v>
      </c>
      <c r="D100" s="20" t="s">
        <v>135</v>
      </c>
      <c r="E100" s="20" t="s">
        <v>117</v>
      </c>
      <c r="F100" s="20" t="s">
        <v>121</v>
      </c>
      <c r="G100" s="20" t="s">
        <v>119</v>
      </c>
      <c r="H100" s="20">
        <v>-7.1</v>
      </c>
      <c r="I100" s="20" t="s">
        <v>120</v>
      </c>
    </row>
    <row r="101" spans="1:9" hidden="1" x14ac:dyDescent="0.35">
      <c r="A101" s="20" t="s">
        <v>114</v>
      </c>
      <c r="B101" s="20" t="s">
        <v>115</v>
      </c>
      <c r="C101" s="20">
        <v>2025</v>
      </c>
      <c r="D101" s="20" t="s">
        <v>135</v>
      </c>
      <c r="E101" s="20" t="s">
        <v>117</v>
      </c>
      <c r="F101" s="20" t="s">
        <v>118</v>
      </c>
      <c r="G101" s="20" t="s">
        <v>122</v>
      </c>
      <c r="H101" s="20">
        <v>-11</v>
      </c>
      <c r="I101" s="20" t="s">
        <v>120</v>
      </c>
    </row>
    <row r="102" spans="1:9" hidden="1" x14ac:dyDescent="0.35">
      <c r="A102" s="20" t="s">
        <v>114</v>
      </c>
      <c r="B102" s="20" t="s">
        <v>115</v>
      </c>
      <c r="C102" s="20">
        <v>2035</v>
      </c>
      <c r="D102" s="20" t="s">
        <v>135</v>
      </c>
      <c r="E102" s="20" t="s">
        <v>117</v>
      </c>
      <c r="F102" s="20" t="s">
        <v>118</v>
      </c>
      <c r="G102" s="20" t="s">
        <v>122</v>
      </c>
      <c r="H102" s="20">
        <v>-7.3</v>
      </c>
      <c r="I102" s="20" t="s">
        <v>120</v>
      </c>
    </row>
    <row r="103" spans="1:9" hidden="1" x14ac:dyDescent="0.35">
      <c r="A103" s="20" t="s">
        <v>114</v>
      </c>
      <c r="B103" s="20" t="s">
        <v>115</v>
      </c>
      <c r="C103" s="20">
        <v>2045</v>
      </c>
      <c r="D103" s="20" t="s">
        <v>135</v>
      </c>
      <c r="E103" s="20" t="s">
        <v>117</v>
      </c>
      <c r="F103" s="20" t="s">
        <v>118</v>
      </c>
      <c r="G103" s="20" t="s">
        <v>122</v>
      </c>
      <c r="H103" s="20">
        <v>-6.2</v>
      </c>
      <c r="I103" s="20" t="s">
        <v>120</v>
      </c>
    </row>
    <row r="104" spans="1:9" hidden="1" x14ac:dyDescent="0.35">
      <c r="A104" s="20" t="s">
        <v>114</v>
      </c>
      <c r="B104" s="20" t="s">
        <v>115</v>
      </c>
      <c r="C104" s="20">
        <v>2055</v>
      </c>
      <c r="D104" s="20" t="s">
        <v>135</v>
      </c>
      <c r="E104" s="20" t="s">
        <v>117</v>
      </c>
      <c r="F104" s="20" t="s">
        <v>118</v>
      </c>
      <c r="G104" s="20" t="s">
        <v>122</v>
      </c>
      <c r="H104" s="20">
        <v>-5.8</v>
      </c>
      <c r="I104" s="20" t="s">
        <v>120</v>
      </c>
    </row>
    <row r="105" spans="1:9" hidden="1" x14ac:dyDescent="0.35">
      <c r="A105" s="20" t="s">
        <v>114</v>
      </c>
      <c r="B105" s="20" t="s">
        <v>115</v>
      </c>
      <c r="C105" s="20">
        <v>2025</v>
      </c>
      <c r="D105" s="20" t="s">
        <v>135</v>
      </c>
      <c r="E105" s="20" t="s">
        <v>117</v>
      </c>
      <c r="F105" s="20" t="s">
        <v>121</v>
      </c>
      <c r="G105" s="20" t="s">
        <v>122</v>
      </c>
      <c r="H105" s="20">
        <v>-11</v>
      </c>
      <c r="I105" s="20" t="s">
        <v>120</v>
      </c>
    </row>
    <row r="106" spans="1:9" hidden="1" x14ac:dyDescent="0.35">
      <c r="A106" s="20" t="s">
        <v>114</v>
      </c>
      <c r="B106" s="20" t="s">
        <v>115</v>
      </c>
      <c r="C106" s="20">
        <v>2035</v>
      </c>
      <c r="D106" s="20" t="s">
        <v>135</v>
      </c>
      <c r="E106" s="20" t="s">
        <v>117</v>
      </c>
      <c r="F106" s="20" t="s">
        <v>121</v>
      </c>
      <c r="G106" s="20" t="s">
        <v>122</v>
      </c>
      <c r="H106" s="20">
        <v>-7.3</v>
      </c>
      <c r="I106" s="20" t="s">
        <v>120</v>
      </c>
    </row>
    <row r="107" spans="1:9" hidden="1" x14ac:dyDescent="0.35">
      <c r="A107" s="20" t="s">
        <v>114</v>
      </c>
      <c r="B107" s="20" t="s">
        <v>115</v>
      </c>
      <c r="C107" s="20">
        <v>2045</v>
      </c>
      <c r="D107" s="20" t="s">
        <v>135</v>
      </c>
      <c r="E107" s="20" t="s">
        <v>117</v>
      </c>
      <c r="F107" s="20" t="s">
        <v>121</v>
      </c>
      <c r="G107" s="20" t="s">
        <v>122</v>
      </c>
      <c r="H107" s="20">
        <v>-5.9</v>
      </c>
      <c r="I107" s="20" t="s">
        <v>120</v>
      </c>
    </row>
    <row r="108" spans="1:9" hidden="1" x14ac:dyDescent="0.35">
      <c r="A108" s="20" t="s">
        <v>114</v>
      </c>
      <c r="B108" s="20" t="s">
        <v>115</v>
      </c>
      <c r="C108" s="20">
        <v>2055</v>
      </c>
      <c r="D108" s="20" t="s">
        <v>135</v>
      </c>
      <c r="E108" s="20" t="s">
        <v>117</v>
      </c>
      <c r="F108" s="20" t="s">
        <v>121</v>
      </c>
      <c r="G108" s="20" t="s">
        <v>122</v>
      </c>
      <c r="H108" s="20">
        <v>-5.3</v>
      </c>
      <c r="I108" s="20" t="s">
        <v>120</v>
      </c>
    </row>
    <row r="109" spans="1:9" hidden="1" x14ac:dyDescent="0.35">
      <c r="A109" s="20" t="s">
        <v>114</v>
      </c>
      <c r="B109" s="20" t="s">
        <v>115</v>
      </c>
      <c r="C109" s="20">
        <v>2025</v>
      </c>
      <c r="D109" s="20" t="s">
        <v>135</v>
      </c>
      <c r="E109" s="20" t="s">
        <v>117</v>
      </c>
      <c r="F109" s="20" t="s">
        <v>118</v>
      </c>
      <c r="G109" s="20" t="s">
        <v>134</v>
      </c>
      <c r="H109" s="20">
        <v>-12.1</v>
      </c>
      <c r="I109" s="20" t="s">
        <v>120</v>
      </c>
    </row>
    <row r="110" spans="1:9" hidden="1" x14ac:dyDescent="0.35">
      <c r="A110" s="20" t="s">
        <v>114</v>
      </c>
      <c r="B110" s="20" t="s">
        <v>115</v>
      </c>
      <c r="C110" s="20">
        <v>2035</v>
      </c>
      <c r="D110" s="20" t="s">
        <v>135</v>
      </c>
      <c r="E110" s="20" t="s">
        <v>117</v>
      </c>
      <c r="F110" s="20" t="s">
        <v>118</v>
      </c>
      <c r="G110" s="20" t="s">
        <v>134</v>
      </c>
      <c r="H110" s="20">
        <v>-8.3000000000000007</v>
      </c>
      <c r="I110" s="20" t="s">
        <v>120</v>
      </c>
    </row>
    <row r="111" spans="1:9" hidden="1" x14ac:dyDescent="0.35">
      <c r="A111" s="20" t="s">
        <v>114</v>
      </c>
      <c r="B111" s="20" t="s">
        <v>115</v>
      </c>
      <c r="C111" s="20">
        <v>2045</v>
      </c>
      <c r="D111" s="20" t="s">
        <v>135</v>
      </c>
      <c r="E111" s="20" t="s">
        <v>117</v>
      </c>
      <c r="F111" s="20" t="s">
        <v>118</v>
      </c>
      <c r="G111" s="20" t="s">
        <v>134</v>
      </c>
      <c r="H111" s="20">
        <v>-7.2</v>
      </c>
      <c r="I111" s="20" t="s">
        <v>120</v>
      </c>
    </row>
    <row r="112" spans="1:9" hidden="1" x14ac:dyDescent="0.35">
      <c r="A112" s="20" t="s">
        <v>114</v>
      </c>
      <c r="B112" s="20" t="s">
        <v>115</v>
      </c>
      <c r="C112" s="20">
        <v>2055</v>
      </c>
      <c r="D112" s="20" t="s">
        <v>135</v>
      </c>
      <c r="E112" s="20" t="s">
        <v>117</v>
      </c>
      <c r="F112" s="20" t="s">
        <v>118</v>
      </c>
      <c r="G112" s="20" t="s">
        <v>134</v>
      </c>
      <c r="H112" s="20">
        <v>-6.8</v>
      </c>
      <c r="I112" s="20" t="s">
        <v>120</v>
      </c>
    </row>
    <row r="113" spans="1:9" hidden="1" x14ac:dyDescent="0.35">
      <c r="A113" s="20" t="s">
        <v>114</v>
      </c>
      <c r="B113" s="20" t="s">
        <v>115</v>
      </c>
      <c r="C113" s="20">
        <v>2025</v>
      </c>
      <c r="D113" s="20" t="s">
        <v>135</v>
      </c>
      <c r="E113" s="20" t="s">
        <v>117</v>
      </c>
      <c r="F113" s="20" t="s">
        <v>121</v>
      </c>
      <c r="G113" s="20" t="s">
        <v>134</v>
      </c>
      <c r="H113" s="20">
        <v>-12.1</v>
      </c>
      <c r="I113" s="20" t="s">
        <v>120</v>
      </c>
    </row>
    <row r="114" spans="1:9" hidden="1" x14ac:dyDescent="0.35">
      <c r="A114" s="20" t="s">
        <v>114</v>
      </c>
      <c r="B114" s="20" t="s">
        <v>115</v>
      </c>
      <c r="C114" s="20">
        <v>2035</v>
      </c>
      <c r="D114" s="20" t="s">
        <v>135</v>
      </c>
      <c r="E114" s="20" t="s">
        <v>117</v>
      </c>
      <c r="F114" s="20" t="s">
        <v>121</v>
      </c>
      <c r="G114" s="20" t="s">
        <v>134</v>
      </c>
      <c r="H114" s="20">
        <v>-8</v>
      </c>
      <c r="I114" s="20" t="s">
        <v>120</v>
      </c>
    </row>
    <row r="115" spans="1:9" hidden="1" x14ac:dyDescent="0.35">
      <c r="A115" s="20" t="s">
        <v>114</v>
      </c>
      <c r="B115" s="20" t="s">
        <v>115</v>
      </c>
      <c r="C115" s="20">
        <v>2045</v>
      </c>
      <c r="D115" s="20" t="s">
        <v>135</v>
      </c>
      <c r="E115" s="20" t="s">
        <v>117</v>
      </c>
      <c r="F115" s="20" t="s">
        <v>121</v>
      </c>
      <c r="G115" s="20" t="s">
        <v>134</v>
      </c>
      <c r="H115" s="20">
        <v>-7</v>
      </c>
      <c r="I115" s="20" t="s">
        <v>120</v>
      </c>
    </row>
    <row r="116" spans="1:9" hidden="1" x14ac:dyDescent="0.35">
      <c r="A116" s="20" t="s">
        <v>114</v>
      </c>
      <c r="B116" s="20" t="s">
        <v>115</v>
      </c>
      <c r="C116" s="20">
        <v>2055</v>
      </c>
      <c r="D116" s="20" t="s">
        <v>135</v>
      </c>
      <c r="E116" s="20" t="s">
        <v>117</v>
      </c>
      <c r="F116" s="20" t="s">
        <v>121</v>
      </c>
      <c r="G116" s="20" t="s">
        <v>134</v>
      </c>
      <c r="H116" s="20">
        <v>-6.5</v>
      </c>
      <c r="I116" s="20" t="s">
        <v>120</v>
      </c>
    </row>
    <row r="117" spans="1:9" hidden="1" x14ac:dyDescent="0.35">
      <c r="A117" s="20" t="s">
        <v>114</v>
      </c>
      <c r="B117" s="20" t="s">
        <v>115</v>
      </c>
      <c r="C117" s="20">
        <v>2025</v>
      </c>
      <c r="D117" s="20" t="s">
        <v>135</v>
      </c>
      <c r="E117" s="20" t="s">
        <v>117</v>
      </c>
      <c r="F117" s="20" t="s">
        <v>118</v>
      </c>
      <c r="G117" s="20" t="s">
        <v>133</v>
      </c>
      <c r="H117" s="20">
        <v>-12</v>
      </c>
      <c r="I117" s="20" t="s">
        <v>120</v>
      </c>
    </row>
    <row r="118" spans="1:9" hidden="1" x14ac:dyDescent="0.35">
      <c r="A118" s="20" t="s">
        <v>114</v>
      </c>
      <c r="B118" s="20" t="s">
        <v>115</v>
      </c>
      <c r="C118" s="20">
        <v>2035</v>
      </c>
      <c r="D118" s="20" t="s">
        <v>135</v>
      </c>
      <c r="E118" s="20" t="s">
        <v>117</v>
      </c>
      <c r="F118" s="20" t="s">
        <v>118</v>
      </c>
      <c r="G118" s="20" t="s">
        <v>133</v>
      </c>
      <c r="H118" s="20">
        <v>-8</v>
      </c>
      <c r="I118" s="20" t="s">
        <v>120</v>
      </c>
    </row>
    <row r="119" spans="1:9" hidden="1" x14ac:dyDescent="0.35">
      <c r="A119" s="20" t="s">
        <v>114</v>
      </c>
      <c r="B119" s="20" t="s">
        <v>115</v>
      </c>
      <c r="C119" s="20">
        <v>2045</v>
      </c>
      <c r="D119" s="20" t="s">
        <v>135</v>
      </c>
      <c r="E119" s="20" t="s">
        <v>117</v>
      </c>
      <c r="F119" s="20" t="s">
        <v>118</v>
      </c>
      <c r="G119" s="20" t="s">
        <v>133</v>
      </c>
      <c r="H119" s="20">
        <v>-7</v>
      </c>
      <c r="I119" s="20" t="s">
        <v>120</v>
      </c>
    </row>
    <row r="120" spans="1:9" hidden="1" x14ac:dyDescent="0.35">
      <c r="A120" s="20" t="s">
        <v>114</v>
      </c>
      <c r="B120" s="20" t="s">
        <v>115</v>
      </c>
      <c r="C120" s="20">
        <v>2055</v>
      </c>
      <c r="D120" s="20" t="s">
        <v>135</v>
      </c>
      <c r="E120" s="20" t="s">
        <v>117</v>
      </c>
      <c r="F120" s="20" t="s">
        <v>118</v>
      </c>
      <c r="G120" s="20" t="s">
        <v>133</v>
      </c>
      <c r="H120" s="20">
        <v>-6.7</v>
      </c>
      <c r="I120" s="20" t="s">
        <v>120</v>
      </c>
    </row>
    <row r="121" spans="1:9" hidden="1" x14ac:dyDescent="0.35">
      <c r="A121" s="20" t="s">
        <v>114</v>
      </c>
      <c r="B121" s="20" t="s">
        <v>115</v>
      </c>
      <c r="C121" s="20">
        <v>2025</v>
      </c>
      <c r="D121" s="20" t="s">
        <v>135</v>
      </c>
      <c r="E121" s="20" t="s">
        <v>117</v>
      </c>
      <c r="F121" s="20" t="s">
        <v>121</v>
      </c>
      <c r="G121" s="20" t="s">
        <v>133</v>
      </c>
      <c r="H121" s="20">
        <v>-12</v>
      </c>
      <c r="I121" s="20" t="s">
        <v>120</v>
      </c>
    </row>
    <row r="122" spans="1:9" hidden="1" x14ac:dyDescent="0.35">
      <c r="A122" s="20" t="s">
        <v>114</v>
      </c>
      <c r="B122" s="20" t="s">
        <v>115</v>
      </c>
      <c r="C122" s="20">
        <v>2035</v>
      </c>
      <c r="D122" s="20" t="s">
        <v>135</v>
      </c>
      <c r="E122" s="20" t="s">
        <v>117</v>
      </c>
      <c r="F122" s="20" t="s">
        <v>121</v>
      </c>
      <c r="G122" s="20" t="s">
        <v>133</v>
      </c>
      <c r="H122" s="20">
        <v>-8</v>
      </c>
      <c r="I122" s="20" t="s">
        <v>120</v>
      </c>
    </row>
    <row r="123" spans="1:9" hidden="1" x14ac:dyDescent="0.35">
      <c r="A123" s="20" t="s">
        <v>114</v>
      </c>
      <c r="B123" s="20" t="s">
        <v>115</v>
      </c>
      <c r="C123" s="20">
        <v>2045</v>
      </c>
      <c r="D123" s="20" t="s">
        <v>135</v>
      </c>
      <c r="E123" s="20" t="s">
        <v>117</v>
      </c>
      <c r="F123" s="20" t="s">
        <v>121</v>
      </c>
      <c r="G123" s="20" t="s">
        <v>133</v>
      </c>
      <c r="H123" s="20">
        <v>-6.8</v>
      </c>
      <c r="I123" s="20" t="s">
        <v>120</v>
      </c>
    </row>
    <row r="124" spans="1:9" hidden="1" x14ac:dyDescent="0.35">
      <c r="A124" s="20" t="s">
        <v>114</v>
      </c>
      <c r="B124" s="20" t="s">
        <v>115</v>
      </c>
      <c r="C124" s="20">
        <v>2055</v>
      </c>
      <c r="D124" s="20" t="s">
        <v>135</v>
      </c>
      <c r="E124" s="20" t="s">
        <v>117</v>
      </c>
      <c r="F124" s="20" t="s">
        <v>121</v>
      </c>
      <c r="G124" s="20" t="s">
        <v>133</v>
      </c>
      <c r="H124" s="20">
        <v>-6.4</v>
      </c>
      <c r="I124" s="20" t="s">
        <v>120</v>
      </c>
    </row>
    <row r="125" spans="1:9" hidden="1" x14ac:dyDescent="0.35">
      <c r="A125" s="20" t="s">
        <v>114</v>
      </c>
      <c r="B125" s="20" t="s">
        <v>115</v>
      </c>
      <c r="C125" s="20">
        <v>2025</v>
      </c>
      <c r="D125" s="20" t="s">
        <v>135</v>
      </c>
      <c r="E125" s="20" t="s">
        <v>117</v>
      </c>
      <c r="F125" s="20" t="s">
        <v>118</v>
      </c>
      <c r="G125" s="20" t="s">
        <v>132</v>
      </c>
      <c r="H125" s="20">
        <v>-13.3</v>
      </c>
      <c r="I125" s="20" t="s">
        <v>120</v>
      </c>
    </row>
    <row r="126" spans="1:9" hidden="1" x14ac:dyDescent="0.35">
      <c r="A126" s="20" t="s">
        <v>114</v>
      </c>
      <c r="B126" s="20" t="s">
        <v>115</v>
      </c>
      <c r="C126" s="20">
        <v>2035</v>
      </c>
      <c r="D126" s="20" t="s">
        <v>135</v>
      </c>
      <c r="E126" s="20" t="s">
        <v>117</v>
      </c>
      <c r="F126" s="20" t="s">
        <v>118</v>
      </c>
      <c r="G126" s="20" t="s">
        <v>132</v>
      </c>
      <c r="H126" s="20">
        <v>-9.3000000000000007</v>
      </c>
      <c r="I126" s="20" t="s">
        <v>120</v>
      </c>
    </row>
    <row r="127" spans="1:9" hidden="1" x14ac:dyDescent="0.35">
      <c r="A127" s="20" t="s">
        <v>114</v>
      </c>
      <c r="B127" s="20" t="s">
        <v>115</v>
      </c>
      <c r="C127" s="20">
        <v>2045</v>
      </c>
      <c r="D127" s="20" t="s">
        <v>135</v>
      </c>
      <c r="E127" s="20" t="s">
        <v>117</v>
      </c>
      <c r="F127" s="20" t="s">
        <v>118</v>
      </c>
      <c r="G127" s="20" t="s">
        <v>132</v>
      </c>
      <c r="H127" s="20">
        <v>-7.9</v>
      </c>
      <c r="I127" s="20" t="s">
        <v>120</v>
      </c>
    </row>
    <row r="128" spans="1:9" hidden="1" x14ac:dyDescent="0.35">
      <c r="A128" s="20" t="s">
        <v>114</v>
      </c>
      <c r="B128" s="20" t="s">
        <v>115</v>
      </c>
      <c r="C128" s="20">
        <v>2055</v>
      </c>
      <c r="D128" s="20" t="s">
        <v>135</v>
      </c>
      <c r="E128" s="20" t="s">
        <v>117</v>
      </c>
      <c r="F128" s="20" t="s">
        <v>118</v>
      </c>
      <c r="G128" s="20" t="s">
        <v>132</v>
      </c>
      <c r="H128" s="20">
        <v>-7.3</v>
      </c>
      <c r="I128" s="20" t="s">
        <v>120</v>
      </c>
    </row>
    <row r="129" spans="1:9" hidden="1" x14ac:dyDescent="0.35">
      <c r="A129" s="20" t="s">
        <v>114</v>
      </c>
      <c r="B129" s="20" t="s">
        <v>115</v>
      </c>
      <c r="C129" s="20">
        <v>2025</v>
      </c>
      <c r="D129" s="20" t="s">
        <v>135</v>
      </c>
      <c r="E129" s="20" t="s">
        <v>117</v>
      </c>
      <c r="F129" s="20" t="s">
        <v>121</v>
      </c>
      <c r="G129" s="20" t="s">
        <v>132</v>
      </c>
      <c r="H129" s="20">
        <v>-13.3</v>
      </c>
      <c r="I129" s="20" t="s">
        <v>120</v>
      </c>
    </row>
    <row r="130" spans="1:9" hidden="1" x14ac:dyDescent="0.35">
      <c r="A130" s="20" t="s">
        <v>114</v>
      </c>
      <c r="B130" s="20" t="s">
        <v>115</v>
      </c>
      <c r="C130" s="20">
        <v>2035</v>
      </c>
      <c r="D130" s="20" t="s">
        <v>135</v>
      </c>
      <c r="E130" s="20" t="s">
        <v>117</v>
      </c>
      <c r="F130" s="20" t="s">
        <v>121</v>
      </c>
      <c r="G130" s="20" t="s">
        <v>132</v>
      </c>
      <c r="H130" s="20">
        <v>-9.1</v>
      </c>
      <c r="I130" s="20" t="s">
        <v>120</v>
      </c>
    </row>
    <row r="131" spans="1:9" hidden="1" x14ac:dyDescent="0.35">
      <c r="A131" s="20" t="s">
        <v>114</v>
      </c>
      <c r="B131" s="20" t="s">
        <v>115</v>
      </c>
      <c r="C131" s="20">
        <v>2045</v>
      </c>
      <c r="D131" s="20" t="s">
        <v>135</v>
      </c>
      <c r="E131" s="20" t="s">
        <v>117</v>
      </c>
      <c r="F131" s="20" t="s">
        <v>121</v>
      </c>
      <c r="G131" s="20" t="s">
        <v>132</v>
      </c>
      <c r="H131" s="20">
        <v>-7.7</v>
      </c>
      <c r="I131" s="20" t="s">
        <v>120</v>
      </c>
    </row>
    <row r="132" spans="1:9" hidden="1" x14ac:dyDescent="0.35">
      <c r="A132" s="20" t="s">
        <v>114</v>
      </c>
      <c r="B132" s="20" t="s">
        <v>115</v>
      </c>
      <c r="C132" s="20">
        <v>2055</v>
      </c>
      <c r="D132" s="20" t="s">
        <v>135</v>
      </c>
      <c r="E132" s="20" t="s">
        <v>117</v>
      </c>
      <c r="F132" s="20" t="s">
        <v>121</v>
      </c>
      <c r="G132" s="20" t="s">
        <v>132</v>
      </c>
      <c r="H132" s="20">
        <v>-7.1</v>
      </c>
      <c r="I132" s="20" t="s">
        <v>120</v>
      </c>
    </row>
    <row r="133" spans="1:9" hidden="1" x14ac:dyDescent="0.35">
      <c r="A133" s="20" t="s">
        <v>114</v>
      </c>
      <c r="B133" s="20" t="s">
        <v>115</v>
      </c>
      <c r="C133" s="20">
        <v>2025</v>
      </c>
      <c r="D133" s="20" t="s">
        <v>135</v>
      </c>
      <c r="E133" s="20" t="s">
        <v>123</v>
      </c>
      <c r="F133" s="20" t="s">
        <v>118</v>
      </c>
      <c r="G133" s="20" t="s">
        <v>119</v>
      </c>
      <c r="H133" s="20">
        <v>-17.2</v>
      </c>
      <c r="I133" s="20" t="s">
        <v>120</v>
      </c>
    </row>
    <row r="134" spans="1:9" hidden="1" x14ac:dyDescent="0.35">
      <c r="A134" s="20" t="s">
        <v>114</v>
      </c>
      <c r="B134" s="20" t="s">
        <v>115</v>
      </c>
      <c r="C134" s="20">
        <v>2035</v>
      </c>
      <c r="D134" s="20" t="s">
        <v>135</v>
      </c>
      <c r="E134" s="20" t="s">
        <v>123</v>
      </c>
      <c r="F134" s="20" t="s">
        <v>118</v>
      </c>
      <c r="G134" s="20" t="s">
        <v>119</v>
      </c>
      <c r="H134" s="20">
        <v>-21.7</v>
      </c>
      <c r="I134" s="20" t="s">
        <v>120</v>
      </c>
    </row>
    <row r="135" spans="1:9" hidden="1" x14ac:dyDescent="0.35">
      <c r="A135" s="20" t="s">
        <v>114</v>
      </c>
      <c r="B135" s="20" t="s">
        <v>115</v>
      </c>
      <c r="C135" s="20">
        <v>2045</v>
      </c>
      <c r="D135" s="20" t="s">
        <v>135</v>
      </c>
      <c r="E135" s="20" t="s">
        <v>123</v>
      </c>
      <c r="F135" s="20" t="s">
        <v>118</v>
      </c>
      <c r="G135" s="20" t="s">
        <v>119</v>
      </c>
      <c r="H135" s="20">
        <v>-28.7</v>
      </c>
      <c r="I135" s="20" t="s">
        <v>120</v>
      </c>
    </row>
    <row r="136" spans="1:9" hidden="1" x14ac:dyDescent="0.35">
      <c r="A136" s="20" t="s">
        <v>114</v>
      </c>
      <c r="B136" s="20" t="s">
        <v>115</v>
      </c>
      <c r="C136" s="20">
        <v>2055</v>
      </c>
      <c r="D136" s="20" t="s">
        <v>135</v>
      </c>
      <c r="E136" s="20" t="s">
        <v>123</v>
      </c>
      <c r="F136" s="20" t="s">
        <v>118</v>
      </c>
      <c r="G136" s="20" t="s">
        <v>119</v>
      </c>
      <c r="H136" s="20">
        <v>-37.700000000000003</v>
      </c>
      <c r="I136" s="20" t="s">
        <v>120</v>
      </c>
    </row>
    <row r="137" spans="1:9" hidden="1" x14ac:dyDescent="0.35">
      <c r="A137" s="20" t="s">
        <v>114</v>
      </c>
      <c r="B137" s="20" t="s">
        <v>115</v>
      </c>
      <c r="C137" s="20">
        <v>2025</v>
      </c>
      <c r="D137" s="20" t="s">
        <v>135</v>
      </c>
      <c r="E137" s="20" t="s">
        <v>123</v>
      </c>
      <c r="F137" s="20" t="s">
        <v>121</v>
      </c>
      <c r="G137" s="20" t="s">
        <v>119</v>
      </c>
      <c r="H137" s="20">
        <v>-17.2</v>
      </c>
      <c r="I137" s="20" t="s">
        <v>120</v>
      </c>
    </row>
    <row r="138" spans="1:9" hidden="1" x14ac:dyDescent="0.35">
      <c r="A138" s="20" t="s">
        <v>114</v>
      </c>
      <c r="B138" s="20" t="s">
        <v>115</v>
      </c>
      <c r="C138" s="20">
        <v>2035</v>
      </c>
      <c r="D138" s="20" t="s">
        <v>135</v>
      </c>
      <c r="E138" s="20" t="s">
        <v>123</v>
      </c>
      <c r="F138" s="20" t="s">
        <v>121</v>
      </c>
      <c r="G138" s="20" t="s">
        <v>119</v>
      </c>
      <c r="H138" s="20">
        <v>-21.2</v>
      </c>
      <c r="I138" s="20" t="s">
        <v>120</v>
      </c>
    </row>
    <row r="139" spans="1:9" hidden="1" x14ac:dyDescent="0.35">
      <c r="A139" s="20" t="s">
        <v>114</v>
      </c>
      <c r="B139" s="20" t="s">
        <v>115</v>
      </c>
      <c r="C139" s="20">
        <v>2045</v>
      </c>
      <c r="D139" s="20" t="s">
        <v>135</v>
      </c>
      <c r="E139" s="20" t="s">
        <v>123</v>
      </c>
      <c r="F139" s="20" t="s">
        <v>121</v>
      </c>
      <c r="G139" s="20" t="s">
        <v>119</v>
      </c>
      <c r="H139" s="20">
        <v>-25.6</v>
      </c>
      <c r="I139" s="20" t="s">
        <v>120</v>
      </c>
    </row>
    <row r="140" spans="1:9" hidden="1" x14ac:dyDescent="0.35">
      <c r="A140" s="20" t="s">
        <v>114</v>
      </c>
      <c r="B140" s="20" t="s">
        <v>115</v>
      </c>
      <c r="C140" s="20">
        <v>2055</v>
      </c>
      <c r="D140" s="20" t="s">
        <v>135</v>
      </c>
      <c r="E140" s="20" t="s">
        <v>123</v>
      </c>
      <c r="F140" s="20" t="s">
        <v>121</v>
      </c>
      <c r="G140" s="20" t="s">
        <v>119</v>
      </c>
      <c r="H140" s="20">
        <v>-30.8</v>
      </c>
      <c r="I140" s="20" t="s">
        <v>120</v>
      </c>
    </row>
    <row r="141" spans="1:9" hidden="1" x14ac:dyDescent="0.35">
      <c r="A141" s="20" t="s">
        <v>114</v>
      </c>
      <c r="B141" s="20" t="s">
        <v>115</v>
      </c>
      <c r="C141" s="20">
        <v>2025</v>
      </c>
      <c r="D141" s="20" t="s">
        <v>135</v>
      </c>
      <c r="E141" s="20" t="s">
        <v>123</v>
      </c>
      <c r="F141" s="20" t="s">
        <v>118</v>
      </c>
      <c r="G141" s="20" t="s">
        <v>122</v>
      </c>
      <c r="H141" s="20">
        <v>-8.8000000000000007</v>
      </c>
      <c r="I141" s="20" t="s">
        <v>120</v>
      </c>
    </row>
    <row r="142" spans="1:9" hidden="1" x14ac:dyDescent="0.35">
      <c r="A142" s="20" t="s">
        <v>114</v>
      </c>
      <c r="B142" s="20" t="s">
        <v>115</v>
      </c>
      <c r="C142" s="20">
        <v>2035</v>
      </c>
      <c r="D142" s="20" t="s">
        <v>135</v>
      </c>
      <c r="E142" s="20" t="s">
        <v>123</v>
      </c>
      <c r="F142" s="20" t="s">
        <v>118</v>
      </c>
      <c r="G142" s="20" t="s">
        <v>122</v>
      </c>
      <c r="H142" s="20">
        <v>-10.7</v>
      </c>
      <c r="I142" s="20" t="s">
        <v>120</v>
      </c>
    </row>
    <row r="143" spans="1:9" hidden="1" x14ac:dyDescent="0.35">
      <c r="A143" s="20" t="s">
        <v>114</v>
      </c>
      <c r="B143" s="20" t="s">
        <v>130</v>
      </c>
      <c r="C143" s="20">
        <v>2025</v>
      </c>
      <c r="D143" s="20" t="s">
        <v>135</v>
      </c>
      <c r="E143" s="20" t="s">
        <v>131</v>
      </c>
      <c r="F143" s="20" t="s">
        <v>118</v>
      </c>
      <c r="G143" s="20" t="s">
        <v>132</v>
      </c>
      <c r="H143" s="20">
        <v>-85.6</v>
      </c>
      <c r="I143" s="20" t="s">
        <v>120</v>
      </c>
    </row>
    <row r="144" spans="1:9" hidden="1" x14ac:dyDescent="0.35">
      <c r="A144" s="20" t="s">
        <v>114</v>
      </c>
      <c r="B144" s="20" t="s">
        <v>130</v>
      </c>
      <c r="C144" s="20">
        <v>2025</v>
      </c>
      <c r="D144" s="20" t="s">
        <v>135</v>
      </c>
      <c r="E144" s="20" t="s">
        <v>131</v>
      </c>
      <c r="F144" s="20" t="s">
        <v>121</v>
      </c>
      <c r="G144" s="20" t="s">
        <v>133</v>
      </c>
      <c r="H144" s="20">
        <v>-46</v>
      </c>
      <c r="I144" s="20" t="s">
        <v>120</v>
      </c>
    </row>
    <row r="145" spans="1:11" hidden="1" x14ac:dyDescent="0.35">
      <c r="A145" s="20" t="s">
        <v>114</v>
      </c>
      <c r="B145" s="20" t="s">
        <v>130</v>
      </c>
      <c r="C145" s="20">
        <v>2025</v>
      </c>
      <c r="D145" s="20" t="s">
        <v>135</v>
      </c>
      <c r="E145" s="20" t="s">
        <v>131</v>
      </c>
      <c r="F145" s="20" t="s">
        <v>121</v>
      </c>
      <c r="G145" s="20" t="s">
        <v>134</v>
      </c>
      <c r="H145" s="20">
        <v>-53.7</v>
      </c>
      <c r="I145" s="20" t="s">
        <v>120</v>
      </c>
    </row>
    <row r="146" spans="1:11" hidden="1" x14ac:dyDescent="0.35">
      <c r="A146" s="20" t="s">
        <v>114</v>
      </c>
      <c r="B146" s="20" t="s">
        <v>130</v>
      </c>
      <c r="C146" s="20">
        <v>2025</v>
      </c>
      <c r="D146" s="20" t="s">
        <v>135</v>
      </c>
      <c r="E146" s="20" t="s">
        <v>131</v>
      </c>
      <c r="F146" s="20" t="s">
        <v>121</v>
      </c>
      <c r="G146" s="20" t="s">
        <v>122</v>
      </c>
      <c r="H146" s="20">
        <v>-22.7</v>
      </c>
      <c r="I146" s="20" t="s">
        <v>120</v>
      </c>
    </row>
    <row r="147" spans="1:11" hidden="1" x14ac:dyDescent="0.35">
      <c r="A147" s="20" t="s">
        <v>114</v>
      </c>
      <c r="B147" s="20" t="s">
        <v>130</v>
      </c>
      <c r="C147" s="20">
        <v>2025</v>
      </c>
      <c r="D147" s="20" t="s">
        <v>135</v>
      </c>
      <c r="E147" s="20" t="s">
        <v>131</v>
      </c>
      <c r="F147" s="20" t="s">
        <v>121</v>
      </c>
      <c r="G147" s="20" t="s">
        <v>119</v>
      </c>
      <c r="H147" s="20">
        <v>-65.8</v>
      </c>
      <c r="I147" s="20" t="s">
        <v>120</v>
      </c>
    </row>
    <row r="148" spans="1:11" hidden="1" x14ac:dyDescent="0.35">
      <c r="A148" s="20" t="s">
        <v>114</v>
      </c>
      <c r="B148" s="20" t="s">
        <v>130</v>
      </c>
      <c r="C148" s="20">
        <v>2035</v>
      </c>
      <c r="D148" s="20" t="s">
        <v>135</v>
      </c>
      <c r="E148" s="20" t="s">
        <v>131</v>
      </c>
      <c r="F148" s="20" t="s">
        <v>118</v>
      </c>
      <c r="G148" s="20" t="s">
        <v>132</v>
      </c>
      <c r="H148" s="20">
        <v>-207.9</v>
      </c>
      <c r="I148" s="20" t="s">
        <v>120</v>
      </c>
    </row>
    <row r="149" spans="1:11" hidden="1" x14ac:dyDescent="0.35">
      <c r="A149" s="20" t="s">
        <v>114</v>
      </c>
      <c r="B149" s="20" t="s">
        <v>130</v>
      </c>
      <c r="C149" s="20">
        <v>2025</v>
      </c>
      <c r="D149" s="20" t="s">
        <v>135</v>
      </c>
      <c r="E149" s="20" t="s">
        <v>131</v>
      </c>
      <c r="F149" s="20" t="s">
        <v>118</v>
      </c>
      <c r="G149" s="20" t="s">
        <v>133</v>
      </c>
      <c r="H149" s="20">
        <v>-46</v>
      </c>
      <c r="I149" s="20" t="s">
        <v>120</v>
      </c>
    </row>
    <row r="150" spans="1:11" hidden="1" x14ac:dyDescent="0.35">
      <c r="A150" s="20" t="s">
        <v>114</v>
      </c>
      <c r="B150" s="20" t="s">
        <v>130</v>
      </c>
      <c r="C150" s="20">
        <v>2025</v>
      </c>
      <c r="D150" s="20" t="s">
        <v>135</v>
      </c>
      <c r="E150" s="20" t="s">
        <v>131</v>
      </c>
      <c r="F150" s="20" t="s">
        <v>118</v>
      </c>
      <c r="G150" s="20" t="s">
        <v>134</v>
      </c>
      <c r="H150" s="20">
        <v>-53.7</v>
      </c>
      <c r="I150" s="20" t="s">
        <v>120</v>
      </c>
    </row>
    <row r="151" spans="1:11" hidden="1" x14ac:dyDescent="0.35">
      <c r="A151" s="20" t="s">
        <v>114</v>
      </c>
      <c r="B151" s="20" t="s">
        <v>130</v>
      </c>
      <c r="C151" s="20">
        <v>2025</v>
      </c>
      <c r="D151" s="20" t="s">
        <v>135</v>
      </c>
      <c r="E151" s="20" t="s">
        <v>131</v>
      </c>
      <c r="F151" s="20" t="s">
        <v>118</v>
      </c>
      <c r="G151" s="20" t="s">
        <v>122</v>
      </c>
      <c r="H151" s="20">
        <v>-22.7</v>
      </c>
      <c r="I151" s="20" t="s">
        <v>120</v>
      </c>
    </row>
    <row r="152" spans="1:11" hidden="1" x14ac:dyDescent="0.35">
      <c r="A152" s="20" t="s">
        <v>114</v>
      </c>
      <c r="B152" s="20" t="s">
        <v>130</v>
      </c>
      <c r="C152" s="20">
        <v>2025</v>
      </c>
      <c r="D152" s="20" t="s">
        <v>135</v>
      </c>
      <c r="E152" s="20" t="s">
        <v>131</v>
      </c>
      <c r="F152" s="20" t="s">
        <v>118</v>
      </c>
      <c r="G152" s="20" t="s">
        <v>119</v>
      </c>
      <c r="H152" s="20">
        <v>-65.8</v>
      </c>
      <c r="I152" s="20" t="s">
        <v>120</v>
      </c>
    </row>
    <row r="153" spans="1:11" x14ac:dyDescent="0.35">
      <c r="A153" s="20" t="s">
        <v>114</v>
      </c>
      <c r="B153" s="20" t="s">
        <v>115</v>
      </c>
      <c r="C153" s="20">
        <v>2045</v>
      </c>
      <c r="D153" s="20" t="s">
        <v>116</v>
      </c>
      <c r="E153" s="20" t="s">
        <v>117</v>
      </c>
      <c r="F153" s="20" t="s">
        <v>118</v>
      </c>
      <c r="G153" s="20" t="s">
        <v>122</v>
      </c>
      <c r="H153" s="20">
        <v>32.5</v>
      </c>
      <c r="I153" s="20" t="s">
        <v>120</v>
      </c>
      <c r="K153" s="20" t="str">
        <f>INDEX('EPA land and ag calcs'!$G$7:$G$14,MATCH('EPA land and ag potential'!E153,'EPA land and ag calcs'!$A$7:$A$15,0))</f>
        <v>afforestation and reforestation</v>
      </c>
    </row>
    <row r="154" spans="1:11" x14ac:dyDescent="0.35">
      <c r="A154" s="20" t="s">
        <v>114</v>
      </c>
      <c r="B154" s="20" t="s">
        <v>115</v>
      </c>
      <c r="C154" s="20">
        <v>2055</v>
      </c>
      <c r="D154" s="20" t="s">
        <v>116</v>
      </c>
      <c r="E154" s="20" t="s">
        <v>117</v>
      </c>
      <c r="F154" s="20" t="s">
        <v>118</v>
      </c>
      <c r="G154" s="20" t="s">
        <v>122</v>
      </c>
      <c r="H154" s="20">
        <v>21.9</v>
      </c>
      <c r="I154" s="20" t="s">
        <v>120</v>
      </c>
      <c r="K154" s="20" t="str">
        <f>INDEX('EPA land and ag calcs'!$G$7:$G$14,MATCH('EPA land and ag potential'!E154,'EPA land and ag calcs'!$A$7:$A$15,0))</f>
        <v>afforestation and reforestation</v>
      </c>
    </row>
    <row r="155" spans="1:11" hidden="1" x14ac:dyDescent="0.35">
      <c r="A155" s="20" t="s">
        <v>114</v>
      </c>
      <c r="B155" s="20" t="s">
        <v>115</v>
      </c>
      <c r="C155" s="20">
        <v>2025</v>
      </c>
      <c r="D155" s="20" t="s">
        <v>116</v>
      </c>
      <c r="E155" s="20" t="s">
        <v>117</v>
      </c>
      <c r="F155" s="20" t="s">
        <v>121</v>
      </c>
      <c r="G155" s="20" t="s">
        <v>122</v>
      </c>
      <c r="H155" s="20">
        <v>-4.7</v>
      </c>
      <c r="I155" s="20" t="s">
        <v>120</v>
      </c>
    </row>
    <row r="156" spans="1:11" hidden="1" x14ac:dyDescent="0.35">
      <c r="A156" s="20" t="s">
        <v>114</v>
      </c>
      <c r="B156" s="20" t="s">
        <v>115</v>
      </c>
      <c r="C156" s="20">
        <v>2035</v>
      </c>
      <c r="D156" s="20" t="s">
        <v>116</v>
      </c>
      <c r="E156" s="20" t="s">
        <v>117</v>
      </c>
      <c r="F156" s="20" t="s">
        <v>121</v>
      </c>
      <c r="G156" s="20" t="s">
        <v>122</v>
      </c>
      <c r="H156" s="20">
        <v>-6.9</v>
      </c>
      <c r="I156" s="20" t="s">
        <v>120</v>
      </c>
    </row>
    <row r="157" spans="1:11" hidden="1" x14ac:dyDescent="0.35">
      <c r="A157" s="20" t="s">
        <v>114</v>
      </c>
      <c r="B157" s="20" t="s">
        <v>115</v>
      </c>
      <c r="C157" s="20">
        <v>2045</v>
      </c>
      <c r="D157" s="20" t="s">
        <v>116</v>
      </c>
      <c r="E157" s="20" t="s">
        <v>117</v>
      </c>
      <c r="F157" s="20" t="s">
        <v>121</v>
      </c>
      <c r="G157" s="20" t="s">
        <v>122</v>
      </c>
      <c r="H157" s="20">
        <v>-6.8</v>
      </c>
      <c r="I157" s="20" t="s">
        <v>120</v>
      </c>
    </row>
    <row r="158" spans="1:11" hidden="1" x14ac:dyDescent="0.35">
      <c r="A158" s="20" t="s">
        <v>114</v>
      </c>
      <c r="B158" s="20" t="s">
        <v>115</v>
      </c>
      <c r="C158" s="20">
        <v>2055</v>
      </c>
      <c r="D158" s="20" t="s">
        <v>116</v>
      </c>
      <c r="E158" s="20" t="s">
        <v>117</v>
      </c>
      <c r="F158" s="20" t="s">
        <v>121</v>
      </c>
      <c r="G158" s="20" t="s">
        <v>122</v>
      </c>
      <c r="H158" s="20">
        <v>-4.9000000000000004</v>
      </c>
      <c r="I158" s="20" t="s">
        <v>120</v>
      </c>
    </row>
    <row r="159" spans="1:11" x14ac:dyDescent="0.35">
      <c r="A159" s="20" t="s">
        <v>114</v>
      </c>
      <c r="B159" s="20" t="s">
        <v>115</v>
      </c>
      <c r="C159" s="20">
        <v>2025</v>
      </c>
      <c r="D159" s="20" t="s">
        <v>116</v>
      </c>
      <c r="E159" s="20" t="s">
        <v>117</v>
      </c>
      <c r="F159" s="20" t="s">
        <v>118</v>
      </c>
      <c r="G159" s="20" t="s">
        <v>134</v>
      </c>
      <c r="H159" s="20">
        <v>121.7</v>
      </c>
      <c r="I159" s="20" t="s">
        <v>120</v>
      </c>
      <c r="K159" s="20" t="str">
        <f>INDEX('EPA land and ag calcs'!$G$7:$G$14,MATCH('EPA land and ag potential'!E159,'EPA land and ag calcs'!$A$7:$A$15,0))</f>
        <v>afforestation and reforestation</v>
      </c>
    </row>
    <row r="160" spans="1:11" x14ac:dyDescent="0.35">
      <c r="A160" s="20" t="s">
        <v>114</v>
      </c>
      <c r="B160" s="20" t="s">
        <v>115</v>
      </c>
      <c r="C160" s="20">
        <v>2035</v>
      </c>
      <c r="D160" s="20" t="s">
        <v>116</v>
      </c>
      <c r="E160" s="20" t="s">
        <v>117</v>
      </c>
      <c r="F160" s="20" t="s">
        <v>118</v>
      </c>
      <c r="G160" s="20" t="s">
        <v>134</v>
      </c>
      <c r="H160" s="20">
        <v>113.6</v>
      </c>
      <c r="I160" s="20" t="s">
        <v>120</v>
      </c>
      <c r="K160" s="20" t="str">
        <f>INDEX('EPA land and ag calcs'!$G$7:$G$14,MATCH('EPA land and ag potential'!E160,'EPA land and ag calcs'!$A$7:$A$15,0))</f>
        <v>afforestation and reforestation</v>
      </c>
    </row>
    <row r="161" spans="1:11" x14ac:dyDescent="0.35">
      <c r="A161" s="20" t="s">
        <v>114</v>
      </c>
      <c r="B161" s="20" t="s">
        <v>115</v>
      </c>
      <c r="C161" s="20">
        <v>2045</v>
      </c>
      <c r="D161" s="20" t="s">
        <v>116</v>
      </c>
      <c r="E161" s="20" t="s">
        <v>117</v>
      </c>
      <c r="F161" s="20" t="s">
        <v>118</v>
      </c>
      <c r="G161" s="20" t="s">
        <v>134</v>
      </c>
      <c r="H161" s="20">
        <v>80.3</v>
      </c>
      <c r="I161" s="20" t="s">
        <v>120</v>
      </c>
      <c r="K161" s="20" t="str">
        <f>INDEX('EPA land and ag calcs'!$G$7:$G$14,MATCH('EPA land and ag potential'!E161,'EPA land and ag calcs'!$A$7:$A$15,0))</f>
        <v>afforestation and reforestation</v>
      </c>
    </row>
    <row r="162" spans="1:11" x14ac:dyDescent="0.35">
      <c r="A162" s="20" t="s">
        <v>114</v>
      </c>
      <c r="B162" s="20" t="s">
        <v>115</v>
      </c>
      <c r="C162" s="20">
        <v>2055</v>
      </c>
      <c r="D162" s="20" t="s">
        <v>116</v>
      </c>
      <c r="E162" s="20" t="s">
        <v>117</v>
      </c>
      <c r="F162" s="20" t="s">
        <v>118</v>
      </c>
      <c r="G162" s="20" t="s">
        <v>134</v>
      </c>
      <c r="H162" s="20">
        <v>54.4</v>
      </c>
      <c r="I162" s="20" t="s">
        <v>120</v>
      </c>
      <c r="K162" s="20" t="str">
        <f>INDEX('EPA land and ag calcs'!$G$7:$G$14,MATCH('EPA land and ag potential'!E162,'EPA land and ag calcs'!$A$7:$A$15,0))</f>
        <v>afforestation and reforestation</v>
      </c>
    </row>
    <row r="163" spans="1:11" x14ac:dyDescent="0.35">
      <c r="A163" s="20" t="s">
        <v>114</v>
      </c>
      <c r="B163" s="20" t="s">
        <v>115</v>
      </c>
      <c r="C163" s="20">
        <v>2045</v>
      </c>
      <c r="D163" s="20" t="s">
        <v>116</v>
      </c>
      <c r="E163" s="20" t="s">
        <v>123</v>
      </c>
      <c r="F163" s="20" t="s">
        <v>118</v>
      </c>
      <c r="G163" s="20" t="s">
        <v>122</v>
      </c>
      <c r="H163" s="20">
        <v>-1.9</v>
      </c>
      <c r="I163" s="20" t="s">
        <v>120</v>
      </c>
      <c r="K163" s="20" t="str">
        <f>INDEX('EPA land and ag calcs'!$G$7:$G$14,MATCH('EPA land and ag potential'!E163,'EPA land and ag calcs'!$A$7:$A$15,0))</f>
        <v>*handled in agriculture files</v>
      </c>
    </row>
    <row r="164" spans="1:11" x14ac:dyDescent="0.35">
      <c r="A164" s="20" t="s">
        <v>114</v>
      </c>
      <c r="B164" s="20" t="s">
        <v>115</v>
      </c>
      <c r="C164" s="20">
        <v>2055</v>
      </c>
      <c r="D164" s="20" t="s">
        <v>116</v>
      </c>
      <c r="E164" s="20" t="s">
        <v>123</v>
      </c>
      <c r="F164" s="20" t="s">
        <v>118</v>
      </c>
      <c r="G164" s="20" t="s">
        <v>122</v>
      </c>
      <c r="H164" s="20">
        <v>-2.7</v>
      </c>
      <c r="I164" s="20" t="s">
        <v>120</v>
      </c>
      <c r="K164" s="20" t="str">
        <f>INDEX('EPA land and ag calcs'!$G$7:$G$14,MATCH('EPA land and ag potential'!E164,'EPA land and ag calcs'!$A$7:$A$15,0))</f>
        <v>*handled in agriculture files</v>
      </c>
    </row>
    <row r="165" spans="1:11" hidden="1" x14ac:dyDescent="0.35">
      <c r="A165" s="20" t="s">
        <v>114</v>
      </c>
      <c r="B165" s="20" t="s">
        <v>115</v>
      </c>
      <c r="C165" s="20">
        <v>2025</v>
      </c>
      <c r="D165" s="20" t="s">
        <v>116</v>
      </c>
      <c r="E165" s="20" t="s">
        <v>123</v>
      </c>
      <c r="F165" s="20" t="s">
        <v>121</v>
      </c>
      <c r="G165" s="20" t="s">
        <v>122</v>
      </c>
      <c r="H165" s="20">
        <v>-0.2</v>
      </c>
      <c r="I165" s="20" t="s">
        <v>120</v>
      </c>
    </row>
    <row r="166" spans="1:11" hidden="1" x14ac:dyDescent="0.35">
      <c r="A166" s="20" t="s">
        <v>114</v>
      </c>
      <c r="B166" s="20" t="s">
        <v>115</v>
      </c>
      <c r="C166" s="20">
        <v>2035</v>
      </c>
      <c r="D166" s="20" t="s">
        <v>116</v>
      </c>
      <c r="E166" s="20" t="s">
        <v>123</v>
      </c>
      <c r="F166" s="20" t="s">
        <v>121</v>
      </c>
      <c r="G166" s="20" t="s">
        <v>122</v>
      </c>
      <c r="H166" s="20">
        <v>-0.2</v>
      </c>
      <c r="I166" s="20" t="s">
        <v>120</v>
      </c>
    </row>
    <row r="167" spans="1:11" hidden="1" x14ac:dyDescent="0.35">
      <c r="A167" s="20" t="s">
        <v>114</v>
      </c>
      <c r="B167" s="20" t="s">
        <v>115</v>
      </c>
      <c r="C167" s="20">
        <v>2045</v>
      </c>
      <c r="D167" s="20" t="s">
        <v>116</v>
      </c>
      <c r="E167" s="20" t="s">
        <v>123</v>
      </c>
      <c r="F167" s="20" t="s">
        <v>121</v>
      </c>
      <c r="G167" s="20" t="s">
        <v>122</v>
      </c>
      <c r="H167" s="20">
        <v>-0.8</v>
      </c>
      <c r="I167" s="20" t="s">
        <v>120</v>
      </c>
    </row>
    <row r="168" spans="1:11" hidden="1" x14ac:dyDescent="0.35">
      <c r="A168" s="20" t="s">
        <v>114</v>
      </c>
      <c r="B168" s="20" t="s">
        <v>115</v>
      </c>
      <c r="C168" s="20">
        <v>2055</v>
      </c>
      <c r="D168" s="20" t="s">
        <v>116</v>
      </c>
      <c r="E168" s="20" t="s">
        <v>123</v>
      </c>
      <c r="F168" s="20" t="s">
        <v>121</v>
      </c>
      <c r="G168" s="20" t="s">
        <v>122</v>
      </c>
      <c r="H168" s="20">
        <v>-1</v>
      </c>
      <c r="I168" s="20" t="s">
        <v>120</v>
      </c>
    </row>
    <row r="169" spans="1:11" x14ac:dyDescent="0.35">
      <c r="A169" s="20" t="s">
        <v>114</v>
      </c>
      <c r="B169" s="20" t="s">
        <v>115</v>
      </c>
      <c r="C169" s="20">
        <v>2025</v>
      </c>
      <c r="D169" s="20" t="s">
        <v>116</v>
      </c>
      <c r="E169" s="20" t="s">
        <v>123</v>
      </c>
      <c r="F169" s="20" t="s">
        <v>118</v>
      </c>
      <c r="G169" s="20" t="s">
        <v>134</v>
      </c>
      <c r="H169" s="20">
        <v>-2.6</v>
      </c>
      <c r="I169" s="20" t="s">
        <v>120</v>
      </c>
      <c r="K169" s="20" t="str">
        <f>INDEX('EPA land and ag calcs'!$G$7:$G$14,MATCH('EPA land and ag potential'!E169,'EPA land and ag calcs'!$A$7:$A$15,0))</f>
        <v>*handled in agriculture files</v>
      </c>
    </row>
    <row r="170" spans="1:11" x14ac:dyDescent="0.35">
      <c r="A170" s="20" t="s">
        <v>114</v>
      </c>
      <c r="B170" s="20" t="s">
        <v>115</v>
      </c>
      <c r="C170" s="20">
        <v>2035</v>
      </c>
      <c r="D170" s="20" t="s">
        <v>116</v>
      </c>
      <c r="E170" s="20" t="s">
        <v>123</v>
      </c>
      <c r="F170" s="20" t="s">
        <v>118</v>
      </c>
      <c r="G170" s="20" t="s">
        <v>134</v>
      </c>
      <c r="H170" s="20">
        <v>-5.5</v>
      </c>
      <c r="I170" s="20" t="s">
        <v>120</v>
      </c>
      <c r="K170" s="20" t="str">
        <f>INDEX('EPA land and ag calcs'!$G$7:$G$14,MATCH('EPA land and ag potential'!E170,'EPA land and ag calcs'!$A$7:$A$15,0))</f>
        <v>*handled in agriculture files</v>
      </c>
    </row>
    <row r="171" spans="1:11" x14ac:dyDescent="0.35">
      <c r="A171" s="20" t="s">
        <v>114</v>
      </c>
      <c r="B171" s="20" t="s">
        <v>115</v>
      </c>
      <c r="C171" s="20">
        <v>2045</v>
      </c>
      <c r="D171" s="20" t="s">
        <v>116</v>
      </c>
      <c r="E171" s="20" t="s">
        <v>123</v>
      </c>
      <c r="F171" s="20" t="s">
        <v>118</v>
      </c>
      <c r="G171" s="20" t="s">
        <v>134</v>
      </c>
      <c r="H171" s="20">
        <v>-7.5</v>
      </c>
      <c r="I171" s="20" t="s">
        <v>120</v>
      </c>
      <c r="K171" s="20" t="str">
        <f>INDEX('EPA land and ag calcs'!$G$7:$G$14,MATCH('EPA land and ag potential'!E171,'EPA land and ag calcs'!$A$7:$A$15,0))</f>
        <v>*handled in agriculture files</v>
      </c>
    </row>
    <row r="172" spans="1:11" x14ac:dyDescent="0.35">
      <c r="A172" s="20" t="s">
        <v>114</v>
      </c>
      <c r="B172" s="20" t="s">
        <v>115</v>
      </c>
      <c r="C172" s="20">
        <v>2055</v>
      </c>
      <c r="D172" s="20" t="s">
        <v>116</v>
      </c>
      <c r="E172" s="20" t="s">
        <v>123</v>
      </c>
      <c r="F172" s="20" t="s">
        <v>118</v>
      </c>
      <c r="G172" s="20" t="s">
        <v>134</v>
      </c>
      <c r="H172" s="20">
        <v>-9.1</v>
      </c>
      <c r="I172" s="20" t="s">
        <v>120</v>
      </c>
      <c r="K172" s="20" t="str">
        <f>INDEX('EPA land and ag calcs'!$G$7:$G$14,MATCH('EPA land and ag potential'!E172,'EPA land and ag calcs'!$A$7:$A$15,0))</f>
        <v>*handled in agriculture files</v>
      </c>
    </row>
    <row r="173" spans="1:11" x14ac:dyDescent="0.35">
      <c r="A173" s="20" t="s">
        <v>114</v>
      </c>
      <c r="B173" s="20" t="s">
        <v>115</v>
      </c>
      <c r="C173" s="20">
        <v>2045</v>
      </c>
      <c r="D173" s="20" t="s">
        <v>116</v>
      </c>
      <c r="E173" s="20" t="s">
        <v>124</v>
      </c>
      <c r="F173" s="20" t="s">
        <v>118</v>
      </c>
      <c r="G173" s="20" t="s">
        <v>122</v>
      </c>
      <c r="H173" s="20">
        <v>-0.8</v>
      </c>
      <c r="I173" s="20" t="s">
        <v>120</v>
      </c>
      <c r="K173" s="20" t="str">
        <f>INDEX('EPA land and ag calcs'!$G$7:$G$14,MATCH('EPA land and ag potential'!E173,'EPA land and ag calcs'!$A$7:$A$15,0))</f>
        <v>*handled in agriculture files</v>
      </c>
    </row>
    <row r="174" spans="1:11" x14ac:dyDescent="0.35">
      <c r="A174" s="20" t="s">
        <v>114</v>
      </c>
      <c r="B174" s="20" t="s">
        <v>115</v>
      </c>
      <c r="C174" s="20">
        <v>2055</v>
      </c>
      <c r="D174" s="20" t="s">
        <v>116</v>
      </c>
      <c r="E174" s="20" t="s">
        <v>124</v>
      </c>
      <c r="F174" s="20" t="s">
        <v>118</v>
      </c>
      <c r="G174" s="20" t="s">
        <v>122</v>
      </c>
      <c r="H174" s="20">
        <v>-0.8</v>
      </c>
      <c r="I174" s="20" t="s">
        <v>120</v>
      </c>
      <c r="K174" s="20" t="str">
        <f>INDEX('EPA land and ag calcs'!$G$7:$G$14,MATCH('EPA land and ag potential'!E174,'EPA land and ag calcs'!$A$7:$A$15,0))</f>
        <v>*handled in agriculture files</v>
      </c>
    </row>
    <row r="175" spans="1:11" hidden="1" x14ac:dyDescent="0.35">
      <c r="A175" s="20" t="s">
        <v>114</v>
      </c>
      <c r="B175" s="20" t="s">
        <v>115</v>
      </c>
      <c r="C175" s="20">
        <v>2025</v>
      </c>
      <c r="D175" s="20" t="s">
        <v>116</v>
      </c>
      <c r="E175" s="20" t="s">
        <v>124</v>
      </c>
      <c r="F175" s="20" t="s">
        <v>121</v>
      </c>
      <c r="G175" s="20" t="s">
        <v>122</v>
      </c>
      <c r="H175" s="20">
        <v>-0.3</v>
      </c>
      <c r="I175" s="20" t="s">
        <v>120</v>
      </c>
    </row>
    <row r="176" spans="1:11" hidden="1" x14ac:dyDescent="0.35">
      <c r="A176" s="20" t="s">
        <v>114</v>
      </c>
      <c r="B176" s="20" t="s">
        <v>115</v>
      </c>
      <c r="C176" s="20">
        <v>2035</v>
      </c>
      <c r="D176" s="20" t="s">
        <v>116</v>
      </c>
      <c r="E176" s="20" t="s">
        <v>124</v>
      </c>
      <c r="F176" s="20" t="s">
        <v>121</v>
      </c>
      <c r="G176" s="20" t="s">
        <v>122</v>
      </c>
      <c r="H176" s="20">
        <v>-0.5</v>
      </c>
      <c r="I176" s="20" t="s">
        <v>120</v>
      </c>
    </row>
    <row r="177" spans="1:11" hidden="1" x14ac:dyDescent="0.35">
      <c r="A177" s="20" t="s">
        <v>114</v>
      </c>
      <c r="B177" s="20" t="s">
        <v>115</v>
      </c>
      <c r="C177" s="20">
        <v>2045</v>
      </c>
      <c r="D177" s="20" t="s">
        <v>116</v>
      </c>
      <c r="E177" s="20" t="s">
        <v>124</v>
      </c>
      <c r="F177" s="20" t="s">
        <v>121</v>
      </c>
      <c r="G177" s="20" t="s">
        <v>122</v>
      </c>
      <c r="H177" s="20">
        <v>-0.5</v>
      </c>
      <c r="I177" s="20" t="s">
        <v>120</v>
      </c>
    </row>
    <row r="178" spans="1:11" hidden="1" x14ac:dyDescent="0.35">
      <c r="A178" s="20" t="s">
        <v>114</v>
      </c>
      <c r="B178" s="20" t="s">
        <v>115</v>
      </c>
      <c r="C178" s="20">
        <v>2055</v>
      </c>
      <c r="D178" s="20" t="s">
        <v>116</v>
      </c>
      <c r="E178" s="20" t="s">
        <v>124</v>
      </c>
      <c r="F178" s="20" t="s">
        <v>121</v>
      </c>
      <c r="G178" s="20" t="s">
        <v>122</v>
      </c>
      <c r="H178" s="20">
        <v>-0.5</v>
      </c>
      <c r="I178" s="20" t="s">
        <v>120</v>
      </c>
    </row>
    <row r="179" spans="1:11" x14ac:dyDescent="0.35">
      <c r="A179" s="20" t="s">
        <v>114</v>
      </c>
      <c r="B179" s="20" t="s">
        <v>115</v>
      </c>
      <c r="C179" s="20">
        <v>2025</v>
      </c>
      <c r="D179" s="20" t="s">
        <v>116</v>
      </c>
      <c r="E179" s="20" t="s">
        <v>124</v>
      </c>
      <c r="F179" s="20" t="s">
        <v>118</v>
      </c>
      <c r="G179" s="20" t="s">
        <v>134</v>
      </c>
      <c r="H179" s="20">
        <v>0.3</v>
      </c>
      <c r="I179" s="20" t="s">
        <v>120</v>
      </c>
      <c r="K179" s="20" t="str">
        <f>INDEX('EPA land and ag calcs'!$G$7:$G$14,MATCH('EPA land and ag potential'!E179,'EPA land and ag calcs'!$A$7:$A$15,0))</f>
        <v>*handled in agriculture files</v>
      </c>
    </row>
    <row r="180" spans="1:11" x14ac:dyDescent="0.35">
      <c r="A180" s="20" t="s">
        <v>114</v>
      </c>
      <c r="B180" s="20" t="s">
        <v>115</v>
      </c>
      <c r="C180" s="20">
        <v>2035</v>
      </c>
      <c r="D180" s="20" t="s">
        <v>116</v>
      </c>
      <c r="E180" s="20" t="s">
        <v>124</v>
      </c>
      <c r="F180" s="20" t="s">
        <v>118</v>
      </c>
      <c r="G180" s="20" t="s">
        <v>134</v>
      </c>
      <c r="H180" s="20">
        <v>-2.2000000000000002</v>
      </c>
      <c r="I180" s="20" t="s">
        <v>120</v>
      </c>
      <c r="K180" s="20" t="str">
        <f>INDEX('EPA land and ag calcs'!$G$7:$G$14,MATCH('EPA land and ag potential'!E180,'EPA land and ag calcs'!$A$7:$A$15,0))</f>
        <v>*handled in agriculture files</v>
      </c>
    </row>
    <row r="181" spans="1:11" x14ac:dyDescent="0.35">
      <c r="A181" s="20" t="s">
        <v>114</v>
      </c>
      <c r="B181" s="20" t="s">
        <v>115</v>
      </c>
      <c r="C181" s="20">
        <v>2045</v>
      </c>
      <c r="D181" s="20" t="s">
        <v>116</v>
      </c>
      <c r="E181" s="20" t="s">
        <v>124</v>
      </c>
      <c r="F181" s="20" t="s">
        <v>118</v>
      </c>
      <c r="G181" s="20" t="s">
        <v>134</v>
      </c>
      <c r="H181" s="20">
        <v>-5.3</v>
      </c>
      <c r="I181" s="20" t="s">
        <v>120</v>
      </c>
      <c r="K181" s="20" t="str">
        <f>INDEX('EPA land and ag calcs'!$G$7:$G$14,MATCH('EPA land and ag potential'!E181,'EPA land and ag calcs'!$A$7:$A$15,0))</f>
        <v>*handled in agriculture files</v>
      </c>
    </row>
    <row r="182" spans="1:11" x14ac:dyDescent="0.35">
      <c r="A182" s="20" t="s">
        <v>114</v>
      </c>
      <c r="B182" s="20" t="s">
        <v>115</v>
      </c>
      <c r="C182" s="20">
        <v>2055</v>
      </c>
      <c r="D182" s="20" t="s">
        <v>116</v>
      </c>
      <c r="E182" s="20" t="s">
        <v>124</v>
      </c>
      <c r="F182" s="20" t="s">
        <v>118</v>
      </c>
      <c r="G182" s="20" t="s">
        <v>134</v>
      </c>
      <c r="H182" s="20">
        <v>-8.1</v>
      </c>
      <c r="I182" s="20" t="s">
        <v>120</v>
      </c>
      <c r="K182" s="20" t="str">
        <f>INDEX('EPA land and ag calcs'!$G$7:$G$14,MATCH('EPA land and ag potential'!E182,'EPA land and ag calcs'!$A$7:$A$15,0))</f>
        <v>*handled in agriculture files</v>
      </c>
    </row>
    <row r="183" spans="1:11" x14ac:dyDescent="0.35">
      <c r="A183" s="20" t="s">
        <v>114</v>
      </c>
      <c r="B183" s="20" t="s">
        <v>115</v>
      </c>
      <c r="C183" s="20">
        <v>2045</v>
      </c>
      <c r="D183" s="20" t="s">
        <v>116</v>
      </c>
      <c r="E183" s="20" t="s">
        <v>125</v>
      </c>
      <c r="F183" s="20" t="s">
        <v>118</v>
      </c>
      <c r="G183" s="20" t="s">
        <v>122</v>
      </c>
      <c r="H183" s="20">
        <v>-22</v>
      </c>
      <c r="I183" s="20" t="s">
        <v>120</v>
      </c>
      <c r="K183" s="20" t="str">
        <f>INDEX('EPA land and ag calcs'!$G$7:$G$14,MATCH('EPA land and ag potential'!E183,'EPA land and ag calcs'!$A$7:$A$15,0))</f>
        <v>forest management</v>
      </c>
    </row>
    <row r="184" spans="1:11" x14ac:dyDescent="0.35">
      <c r="A184" s="20" t="s">
        <v>114</v>
      </c>
      <c r="B184" s="20" t="s">
        <v>115</v>
      </c>
      <c r="C184" s="20">
        <v>2055</v>
      </c>
      <c r="D184" s="20" t="s">
        <v>116</v>
      </c>
      <c r="E184" s="20" t="s">
        <v>125</v>
      </c>
      <c r="F184" s="20" t="s">
        <v>118</v>
      </c>
      <c r="G184" s="20" t="s">
        <v>122</v>
      </c>
      <c r="H184" s="20">
        <v>-28.1</v>
      </c>
      <c r="I184" s="20" t="s">
        <v>120</v>
      </c>
      <c r="K184" s="20" t="str">
        <f>INDEX('EPA land and ag calcs'!$G$7:$G$14,MATCH('EPA land and ag potential'!E184,'EPA land and ag calcs'!$A$7:$A$15,0))</f>
        <v>forest management</v>
      </c>
    </row>
    <row r="185" spans="1:11" hidden="1" x14ac:dyDescent="0.35">
      <c r="A185" s="20" t="s">
        <v>114</v>
      </c>
      <c r="B185" s="20" t="s">
        <v>115</v>
      </c>
      <c r="C185" s="20">
        <v>2025</v>
      </c>
      <c r="D185" s="20" t="s">
        <v>116</v>
      </c>
      <c r="E185" s="20" t="s">
        <v>125</v>
      </c>
      <c r="F185" s="20" t="s">
        <v>121</v>
      </c>
      <c r="G185" s="20" t="s">
        <v>122</v>
      </c>
      <c r="H185" s="20">
        <v>-8.3000000000000007</v>
      </c>
      <c r="I185" s="20" t="s">
        <v>120</v>
      </c>
    </row>
    <row r="186" spans="1:11" hidden="1" x14ac:dyDescent="0.35">
      <c r="A186" s="20" t="s">
        <v>114</v>
      </c>
      <c r="B186" s="20" t="s">
        <v>115</v>
      </c>
      <c r="C186" s="20">
        <v>2035</v>
      </c>
      <c r="D186" s="20" t="s">
        <v>116</v>
      </c>
      <c r="E186" s="20" t="s">
        <v>125</v>
      </c>
      <c r="F186" s="20" t="s">
        <v>121</v>
      </c>
      <c r="G186" s="20" t="s">
        <v>122</v>
      </c>
      <c r="H186" s="20">
        <v>-8.8000000000000007</v>
      </c>
      <c r="I186" s="20" t="s">
        <v>120</v>
      </c>
    </row>
    <row r="187" spans="1:11" hidden="1" x14ac:dyDescent="0.35">
      <c r="A187" s="20" t="s">
        <v>114</v>
      </c>
      <c r="B187" s="20" t="s">
        <v>115</v>
      </c>
      <c r="C187" s="20">
        <v>2045</v>
      </c>
      <c r="D187" s="20" t="s">
        <v>116</v>
      </c>
      <c r="E187" s="20" t="s">
        <v>125</v>
      </c>
      <c r="F187" s="20" t="s">
        <v>121</v>
      </c>
      <c r="G187" s="20" t="s">
        <v>122</v>
      </c>
      <c r="H187" s="20">
        <v>-4.5999999999999996</v>
      </c>
      <c r="I187" s="20" t="s">
        <v>120</v>
      </c>
    </row>
    <row r="188" spans="1:11" hidden="1" x14ac:dyDescent="0.35">
      <c r="A188" s="20" t="s">
        <v>114</v>
      </c>
      <c r="B188" s="20" t="s">
        <v>115</v>
      </c>
      <c r="C188" s="20">
        <v>2055</v>
      </c>
      <c r="D188" s="20" t="s">
        <v>116</v>
      </c>
      <c r="E188" s="20" t="s">
        <v>125</v>
      </c>
      <c r="F188" s="20" t="s">
        <v>121</v>
      </c>
      <c r="G188" s="20" t="s">
        <v>122</v>
      </c>
      <c r="H188" s="20">
        <v>-0.9</v>
      </c>
      <c r="I188" s="20" t="s">
        <v>120</v>
      </c>
    </row>
    <row r="189" spans="1:11" x14ac:dyDescent="0.35">
      <c r="A189" s="20" t="s">
        <v>114</v>
      </c>
      <c r="B189" s="20" t="s">
        <v>115</v>
      </c>
      <c r="C189" s="20">
        <v>2025</v>
      </c>
      <c r="D189" s="20" t="s">
        <v>116</v>
      </c>
      <c r="E189" s="20" t="s">
        <v>125</v>
      </c>
      <c r="F189" s="20" t="s">
        <v>118</v>
      </c>
      <c r="G189" s="20" t="s">
        <v>134</v>
      </c>
      <c r="H189" s="20">
        <v>-16.2</v>
      </c>
      <c r="I189" s="20" t="s">
        <v>120</v>
      </c>
      <c r="K189" s="20" t="str">
        <f>INDEX('EPA land and ag calcs'!$G$7:$G$14,MATCH('EPA land and ag potential'!E189,'EPA land and ag calcs'!$A$7:$A$15,0))</f>
        <v>forest management</v>
      </c>
    </row>
    <row r="190" spans="1:11" x14ac:dyDescent="0.35">
      <c r="A190" s="20" t="s">
        <v>114</v>
      </c>
      <c r="B190" s="20" t="s">
        <v>115</v>
      </c>
      <c r="C190" s="20">
        <v>2035</v>
      </c>
      <c r="D190" s="20" t="s">
        <v>116</v>
      </c>
      <c r="E190" s="20" t="s">
        <v>125</v>
      </c>
      <c r="F190" s="20" t="s">
        <v>118</v>
      </c>
      <c r="G190" s="20" t="s">
        <v>134</v>
      </c>
      <c r="H190" s="20">
        <v>-50.8</v>
      </c>
      <c r="I190" s="20" t="s">
        <v>120</v>
      </c>
      <c r="K190" s="20" t="str">
        <f>INDEX('EPA land and ag calcs'!$G$7:$G$14,MATCH('EPA land and ag potential'!E190,'EPA land and ag calcs'!$A$7:$A$15,0))</f>
        <v>forest management</v>
      </c>
    </row>
    <row r="191" spans="1:11" x14ac:dyDescent="0.35">
      <c r="A191" s="20" t="s">
        <v>114</v>
      </c>
      <c r="B191" s="20" t="s">
        <v>115</v>
      </c>
      <c r="C191" s="20">
        <v>2045</v>
      </c>
      <c r="D191" s="20" t="s">
        <v>116</v>
      </c>
      <c r="E191" s="20" t="s">
        <v>125</v>
      </c>
      <c r="F191" s="20" t="s">
        <v>118</v>
      </c>
      <c r="G191" s="20" t="s">
        <v>134</v>
      </c>
      <c r="H191" s="20">
        <v>-61.2</v>
      </c>
      <c r="I191" s="20" t="s">
        <v>120</v>
      </c>
      <c r="K191" s="20" t="str">
        <f>INDEX('EPA land and ag calcs'!$G$7:$G$14,MATCH('EPA land and ag potential'!E191,'EPA land and ag calcs'!$A$7:$A$15,0))</f>
        <v>forest management</v>
      </c>
    </row>
    <row r="192" spans="1:11" x14ac:dyDescent="0.35">
      <c r="A192" s="20" t="s">
        <v>114</v>
      </c>
      <c r="B192" s="20" t="s">
        <v>115</v>
      </c>
      <c r="C192" s="20">
        <v>2055</v>
      </c>
      <c r="D192" s="20" t="s">
        <v>116</v>
      </c>
      <c r="E192" s="20" t="s">
        <v>125</v>
      </c>
      <c r="F192" s="20" t="s">
        <v>118</v>
      </c>
      <c r="G192" s="20" t="s">
        <v>134</v>
      </c>
      <c r="H192" s="20">
        <v>-73.2</v>
      </c>
      <c r="I192" s="20" t="s">
        <v>120</v>
      </c>
      <c r="K192" s="20" t="str">
        <f>INDEX('EPA land and ag calcs'!$G$7:$G$14,MATCH('EPA land and ag potential'!E192,'EPA land and ag calcs'!$A$7:$A$15,0))</f>
        <v>forest management</v>
      </c>
    </row>
    <row r="193" spans="1:11" x14ac:dyDescent="0.35">
      <c r="A193" s="20" t="s">
        <v>114</v>
      </c>
      <c r="B193" s="20" t="s">
        <v>115</v>
      </c>
      <c r="C193" s="20">
        <v>2045</v>
      </c>
      <c r="D193" s="20" t="s">
        <v>116</v>
      </c>
      <c r="E193" s="20" t="s">
        <v>126</v>
      </c>
      <c r="F193" s="20" t="s">
        <v>118</v>
      </c>
      <c r="G193" s="20" t="s">
        <v>122</v>
      </c>
      <c r="H193" s="20">
        <v>-0.7</v>
      </c>
      <c r="I193" s="20" t="s">
        <v>120</v>
      </c>
      <c r="K193" s="20" t="str">
        <f>INDEX('EPA land and ag calcs'!$G$7:$G$14,MATCH('EPA land and ag potential'!E193,'EPA land and ag calcs'!$A$7:$A$15,0))</f>
        <v>afforestation and reforestation</v>
      </c>
    </row>
    <row r="194" spans="1:11" x14ac:dyDescent="0.35">
      <c r="A194" s="20" t="s">
        <v>114</v>
      </c>
      <c r="B194" s="20" t="s">
        <v>115</v>
      </c>
      <c r="C194" s="20">
        <v>2055</v>
      </c>
      <c r="D194" s="20" t="s">
        <v>116</v>
      </c>
      <c r="E194" s="20" t="s">
        <v>126</v>
      </c>
      <c r="F194" s="20" t="s">
        <v>118</v>
      </c>
      <c r="G194" s="20" t="s">
        <v>122</v>
      </c>
      <c r="H194" s="20">
        <v>4.8</v>
      </c>
      <c r="I194" s="20" t="s">
        <v>120</v>
      </c>
      <c r="K194" s="20" t="str">
        <f>INDEX('EPA land and ag calcs'!$G$7:$G$14,MATCH('EPA land and ag potential'!E194,'EPA land and ag calcs'!$A$7:$A$15,0))</f>
        <v>afforestation and reforestation</v>
      </c>
    </row>
    <row r="195" spans="1:11" hidden="1" x14ac:dyDescent="0.35">
      <c r="A195" s="20" t="s">
        <v>114</v>
      </c>
      <c r="B195" s="20" t="s">
        <v>115</v>
      </c>
      <c r="C195" s="20">
        <v>2025</v>
      </c>
      <c r="D195" s="20" t="s">
        <v>116</v>
      </c>
      <c r="E195" s="20" t="s">
        <v>126</v>
      </c>
      <c r="F195" s="20" t="s">
        <v>121</v>
      </c>
      <c r="G195" s="20" t="s">
        <v>122</v>
      </c>
      <c r="I195" s="20" t="s">
        <v>120</v>
      </c>
    </row>
    <row r="196" spans="1:11" hidden="1" x14ac:dyDescent="0.35">
      <c r="A196" s="20" t="s">
        <v>114</v>
      </c>
      <c r="B196" s="20" t="s">
        <v>115</v>
      </c>
      <c r="C196" s="20">
        <v>2035</v>
      </c>
      <c r="D196" s="20" t="s">
        <v>116</v>
      </c>
      <c r="E196" s="20" t="s">
        <v>126</v>
      </c>
      <c r="F196" s="20" t="s">
        <v>121</v>
      </c>
      <c r="G196" s="20" t="s">
        <v>122</v>
      </c>
      <c r="H196" s="20">
        <v>-11.1</v>
      </c>
      <c r="I196" s="20" t="s">
        <v>120</v>
      </c>
    </row>
    <row r="197" spans="1:11" hidden="1" x14ac:dyDescent="0.35">
      <c r="A197" s="20" t="s">
        <v>114</v>
      </c>
      <c r="B197" s="20" t="s">
        <v>115</v>
      </c>
      <c r="C197" s="20">
        <v>2045</v>
      </c>
      <c r="D197" s="20" t="s">
        <v>116</v>
      </c>
      <c r="E197" s="20" t="s">
        <v>126</v>
      </c>
      <c r="F197" s="20" t="s">
        <v>121</v>
      </c>
      <c r="G197" s="20" t="s">
        <v>122</v>
      </c>
      <c r="H197" s="20">
        <v>-19.8</v>
      </c>
      <c r="I197" s="20" t="s">
        <v>120</v>
      </c>
    </row>
    <row r="198" spans="1:11" hidden="1" x14ac:dyDescent="0.35">
      <c r="A198" s="20" t="s">
        <v>114</v>
      </c>
      <c r="B198" s="20" t="s">
        <v>115</v>
      </c>
      <c r="C198" s="20">
        <v>2055</v>
      </c>
      <c r="D198" s="20" t="s">
        <v>116</v>
      </c>
      <c r="E198" s="20" t="s">
        <v>126</v>
      </c>
      <c r="F198" s="20" t="s">
        <v>121</v>
      </c>
      <c r="G198" s="20" t="s">
        <v>122</v>
      </c>
      <c r="H198" s="20">
        <v>-24.7</v>
      </c>
      <c r="I198" s="20" t="s">
        <v>120</v>
      </c>
    </row>
    <row r="199" spans="1:11" x14ac:dyDescent="0.35">
      <c r="A199" s="20" t="s">
        <v>114</v>
      </c>
      <c r="B199" s="20" t="s">
        <v>115</v>
      </c>
      <c r="C199" s="20">
        <v>2025</v>
      </c>
      <c r="D199" s="20" t="s">
        <v>116</v>
      </c>
      <c r="E199" s="20" t="s">
        <v>126</v>
      </c>
      <c r="F199" s="20" t="s">
        <v>118</v>
      </c>
      <c r="G199" s="20" t="s">
        <v>134</v>
      </c>
      <c r="I199" s="20" t="s">
        <v>120</v>
      </c>
      <c r="K199" s="20" t="str">
        <f>INDEX('EPA land and ag calcs'!$G$7:$G$14,MATCH('EPA land and ag potential'!E199,'EPA land and ag calcs'!$A$7:$A$15,0))</f>
        <v>afforestation and reforestation</v>
      </c>
    </row>
    <row r="200" spans="1:11" x14ac:dyDescent="0.35">
      <c r="A200" s="20" t="s">
        <v>114</v>
      </c>
      <c r="B200" s="20" t="s">
        <v>115</v>
      </c>
      <c r="C200" s="20">
        <v>2035</v>
      </c>
      <c r="D200" s="20" t="s">
        <v>116</v>
      </c>
      <c r="E200" s="20" t="s">
        <v>126</v>
      </c>
      <c r="F200" s="20" t="s">
        <v>118</v>
      </c>
      <c r="G200" s="20" t="s">
        <v>134</v>
      </c>
      <c r="H200" s="20">
        <v>-41.8</v>
      </c>
      <c r="I200" s="20" t="s">
        <v>120</v>
      </c>
      <c r="K200" s="20" t="str">
        <f>INDEX('EPA land and ag calcs'!$G$7:$G$14,MATCH('EPA land and ag potential'!E200,'EPA land and ag calcs'!$A$7:$A$15,0))</f>
        <v>afforestation and reforestation</v>
      </c>
    </row>
    <row r="201" spans="1:11" x14ac:dyDescent="0.35">
      <c r="A201" s="20" t="s">
        <v>114</v>
      </c>
      <c r="B201" s="20" t="s">
        <v>115</v>
      </c>
      <c r="C201" s="20">
        <v>2045</v>
      </c>
      <c r="D201" s="20" t="s">
        <v>116</v>
      </c>
      <c r="E201" s="20" t="s">
        <v>126</v>
      </c>
      <c r="F201" s="20" t="s">
        <v>118</v>
      </c>
      <c r="G201" s="20" t="s">
        <v>134</v>
      </c>
      <c r="H201" s="20">
        <v>-54.8</v>
      </c>
      <c r="I201" s="20" t="s">
        <v>120</v>
      </c>
      <c r="K201" s="20" t="str">
        <f>INDEX('EPA land and ag calcs'!$G$7:$G$14,MATCH('EPA land and ag potential'!E201,'EPA land and ag calcs'!$A$7:$A$15,0))</f>
        <v>afforestation and reforestation</v>
      </c>
    </row>
    <row r="202" spans="1:11" x14ac:dyDescent="0.35">
      <c r="A202" s="20" t="s">
        <v>114</v>
      </c>
      <c r="B202" s="20" t="s">
        <v>115</v>
      </c>
      <c r="C202" s="20">
        <v>2055</v>
      </c>
      <c r="D202" s="20" t="s">
        <v>116</v>
      </c>
      <c r="E202" s="20" t="s">
        <v>126</v>
      </c>
      <c r="F202" s="20" t="s">
        <v>118</v>
      </c>
      <c r="G202" s="20" t="s">
        <v>134</v>
      </c>
      <c r="H202" s="20">
        <v>-66.2</v>
      </c>
      <c r="I202" s="20" t="s">
        <v>120</v>
      </c>
      <c r="K202" s="20" t="str">
        <f>INDEX('EPA land and ag calcs'!$G$7:$G$14,MATCH('EPA land and ag potential'!E202,'EPA land and ag calcs'!$A$7:$A$15,0))</f>
        <v>afforestation and reforestation</v>
      </c>
    </row>
    <row r="203" spans="1:11" x14ac:dyDescent="0.35">
      <c r="A203" s="20" t="s">
        <v>114</v>
      </c>
      <c r="B203" s="20" t="s">
        <v>115</v>
      </c>
      <c r="C203" s="20">
        <v>2045</v>
      </c>
      <c r="D203" s="20" t="s">
        <v>116</v>
      </c>
      <c r="E203" s="20" t="s">
        <v>127</v>
      </c>
      <c r="F203" s="20" t="s">
        <v>118</v>
      </c>
      <c r="G203" s="20" t="s">
        <v>122</v>
      </c>
      <c r="H203" s="20">
        <v>0.1</v>
      </c>
      <c r="I203" s="20" t="s">
        <v>120</v>
      </c>
      <c r="K203" s="20" t="str">
        <f>INDEX('EPA land and ag calcs'!$G$7:$G$14,MATCH('EPA land and ag potential'!E203,'EPA land and ag calcs'!$A$7:$A$15,0))</f>
        <v>forest management</v>
      </c>
    </row>
    <row r="204" spans="1:11" x14ac:dyDescent="0.35">
      <c r="A204" s="20" t="s">
        <v>114</v>
      </c>
      <c r="B204" s="20" t="s">
        <v>115</v>
      </c>
      <c r="C204" s="20">
        <v>2055</v>
      </c>
      <c r="D204" s="20" t="s">
        <v>116</v>
      </c>
      <c r="E204" s="20" t="s">
        <v>127</v>
      </c>
      <c r="F204" s="20" t="s">
        <v>118</v>
      </c>
      <c r="G204" s="20" t="s">
        <v>122</v>
      </c>
      <c r="H204" s="20">
        <v>0.2</v>
      </c>
      <c r="I204" s="20" t="s">
        <v>120</v>
      </c>
      <c r="K204" s="20" t="str">
        <f>INDEX('EPA land and ag calcs'!$G$7:$G$14,MATCH('EPA land and ag potential'!E204,'EPA land and ag calcs'!$A$7:$A$15,0))</f>
        <v>forest management</v>
      </c>
    </row>
    <row r="205" spans="1:11" hidden="1" x14ac:dyDescent="0.35">
      <c r="A205" s="20" t="s">
        <v>114</v>
      </c>
      <c r="B205" s="20" t="s">
        <v>115</v>
      </c>
      <c r="C205" s="20">
        <v>2025</v>
      </c>
      <c r="D205" s="20" t="s">
        <v>116</v>
      </c>
      <c r="E205" s="20" t="s">
        <v>127</v>
      </c>
      <c r="F205" s="20" t="s">
        <v>121</v>
      </c>
      <c r="G205" s="20" t="s">
        <v>122</v>
      </c>
      <c r="H205" s="20">
        <v>0.7</v>
      </c>
      <c r="I205" s="20" t="s">
        <v>120</v>
      </c>
    </row>
    <row r="206" spans="1:11" hidden="1" x14ac:dyDescent="0.35">
      <c r="A206" s="20" t="s">
        <v>114</v>
      </c>
      <c r="B206" s="20" t="s">
        <v>115</v>
      </c>
      <c r="C206" s="20">
        <v>2035</v>
      </c>
      <c r="D206" s="20" t="s">
        <v>116</v>
      </c>
      <c r="E206" s="20" t="s">
        <v>127</v>
      </c>
      <c r="F206" s="20" t="s">
        <v>121</v>
      </c>
      <c r="G206" s="20" t="s">
        <v>122</v>
      </c>
      <c r="H206" s="20">
        <v>0.4</v>
      </c>
      <c r="I206" s="20" t="s">
        <v>120</v>
      </c>
    </row>
    <row r="207" spans="1:11" hidden="1" x14ac:dyDescent="0.35">
      <c r="A207" s="20" t="s">
        <v>114</v>
      </c>
      <c r="B207" s="20" t="s">
        <v>115</v>
      </c>
      <c r="C207" s="20">
        <v>2045</v>
      </c>
      <c r="D207" s="20" t="s">
        <v>116</v>
      </c>
      <c r="E207" s="20" t="s">
        <v>127</v>
      </c>
      <c r="F207" s="20" t="s">
        <v>121</v>
      </c>
      <c r="G207" s="20" t="s">
        <v>122</v>
      </c>
      <c r="H207" s="20">
        <v>0.1</v>
      </c>
      <c r="I207" s="20" t="s">
        <v>120</v>
      </c>
    </row>
    <row r="208" spans="1:11" hidden="1" x14ac:dyDescent="0.35">
      <c r="A208" s="20" t="s">
        <v>114</v>
      </c>
      <c r="B208" s="20" t="s">
        <v>115</v>
      </c>
      <c r="C208" s="20">
        <v>2055</v>
      </c>
      <c r="D208" s="20" t="s">
        <v>116</v>
      </c>
      <c r="E208" s="20" t="s">
        <v>127</v>
      </c>
      <c r="F208" s="20" t="s">
        <v>121</v>
      </c>
      <c r="G208" s="20" t="s">
        <v>122</v>
      </c>
      <c r="H208" s="20">
        <v>0</v>
      </c>
      <c r="I208" s="20" t="s">
        <v>120</v>
      </c>
    </row>
    <row r="209" spans="1:11" x14ac:dyDescent="0.35">
      <c r="A209" s="20" t="s">
        <v>114</v>
      </c>
      <c r="B209" s="20" t="s">
        <v>115</v>
      </c>
      <c r="C209" s="20">
        <v>2025</v>
      </c>
      <c r="D209" s="20" t="s">
        <v>116</v>
      </c>
      <c r="E209" s="20" t="s">
        <v>127</v>
      </c>
      <c r="F209" s="20" t="s">
        <v>118</v>
      </c>
      <c r="G209" s="20" t="s">
        <v>134</v>
      </c>
      <c r="H209" s="20">
        <v>1.4</v>
      </c>
      <c r="I209" s="20" t="s">
        <v>120</v>
      </c>
      <c r="K209" s="20" t="str">
        <f>INDEX('EPA land and ag calcs'!$G$7:$G$14,MATCH('EPA land and ag potential'!E209,'EPA land and ag calcs'!$A$7:$A$15,0))</f>
        <v>forest management</v>
      </c>
    </row>
    <row r="210" spans="1:11" x14ac:dyDescent="0.35">
      <c r="A210" s="20" t="s">
        <v>114</v>
      </c>
      <c r="B210" s="20" t="s">
        <v>115</v>
      </c>
      <c r="C210" s="20">
        <v>2035</v>
      </c>
      <c r="D210" s="20" t="s">
        <v>116</v>
      </c>
      <c r="E210" s="20" t="s">
        <v>127</v>
      </c>
      <c r="F210" s="20" t="s">
        <v>118</v>
      </c>
      <c r="G210" s="20" t="s">
        <v>134</v>
      </c>
      <c r="H210" s="20">
        <v>1.3</v>
      </c>
      <c r="I210" s="20" t="s">
        <v>120</v>
      </c>
      <c r="K210" s="20" t="str">
        <f>INDEX('EPA land and ag calcs'!$G$7:$G$14,MATCH('EPA land and ag potential'!E210,'EPA land and ag calcs'!$A$7:$A$15,0))</f>
        <v>forest management</v>
      </c>
    </row>
    <row r="211" spans="1:11" x14ac:dyDescent="0.35">
      <c r="A211" s="20" t="s">
        <v>114</v>
      </c>
      <c r="B211" s="20" t="s">
        <v>115</v>
      </c>
      <c r="C211" s="20">
        <v>2045</v>
      </c>
      <c r="D211" s="20" t="s">
        <v>116</v>
      </c>
      <c r="E211" s="20" t="s">
        <v>127</v>
      </c>
      <c r="F211" s="20" t="s">
        <v>118</v>
      </c>
      <c r="G211" s="20" t="s">
        <v>134</v>
      </c>
      <c r="H211" s="20">
        <v>1.3</v>
      </c>
      <c r="I211" s="20" t="s">
        <v>120</v>
      </c>
      <c r="K211" s="20" t="str">
        <f>INDEX('EPA land and ag calcs'!$G$7:$G$14,MATCH('EPA land and ag potential'!E211,'EPA land and ag calcs'!$A$7:$A$15,0))</f>
        <v>forest management</v>
      </c>
    </row>
    <row r="212" spans="1:11" x14ac:dyDescent="0.35">
      <c r="A212" s="20" t="s">
        <v>114</v>
      </c>
      <c r="B212" s="20" t="s">
        <v>115</v>
      </c>
      <c r="C212" s="20">
        <v>2055</v>
      </c>
      <c r="D212" s="20" t="s">
        <v>116</v>
      </c>
      <c r="E212" s="20" t="s">
        <v>127</v>
      </c>
      <c r="F212" s="20" t="s">
        <v>118</v>
      </c>
      <c r="G212" s="20" t="s">
        <v>134</v>
      </c>
      <c r="H212" s="20">
        <v>1.2</v>
      </c>
      <c r="I212" s="20" t="s">
        <v>120</v>
      </c>
      <c r="K212" s="20" t="str">
        <f>INDEX('EPA land and ag calcs'!$G$7:$G$14,MATCH('EPA land and ag potential'!E212,'EPA land and ag calcs'!$A$7:$A$15,0))</f>
        <v>forest management</v>
      </c>
    </row>
    <row r="213" spans="1:11" x14ac:dyDescent="0.35">
      <c r="A213" s="20" t="s">
        <v>114</v>
      </c>
      <c r="B213" s="20" t="s">
        <v>115</v>
      </c>
      <c r="C213" s="20">
        <v>2045</v>
      </c>
      <c r="D213" s="20" t="s">
        <v>116</v>
      </c>
      <c r="E213" s="20" t="s">
        <v>128</v>
      </c>
      <c r="F213" s="20" t="s">
        <v>118</v>
      </c>
      <c r="G213" s="20" t="s">
        <v>122</v>
      </c>
      <c r="H213" s="20">
        <v>-33.299999999999997</v>
      </c>
      <c r="I213" s="20" t="s">
        <v>120</v>
      </c>
      <c r="K213" s="20" t="str">
        <f>INDEX('EPA land and ag calcs'!$G$7:$G$14,MATCH('EPA land and ag potential'!E213,'EPA land and ag calcs'!$A$7:$A$15,0))</f>
        <v>afforestation and reforestation</v>
      </c>
    </row>
    <row r="214" spans="1:11" x14ac:dyDescent="0.35">
      <c r="A214" s="20" t="s">
        <v>114</v>
      </c>
      <c r="B214" s="20" t="s">
        <v>115</v>
      </c>
      <c r="C214" s="20">
        <v>2055</v>
      </c>
      <c r="D214" s="20" t="s">
        <v>116</v>
      </c>
      <c r="E214" s="20" t="s">
        <v>128</v>
      </c>
      <c r="F214" s="20" t="s">
        <v>118</v>
      </c>
      <c r="G214" s="20" t="s">
        <v>122</v>
      </c>
      <c r="H214" s="20">
        <v>-27.3</v>
      </c>
      <c r="I214" s="20" t="s">
        <v>120</v>
      </c>
      <c r="K214" s="20" t="str">
        <f>INDEX('EPA land and ag calcs'!$G$7:$G$14,MATCH('EPA land and ag potential'!E214,'EPA land and ag calcs'!$A$7:$A$15,0))</f>
        <v>afforestation and reforestation</v>
      </c>
    </row>
    <row r="215" spans="1:11" hidden="1" x14ac:dyDescent="0.35">
      <c r="A215" s="20" t="s">
        <v>114</v>
      </c>
      <c r="B215" s="20" t="s">
        <v>115</v>
      </c>
      <c r="C215" s="20">
        <v>2025</v>
      </c>
      <c r="D215" s="20" t="s">
        <v>116</v>
      </c>
      <c r="E215" s="20" t="s">
        <v>128</v>
      </c>
      <c r="F215" s="20" t="s">
        <v>121</v>
      </c>
      <c r="G215" s="20" t="s">
        <v>122</v>
      </c>
      <c r="H215" s="20">
        <v>-17.600000000000001</v>
      </c>
      <c r="I215" s="20" t="s">
        <v>120</v>
      </c>
    </row>
    <row r="216" spans="1:11" hidden="1" x14ac:dyDescent="0.35">
      <c r="A216" s="20" t="s">
        <v>114</v>
      </c>
      <c r="B216" s="20" t="s">
        <v>115</v>
      </c>
      <c r="C216" s="20">
        <v>2035</v>
      </c>
      <c r="D216" s="20" t="s">
        <v>116</v>
      </c>
      <c r="E216" s="20" t="s">
        <v>128</v>
      </c>
      <c r="F216" s="20" t="s">
        <v>121</v>
      </c>
      <c r="G216" s="20" t="s">
        <v>122</v>
      </c>
      <c r="H216" s="20">
        <v>-13.2</v>
      </c>
      <c r="I216" s="20" t="s">
        <v>120</v>
      </c>
    </row>
    <row r="217" spans="1:11" hidden="1" x14ac:dyDescent="0.35">
      <c r="A217" s="20" t="s">
        <v>114</v>
      </c>
      <c r="B217" s="20" t="s">
        <v>115</v>
      </c>
      <c r="C217" s="20">
        <v>2045</v>
      </c>
      <c r="D217" s="20" t="s">
        <v>116</v>
      </c>
      <c r="E217" s="20" t="s">
        <v>128</v>
      </c>
      <c r="F217" s="20" t="s">
        <v>121</v>
      </c>
      <c r="G217" s="20" t="s">
        <v>122</v>
      </c>
      <c r="H217" s="20">
        <v>-6.1</v>
      </c>
      <c r="I217" s="20" t="s">
        <v>120</v>
      </c>
    </row>
    <row r="218" spans="1:11" hidden="1" x14ac:dyDescent="0.35">
      <c r="A218" s="20" t="s">
        <v>114</v>
      </c>
      <c r="B218" s="20" t="s">
        <v>115</v>
      </c>
      <c r="C218" s="20">
        <v>2055</v>
      </c>
      <c r="D218" s="20" t="s">
        <v>116</v>
      </c>
      <c r="E218" s="20" t="s">
        <v>128</v>
      </c>
      <c r="F218" s="20" t="s">
        <v>121</v>
      </c>
      <c r="G218" s="20" t="s">
        <v>122</v>
      </c>
      <c r="H218" s="20">
        <v>-7.9</v>
      </c>
      <c r="I218" s="20" t="s">
        <v>120</v>
      </c>
    </row>
    <row r="219" spans="1:11" x14ac:dyDescent="0.35">
      <c r="A219" s="20" t="s">
        <v>114</v>
      </c>
      <c r="B219" s="20" t="s">
        <v>115</v>
      </c>
      <c r="C219" s="20">
        <v>2025</v>
      </c>
      <c r="D219" s="20" t="s">
        <v>116</v>
      </c>
      <c r="E219" s="20" t="s">
        <v>128</v>
      </c>
      <c r="F219" s="20" t="s">
        <v>118</v>
      </c>
      <c r="G219" s="20" t="s">
        <v>134</v>
      </c>
      <c r="H219" s="20">
        <v>-101.2</v>
      </c>
      <c r="I219" s="20" t="s">
        <v>120</v>
      </c>
      <c r="K219" s="20" t="str">
        <f>INDEX('EPA land and ag calcs'!$G$7:$G$14,MATCH('EPA land and ag potential'!E219,'EPA land and ag calcs'!$A$7:$A$15,0))</f>
        <v>afforestation and reforestation</v>
      </c>
    </row>
    <row r="220" spans="1:11" x14ac:dyDescent="0.35">
      <c r="A220" s="20" t="s">
        <v>114</v>
      </c>
      <c r="B220" s="20" t="s">
        <v>115</v>
      </c>
      <c r="C220" s="20">
        <v>2035</v>
      </c>
      <c r="D220" s="20" t="s">
        <v>116</v>
      </c>
      <c r="E220" s="20" t="s">
        <v>128</v>
      </c>
      <c r="F220" s="20" t="s">
        <v>118</v>
      </c>
      <c r="G220" s="20" t="s">
        <v>134</v>
      </c>
      <c r="H220" s="20">
        <v>-131.1</v>
      </c>
      <c r="I220" s="20" t="s">
        <v>120</v>
      </c>
      <c r="K220" s="20" t="str">
        <f>INDEX('EPA land and ag calcs'!$G$7:$G$14,MATCH('EPA land and ag potential'!E220,'EPA land and ag calcs'!$A$7:$A$15,0))</f>
        <v>afforestation and reforestation</v>
      </c>
    </row>
    <row r="221" spans="1:11" x14ac:dyDescent="0.35">
      <c r="A221" s="20" t="s">
        <v>114</v>
      </c>
      <c r="B221" s="20" t="s">
        <v>115</v>
      </c>
      <c r="C221" s="20">
        <v>2045</v>
      </c>
      <c r="D221" s="20" t="s">
        <v>116</v>
      </c>
      <c r="E221" s="20" t="s">
        <v>128</v>
      </c>
      <c r="F221" s="20" t="s">
        <v>118</v>
      </c>
      <c r="G221" s="20" t="s">
        <v>134</v>
      </c>
      <c r="H221" s="20">
        <v>-124.7</v>
      </c>
      <c r="I221" s="20" t="s">
        <v>120</v>
      </c>
      <c r="K221" s="20" t="str">
        <f>INDEX('EPA land and ag calcs'!$G$7:$G$14,MATCH('EPA land and ag potential'!E221,'EPA land and ag calcs'!$A$7:$A$15,0))</f>
        <v>afforestation and reforestation</v>
      </c>
    </row>
    <row r="222" spans="1:11" x14ac:dyDescent="0.35">
      <c r="A222" s="20" t="s">
        <v>114</v>
      </c>
      <c r="B222" s="20" t="s">
        <v>115</v>
      </c>
      <c r="C222" s="20">
        <v>2055</v>
      </c>
      <c r="D222" s="20" t="s">
        <v>116</v>
      </c>
      <c r="E222" s="20" t="s">
        <v>128</v>
      </c>
      <c r="F222" s="20" t="s">
        <v>118</v>
      </c>
      <c r="G222" s="20" t="s">
        <v>134</v>
      </c>
      <c r="H222" s="20">
        <v>-112.3</v>
      </c>
      <c r="I222" s="20" t="s">
        <v>120</v>
      </c>
      <c r="K222" s="20" t="str">
        <f>INDEX('EPA land and ag calcs'!$G$7:$G$14,MATCH('EPA land and ag potential'!E222,'EPA land and ag calcs'!$A$7:$A$15,0))</f>
        <v>afforestation and reforestation</v>
      </c>
    </row>
    <row r="223" spans="1:11" x14ac:dyDescent="0.35">
      <c r="A223" s="20" t="s">
        <v>114</v>
      </c>
      <c r="B223" s="20" t="s">
        <v>115</v>
      </c>
      <c r="C223" s="20">
        <v>2045</v>
      </c>
      <c r="D223" s="20" t="s">
        <v>116</v>
      </c>
      <c r="E223" s="20" t="s">
        <v>129</v>
      </c>
      <c r="F223" s="20" t="s">
        <v>118</v>
      </c>
      <c r="G223" s="20" t="s">
        <v>122</v>
      </c>
      <c r="H223" s="20">
        <v>-2.1</v>
      </c>
      <c r="I223" s="20" t="s">
        <v>120</v>
      </c>
      <c r="K223" s="20" t="str">
        <f>INDEX('EPA land and ag calcs'!$G$7:$G$14,MATCH('EPA land and ag potential'!E223,'EPA land and ag calcs'!$A$7:$A$15,0))</f>
        <v>*handled in agriculture files</v>
      </c>
    </row>
    <row r="224" spans="1:11" x14ac:dyDescent="0.35">
      <c r="A224" s="20" t="s">
        <v>114</v>
      </c>
      <c r="B224" s="20" t="s">
        <v>115</v>
      </c>
      <c r="C224" s="20">
        <v>2055</v>
      </c>
      <c r="D224" s="20" t="s">
        <v>116</v>
      </c>
      <c r="E224" s="20" t="s">
        <v>129</v>
      </c>
      <c r="F224" s="20" t="s">
        <v>118</v>
      </c>
      <c r="G224" s="20" t="s">
        <v>122</v>
      </c>
      <c r="H224" s="20">
        <v>-4.5</v>
      </c>
      <c r="I224" s="20" t="s">
        <v>120</v>
      </c>
      <c r="K224" s="20" t="str">
        <f>INDEX('EPA land and ag calcs'!$G$7:$G$14,MATCH('EPA land and ag potential'!E224,'EPA land and ag calcs'!$A$7:$A$15,0))</f>
        <v>*handled in agriculture files</v>
      </c>
    </row>
    <row r="225" spans="1:11" hidden="1" x14ac:dyDescent="0.35">
      <c r="A225" s="20" t="s">
        <v>114</v>
      </c>
      <c r="B225" s="20" t="s">
        <v>115</v>
      </c>
      <c r="C225" s="20">
        <v>2025</v>
      </c>
      <c r="D225" s="20" t="s">
        <v>116</v>
      </c>
      <c r="E225" s="20" t="s">
        <v>129</v>
      </c>
      <c r="F225" s="20" t="s">
        <v>121</v>
      </c>
      <c r="G225" s="20" t="s">
        <v>122</v>
      </c>
      <c r="H225" s="20">
        <v>-0.1</v>
      </c>
      <c r="I225" s="20" t="s">
        <v>120</v>
      </c>
    </row>
    <row r="226" spans="1:11" hidden="1" x14ac:dyDescent="0.35">
      <c r="A226" s="20" t="s">
        <v>114</v>
      </c>
      <c r="B226" s="20" t="s">
        <v>115</v>
      </c>
      <c r="C226" s="20">
        <v>2035</v>
      </c>
      <c r="D226" s="20" t="s">
        <v>116</v>
      </c>
      <c r="E226" s="20" t="s">
        <v>129</v>
      </c>
      <c r="F226" s="20" t="s">
        <v>121</v>
      </c>
      <c r="G226" s="20" t="s">
        <v>122</v>
      </c>
      <c r="H226" s="20">
        <v>-0.2</v>
      </c>
      <c r="I226" s="20" t="s">
        <v>120</v>
      </c>
    </row>
    <row r="227" spans="1:11" hidden="1" x14ac:dyDescent="0.35">
      <c r="A227" s="20" t="s">
        <v>114</v>
      </c>
      <c r="B227" s="20" t="s">
        <v>115</v>
      </c>
      <c r="C227" s="20">
        <v>2045</v>
      </c>
      <c r="D227" s="20" t="s">
        <v>116</v>
      </c>
      <c r="E227" s="20" t="s">
        <v>129</v>
      </c>
      <c r="F227" s="20" t="s">
        <v>121</v>
      </c>
      <c r="G227" s="20" t="s">
        <v>122</v>
      </c>
      <c r="H227" s="20">
        <v>-0.5</v>
      </c>
      <c r="I227" s="20" t="s">
        <v>120</v>
      </c>
    </row>
    <row r="228" spans="1:11" hidden="1" x14ac:dyDescent="0.35">
      <c r="A228" s="20" t="s">
        <v>114</v>
      </c>
      <c r="B228" s="20" t="s">
        <v>115</v>
      </c>
      <c r="C228" s="20">
        <v>2055</v>
      </c>
      <c r="D228" s="20" t="s">
        <v>116</v>
      </c>
      <c r="E228" s="20" t="s">
        <v>129</v>
      </c>
      <c r="F228" s="20" t="s">
        <v>121</v>
      </c>
      <c r="G228" s="20" t="s">
        <v>122</v>
      </c>
      <c r="H228" s="20">
        <v>-2.4</v>
      </c>
      <c r="I228" s="20" t="s">
        <v>120</v>
      </c>
    </row>
    <row r="229" spans="1:11" x14ac:dyDescent="0.35">
      <c r="A229" s="20" t="s">
        <v>114</v>
      </c>
      <c r="B229" s="20" t="s">
        <v>115</v>
      </c>
      <c r="C229" s="20">
        <v>2025</v>
      </c>
      <c r="D229" s="20" t="s">
        <v>116</v>
      </c>
      <c r="E229" s="20" t="s">
        <v>129</v>
      </c>
      <c r="F229" s="20" t="s">
        <v>118</v>
      </c>
      <c r="G229" s="20" t="s">
        <v>134</v>
      </c>
      <c r="H229" s="20">
        <v>-10</v>
      </c>
      <c r="I229" s="20" t="s">
        <v>120</v>
      </c>
      <c r="K229" s="20" t="str">
        <f>INDEX('EPA land and ag calcs'!$G$7:$G$14,MATCH('EPA land and ag potential'!E229,'EPA land and ag calcs'!$A$7:$A$15,0))</f>
        <v>*handled in agriculture files</v>
      </c>
    </row>
    <row r="230" spans="1:11" x14ac:dyDescent="0.35">
      <c r="A230" s="20" t="s">
        <v>114</v>
      </c>
      <c r="B230" s="20" t="s">
        <v>115</v>
      </c>
      <c r="C230" s="20">
        <v>2035</v>
      </c>
      <c r="D230" s="20" t="s">
        <v>116</v>
      </c>
      <c r="E230" s="20" t="s">
        <v>129</v>
      </c>
      <c r="F230" s="20" t="s">
        <v>118</v>
      </c>
      <c r="G230" s="20" t="s">
        <v>134</v>
      </c>
      <c r="H230" s="20">
        <v>-15</v>
      </c>
      <c r="I230" s="20" t="s">
        <v>120</v>
      </c>
      <c r="K230" s="20" t="str">
        <f>INDEX('EPA land and ag calcs'!$G$7:$G$14,MATCH('EPA land and ag potential'!E230,'EPA land and ag calcs'!$A$7:$A$15,0))</f>
        <v>*handled in agriculture files</v>
      </c>
    </row>
    <row r="231" spans="1:11" x14ac:dyDescent="0.35">
      <c r="A231" s="20" t="s">
        <v>114</v>
      </c>
      <c r="B231" s="20" t="s">
        <v>115</v>
      </c>
      <c r="C231" s="20">
        <v>2045</v>
      </c>
      <c r="D231" s="20" t="s">
        <v>116</v>
      </c>
      <c r="E231" s="20" t="s">
        <v>129</v>
      </c>
      <c r="F231" s="20" t="s">
        <v>118</v>
      </c>
      <c r="G231" s="20" t="s">
        <v>134</v>
      </c>
      <c r="H231" s="20">
        <v>-28.5</v>
      </c>
      <c r="I231" s="20" t="s">
        <v>120</v>
      </c>
      <c r="K231" s="20" t="str">
        <f>INDEX('EPA land and ag calcs'!$G$7:$G$14,MATCH('EPA land and ag potential'!E231,'EPA land and ag calcs'!$A$7:$A$15,0))</f>
        <v>*handled in agriculture files</v>
      </c>
    </row>
    <row r="232" spans="1:11" x14ac:dyDescent="0.35">
      <c r="A232" s="20" t="s">
        <v>114</v>
      </c>
      <c r="B232" s="20" t="s">
        <v>115</v>
      </c>
      <c r="C232" s="20">
        <v>2055</v>
      </c>
      <c r="D232" s="20" t="s">
        <v>116</v>
      </c>
      <c r="E232" s="20" t="s">
        <v>129</v>
      </c>
      <c r="F232" s="20" t="s">
        <v>118</v>
      </c>
      <c r="G232" s="20" t="s">
        <v>134</v>
      </c>
      <c r="H232" s="20">
        <v>-35.5</v>
      </c>
      <c r="I232" s="20" t="s">
        <v>120</v>
      </c>
      <c r="K232" s="20" t="str">
        <f>INDEX('EPA land and ag calcs'!$G$7:$G$14,MATCH('EPA land and ag potential'!E232,'EPA land and ag calcs'!$A$7:$A$15,0))</f>
        <v>*handled in agriculture files</v>
      </c>
    </row>
    <row r="233" spans="1:11" hidden="1" x14ac:dyDescent="0.35">
      <c r="A233" s="20" t="s">
        <v>114</v>
      </c>
      <c r="B233" s="20" t="s">
        <v>130</v>
      </c>
      <c r="C233" s="20">
        <v>2035</v>
      </c>
      <c r="D233" s="20" t="s">
        <v>116</v>
      </c>
      <c r="E233" s="20" t="s">
        <v>131</v>
      </c>
      <c r="F233" s="20" t="s">
        <v>121</v>
      </c>
      <c r="G233" s="20" t="s">
        <v>132</v>
      </c>
      <c r="H233" s="20">
        <v>-328.3</v>
      </c>
      <c r="I233" s="20" t="s">
        <v>120</v>
      </c>
    </row>
    <row r="234" spans="1:11" hidden="1" x14ac:dyDescent="0.35">
      <c r="A234" s="20" t="s">
        <v>114</v>
      </c>
      <c r="B234" s="20" t="s">
        <v>130</v>
      </c>
      <c r="C234" s="20">
        <v>2035</v>
      </c>
      <c r="D234" s="20" t="s">
        <v>116</v>
      </c>
      <c r="E234" s="20" t="s">
        <v>131</v>
      </c>
      <c r="F234" s="20" t="s">
        <v>121</v>
      </c>
      <c r="G234" s="20" t="s">
        <v>133</v>
      </c>
      <c r="H234" s="20">
        <v>-104.5</v>
      </c>
      <c r="I234" s="20" t="s">
        <v>120</v>
      </c>
    </row>
    <row r="235" spans="1:11" hidden="1" x14ac:dyDescent="0.35">
      <c r="A235" s="20" t="s">
        <v>114</v>
      </c>
      <c r="B235" s="20" t="s">
        <v>130</v>
      </c>
      <c r="C235" s="20">
        <v>2035</v>
      </c>
      <c r="D235" s="20" t="s">
        <v>116</v>
      </c>
      <c r="E235" s="20" t="s">
        <v>131</v>
      </c>
      <c r="F235" s="20" t="s">
        <v>121</v>
      </c>
      <c r="G235" s="20" t="s">
        <v>134</v>
      </c>
      <c r="H235" s="20">
        <v>-198.2</v>
      </c>
      <c r="I235" s="20" t="s">
        <v>120</v>
      </c>
    </row>
    <row r="236" spans="1:11" hidden="1" x14ac:dyDescent="0.35">
      <c r="A236" s="20" t="s">
        <v>114</v>
      </c>
      <c r="B236" s="20" t="s">
        <v>130</v>
      </c>
      <c r="C236" s="20">
        <v>2035</v>
      </c>
      <c r="D236" s="20" t="s">
        <v>116</v>
      </c>
      <c r="E236" s="20" t="s">
        <v>131</v>
      </c>
      <c r="F236" s="20" t="s">
        <v>121</v>
      </c>
      <c r="G236" s="20" t="s">
        <v>122</v>
      </c>
      <c r="H236" s="20">
        <v>-40.5</v>
      </c>
      <c r="I236" s="20" t="s">
        <v>120</v>
      </c>
    </row>
    <row r="237" spans="1:11" hidden="1" x14ac:dyDescent="0.35">
      <c r="A237" s="20" t="s">
        <v>114</v>
      </c>
      <c r="B237" s="20" t="s">
        <v>130</v>
      </c>
      <c r="C237" s="20">
        <v>2035</v>
      </c>
      <c r="D237" s="20" t="s">
        <v>116</v>
      </c>
      <c r="E237" s="20" t="s">
        <v>131</v>
      </c>
      <c r="F237" s="20" t="s">
        <v>121</v>
      </c>
      <c r="G237" s="20" t="s">
        <v>119</v>
      </c>
      <c r="H237" s="20">
        <v>-259.39999999999998</v>
      </c>
      <c r="I237" s="20" t="s">
        <v>120</v>
      </c>
    </row>
    <row r="238" spans="1:11" x14ac:dyDescent="0.35">
      <c r="A238" s="20" t="s">
        <v>114</v>
      </c>
      <c r="B238" s="20" t="s">
        <v>130</v>
      </c>
      <c r="C238" s="20">
        <v>2035</v>
      </c>
      <c r="D238" s="20" t="s">
        <v>116</v>
      </c>
      <c r="E238" s="20" t="s">
        <v>131</v>
      </c>
      <c r="F238" s="20" t="s">
        <v>118</v>
      </c>
      <c r="G238" s="20" t="s">
        <v>132</v>
      </c>
      <c r="H238" s="20">
        <v>-247.6</v>
      </c>
      <c r="I238" s="20" t="s">
        <v>120</v>
      </c>
      <c r="K238" s="20" t="e">
        <f>INDEX('EPA land and ag calcs'!$G$7:$G$14,MATCH('EPA land and ag potential'!E238,'EPA land and ag calcs'!$A$7:$A$15,0))</f>
        <v>#REF!</v>
      </c>
    </row>
    <row r="239" spans="1:11" x14ac:dyDescent="0.35">
      <c r="A239" s="20" t="s">
        <v>114</v>
      </c>
      <c r="B239" s="20" t="s">
        <v>130</v>
      </c>
      <c r="C239" s="20">
        <v>2035</v>
      </c>
      <c r="D239" s="20" t="s">
        <v>116</v>
      </c>
      <c r="E239" s="20" t="s">
        <v>131</v>
      </c>
      <c r="F239" s="20" t="s">
        <v>118</v>
      </c>
      <c r="G239" s="20" t="s">
        <v>133</v>
      </c>
      <c r="H239" s="20">
        <v>-78.2</v>
      </c>
      <c r="I239" s="20" t="s">
        <v>120</v>
      </c>
      <c r="K239" s="20" t="e">
        <f>INDEX('EPA land and ag calcs'!$G$7:$G$14,MATCH('EPA land and ag potential'!E239,'EPA land and ag calcs'!$A$7:$A$15,0))</f>
        <v>#REF!</v>
      </c>
    </row>
    <row r="240" spans="1:11" x14ac:dyDescent="0.35">
      <c r="A240" s="20" t="s">
        <v>114</v>
      </c>
      <c r="B240" s="20" t="s">
        <v>130</v>
      </c>
      <c r="C240" s="20">
        <v>2035</v>
      </c>
      <c r="D240" s="20" t="s">
        <v>116</v>
      </c>
      <c r="E240" s="20" t="s">
        <v>131</v>
      </c>
      <c r="F240" s="20" t="s">
        <v>118</v>
      </c>
      <c r="G240" s="20" t="s">
        <v>134</v>
      </c>
      <c r="H240" s="20">
        <v>-131.5</v>
      </c>
      <c r="I240" s="20" t="s">
        <v>120</v>
      </c>
      <c r="K240" s="20" t="e">
        <f>INDEX('EPA land and ag calcs'!$G$7:$G$14,MATCH('EPA land and ag potential'!E240,'EPA land and ag calcs'!$A$7:$A$15,0))</f>
        <v>#REF!</v>
      </c>
    </row>
    <row r="241" spans="1:11" x14ac:dyDescent="0.35">
      <c r="A241" s="20" t="s">
        <v>114</v>
      </c>
      <c r="B241" s="20" t="s">
        <v>130</v>
      </c>
      <c r="C241" s="20">
        <v>2035</v>
      </c>
      <c r="D241" s="20" t="s">
        <v>116</v>
      </c>
      <c r="E241" s="20" t="s">
        <v>131</v>
      </c>
      <c r="F241" s="20" t="s">
        <v>118</v>
      </c>
      <c r="G241" s="20" t="s">
        <v>122</v>
      </c>
      <c r="H241" s="20">
        <v>-16.5</v>
      </c>
      <c r="I241" s="20" t="s">
        <v>120</v>
      </c>
      <c r="K241" s="20" t="e">
        <f>INDEX('EPA land and ag calcs'!$G$7:$G$14,MATCH('EPA land and ag potential'!E241,'EPA land and ag calcs'!$A$7:$A$15,0))</f>
        <v>#REF!</v>
      </c>
    </row>
    <row r="242" spans="1:11" x14ac:dyDescent="0.35">
      <c r="A242" s="20" t="s">
        <v>114</v>
      </c>
      <c r="B242" s="20" t="s">
        <v>130</v>
      </c>
      <c r="C242" s="20">
        <v>2035</v>
      </c>
      <c r="D242" s="20" t="s">
        <v>116</v>
      </c>
      <c r="E242" s="20" t="s">
        <v>131</v>
      </c>
      <c r="F242" s="20" t="s">
        <v>118</v>
      </c>
      <c r="G242" s="20" t="s">
        <v>119</v>
      </c>
      <c r="H242" s="20">
        <v>-196.8</v>
      </c>
      <c r="I242" s="20" t="s">
        <v>120</v>
      </c>
      <c r="K242" s="20" t="e">
        <f>INDEX('EPA land and ag calcs'!$G$7:$G$14,MATCH('EPA land and ag potential'!E242,'EPA land and ag calcs'!$A$7:$A$15,0))</f>
        <v>#REF!</v>
      </c>
    </row>
    <row r="243" spans="1:11" hidden="1" x14ac:dyDescent="0.35">
      <c r="A243" s="20" t="s">
        <v>114</v>
      </c>
      <c r="B243" s="20" t="s">
        <v>130</v>
      </c>
      <c r="C243" s="20">
        <v>2035</v>
      </c>
      <c r="D243" s="20" t="s">
        <v>135</v>
      </c>
      <c r="E243" s="20" t="s">
        <v>131</v>
      </c>
      <c r="F243" s="20" t="s">
        <v>118</v>
      </c>
      <c r="G243" s="20" t="s">
        <v>119</v>
      </c>
      <c r="H243" s="20">
        <v>-183.1</v>
      </c>
      <c r="I243" s="20" t="s">
        <v>120</v>
      </c>
    </row>
    <row r="244" spans="1:11" hidden="1" x14ac:dyDescent="0.35">
      <c r="A244" s="20" t="s">
        <v>114</v>
      </c>
      <c r="B244" s="20" t="s">
        <v>130</v>
      </c>
      <c r="C244" s="20">
        <v>2035</v>
      </c>
      <c r="D244" s="20" t="s">
        <v>135</v>
      </c>
      <c r="E244" s="20" t="s">
        <v>131</v>
      </c>
      <c r="F244" s="20" t="s">
        <v>121</v>
      </c>
      <c r="G244" s="20" t="s">
        <v>119</v>
      </c>
      <c r="H244" s="20">
        <v>-180.4</v>
      </c>
      <c r="I244" s="20" t="s">
        <v>120</v>
      </c>
    </row>
    <row r="245" spans="1:11" hidden="1" x14ac:dyDescent="0.35">
      <c r="A245" s="20" t="s">
        <v>114</v>
      </c>
      <c r="B245" s="20" t="s">
        <v>130</v>
      </c>
      <c r="C245" s="20">
        <v>2035</v>
      </c>
      <c r="D245" s="20" t="s">
        <v>135</v>
      </c>
      <c r="E245" s="20" t="s">
        <v>131</v>
      </c>
      <c r="F245" s="20" t="s">
        <v>118</v>
      </c>
      <c r="G245" s="20" t="s">
        <v>122</v>
      </c>
      <c r="H245" s="20">
        <v>-111.3</v>
      </c>
      <c r="I245" s="20" t="s">
        <v>120</v>
      </c>
    </row>
    <row r="246" spans="1:11" hidden="1" x14ac:dyDescent="0.35">
      <c r="A246" s="20" t="s">
        <v>114</v>
      </c>
      <c r="B246" s="20" t="s">
        <v>130</v>
      </c>
      <c r="C246" s="20">
        <v>2035</v>
      </c>
      <c r="D246" s="20" t="s">
        <v>135</v>
      </c>
      <c r="E246" s="20" t="s">
        <v>131</v>
      </c>
      <c r="F246" s="20" t="s">
        <v>121</v>
      </c>
      <c r="G246" s="20" t="s">
        <v>122</v>
      </c>
      <c r="H246" s="20">
        <v>-110.7</v>
      </c>
      <c r="I246" s="20" t="s">
        <v>120</v>
      </c>
    </row>
    <row r="247" spans="1:11" hidden="1" x14ac:dyDescent="0.35">
      <c r="A247" s="20" t="s">
        <v>114</v>
      </c>
      <c r="B247" s="20" t="s">
        <v>130</v>
      </c>
      <c r="C247" s="20">
        <v>2035</v>
      </c>
      <c r="D247" s="20" t="s">
        <v>135</v>
      </c>
      <c r="E247" s="20" t="s">
        <v>131</v>
      </c>
      <c r="F247" s="20" t="s">
        <v>118</v>
      </c>
      <c r="G247" s="20" t="s">
        <v>134</v>
      </c>
      <c r="H247" s="20">
        <v>-171.9</v>
      </c>
      <c r="I247" s="20" t="s">
        <v>120</v>
      </c>
    </row>
    <row r="248" spans="1:11" hidden="1" x14ac:dyDescent="0.35">
      <c r="A248" s="20" t="s">
        <v>114</v>
      </c>
      <c r="B248" s="20" t="s">
        <v>130</v>
      </c>
      <c r="C248" s="20">
        <v>2035</v>
      </c>
      <c r="D248" s="20" t="s">
        <v>135</v>
      </c>
      <c r="E248" s="20" t="s">
        <v>131</v>
      </c>
      <c r="F248" s="20" t="s">
        <v>121</v>
      </c>
      <c r="G248" s="20" t="s">
        <v>134</v>
      </c>
      <c r="H248" s="20">
        <v>-168</v>
      </c>
      <c r="I248" s="20" t="s">
        <v>120</v>
      </c>
    </row>
    <row r="249" spans="1:11" hidden="1" x14ac:dyDescent="0.35">
      <c r="A249" s="20" t="s">
        <v>114</v>
      </c>
      <c r="B249" s="20" t="s">
        <v>130</v>
      </c>
      <c r="C249" s="20">
        <v>2035</v>
      </c>
      <c r="D249" s="20" t="s">
        <v>135</v>
      </c>
      <c r="E249" s="20" t="s">
        <v>131</v>
      </c>
      <c r="F249" s="20" t="s">
        <v>118</v>
      </c>
      <c r="G249" s="20" t="s">
        <v>133</v>
      </c>
      <c r="H249" s="20">
        <v>-148.5</v>
      </c>
      <c r="I249" s="20" t="s">
        <v>120</v>
      </c>
    </row>
    <row r="250" spans="1:11" hidden="1" x14ac:dyDescent="0.35">
      <c r="A250" s="20" t="s">
        <v>114</v>
      </c>
      <c r="B250" s="20" t="s">
        <v>130</v>
      </c>
      <c r="C250" s="20">
        <v>2035</v>
      </c>
      <c r="D250" s="20" t="s">
        <v>135</v>
      </c>
      <c r="E250" s="20" t="s">
        <v>131</v>
      </c>
      <c r="F250" s="20" t="s">
        <v>121</v>
      </c>
      <c r="G250" s="20" t="s">
        <v>133</v>
      </c>
      <c r="H250" s="20">
        <v>-142</v>
      </c>
      <c r="I250" s="20" t="s">
        <v>120</v>
      </c>
    </row>
    <row r="251" spans="1:11" hidden="1" x14ac:dyDescent="0.35">
      <c r="A251" s="20" t="s">
        <v>114</v>
      </c>
      <c r="B251" s="20" t="s">
        <v>130</v>
      </c>
      <c r="C251" s="20">
        <v>2045</v>
      </c>
      <c r="D251" s="20" t="s">
        <v>135</v>
      </c>
      <c r="E251" s="20" t="s">
        <v>131</v>
      </c>
      <c r="F251" s="20" t="s">
        <v>118</v>
      </c>
      <c r="G251" s="20" t="s">
        <v>132</v>
      </c>
      <c r="H251" s="20">
        <v>-279.2</v>
      </c>
      <c r="I251" s="20" t="s">
        <v>120</v>
      </c>
    </row>
    <row r="252" spans="1:11" hidden="1" x14ac:dyDescent="0.35">
      <c r="A252" s="20" t="s">
        <v>114</v>
      </c>
      <c r="B252" s="20" t="s">
        <v>130</v>
      </c>
      <c r="C252" s="20">
        <v>2055</v>
      </c>
      <c r="D252" s="20" t="s">
        <v>135</v>
      </c>
      <c r="E252" s="20" t="s">
        <v>131</v>
      </c>
      <c r="F252" s="20" t="s">
        <v>118</v>
      </c>
      <c r="G252" s="20" t="s">
        <v>132</v>
      </c>
      <c r="H252" s="20">
        <v>-339.4</v>
      </c>
      <c r="I252" s="20" t="s">
        <v>120</v>
      </c>
    </row>
    <row r="253" spans="1:11" hidden="1" x14ac:dyDescent="0.35">
      <c r="A253" s="20" t="s">
        <v>114</v>
      </c>
      <c r="B253" s="20" t="s">
        <v>115</v>
      </c>
      <c r="C253" s="20">
        <v>2045</v>
      </c>
      <c r="D253" s="20" t="s">
        <v>135</v>
      </c>
      <c r="E253" s="20" t="s">
        <v>123</v>
      </c>
      <c r="F253" s="20" t="s">
        <v>118</v>
      </c>
      <c r="G253" s="20" t="s">
        <v>122</v>
      </c>
      <c r="H253" s="20">
        <v>-14.4</v>
      </c>
      <c r="I253" s="20" t="s">
        <v>120</v>
      </c>
    </row>
    <row r="254" spans="1:11" hidden="1" x14ac:dyDescent="0.35">
      <c r="A254" s="20" t="s">
        <v>114</v>
      </c>
      <c r="B254" s="20" t="s">
        <v>115</v>
      </c>
      <c r="C254" s="20">
        <v>2055</v>
      </c>
      <c r="D254" s="20" t="s">
        <v>135</v>
      </c>
      <c r="E254" s="20" t="s">
        <v>123</v>
      </c>
      <c r="F254" s="20" t="s">
        <v>118</v>
      </c>
      <c r="G254" s="20" t="s">
        <v>122</v>
      </c>
      <c r="H254" s="20">
        <v>-17.899999999999999</v>
      </c>
      <c r="I254" s="20" t="s">
        <v>120</v>
      </c>
    </row>
    <row r="255" spans="1:11" hidden="1" x14ac:dyDescent="0.35">
      <c r="A255" s="20" t="s">
        <v>114</v>
      </c>
      <c r="B255" s="20" t="s">
        <v>115</v>
      </c>
      <c r="C255" s="20">
        <v>2025</v>
      </c>
      <c r="D255" s="20" t="s">
        <v>135</v>
      </c>
      <c r="E255" s="20" t="s">
        <v>123</v>
      </c>
      <c r="F255" s="20" t="s">
        <v>121</v>
      </c>
      <c r="G255" s="20" t="s">
        <v>122</v>
      </c>
      <c r="H255" s="20">
        <v>-8.8000000000000007</v>
      </c>
      <c r="I255" s="20" t="s">
        <v>120</v>
      </c>
    </row>
    <row r="256" spans="1:11" hidden="1" x14ac:dyDescent="0.35">
      <c r="A256" s="20" t="s">
        <v>114</v>
      </c>
      <c r="B256" s="20" t="s">
        <v>115</v>
      </c>
      <c r="C256" s="20">
        <v>2035</v>
      </c>
      <c r="D256" s="20" t="s">
        <v>135</v>
      </c>
      <c r="E256" s="20" t="s">
        <v>123</v>
      </c>
      <c r="F256" s="20" t="s">
        <v>121</v>
      </c>
      <c r="G256" s="20" t="s">
        <v>122</v>
      </c>
      <c r="H256" s="20">
        <v>-10.5</v>
      </c>
      <c r="I256" s="20" t="s">
        <v>120</v>
      </c>
    </row>
    <row r="257" spans="1:9" hidden="1" x14ac:dyDescent="0.35">
      <c r="A257" s="20" t="s">
        <v>114</v>
      </c>
      <c r="B257" s="20" t="s">
        <v>115</v>
      </c>
      <c r="C257" s="20">
        <v>2045</v>
      </c>
      <c r="D257" s="20" t="s">
        <v>135</v>
      </c>
      <c r="E257" s="20" t="s">
        <v>123</v>
      </c>
      <c r="F257" s="20" t="s">
        <v>121</v>
      </c>
      <c r="G257" s="20" t="s">
        <v>122</v>
      </c>
      <c r="H257" s="20">
        <v>-13.7</v>
      </c>
      <c r="I257" s="20" t="s">
        <v>120</v>
      </c>
    </row>
    <row r="258" spans="1:9" hidden="1" x14ac:dyDescent="0.35">
      <c r="A258" s="20" t="s">
        <v>114</v>
      </c>
      <c r="B258" s="20" t="s">
        <v>115</v>
      </c>
      <c r="C258" s="20">
        <v>2055</v>
      </c>
      <c r="D258" s="20" t="s">
        <v>135</v>
      </c>
      <c r="E258" s="20" t="s">
        <v>123</v>
      </c>
      <c r="F258" s="20" t="s">
        <v>121</v>
      </c>
      <c r="G258" s="20" t="s">
        <v>122</v>
      </c>
      <c r="H258" s="20">
        <v>-16.3</v>
      </c>
      <c r="I258" s="20" t="s">
        <v>120</v>
      </c>
    </row>
    <row r="259" spans="1:9" hidden="1" x14ac:dyDescent="0.35">
      <c r="A259" s="20" t="s">
        <v>114</v>
      </c>
      <c r="B259" s="20" t="s">
        <v>115</v>
      </c>
      <c r="C259" s="20">
        <v>2025</v>
      </c>
      <c r="D259" s="20" t="s">
        <v>135</v>
      </c>
      <c r="E259" s="20" t="s">
        <v>123</v>
      </c>
      <c r="F259" s="20" t="s">
        <v>118</v>
      </c>
      <c r="G259" s="20" t="s">
        <v>134</v>
      </c>
      <c r="H259" s="20">
        <v>-13.3</v>
      </c>
      <c r="I259" s="20" t="s">
        <v>120</v>
      </c>
    </row>
    <row r="260" spans="1:9" hidden="1" x14ac:dyDescent="0.35">
      <c r="A260" s="20" t="s">
        <v>114</v>
      </c>
      <c r="B260" s="20" t="s">
        <v>115</v>
      </c>
      <c r="C260" s="20">
        <v>2035</v>
      </c>
      <c r="D260" s="20" t="s">
        <v>135</v>
      </c>
      <c r="E260" s="20" t="s">
        <v>123</v>
      </c>
      <c r="F260" s="20" t="s">
        <v>118</v>
      </c>
      <c r="G260" s="20" t="s">
        <v>134</v>
      </c>
      <c r="H260" s="20">
        <v>-18.8</v>
      </c>
      <c r="I260" s="20" t="s">
        <v>120</v>
      </c>
    </row>
    <row r="261" spans="1:9" hidden="1" x14ac:dyDescent="0.35">
      <c r="A261" s="20" t="s">
        <v>114</v>
      </c>
      <c r="B261" s="20" t="s">
        <v>115</v>
      </c>
      <c r="C261" s="20">
        <v>2045</v>
      </c>
      <c r="D261" s="20" t="s">
        <v>135</v>
      </c>
      <c r="E261" s="20" t="s">
        <v>123</v>
      </c>
      <c r="F261" s="20" t="s">
        <v>118</v>
      </c>
      <c r="G261" s="20" t="s">
        <v>134</v>
      </c>
      <c r="H261" s="20">
        <v>-23.9</v>
      </c>
      <c r="I261" s="20" t="s">
        <v>120</v>
      </c>
    </row>
    <row r="262" spans="1:9" hidden="1" x14ac:dyDescent="0.35">
      <c r="A262" s="20" t="s">
        <v>114</v>
      </c>
      <c r="B262" s="20" t="s">
        <v>115</v>
      </c>
      <c r="C262" s="20">
        <v>2055</v>
      </c>
      <c r="D262" s="20" t="s">
        <v>135</v>
      </c>
      <c r="E262" s="20" t="s">
        <v>123</v>
      </c>
      <c r="F262" s="20" t="s">
        <v>118</v>
      </c>
      <c r="G262" s="20" t="s">
        <v>134</v>
      </c>
      <c r="H262" s="20">
        <v>-29.8</v>
      </c>
      <c r="I262" s="20" t="s">
        <v>120</v>
      </c>
    </row>
    <row r="263" spans="1:9" hidden="1" x14ac:dyDescent="0.35">
      <c r="A263" s="20" t="s">
        <v>114</v>
      </c>
      <c r="B263" s="20" t="s">
        <v>115</v>
      </c>
      <c r="C263" s="20">
        <v>2025</v>
      </c>
      <c r="D263" s="20" t="s">
        <v>135</v>
      </c>
      <c r="E263" s="20" t="s">
        <v>123</v>
      </c>
      <c r="F263" s="20" t="s">
        <v>121</v>
      </c>
      <c r="G263" s="20" t="s">
        <v>134</v>
      </c>
      <c r="H263" s="20">
        <v>-13.3</v>
      </c>
      <c r="I263" s="20" t="s">
        <v>120</v>
      </c>
    </row>
    <row r="264" spans="1:9" hidden="1" x14ac:dyDescent="0.35">
      <c r="A264" s="20" t="s">
        <v>114</v>
      </c>
      <c r="B264" s="20" t="s">
        <v>115</v>
      </c>
      <c r="C264" s="20">
        <v>2035</v>
      </c>
      <c r="D264" s="20" t="s">
        <v>135</v>
      </c>
      <c r="E264" s="20" t="s">
        <v>123</v>
      </c>
      <c r="F264" s="20" t="s">
        <v>121</v>
      </c>
      <c r="G264" s="20" t="s">
        <v>134</v>
      </c>
      <c r="H264" s="20">
        <v>-18.399999999999999</v>
      </c>
      <c r="I264" s="20" t="s">
        <v>120</v>
      </c>
    </row>
    <row r="265" spans="1:9" hidden="1" x14ac:dyDescent="0.35">
      <c r="A265" s="20" t="s">
        <v>114</v>
      </c>
      <c r="B265" s="20" t="s">
        <v>115</v>
      </c>
      <c r="C265" s="20">
        <v>2045</v>
      </c>
      <c r="D265" s="20" t="s">
        <v>135</v>
      </c>
      <c r="E265" s="20" t="s">
        <v>123</v>
      </c>
      <c r="F265" s="20" t="s">
        <v>121</v>
      </c>
      <c r="G265" s="20" t="s">
        <v>134</v>
      </c>
      <c r="H265" s="20">
        <v>-22.8</v>
      </c>
      <c r="I265" s="20" t="s">
        <v>120</v>
      </c>
    </row>
    <row r="266" spans="1:9" hidden="1" x14ac:dyDescent="0.35">
      <c r="A266" s="20" t="s">
        <v>114</v>
      </c>
      <c r="B266" s="20" t="s">
        <v>115</v>
      </c>
      <c r="C266" s="20">
        <v>2055</v>
      </c>
      <c r="D266" s="20" t="s">
        <v>135</v>
      </c>
      <c r="E266" s="20" t="s">
        <v>123</v>
      </c>
      <c r="F266" s="20" t="s">
        <v>121</v>
      </c>
      <c r="G266" s="20" t="s">
        <v>134</v>
      </c>
      <c r="H266" s="20">
        <v>-26.6</v>
      </c>
      <c r="I266" s="20" t="s">
        <v>120</v>
      </c>
    </row>
    <row r="267" spans="1:9" hidden="1" x14ac:dyDescent="0.35">
      <c r="A267" s="20" t="s">
        <v>114</v>
      </c>
      <c r="B267" s="20" t="s">
        <v>115</v>
      </c>
      <c r="C267" s="20">
        <v>2025</v>
      </c>
      <c r="D267" s="20" t="s">
        <v>135</v>
      </c>
      <c r="E267" s="20" t="s">
        <v>123</v>
      </c>
      <c r="F267" s="20" t="s">
        <v>118</v>
      </c>
      <c r="G267" s="20" t="s">
        <v>133</v>
      </c>
      <c r="H267" s="20">
        <v>-11.4</v>
      </c>
      <c r="I267" s="20" t="s">
        <v>120</v>
      </c>
    </row>
    <row r="268" spans="1:9" hidden="1" x14ac:dyDescent="0.35">
      <c r="A268" s="20" t="s">
        <v>114</v>
      </c>
      <c r="B268" s="20" t="s">
        <v>115</v>
      </c>
      <c r="C268" s="20">
        <v>2035</v>
      </c>
      <c r="D268" s="20" t="s">
        <v>135</v>
      </c>
      <c r="E268" s="20" t="s">
        <v>123</v>
      </c>
      <c r="F268" s="20" t="s">
        <v>118</v>
      </c>
      <c r="G268" s="20" t="s">
        <v>133</v>
      </c>
      <c r="H268" s="20">
        <v>-15.2</v>
      </c>
      <c r="I268" s="20" t="s">
        <v>120</v>
      </c>
    </row>
    <row r="269" spans="1:9" hidden="1" x14ac:dyDescent="0.35">
      <c r="A269" s="20" t="s">
        <v>114</v>
      </c>
      <c r="B269" s="20" t="s">
        <v>115</v>
      </c>
      <c r="C269" s="20">
        <v>2045</v>
      </c>
      <c r="D269" s="20" t="s">
        <v>135</v>
      </c>
      <c r="E269" s="20" t="s">
        <v>123</v>
      </c>
      <c r="F269" s="20" t="s">
        <v>118</v>
      </c>
      <c r="G269" s="20" t="s">
        <v>133</v>
      </c>
      <c r="H269" s="20">
        <v>-20.2</v>
      </c>
      <c r="I269" s="20" t="s">
        <v>120</v>
      </c>
    </row>
    <row r="270" spans="1:9" hidden="1" x14ac:dyDescent="0.35">
      <c r="A270" s="20" t="s">
        <v>114</v>
      </c>
      <c r="B270" s="20" t="s">
        <v>115</v>
      </c>
      <c r="C270" s="20">
        <v>2055</v>
      </c>
      <c r="D270" s="20" t="s">
        <v>135</v>
      </c>
      <c r="E270" s="20" t="s">
        <v>123</v>
      </c>
      <c r="F270" s="20" t="s">
        <v>118</v>
      </c>
      <c r="G270" s="20" t="s">
        <v>133</v>
      </c>
      <c r="H270" s="20">
        <v>-24.5</v>
      </c>
      <c r="I270" s="20" t="s">
        <v>120</v>
      </c>
    </row>
    <row r="271" spans="1:9" hidden="1" x14ac:dyDescent="0.35">
      <c r="A271" s="20" t="s">
        <v>114</v>
      </c>
      <c r="B271" s="20" t="s">
        <v>115</v>
      </c>
      <c r="C271" s="20">
        <v>2025</v>
      </c>
      <c r="D271" s="20" t="s">
        <v>135</v>
      </c>
      <c r="E271" s="20" t="s">
        <v>123</v>
      </c>
      <c r="F271" s="20" t="s">
        <v>121</v>
      </c>
      <c r="G271" s="20" t="s">
        <v>133</v>
      </c>
      <c r="H271" s="20">
        <v>-11.4</v>
      </c>
      <c r="I271" s="20" t="s">
        <v>120</v>
      </c>
    </row>
    <row r="272" spans="1:9" hidden="1" x14ac:dyDescent="0.35">
      <c r="A272" s="20" t="s">
        <v>114</v>
      </c>
      <c r="B272" s="20" t="s">
        <v>115</v>
      </c>
      <c r="C272" s="20">
        <v>2035</v>
      </c>
      <c r="D272" s="20" t="s">
        <v>135</v>
      </c>
      <c r="E272" s="20" t="s">
        <v>123</v>
      </c>
      <c r="F272" s="20" t="s">
        <v>121</v>
      </c>
      <c r="G272" s="20" t="s">
        <v>133</v>
      </c>
      <c r="H272" s="20">
        <v>-14.3</v>
      </c>
      <c r="I272" s="20" t="s">
        <v>120</v>
      </c>
    </row>
    <row r="273" spans="1:9" hidden="1" x14ac:dyDescent="0.35">
      <c r="A273" s="20" t="s">
        <v>114</v>
      </c>
      <c r="B273" s="20" t="s">
        <v>115</v>
      </c>
      <c r="C273" s="20">
        <v>2045</v>
      </c>
      <c r="D273" s="20" t="s">
        <v>135</v>
      </c>
      <c r="E273" s="20" t="s">
        <v>123</v>
      </c>
      <c r="F273" s="20" t="s">
        <v>121</v>
      </c>
      <c r="G273" s="20" t="s">
        <v>133</v>
      </c>
      <c r="H273" s="20">
        <v>-18</v>
      </c>
      <c r="I273" s="20" t="s">
        <v>120</v>
      </c>
    </row>
    <row r="274" spans="1:9" hidden="1" x14ac:dyDescent="0.35">
      <c r="A274" s="20" t="s">
        <v>114</v>
      </c>
      <c r="B274" s="20" t="s">
        <v>115</v>
      </c>
      <c r="C274" s="20">
        <v>2055</v>
      </c>
      <c r="D274" s="20" t="s">
        <v>135</v>
      </c>
      <c r="E274" s="20" t="s">
        <v>123</v>
      </c>
      <c r="F274" s="20" t="s">
        <v>121</v>
      </c>
      <c r="G274" s="20" t="s">
        <v>133</v>
      </c>
      <c r="H274" s="20">
        <v>-22</v>
      </c>
      <c r="I274" s="20" t="s">
        <v>120</v>
      </c>
    </row>
    <row r="275" spans="1:9" hidden="1" x14ac:dyDescent="0.35">
      <c r="A275" s="20" t="s">
        <v>114</v>
      </c>
      <c r="B275" s="20" t="s">
        <v>115</v>
      </c>
      <c r="C275" s="20">
        <v>2025</v>
      </c>
      <c r="D275" s="20" t="s">
        <v>135</v>
      </c>
      <c r="E275" s="20" t="s">
        <v>123</v>
      </c>
      <c r="F275" s="20" t="s">
        <v>118</v>
      </c>
      <c r="G275" s="20" t="s">
        <v>132</v>
      </c>
      <c r="H275" s="20">
        <v>-25.9</v>
      </c>
      <c r="I275" s="20" t="s">
        <v>120</v>
      </c>
    </row>
    <row r="276" spans="1:9" hidden="1" x14ac:dyDescent="0.35">
      <c r="A276" s="20" t="s">
        <v>114</v>
      </c>
      <c r="B276" s="20" t="s">
        <v>115</v>
      </c>
      <c r="C276" s="20">
        <v>2035</v>
      </c>
      <c r="D276" s="20" t="s">
        <v>135</v>
      </c>
      <c r="E276" s="20" t="s">
        <v>123</v>
      </c>
      <c r="F276" s="20" t="s">
        <v>118</v>
      </c>
      <c r="G276" s="20" t="s">
        <v>132</v>
      </c>
      <c r="H276" s="20">
        <v>-33.700000000000003</v>
      </c>
      <c r="I276" s="20" t="s">
        <v>120</v>
      </c>
    </row>
    <row r="277" spans="1:9" hidden="1" x14ac:dyDescent="0.35">
      <c r="A277" s="20" t="s">
        <v>114</v>
      </c>
      <c r="B277" s="20" t="s">
        <v>115</v>
      </c>
      <c r="C277" s="20">
        <v>2045</v>
      </c>
      <c r="D277" s="20" t="s">
        <v>135</v>
      </c>
      <c r="E277" s="20" t="s">
        <v>123</v>
      </c>
      <c r="F277" s="20" t="s">
        <v>118</v>
      </c>
      <c r="G277" s="20" t="s">
        <v>132</v>
      </c>
      <c r="H277" s="20">
        <v>-43.4</v>
      </c>
      <c r="I277" s="20" t="s">
        <v>120</v>
      </c>
    </row>
    <row r="278" spans="1:9" hidden="1" x14ac:dyDescent="0.35">
      <c r="A278" s="20" t="s">
        <v>114</v>
      </c>
      <c r="B278" s="20" t="s">
        <v>115</v>
      </c>
      <c r="C278" s="20">
        <v>2055</v>
      </c>
      <c r="D278" s="20" t="s">
        <v>135</v>
      </c>
      <c r="E278" s="20" t="s">
        <v>123</v>
      </c>
      <c r="F278" s="20" t="s">
        <v>118</v>
      </c>
      <c r="G278" s="20" t="s">
        <v>132</v>
      </c>
      <c r="H278" s="20">
        <v>-51.3</v>
      </c>
      <c r="I278" s="20" t="s">
        <v>120</v>
      </c>
    </row>
    <row r="279" spans="1:9" hidden="1" x14ac:dyDescent="0.35">
      <c r="A279" s="20" t="s">
        <v>114</v>
      </c>
      <c r="B279" s="20" t="s">
        <v>115</v>
      </c>
      <c r="C279" s="20">
        <v>2025</v>
      </c>
      <c r="D279" s="20" t="s">
        <v>135</v>
      </c>
      <c r="E279" s="20" t="s">
        <v>123</v>
      </c>
      <c r="F279" s="20" t="s">
        <v>121</v>
      </c>
      <c r="G279" s="20" t="s">
        <v>132</v>
      </c>
      <c r="H279" s="20">
        <v>-25.9</v>
      </c>
      <c r="I279" s="20" t="s">
        <v>120</v>
      </c>
    </row>
    <row r="280" spans="1:9" hidden="1" x14ac:dyDescent="0.35">
      <c r="A280" s="20" t="s">
        <v>114</v>
      </c>
      <c r="B280" s="20" t="s">
        <v>115</v>
      </c>
      <c r="C280" s="20">
        <v>2035</v>
      </c>
      <c r="D280" s="20" t="s">
        <v>135</v>
      </c>
      <c r="E280" s="20" t="s">
        <v>123</v>
      </c>
      <c r="F280" s="20" t="s">
        <v>121</v>
      </c>
      <c r="G280" s="20" t="s">
        <v>132</v>
      </c>
      <c r="H280" s="20">
        <v>-31.4</v>
      </c>
      <c r="I280" s="20" t="s">
        <v>120</v>
      </c>
    </row>
    <row r="281" spans="1:9" hidden="1" x14ac:dyDescent="0.35">
      <c r="A281" s="20" t="s">
        <v>114</v>
      </c>
      <c r="B281" s="20" t="s">
        <v>115</v>
      </c>
      <c r="C281" s="20">
        <v>2045</v>
      </c>
      <c r="D281" s="20" t="s">
        <v>135</v>
      </c>
      <c r="E281" s="20" t="s">
        <v>123</v>
      </c>
      <c r="F281" s="20" t="s">
        <v>121</v>
      </c>
      <c r="G281" s="20" t="s">
        <v>132</v>
      </c>
      <c r="H281" s="20">
        <v>-38.799999999999997</v>
      </c>
      <c r="I281" s="20" t="s">
        <v>120</v>
      </c>
    </row>
    <row r="282" spans="1:9" hidden="1" x14ac:dyDescent="0.35">
      <c r="A282" s="20" t="s">
        <v>114</v>
      </c>
      <c r="B282" s="20" t="s">
        <v>115</v>
      </c>
      <c r="C282" s="20">
        <v>2055</v>
      </c>
      <c r="D282" s="20" t="s">
        <v>135</v>
      </c>
      <c r="E282" s="20" t="s">
        <v>123</v>
      </c>
      <c r="F282" s="20" t="s">
        <v>121</v>
      </c>
      <c r="G282" s="20" t="s">
        <v>132</v>
      </c>
      <c r="H282" s="20">
        <v>-46.3</v>
      </c>
      <c r="I282" s="20" t="s">
        <v>120</v>
      </c>
    </row>
    <row r="283" spans="1:9" hidden="1" x14ac:dyDescent="0.35">
      <c r="A283" s="20" t="s">
        <v>114</v>
      </c>
      <c r="B283" s="20" t="s">
        <v>115</v>
      </c>
      <c r="C283" s="20">
        <v>2025</v>
      </c>
      <c r="D283" s="20" t="s">
        <v>135</v>
      </c>
      <c r="E283" s="20" t="s">
        <v>125</v>
      </c>
      <c r="F283" s="20" t="s">
        <v>118</v>
      </c>
      <c r="G283" s="20" t="s">
        <v>119</v>
      </c>
      <c r="H283" s="20">
        <v>-0.1</v>
      </c>
      <c r="I283" s="20" t="s">
        <v>120</v>
      </c>
    </row>
    <row r="284" spans="1:9" hidden="1" x14ac:dyDescent="0.35">
      <c r="A284" s="20" t="s">
        <v>114</v>
      </c>
      <c r="B284" s="20" t="s">
        <v>115</v>
      </c>
      <c r="C284" s="20">
        <v>2035</v>
      </c>
      <c r="D284" s="20" t="s">
        <v>135</v>
      </c>
      <c r="E284" s="20" t="s">
        <v>125</v>
      </c>
      <c r="F284" s="20" t="s">
        <v>118</v>
      </c>
      <c r="G284" s="20" t="s">
        <v>119</v>
      </c>
      <c r="H284" s="20">
        <v>-106.9</v>
      </c>
      <c r="I284" s="20" t="s">
        <v>120</v>
      </c>
    </row>
    <row r="285" spans="1:9" hidden="1" x14ac:dyDescent="0.35">
      <c r="A285" s="20" t="s">
        <v>114</v>
      </c>
      <c r="B285" s="20" t="s">
        <v>115</v>
      </c>
      <c r="C285" s="20">
        <v>2045</v>
      </c>
      <c r="D285" s="20" t="s">
        <v>135</v>
      </c>
      <c r="E285" s="20" t="s">
        <v>125</v>
      </c>
      <c r="F285" s="20" t="s">
        <v>118</v>
      </c>
      <c r="G285" s="20" t="s">
        <v>119</v>
      </c>
      <c r="H285" s="20">
        <v>-147.9</v>
      </c>
      <c r="I285" s="20" t="s">
        <v>120</v>
      </c>
    </row>
    <row r="286" spans="1:9" hidden="1" x14ac:dyDescent="0.35">
      <c r="A286" s="20" t="s">
        <v>114</v>
      </c>
      <c r="B286" s="20" t="s">
        <v>115</v>
      </c>
      <c r="C286" s="20">
        <v>2055</v>
      </c>
      <c r="D286" s="20" t="s">
        <v>135</v>
      </c>
      <c r="E286" s="20" t="s">
        <v>125</v>
      </c>
      <c r="F286" s="20" t="s">
        <v>118</v>
      </c>
      <c r="G286" s="20" t="s">
        <v>119</v>
      </c>
      <c r="H286" s="20">
        <v>-168.2</v>
      </c>
      <c r="I286" s="20" t="s">
        <v>120</v>
      </c>
    </row>
    <row r="287" spans="1:9" hidden="1" x14ac:dyDescent="0.35">
      <c r="A287" s="20" t="s">
        <v>114</v>
      </c>
      <c r="B287" s="20" t="s">
        <v>115</v>
      </c>
      <c r="C287" s="20">
        <v>2025</v>
      </c>
      <c r="D287" s="20" t="s">
        <v>135</v>
      </c>
      <c r="E287" s="20" t="s">
        <v>125</v>
      </c>
      <c r="F287" s="20" t="s">
        <v>121</v>
      </c>
      <c r="G287" s="20" t="s">
        <v>119</v>
      </c>
      <c r="H287" s="20">
        <v>-0.1</v>
      </c>
      <c r="I287" s="20" t="s">
        <v>120</v>
      </c>
    </row>
    <row r="288" spans="1:9" hidden="1" x14ac:dyDescent="0.35">
      <c r="A288" s="20" t="s">
        <v>114</v>
      </c>
      <c r="B288" s="20" t="s">
        <v>115</v>
      </c>
      <c r="C288" s="20">
        <v>2035</v>
      </c>
      <c r="D288" s="20" t="s">
        <v>135</v>
      </c>
      <c r="E288" s="20" t="s">
        <v>125</v>
      </c>
      <c r="F288" s="20" t="s">
        <v>121</v>
      </c>
      <c r="G288" s="20" t="s">
        <v>119</v>
      </c>
      <c r="H288" s="20">
        <v>-106.7</v>
      </c>
      <c r="I288" s="20" t="s">
        <v>120</v>
      </c>
    </row>
    <row r="289" spans="1:9" hidden="1" x14ac:dyDescent="0.35">
      <c r="A289" s="20" t="s">
        <v>114</v>
      </c>
      <c r="B289" s="20" t="s">
        <v>115</v>
      </c>
      <c r="C289" s="20">
        <v>2045</v>
      </c>
      <c r="D289" s="20" t="s">
        <v>135</v>
      </c>
      <c r="E289" s="20" t="s">
        <v>125</v>
      </c>
      <c r="F289" s="20" t="s">
        <v>121</v>
      </c>
      <c r="G289" s="20" t="s">
        <v>119</v>
      </c>
      <c r="H289" s="20">
        <v>-147</v>
      </c>
      <c r="I289" s="20" t="s">
        <v>120</v>
      </c>
    </row>
    <row r="290" spans="1:9" hidden="1" x14ac:dyDescent="0.35">
      <c r="A290" s="20" t="s">
        <v>114</v>
      </c>
      <c r="B290" s="20" t="s">
        <v>115</v>
      </c>
      <c r="C290" s="20">
        <v>2055</v>
      </c>
      <c r="D290" s="20" t="s">
        <v>135</v>
      </c>
      <c r="E290" s="20" t="s">
        <v>125</v>
      </c>
      <c r="F290" s="20" t="s">
        <v>121</v>
      </c>
      <c r="G290" s="20" t="s">
        <v>119</v>
      </c>
      <c r="H290" s="20">
        <v>-165.4</v>
      </c>
      <c r="I290" s="20" t="s">
        <v>120</v>
      </c>
    </row>
    <row r="291" spans="1:9" hidden="1" x14ac:dyDescent="0.35">
      <c r="A291" s="20" t="s">
        <v>114</v>
      </c>
      <c r="B291" s="20" t="s">
        <v>115</v>
      </c>
      <c r="C291" s="20">
        <v>2025</v>
      </c>
      <c r="D291" s="20" t="s">
        <v>135</v>
      </c>
      <c r="E291" s="20" t="s">
        <v>125</v>
      </c>
      <c r="F291" s="20" t="s">
        <v>118</v>
      </c>
      <c r="G291" s="20" t="s">
        <v>122</v>
      </c>
      <c r="H291" s="20">
        <v>-0.1</v>
      </c>
      <c r="I291" s="20" t="s">
        <v>120</v>
      </c>
    </row>
    <row r="292" spans="1:9" hidden="1" x14ac:dyDescent="0.35">
      <c r="A292" s="20" t="s">
        <v>114</v>
      </c>
      <c r="B292" s="20" t="s">
        <v>115</v>
      </c>
      <c r="C292" s="20">
        <v>2035</v>
      </c>
      <c r="D292" s="20" t="s">
        <v>135</v>
      </c>
      <c r="E292" s="20" t="s">
        <v>125</v>
      </c>
      <c r="F292" s="20" t="s">
        <v>118</v>
      </c>
      <c r="G292" s="20" t="s">
        <v>122</v>
      </c>
      <c r="H292" s="20">
        <v>-88.4</v>
      </c>
      <c r="I292" s="20" t="s">
        <v>120</v>
      </c>
    </row>
    <row r="293" spans="1:9" hidden="1" x14ac:dyDescent="0.35">
      <c r="A293" s="20" t="s">
        <v>114</v>
      </c>
      <c r="B293" s="20" t="s">
        <v>115</v>
      </c>
      <c r="C293" s="20">
        <v>2045</v>
      </c>
      <c r="D293" s="20" t="s">
        <v>135</v>
      </c>
      <c r="E293" s="20" t="s">
        <v>125</v>
      </c>
      <c r="F293" s="20" t="s">
        <v>118</v>
      </c>
      <c r="G293" s="20" t="s">
        <v>122</v>
      </c>
      <c r="H293" s="20">
        <v>-125.1</v>
      </c>
      <c r="I293" s="20" t="s">
        <v>120</v>
      </c>
    </row>
    <row r="294" spans="1:9" hidden="1" x14ac:dyDescent="0.35">
      <c r="A294" s="20" t="s">
        <v>114</v>
      </c>
      <c r="B294" s="20" t="s">
        <v>115</v>
      </c>
      <c r="C294" s="20">
        <v>2055</v>
      </c>
      <c r="D294" s="20" t="s">
        <v>135</v>
      </c>
      <c r="E294" s="20" t="s">
        <v>125</v>
      </c>
      <c r="F294" s="20" t="s">
        <v>118</v>
      </c>
      <c r="G294" s="20" t="s">
        <v>122</v>
      </c>
      <c r="H294" s="20">
        <v>-143.5</v>
      </c>
      <c r="I294" s="20" t="s">
        <v>120</v>
      </c>
    </row>
    <row r="295" spans="1:9" hidden="1" x14ac:dyDescent="0.35">
      <c r="A295" s="20" t="s">
        <v>114</v>
      </c>
      <c r="B295" s="20" t="s">
        <v>115</v>
      </c>
      <c r="C295" s="20">
        <v>2025</v>
      </c>
      <c r="D295" s="20" t="s">
        <v>135</v>
      </c>
      <c r="E295" s="20" t="s">
        <v>125</v>
      </c>
      <c r="F295" s="20" t="s">
        <v>121</v>
      </c>
      <c r="G295" s="20" t="s">
        <v>122</v>
      </c>
      <c r="H295" s="20">
        <v>-0.1</v>
      </c>
      <c r="I295" s="20" t="s">
        <v>120</v>
      </c>
    </row>
    <row r="296" spans="1:9" hidden="1" x14ac:dyDescent="0.35">
      <c r="A296" s="20" t="s">
        <v>114</v>
      </c>
      <c r="B296" s="20" t="s">
        <v>115</v>
      </c>
      <c r="C296" s="20">
        <v>2035</v>
      </c>
      <c r="D296" s="20" t="s">
        <v>135</v>
      </c>
      <c r="E296" s="20" t="s">
        <v>125</v>
      </c>
      <c r="F296" s="20" t="s">
        <v>121</v>
      </c>
      <c r="G296" s="20" t="s">
        <v>122</v>
      </c>
      <c r="H296" s="20">
        <v>-87.7</v>
      </c>
      <c r="I296" s="20" t="s">
        <v>120</v>
      </c>
    </row>
    <row r="297" spans="1:9" hidden="1" x14ac:dyDescent="0.35">
      <c r="A297" s="20" t="s">
        <v>114</v>
      </c>
      <c r="B297" s="20" t="s">
        <v>115</v>
      </c>
      <c r="C297" s="20">
        <v>2045</v>
      </c>
      <c r="D297" s="20" t="s">
        <v>135</v>
      </c>
      <c r="E297" s="20" t="s">
        <v>125</v>
      </c>
      <c r="F297" s="20" t="s">
        <v>121</v>
      </c>
      <c r="G297" s="20" t="s">
        <v>122</v>
      </c>
      <c r="H297" s="20">
        <v>-124.1</v>
      </c>
      <c r="I297" s="20" t="s">
        <v>120</v>
      </c>
    </row>
    <row r="298" spans="1:9" hidden="1" x14ac:dyDescent="0.35">
      <c r="A298" s="20" t="s">
        <v>114</v>
      </c>
      <c r="B298" s="20" t="s">
        <v>115</v>
      </c>
      <c r="C298" s="20">
        <v>2055</v>
      </c>
      <c r="D298" s="20" t="s">
        <v>135</v>
      </c>
      <c r="E298" s="20" t="s">
        <v>125</v>
      </c>
      <c r="F298" s="20" t="s">
        <v>121</v>
      </c>
      <c r="G298" s="20" t="s">
        <v>122</v>
      </c>
      <c r="H298" s="20">
        <v>-142.1</v>
      </c>
      <c r="I298" s="20" t="s">
        <v>120</v>
      </c>
    </row>
    <row r="299" spans="1:9" hidden="1" x14ac:dyDescent="0.35">
      <c r="A299" s="20" t="s">
        <v>114</v>
      </c>
      <c r="B299" s="20" t="s">
        <v>115</v>
      </c>
      <c r="C299" s="20">
        <v>2025</v>
      </c>
      <c r="D299" s="20" t="s">
        <v>135</v>
      </c>
      <c r="E299" s="20" t="s">
        <v>125</v>
      </c>
      <c r="F299" s="20" t="s">
        <v>118</v>
      </c>
      <c r="G299" s="20" t="s">
        <v>134</v>
      </c>
      <c r="H299" s="20">
        <v>-0.6</v>
      </c>
      <c r="I299" s="20" t="s">
        <v>120</v>
      </c>
    </row>
    <row r="300" spans="1:9" hidden="1" x14ac:dyDescent="0.35">
      <c r="A300" s="20" t="s">
        <v>114</v>
      </c>
      <c r="B300" s="20" t="s">
        <v>115</v>
      </c>
      <c r="C300" s="20">
        <v>2035</v>
      </c>
      <c r="D300" s="20" t="s">
        <v>135</v>
      </c>
      <c r="E300" s="20" t="s">
        <v>125</v>
      </c>
      <c r="F300" s="20" t="s">
        <v>118</v>
      </c>
      <c r="G300" s="20" t="s">
        <v>134</v>
      </c>
      <c r="H300" s="20">
        <v>-106.4</v>
      </c>
      <c r="I300" s="20" t="s">
        <v>120</v>
      </c>
    </row>
    <row r="301" spans="1:9" hidden="1" x14ac:dyDescent="0.35">
      <c r="A301" s="20" t="s">
        <v>114</v>
      </c>
      <c r="B301" s="20" t="s">
        <v>115</v>
      </c>
      <c r="C301" s="20">
        <v>2045</v>
      </c>
      <c r="D301" s="20" t="s">
        <v>135</v>
      </c>
      <c r="E301" s="20" t="s">
        <v>125</v>
      </c>
      <c r="F301" s="20" t="s">
        <v>118</v>
      </c>
      <c r="G301" s="20" t="s">
        <v>134</v>
      </c>
      <c r="H301" s="20">
        <v>-148.19999999999999</v>
      </c>
      <c r="I301" s="20" t="s">
        <v>120</v>
      </c>
    </row>
    <row r="302" spans="1:9" hidden="1" x14ac:dyDescent="0.35">
      <c r="A302" s="20" t="s">
        <v>114</v>
      </c>
      <c r="B302" s="20" t="s">
        <v>115</v>
      </c>
      <c r="C302" s="20">
        <v>2055</v>
      </c>
      <c r="D302" s="20" t="s">
        <v>135</v>
      </c>
      <c r="E302" s="20" t="s">
        <v>125</v>
      </c>
      <c r="F302" s="20" t="s">
        <v>118</v>
      </c>
      <c r="G302" s="20" t="s">
        <v>134</v>
      </c>
      <c r="H302" s="20">
        <v>-169.1</v>
      </c>
      <c r="I302" s="20" t="s">
        <v>120</v>
      </c>
    </row>
    <row r="303" spans="1:9" hidden="1" x14ac:dyDescent="0.35">
      <c r="A303" s="20" t="s">
        <v>114</v>
      </c>
      <c r="B303" s="20" t="s">
        <v>115</v>
      </c>
      <c r="C303" s="20">
        <v>2025</v>
      </c>
      <c r="D303" s="20" t="s">
        <v>116</v>
      </c>
      <c r="E303" s="20" t="s">
        <v>117</v>
      </c>
      <c r="F303" s="20" t="s">
        <v>121</v>
      </c>
      <c r="G303" s="20" t="s">
        <v>134</v>
      </c>
      <c r="H303" s="20">
        <v>50.6</v>
      </c>
      <c r="I303" s="20" t="s">
        <v>120</v>
      </c>
    </row>
    <row r="304" spans="1:9" hidden="1" x14ac:dyDescent="0.35">
      <c r="A304" s="20" t="s">
        <v>114</v>
      </c>
      <c r="B304" s="20" t="s">
        <v>115</v>
      </c>
      <c r="C304" s="20">
        <v>2035</v>
      </c>
      <c r="D304" s="20" t="s">
        <v>116</v>
      </c>
      <c r="E304" s="20" t="s">
        <v>117</v>
      </c>
      <c r="F304" s="20" t="s">
        <v>121</v>
      </c>
      <c r="G304" s="20" t="s">
        <v>134</v>
      </c>
      <c r="H304" s="20">
        <v>30.7</v>
      </c>
      <c r="I304" s="20" t="s">
        <v>120</v>
      </c>
    </row>
    <row r="305" spans="1:11" hidden="1" x14ac:dyDescent="0.35">
      <c r="A305" s="20" t="s">
        <v>114</v>
      </c>
      <c r="B305" s="20" t="s">
        <v>115</v>
      </c>
      <c r="C305" s="20">
        <v>2045</v>
      </c>
      <c r="D305" s="20" t="s">
        <v>116</v>
      </c>
      <c r="E305" s="20" t="s">
        <v>117</v>
      </c>
      <c r="F305" s="20" t="s">
        <v>121</v>
      </c>
      <c r="G305" s="20" t="s">
        <v>134</v>
      </c>
      <c r="H305" s="20">
        <v>14.2</v>
      </c>
      <c r="I305" s="20" t="s">
        <v>120</v>
      </c>
    </row>
    <row r="306" spans="1:11" hidden="1" x14ac:dyDescent="0.35">
      <c r="A306" s="20" t="s">
        <v>114</v>
      </c>
      <c r="B306" s="20" t="s">
        <v>115</v>
      </c>
      <c r="C306" s="20">
        <v>2055</v>
      </c>
      <c r="D306" s="20" t="s">
        <v>116</v>
      </c>
      <c r="E306" s="20" t="s">
        <v>117</v>
      </c>
      <c r="F306" s="20" t="s">
        <v>121</v>
      </c>
      <c r="G306" s="20" t="s">
        <v>134</v>
      </c>
      <c r="H306" s="20">
        <v>5.9</v>
      </c>
      <c r="I306" s="20" t="s">
        <v>120</v>
      </c>
    </row>
    <row r="307" spans="1:11" x14ac:dyDescent="0.35">
      <c r="A307" s="20" t="s">
        <v>114</v>
      </c>
      <c r="B307" s="20" t="s">
        <v>115</v>
      </c>
      <c r="C307" s="20">
        <v>2025</v>
      </c>
      <c r="D307" s="20" t="s">
        <v>116</v>
      </c>
      <c r="E307" s="20" t="s">
        <v>117</v>
      </c>
      <c r="F307" s="20" t="s">
        <v>118</v>
      </c>
      <c r="G307" s="20" t="s">
        <v>133</v>
      </c>
      <c r="H307" s="20">
        <v>72.8</v>
      </c>
      <c r="I307" s="20" t="s">
        <v>120</v>
      </c>
      <c r="K307" s="20" t="str">
        <f>INDEX('EPA land and ag calcs'!$G$7:$G$14,MATCH('EPA land and ag potential'!E307,'EPA land and ag calcs'!$A$7:$A$15,0))</f>
        <v>afforestation and reforestation</v>
      </c>
    </row>
    <row r="308" spans="1:11" x14ac:dyDescent="0.35">
      <c r="A308" s="20" t="s">
        <v>114</v>
      </c>
      <c r="B308" s="20" t="s">
        <v>115</v>
      </c>
      <c r="C308" s="20">
        <v>2035</v>
      </c>
      <c r="D308" s="20" t="s">
        <v>116</v>
      </c>
      <c r="E308" s="20" t="s">
        <v>117</v>
      </c>
      <c r="F308" s="20" t="s">
        <v>118</v>
      </c>
      <c r="G308" s="20" t="s">
        <v>133</v>
      </c>
      <c r="H308" s="20">
        <v>95.6</v>
      </c>
      <c r="I308" s="20" t="s">
        <v>120</v>
      </c>
      <c r="K308" s="20" t="str">
        <f>INDEX('EPA land and ag calcs'!$G$7:$G$14,MATCH('EPA land and ag potential'!E308,'EPA land and ag calcs'!$A$7:$A$15,0))</f>
        <v>afforestation and reforestation</v>
      </c>
    </row>
    <row r="309" spans="1:11" x14ac:dyDescent="0.35">
      <c r="A309" s="20" t="s">
        <v>114</v>
      </c>
      <c r="B309" s="20" t="s">
        <v>115</v>
      </c>
      <c r="C309" s="20">
        <v>2045</v>
      </c>
      <c r="D309" s="20" t="s">
        <v>116</v>
      </c>
      <c r="E309" s="20" t="s">
        <v>117</v>
      </c>
      <c r="F309" s="20" t="s">
        <v>118</v>
      </c>
      <c r="G309" s="20" t="s">
        <v>133</v>
      </c>
      <c r="H309" s="20">
        <v>71.7</v>
      </c>
      <c r="I309" s="20" t="s">
        <v>120</v>
      </c>
      <c r="K309" s="20" t="str">
        <f>INDEX('EPA land and ag calcs'!$G$7:$G$14,MATCH('EPA land and ag potential'!E309,'EPA land and ag calcs'!$A$7:$A$15,0))</f>
        <v>afforestation and reforestation</v>
      </c>
    </row>
    <row r="310" spans="1:11" x14ac:dyDescent="0.35">
      <c r="A310" s="20" t="s">
        <v>114</v>
      </c>
      <c r="B310" s="20" t="s">
        <v>115</v>
      </c>
      <c r="C310" s="20">
        <v>2055</v>
      </c>
      <c r="D310" s="20" t="s">
        <v>116</v>
      </c>
      <c r="E310" s="20" t="s">
        <v>117</v>
      </c>
      <c r="F310" s="20" t="s">
        <v>118</v>
      </c>
      <c r="G310" s="20" t="s">
        <v>133</v>
      </c>
      <c r="H310" s="20">
        <v>49.8</v>
      </c>
      <c r="I310" s="20" t="s">
        <v>120</v>
      </c>
      <c r="K310" s="20" t="str">
        <f>INDEX('EPA land and ag calcs'!$G$7:$G$14,MATCH('EPA land and ag potential'!E310,'EPA land and ag calcs'!$A$7:$A$15,0))</f>
        <v>afforestation and reforestation</v>
      </c>
    </row>
    <row r="311" spans="1:11" hidden="1" x14ac:dyDescent="0.35">
      <c r="A311" s="20" t="s">
        <v>114</v>
      </c>
      <c r="B311" s="20" t="s">
        <v>115</v>
      </c>
      <c r="C311" s="20">
        <v>2025</v>
      </c>
      <c r="D311" s="20" t="s">
        <v>116</v>
      </c>
      <c r="E311" s="20" t="s">
        <v>117</v>
      </c>
      <c r="F311" s="20" t="s">
        <v>121</v>
      </c>
      <c r="G311" s="20" t="s">
        <v>133</v>
      </c>
      <c r="H311" s="20">
        <v>42.4</v>
      </c>
      <c r="I311" s="20" t="s">
        <v>120</v>
      </c>
    </row>
    <row r="312" spans="1:11" hidden="1" x14ac:dyDescent="0.35">
      <c r="A312" s="20" t="s">
        <v>114</v>
      </c>
      <c r="B312" s="20" t="s">
        <v>115</v>
      </c>
      <c r="C312" s="20">
        <v>2035</v>
      </c>
      <c r="D312" s="20" t="s">
        <v>116</v>
      </c>
      <c r="E312" s="20" t="s">
        <v>117</v>
      </c>
      <c r="F312" s="20" t="s">
        <v>121</v>
      </c>
      <c r="G312" s="20" t="s">
        <v>133</v>
      </c>
      <c r="H312" s="20">
        <v>23.1</v>
      </c>
      <c r="I312" s="20" t="s">
        <v>120</v>
      </c>
    </row>
    <row r="313" spans="1:11" hidden="1" x14ac:dyDescent="0.35">
      <c r="A313" s="20" t="s">
        <v>114</v>
      </c>
      <c r="B313" s="20" t="s">
        <v>115</v>
      </c>
      <c r="C313" s="20">
        <v>2025</v>
      </c>
      <c r="D313" s="20" t="s">
        <v>116</v>
      </c>
      <c r="E313" s="20" t="s">
        <v>123</v>
      </c>
      <c r="F313" s="20" t="s">
        <v>121</v>
      </c>
      <c r="G313" s="20" t="s">
        <v>134</v>
      </c>
      <c r="H313" s="20">
        <v>-3.6</v>
      </c>
      <c r="I313" s="20" t="s">
        <v>120</v>
      </c>
    </row>
    <row r="314" spans="1:11" hidden="1" x14ac:dyDescent="0.35">
      <c r="A314" s="20" t="s">
        <v>114</v>
      </c>
      <c r="B314" s="20" t="s">
        <v>115</v>
      </c>
      <c r="C314" s="20">
        <v>2035</v>
      </c>
      <c r="D314" s="20" t="s">
        <v>116</v>
      </c>
      <c r="E314" s="20" t="s">
        <v>123</v>
      </c>
      <c r="F314" s="20" t="s">
        <v>121</v>
      </c>
      <c r="G314" s="20" t="s">
        <v>134</v>
      </c>
      <c r="H314" s="20">
        <v>-6.1</v>
      </c>
      <c r="I314" s="20" t="s">
        <v>120</v>
      </c>
    </row>
    <row r="315" spans="1:11" hidden="1" x14ac:dyDescent="0.35">
      <c r="A315" s="20" t="s">
        <v>114</v>
      </c>
      <c r="B315" s="20" t="s">
        <v>115</v>
      </c>
      <c r="C315" s="20">
        <v>2045</v>
      </c>
      <c r="D315" s="20" t="s">
        <v>116</v>
      </c>
      <c r="E315" s="20" t="s">
        <v>123</v>
      </c>
      <c r="F315" s="20" t="s">
        <v>121</v>
      </c>
      <c r="G315" s="20" t="s">
        <v>134</v>
      </c>
      <c r="H315" s="20">
        <v>-8.1999999999999993</v>
      </c>
      <c r="I315" s="20" t="s">
        <v>120</v>
      </c>
    </row>
    <row r="316" spans="1:11" hidden="1" x14ac:dyDescent="0.35">
      <c r="A316" s="20" t="s">
        <v>114</v>
      </c>
      <c r="B316" s="20" t="s">
        <v>115</v>
      </c>
      <c r="C316" s="20">
        <v>2055</v>
      </c>
      <c r="D316" s="20" t="s">
        <v>116</v>
      </c>
      <c r="E316" s="20" t="s">
        <v>123</v>
      </c>
      <c r="F316" s="20" t="s">
        <v>121</v>
      </c>
      <c r="G316" s="20" t="s">
        <v>134</v>
      </c>
      <c r="H316" s="20">
        <v>-9.8000000000000007</v>
      </c>
      <c r="I316" s="20" t="s">
        <v>120</v>
      </c>
    </row>
    <row r="317" spans="1:11" x14ac:dyDescent="0.35">
      <c r="A317" s="20" t="s">
        <v>114</v>
      </c>
      <c r="B317" s="20" t="s">
        <v>115</v>
      </c>
      <c r="C317" s="20">
        <v>2025</v>
      </c>
      <c r="D317" s="20" t="s">
        <v>116</v>
      </c>
      <c r="E317" s="20" t="s">
        <v>123</v>
      </c>
      <c r="F317" s="20" t="s">
        <v>118</v>
      </c>
      <c r="G317" s="20" t="s">
        <v>133</v>
      </c>
      <c r="H317" s="20">
        <v>-3.3</v>
      </c>
      <c r="I317" s="20" t="s">
        <v>120</v>
      </c>
      <c r="K317" s="20" t="str">
        <f>INDEX('EPA land and ag calcs'!$G$7:$G$14,MATCH('EPA land and ag potential'!E317,'EPA land and ag calcs'!$A$7:$A$15,0))</f>
        <v>*handled in agriculture files</v>
      </c>
    </row>
    <row r="318" spans="1:11" x14ac:dyDescent="0.35">
      <c r="A318" s="20" t="s">
        <v>114</v>
      </c>
      <c r="B318" s="20" t="s">
        <v>115</v>
      </c>
      <c r="C318" s="20">
        <v>2035</v>
      </c>
      <c r="D318" s="20" t="s">
        <v>116</v>
      </c>
      <c r="E318" s="20" t="s">
        <v>123</v>
      </c>
      <c r="F318" s="20" t="s">
        <v>118</v>
      </c>
      <c r="G318" s="20" t="s">
        <v>133</v>
      </c>
      <c r="H318" s="20">
        <v>-5.5</v>
      </c>
      <c r="I318" s="20" t="s">
        <v>120</v>
      </c>
      <c r="K318" s="20" t="str">
        <f>INDEX('EPA land and ag calcs'!$G$7:$G$14,MATCH('EPA land and ag potential'!E318,'EPA land and ag calcs'!$A$7:$A$15,0))</f>
        <v>*handled in agriculture files</v>
      </c>
    </row>
    <row r="319" spans="1:11" x14ac:dyDescent="0.35">
      <c r="A319" s="20" t="s">
        <v>114</v>
      </c>
      <c r="B319" s="20" t="s">
        <v>115</v>
      </c>
      <c r="C319" s="20">
        <v>2045</v>
      </c>
      <c r="D319" s="20" t="s">
        <v>116</v>
      </c>
      <c r="E319" s="20" t="s">
        <v>123</v>
      </c>
      <c r="F319" s="20" t="s">
        <v>118</v>
      </c>
      <c r="G319" s="20" t="s">
        <v>133</v>
      </c>
      <c r="H319" s="20">
        <v>-6.4</v>
      </c>
      <c r="I319" s="20" t="s">
        <v>120</v>
      </c>
      <c r="K319" s="20" t="str">
        <f>INDEX('EPA land and ag calcs'!$G$7:$G$14,MATCH('EPA land and ag potential'!E319,'EPA land and ag calcs'!$A$7:$A$15,0))</f>
        <v>*handled in agriculture files</v>
      </c>
    </row>
    <row r="320" spans="1:11" x14ac:dyDescent="0.35">
      <c r="A320" s="20" t="s">
        <v>114</v>
      </c>
      <c r="B320" s="20" t="s">
        <v>115</v>
      </c>
      <c r="C320" s="20">
        <v>2055</v>
      </c>
      <c r="D320" s="20" t="s">
        <v>116</v>
      </c>
      <c r="E320" s="20" t="s">
        <v>123</v>
      </c>
      <c r="F320" s="20" t="s">
        <v>118</v>
      </c>
      <c r="G320" s="20" t="s">
        <v>133</v>
      </c>
      <c r="H320" s="20">
        <v>-7.7</v>
      </c>
      <c r="I320" s="20" t="s">
        <v>120</v>
      </c>
      <c r="K320" s="20" t="str">
        <f>INDEX('EPA land and ag calcs'!$G$7:$G$14,MATCH('EPA land and ag potential'!E320,'EPA land and ag calcs'!$A$7:$A$15,0))</f>
        <v>*handled in agriculture files</v>
      </c>
    </row>
    <row r="321" spans="1:11" hidden="1" x14ac:dyDescent="0.35">
      <c r="A321" s="20" t="s">
        <v>114</v>
      </c>
      <c r="B321" s="20" t="s">
        <v>115</v>
      </c>
      <c r="C321" s="20">
        <v>2025</v>
      </c>
      <c r="D321" s="20" t="s">
        <v>116</v>
      </c>
      <c r="E321" s="20" t="s">
        <v>123</v>
      </c>
      <c r="F321" s="20" t="s">
        <v>121</v>
      </c>
      <c r="G321" s="20" t="s">
        <v>133</v>
      </c>
      <c r="H321" s="20">
        <v>-3.2</v>
      </c>
      <c r="I321" s="20" t="s">
        <v>120</v>
      </c>
    </row>
    <row r="322" spans="1:11" hidden="1" x14ac:dyDescent="0.35">
      <c r="A322" s="20" t="s">
        <v>114</v>
      </c>
      <c r="B322" s="20" t="s">
        <v>115</v>
      </c>
      <c r="C322" s="20">
        <v>2035</v>
      </c>
      <c r="D322" s="20" t="s">
        <v>116</v>
      </c>
      <c r="E322" s="20" t="s">
        <v>123</v>
      </c>
      <c r="F322" s="20" t="s">
        <v>121</v>
      </c>
      <c r="G322" s="20" t="s">
        <v>133</v>
      </c>
      <c r="H322" s="20">
        <v>-5</v>
      </c>
      <c r="I322" s="20" t="s">
        <v>120</v>
      </c>
    </row>
    <row r="323" spans="1:11" hidden="1" x14ac:dyDescent="0.35">
      <c r="A323" s="20" t="s">
        <v>114</v>
      </c>
      <c r="B323" s="20" t="s">
        <v>115</v>
      </c>
      <c r="C323" s="20">
        <v>2025</v>
      </c>
      <c r="D323" s="20" t="s">
        <v>116</v>
      </c>
      <c r="E323" s="20" t="s">
        <v>124</v>
      </c>
      <c r="F323" s="20" t="s">
        <v>121</v>
      </c>
      <c r="G323" s="20" t="s">
        <v>134</v>
      </c>
      <c r="H323" s="20">
        <v>-1.7</v>
      </c>
      <c r="I323" s="20" t="s">
        <v>120</v>
      </c>
    </row>
    <row r="324" spans="1:11" hidden="1" x14ac:dyDescent="0.35">
      <c r="A324" s="20" t="s">
        <v>114</v>
      </c>
      <c r="B324" s="20" t="s">
        <v>115</v>
      </c>
      <c r="C324" s="20">
        <v>2035</v>
      </c>
      <c r="D324" s="20" t="s">
        <v>116</v>
      </c>
      <c r="E324" s="20" t="s">
        <v>124</v>
      </c>
      <c r="F324" s="20" t="s">
        <v>121</v>
      </c>
      <c r="G324" s="20" t="s">
        <v>134</v>
      </c>
      <c r="H324" s="20">
        <v>-3.4</v>
      </c>
      <c r="I324" s="20" t="s">
        <v>120</v>
      </c>
    </row>
    <row r="325" spans="1:11" hidden="1" x14ac:dyDescent="0.35">
      <c r="A325" s="20" t="s">
        <v>114</v>
      </c>
      <c r="B325" s="20" t="s">
        <v>115</v>
      </c>
      <c r="C325" s="20">
        <v>2045</v>
      </c>
      <c r="D325" s="20" t="s">
        <v>116</v>
      </c>
      <c r="E325" s="20" t="s">
        <v>124</v>
      </c>
      <c r="F325" s="20" t="s">
        <v>121</v>
      </c>
      <c r="G325" s="20" t="s">
        <v>134</v>
      </c>
      <c r="H325" s="20">
        <v>-6.6</v>
      </c>
      <c r="I325" s="20" t="s">
        <v>120</v>
      </c>
    </row>
    <row r="326" spans="1:11" hidden="1" x14ac:dyDescent="0.35">
      <c r="A326" s="20" t="s">
        <v>114</v>
      </c>
      <c r="B326" s="20" t="s">
        <v>115</v>
      </c>
      <c r="C326" s="20">
        <v>2055</v>
      </c>
      <c r="D326" s="20" t="s">
        <v>116</v>
      </c>
      <c r="E326" s="20" t="s">
        <v>124</v>
      </c>
      <c r="F326" s="20" t="s">
        <v>121</v>
      </c>
      <c r="G326" s="20" t="s">
        <v>134</v>
      </c>
      <c r="H326" s="20">
        <v>-8.9</v>
      </c>
      <c r="I326" s="20" t="s">
        <v>120</v>
      </c>
    </row>
    <row r="327" spans="1:11" x14ac:dyDescent="0.35">
      <c r="A327" s="20" t="s">
        <v>114</v>
      </c>
      <c r="B327" s="20" t="s">
        <v>115</v>
      </c>
      <c r="C327" s="20">
        <v>2025</v>
      </c>
      <c r="D327" s="20" t="s">
        <v>116</v>
      </c>
      <c r="E327" s="20" t="s">
        <v>124</v>
      </c>
      <c r="F327" s="20" t="s">
        <v>118</v>
      </c>
      <c r="G327" s="20" t="s">
        <v>133</v>
      </c>
      <c r="H327" s="20">
        <v>-0.7</v>
      </c>
      <c r="I327" s="20" t="s">
        <v>120</v>
      </c>
      <c r="K327" s="20" t="str">
        <f>INDEX('EPA land and ag calcs'!$G$7:$G$14,MATCH('EPA land and ag potential'!E327,'EPA land and ag calcs'!$A$7:$A$15,0))</f>
        <v>*handled in agriculture files</v>
      </c>
    </row>
    <row r="328" spans="1:11" x14ac:dyDescent="0.35">
      <c r="A328" s="20" t="s">
        <v>114</v>
      </c>
      <c r="B328" s="20" t="s">
        <v>115</v>
      </c>
      <c r="C328" s="20">
        <v>2035</v>
      </c>
      <c r="D328" s="20" t="s">
        <v>116</v>
      </c>
      <c r="E328" s="20" t="s">
        <v>124</v>
      </c>
      <c r="F328" s="20" t="s">
        <v>118</v>
      </c>
      <c r="G328" s="20" t="s">
        <v>133</v>
      </c>
      <c r="H328" s="20">
        <v>-1.8</v>
      </c>
      <c r="I328" s="20" t="s">
        <v>120</v>
      </c>
      <c r="K328" s="20" t="str">
        <f>INDEX('EPA land and ag calcs'!$G$7:$G$14,MATCH('EPA land and ag potential'!E328,'EPA land and ag calcs'!$A$7:$A$15,0))</f>
        <v>*handled in agriculture files</v>
      </c>
    </row>
    <row r="329" spans="1:11" x14ac:dyDescent="0.35">
      <c r="A329" s="20" t="s">
        <v>114</v>
      </c>
      <c r="B329" s="20" t="s">
        <v>115</v>
      </c>
      <c r="C329" s="20">
        <v>2045</v>
      </c>
      <c r="D329" s="20" t="s">
        <v>116</v>
      </c>
      <c r="E329" s="20" t="s">
        <v>124</v>
      </c>
      <c r="F329" s="20" t="s">
        <v>118</v>
      </c>
      <c r="G329" s="20" t="s">
        <v>133</v>
      </c>
      <c r="H329" s="20">
        <v>-3</v>
      </c>
      <c r="I329" s="20" t="s">
        <v>120</v>
      </c>
      <c r="K329" s="20" t="str">
        <f>INDEX('EPA land and ag calcs'!$G$7:$G$14,MATCH('EPA land and ag potential'!E329,'EPA land and ag calcs'!$A$7:$A$15,0))</f>
        <v>*handled in agriculture files</v>
      </c>
    </row>
    <row r="330" spans="1:11" x14ac:dyDescent="0.35">
      <c r="A330" s="20" t="s">
        <v>114</v>
      </c>
      <c r="B330" s="20" t="s">
        <v>115</v>
      </c>
      <c r="C330" s="20">
        <v>2055</v>
      </c>
      <c r="D330" s="20" t="s">
        <v>116</v>
      </c>
      <c r="E330" s="20" t="s">
        <v>124</v>
      </c>
      <c r="F330" s="20" t="s">
        <v>118</v>
      </c>
      <c r="G330" s="20" t="s">
        <v>133</v>
      </c>
      <c r="H330" s="20">
        <v>-4.7</v>
      </c>
      <c r="I330" s="20" t="s">
        <v>120</v>
      </c>
      <c r="K330" s="20" t="str">
        <f>INDEX('EPA land and ag calcs'!$G$7:$G$14,MATCH('EPA land and ag potential'!E330,'EPA land and ag calcs'!$A$7:$A$15,0))</f>
        <v>*handled in agriculture files</v>
      </c>
    </row>
    <row r="331" spans="1:11" hidden="1" x14ac:dyDescent="0.35">
      <c r="A331" s="20" t="s">
        <v>114</v>
      </c>
      <c r="B331" s="20" t="s">
        <v>115</v>
      </c>
      <c r="C331" s="20">
        <v>2025</v>
      </c>
      <c r="D331" s="20" t="s">
        <v>116</v>
      </c>
      <c r="E331" s="20" t="s">
        <v>124</v>
      </c>
      <c r="F331" s="20" t="s">
        <v>121</v>
      </c>
      <c r="G331" s="20" t="s">
        <v>133</v>
      </c>
      <c r="H331" s="20">
        <v>-0.7</v>
      </c>
      <c r="I331" s="20" t="s">
        <v>120</v>
      </c>
    </row>
    <row r="332" spans="1:11" hidden="1" x14ac:dyDescent="0.35">
      <c r="A332" s="20" t="s">
        <v>114</v>
      </c>
      <c r="B332" s="20" t="s">
        <v>115</v>
      </c>
      <c r="C332" s="20">
        <v>2035</v>
      </c>
      <c r="D332" s="20" t="s">
        <v>116</v>
      </c>
      <c r="E332" s="20" t="s">
        <v>124</v>
      </c>
      <c r="F332" s="20" t="s">
        <v>121</v>
      </c>
      <c r="G332" s="20" t="s">
        <v>133</v>
      </c>
      <c r="H332" s="20">
        <v>-1</v>
      </c>
      <c r="I332" s="20" t="s">
        <v>120</v>
      </c>
    </row>
    <row r="333" spans="1:11" hidden="1" x14ac:dyDescent="0.35">
      <c r="A333" s="20" t="s">
        <v>114</v>
      </c>
      <c r="B333" s="20" t="s">
        <v>115</v>
      </c>
      <c r="C333" s="20">
        <v>2025</v>
      </c>
      <c r="D333" s="20" t="s">
        <v>116</v>
      </c>
      <c r="E333" s="20" t="s">
        <v>125</v>
      </c>
      <c r="F333" s="20" t="s">
        <v>121</v>
      </c>
      <c r="G333" s="20" t="s">
        <v>134</v>
      </c>
      <c r="H333" s="20">
        <v>-27.5</v>
      </c>
      <c r="I333" s="20" t="s">
        <v>120</v>
      </c>
    </row>
    <row r="334" spans="1:11" hidden="1" x14ac:dyDescent="0.35">
      <c r="A334" s="20" t="s">
        <v>114</v>
      </c>
      <c r="B334" s="20" t="s">
        <v>115</v>
      </c>
      <c r="C334" s="20">
        <v>2035</v>
      </c>
      <c r="D334" s="20" t="s">
        <v>116</v>
      </c>
      <c r="E334" s="20" t="s">
        <v>125</v>
      </c>
      <c r="F334" s="20" t="s">
        <v>121</v>
      </c>
      <c r="G334" s="20" t="s">
        <v>134</v>
      </c>
      <c r="H334" s="20">
        <v>-50.7</v>
      </c>
      <c r="I334" s="20" t="s">
        <v>120</v>
      </c>
    </row>
    <row r="335" spans="1:11" hidden="1" x14ac:dyDescent="0.35">
      <c r="A335" s="20" t="s">
        <v>114</v>
      </c>
      <c r="B335" s="20" t="s">
        <v>115</v>
      </c>
      <c r="C335" s="20">
        <v>2045</v>
      </c>
      <c r="D335" s="20" t="s">
        <v>116</v>
      </c>
      <c r="E335" s="20" t="s">
        <v>125</v>
      </c>
      <c r="F335" s="20" t="s">
        <v>121</v>
      </c>
      <c r="G335" s="20" t="s">
        <v>134</v>
      </c>
      <c r="H335" s="20">
        <v>-49.4</v>
      </c>
      <c r="I335" s="20" t="s">
        <v>120</v>
      </c>
    </row>
    <row r="336" spans="1:11" hidden="1" x14ac:dyDescent="0.35">
      <c r="A336" s="20" t="s">
        <v>114</v>
      </c>
      <c r="B336" s="20" t="s">
        <v>115</v>
      </c>
      <c r="C336" s="20">
        <v>2055</v>
      </c>
      <c r="D336" s="20" t="s">
        <v>116</v>
      </c>
      <c r="E336" s="20" t="s">
        <v>125</v>
      </c>
      <c r="F336" s="20" t="s">
        <v>121</v>
      </c>
      <c r="G336" s="20" t="s">
        <v>134</v>
      </c>
      <c r="H336" s="20">
        <v>-50.5</v>
      </c>
      <c r="I336" s="20" t="s">
        <v>120</v>
      </c>
    </row>
    <row r="337" spans="1:11" x14ac:dyDescent="0.35">
      <c r="A337" s="20" t="s">
        <v>114</v>
      </c>
      <c r="B337" s="20" t="s">
        <v>115</v>
      </c>
      <c r="C337" s="20">
        <v>2025</v>
      </c>
      <c r="D337" s="20" t="s">
        <v>116</v>
      </c>
      <c r="E337" s="20" t="s">
        <v>125</v>
      </c>
      <c r="F337" s="20" t="s">
        <v>118</v>
      </c>
      <c r="G337" s="20" t="s">
        <v>133</v>
      </c>
      <c r="H337" s="20">
        <v>-13.6</v>
      </c>
      <c r="I337" s="20" t="s">
        <v>120</v>
      </c>
      <c r="K337" s="20" t="str">
        <f>INDEX('EPA land and ag calcs'!$G$7:$G$14,MATCH('EPA land and ag potential'!E337,'EPA land and ag calcs'!$A$7:$A$15,0))</f>
        <v>forest management</v>
      </c>
    </row>
    <row r="338" spans="1:11" x14ac:dyDescent="0.35">
      <c r="A338" s="20" t="s">
        <v>114</v>
      </c>
      <c r="B338" s="20" t="s">
        <v>115</v>
      </c>
      <c r="C338" s="20">
        <v>2035</v>
      </c>
      <c r="D338" s="20" t="s">
        <v>116</v>
      </c>
      <c r="E338" s="20" t="s">
        <v>125</v>
      </c>
      <c r="F338" s="20" t="s">
        <v>118</v>
      </c>
      <c r="G338" s="20" t="s">
        <v>133</v>
      </c>
      <c r="H338" s="20">
        <v>-39.700000000000003</v>
      </c>
      <c r="I338" s="20" t="s">
        <v>120</v>
      </c>
      <c r="K338" s="20" t="str">
        <f>INDEX('EPA land and ag calcs'!$G$7:$G$14,MATCH('EPA land and ag potential'!E338,'EPA land and ag calcs'!$A$7:$A$15,0))</f>
        <v>forest management</v>
      </c>
    </row>
    <row r="339" spans="1:11" x14ac:dyDescent="0.35">
      <c r="A339" s="20" t="s">
        <v>114</v>
      </c>
      <c r="B339" s="20" t="s">
        <v>115</v>
      </c>
      <c r="C339" s="20">
        <v>2045</v>
      </c>
      <c r="D339" s="20" t="s">
        <v>116</v>
      </c>
      <c r="E339" s="20" t="s">
        <v>125</v>
      </c>
      <c r="F339" s="20" t="s">
        <v>118</v>
      </c>
      <c r="G339" s="20" t="s">
        <v>133</v>
      </c>
      <c r="H339" s="20">
        <v>-48.7</v>
      </c>
      <c r="I339" s="20" t="s">
        <v>120</v>
      </c>
      <c r="K339" s="20" t="str">
        <f>INDEX('EPA land and ag calcs'!$G$7:$G$14,MATCH('EPA land and ag potential'!E339,'EPA land and ag calcs'!$A$7:$A$15,0))</f>
        <v>forest management</v>
      </c>
    </row>
    <row r="340" spans="1:11" x14ac:dyDescent="0.35">
      <c r="A340" s="20" t="s">
        <v>114</v>
      </c>
      <c r="B340" s="20" t="s">
        <v>115</v>
      </c>
      <c r="C340" s="20">
        <v>2055</v>
      </c>
      <c r="D340" s="20" t="s">
        <v>116</v>
      </c>
      <c r="E340" s="20" t="s">
        <v>125</v>
      </c>
      <c r="F340" s="20" t="s">
        <v>118</v>
      </c>
      <c r="G340" s="20" t="s">
        <v>133</v>
      </c>
      <c r="H340" s="20">
        <v>-59</v>
      </c>
      <c r="I340" s="20" t="s">
        <v>120</v>
      </c>
      <c r="K340" s="20" t="str">
        <f>INDEX('EPA land and ag calcs'!$G$7:$G$14,MATCH('EPA land and ag potential'!E340,'EPA land and ag calcs'!$A$7:$A$15,0))</f>
        <v>forest management</v>
      </c>
    </row>
    <row r="341" spans="1:11" hidden="1" x14ac:dyDescent="0.35">
      <c r="A341" s="20" t="s">
        <v>114</v>
      </c>
      <c r="B341" s="20" t="s">
        <v>115</v>
      </c>
      <c r="C341" s="20">
        <v>2025</v>
      </c>
      <c r="D341" s="20" t="s">
        <v>116</v>
      </c>
      <c r="E341" s="20" t="s">
        <v>125</v>
      </c>
      <c r="F341" s="20" t="s">
        <v>121</v>
      </c>
      <c r="G341" s="20" t="s">
        <v>133</v>
      </c>
      <c r="H341" s="20">
        <v>-16.7</v>
      </c>
      <c r="I341" s="20" t="s">
        <v>120</v>
      </c>
    </row>
    <row r="342" spans="1:11" hidden="1" x14ac:dyDescent="0.35">
      <c r="A342" s="20" t="s">
        <v>114</v>
      </c>
      <c r="B342" s="20" t="s">
        <v>115</v>
      </c>
      <c r="C342" s="20">
        <v>2035</v>
      </c>
      <c r="D342" s="20" t="s">
        <v>116</v>
      </c>
      <c r="E342" s="20" t="s">
        <v>125</v>
      </c>
      <c r="F342" s="20" t="s">
        <v>121</v>
      </c>
      <c r="G342" s="20" t="s">
        <v>133</v>
      </c>
      <c r="H342" s="20">
        <v>-32.4</v>
      </c>
      <c r="I342" s="20" t="s">
        <v>120</v>
      </c>
    </row>
    <row r="343" spans="1:11" hidden="1" x14ac:dyDescent="0.35">
      <c r="A343" s="20" t="s">
        <v>114</v>
      </c>
      <c r="B343" s="20" t="s">
        <v>115</v>
      </c>
      <c r="C343" s="20">
        <v>2025</v>
      </c>
      <c r="D343" s="20" t="s">
        <v>116</v>
      </c>
      <c r="E343" s="20" t="s">
        <v>126</v>
      </c>
      <c r="F343" s="20" t="s">
        <v>121</v>
      </c>
      <c r="G343" s="20" t="s">
        <v>134</v>
      </c>
      <c r="I343" s="20" t="s">
        <v>120</v>
      </c>
    </row>
    <row r="344" spans="1:11" hidden="1" x14ac:dyDescent="0.35">
      <c r="A344" s="20" t="s">
        <v>114</v>
      </c>
      <c r="B344" s="20" t="s">
        <v>115</v>
      </c>
      <c r="C344" s="20">
        <v>2035</v>
      </c>
      <c r="D344" s="20" t="s">
        <v>116</v>
      </c>
      <c r="E344" s="20" t="s">
        <v>126</v>
      </c>
      <c r="F344" s="20" t="s">
        <v>121</v>
      </c>
      <c r="G344" s="20" t="s">
        <v>134</v>
      </c>
      <c r="H344" s="20">
        <v>-51.2</v>
      </c>
      <c r="I344" s="20" t="s">
        <v>120</v>
      </c>
    </row>
    <row r="345" spans="1:11" hidden="1" x14ac:dyDescent="0.35">
      <c r="A345" s="20" t="s">
        <v>114</v>
      </c>
      <c r="B345" s="20" t="s">
        <v>115</v>
      </c>
      <c r="C345" s="20">
        <v>2045</v>
      </c>
      <c r="D345" s="20" t="s">
        <v>116</v>
      </c>
      <c r="E345" s="20" t="s">
        <v>126</v>
      </c>
      <c r="F345" s="20" t="s">
        <v>121</v>
      </c>
      <c r="G345" s="20" t="s">
        <v>134</v>
      </c>
      <c r="H345" s="20">
        <v>-75.7</v>
      </c>
      <c r="I345" s="20" t="s">
        <v>120</v>
      </c>
    </row>
    <row r="346" spans="1:11" hidden="1" x14ac:dyDescent="0.35">
      <c r="A346" s="20" t="s">
        <v>114</v>
      </c>
      <c r="B346" s="20" t="s">
        <v>115</v>
      </c>
      <c r="C346" s="20">
        <v>2055</v>
      </c>
      <c r="D346" s="20" t="s">
        <v>116</v>
      </c>
      <c r="E346" s="20" t="s">
        <v>126</v>
      </c>
      <c r="F346" s="20" t="s">
        <v>121</v>
      </c>
      <c r="G346" s="20" t="s">
        <v>134</v>
      </c>
      <c r="H346" s="20">
        <v>-94.3</v>
      </c>
      <c r="I346" s="20" t="s">
        <v>120</v>
      </c>
    </row>
    <row r="347" spans="1:11" x14ac:dyDescent="0.35">
      <c r="A347" s="20" t="s">
        <v>114</v>
      </c>
      <c r="B347" s="20" t="s">
        <v>115</v>
      </c>
      <c r="C347" s="20">
        <v>2025</v>
      </c>
      <c r="D347" s="20" t="s">
        <v>116</v>
      </c>
      <c r="E347" s="20" t="s">
        <v>126</v>
      </c>
      <c r="F347" s="20" t="s">
        <v>118</v>
      </c>
      <c r="G347" s="20" t="s">
        <v>133</v>
      </c>
      <c r="I347" s="20" t="s">
        <v>120</v>
      </c>
      <c r="K347" s="20" t="str">
        <f>INDEX('EPA land and ag calcs'!$G$7:$G$14,MATCH('EPA land and ag potential'!E347,'EPA land and ag calcs'!$A$7:$A$15,0))</f>
        <v>afforestation and reforestation</v>
      </c>
    </row>
    <row r="348" spans="1:11" x14ac:dyDescent="0.35">
      <c r="A348" s="20" t="s">
        <v>114</v>
      </c>
      <c r="B348" s="20" t="s">
        <v>115</v>
      </c>
      <c r="C348" s="20">
        <v>2035</v>
      </c>
      <c r="D348" s="20" t="s">
        <v>116</v>
      </c>
      <c r="E348" s="20" t="s">
        <v>126</v>
      </c>
      <c r="F348" s="20" t="s">
        <v>118</v>
      </c>
      <c r="G348" s="20" t="s">
        <v>133</v>
      </c>
      <c r="H348" s="20">
        <v>-27.8</v>
      </c>
      <c r="I348" s="20" t="s">
        <v>120</v>
      </c>
      <c r="K348" s="20" t="str">
        <f>INDEX('EPA land and ag calcs'!$G$7:$G$14,MATCH('EPA land and ag potential'!E348,'EPA land and ag calcs'!$A$7:$A$15,0))</f>
        <v>afforestation and reforestation</v>
      </c>
    </row>
    <row r="349" spans="1:11" x14ac:dyDescent="0.35">
      <c r="A349" s="20" t="s">
        <v>114</v>
      </c>
      <c r="B349" s="20" t="s">
        <v>115</v>
      </c>
      <c r="C349" s="20">
        <v>2045</v>
      </c>
      <c r="D349" s="20" t="s">
        <v>116</v>
      </c>
      <c r="E349" s="20" t="s">
        <v>126</v>
      </c>
      <c r="F349" s="20" t="s">
        <v>118</v>
      </c>
      <c r="G349" s="20" t="s">
        <v>133</v>
      </c>
      <c r="H349" s="20">
        <v>-30.7</v>
      </c>
      <c r="I349" s="20" t="s">
        <v>120</v>
      </c>
      <c r="K349" s="20" t="str">
        <f>INDEX('EPA land and ag calcs'!$G$7:$G$14,MATCH('EPA land and ag potential'!E349,'EPA land and ag calcs'!$A$7:$A$15,0))</f>
        <v>afforestation and reforestation</v>
      </c>
    </row>
    <row r="350" spans="1:11" x14ac:dyDescent="0.35">
      <c r="A350" s="20" t="s">
        <v>114</v>
      </c>
      <c r="B350" s="20" t="s">
        <v>115</v>
      </c>
      <c r="C350" s="20">
        <v>2055</v>
      </c>
      <c r="D350" s="20" t="s">
        <v>116</v>
      </c>
      <c r="E350" s="20" t="s">
        <v>126</v>
      </c>
      <c r="F350" s="20" t="s">
        <v>118</v>
      </c>
      <c r="G350" s="20" t="s">
        <v>133</v>
      </c>
      <c r="H350" s="20">
        <v>-30.8</v>
      </c>
      <c r="I350" s="20" t="s">
        <v>120</v>
      </c>
      <c r="K350" s="20" t="str">
        <f>INDEX('EPA land and ag calcs'!$G$7:$G$14,MATCH('EPA land and ag potential'!E350,'EPA land and ag calcs'!$A$7:$A$15,0))</f>
        <v>afforestation and reforestation</v>
      </c>
    </row>
    <row r="351" spans="1:11" hidden="1" x14ac:dyDescent="0.35">
      <c r="A351" s="20" t="s">
        <v>114</v>
      </c>
      <c r="B351" s="20" t="s">
        <v>115</v>
      </c>
      <c r="C351" s="20">
        <v>2025</v>
      </c>
      <c r="D351" s="20" t="s">
        <v>116</v>
      </c>
      <c r="E351" s="20" t="s">
        <v>126</v>
      </c>
      <c r="F351" s="20" t="s">
        <v>121</v>
      </c>
      <c r="G351" s="20" t="s">
        <v>133</v>
      </c>
      <c r="I351" s="20" t="s">
        <v>120</v>
      </c>
    </row>
    <row r="352" spans="1:11" hidden="1" x14ac:dyDescent="0.35">
      <c r="A352" s="20" t="s">
        <v>114</v>
      </c>
      <c r="B352" s="20" t="s">
        <v>115</v>
      </c>
      <c r="C352" s="20">
        <v>2035</v>
      </c>
      <c r="D352" s="20" t="s">
        <v>116</v>
      </c>
      <c r="E352" s="20" t="s">
        <v>126</v>
      </c>
      <c r="F352" s="20" t="s">
        <v>121</v>
      </c>
      <c r="G352" s="20" t="s">
        <v>133</v>
      </c>
      <c r="H352" s="20">
        <v>-35</v>
      </c>
      <c r="I352" s="20" t="s">
        <v>120</v>
      </c>
    </row>
    <row r="353" spans="1:11" hidden="1" x14ac:dyDescent="0.35">
      <c r="A353" s="20" t="s">
        <v>114</v>
      </c>
      <c r="B353" s="20" t="s">
        <v>115</v>
      </c>
      <c r="C353" s="20">
        <v>2025</v>
      </c>
      <c r="D353" s="20" t="s">
        <v>116</v>
      </c>
      <c r="E353" s="20" t="s">
        <v>127</v>
      </c>
      <c r="F353" s="20" t="s">
        <v>121</v>
      </c>
      <c r="G353" s="20" t="s">
        <v>134</v>
      </c>
      <c r="H353" s="20">
        <v>3.3</v>
      </c>
      <c r="I353" s="20" t="s">
        <v>120</v>
      </c>
    </row>
    <row r="354" spans="1:11" hidden="1" x14ac:dyDescent="0.35">
      <c r="A354" s="20" t="s">
        <v>114</v>
      </c>
      <c r="B354" s="20" t="s">
        <v>115</v>
      </c>
      <c r="C354" s="20">
        <v>2035</v>
      </c>
      <c r="D354" s="20" t="s">
        <v>116</v>
      </c>
      <c r="E354" s="20" t="s">
        <v>127</v>
      </c>
      <c r="F354" s="20" t="s">
        <v>121</v>
      </c>
      <c r="G354" s="20" t="s">
        <v>134</v>
      </c>
      <c r="H354" s="20">
        <v>2.6</v>
      </c>
      <c r="I354" s="20" t="s">
        <v>120</v>
      </c>
    </row>
    <row r="355" spans="1:11" hidden="1" x14ac:dyDescent="0.35">
      <c r="A355" s="20" t="s">
        <v>114</v>
      </c>
      <c r="B355" s="20" t="s">
        <v>115</v>
      </c>
      <c r="C355" s="20">
        <v>2045</v>
      </c>
      <c r="D355" s="20" t="s">
        <v>116</v>
      </c>
      <c r="E355" s="20" t="s">
        <v>127</v>
      </c>
      <c r="F355" s="20" t="s">
        <v>121</v>
      </c>
      <c r="G355" s="20" t="s">
        <v>134</v>
      </c>
      <c r="H355" s="20">
        <v>2.2000000000000002</v>
      </c>
      <c r="I355" s="20" t="s">
        <v>120</v>
      </c>
    </row>
    <row r="356" spans="1:11" hidden="1" x14ac:dyDescent="0.35">
      <c r="A356" s="20" t="s">
        <v>114</v>
      </c>
      <c r="B356" s="20" t="s">
        <v>115</v>
      </c>
      <c r="C356" s="20">
        <v>2055</v>
      </c>
      <c r="D356" s="20" t="s">
        <v>116</v>
      </c>
      <c r="E356" s="20" t="s">
        <v>127</v>
      </c>
      <c r="F356" s="20" t="s">
        <v>121</v>
      </c>
      <c r="G356" s="20" t="s">
        <v>134</v>
      </c>
      <c r="H356" s="20">
        <v>2</v>
      </c>
      <c r="I356" s="20" t="s">
        <v>120</v>
      </c>
    </row>
    <row r="357" spans="1:11" x14ac:dyDescent="0.35">
      <c r="A357" s="20" t="s">
        <v>114</v>
      </c>
      <c r="B357" s="20" t="s">
        <v>115</v>
      </c>
      <c r="C357" s="20">
        <v>2025</v>
      </c>
      <c r="D357" s="20" t="s">
        <v>116</v>
      </c>
      <c r="E357" s="20" t="s">
        <v>127</v>
      </c>
      <c r="F357" s="20" t="s">
        <v>118</v>
      </c>
      <c r="G357" s="20" t="s">
        <v>133</v>
      </c>
      <c r="H357" s="20">
        <v>1.3</v>
      </c>
      <c r="I357" s="20" t="s">
        <v>120</v>
      </c>
      <c r="K357" s="20" t="str">
        <f>INDEX('EPA land and ag calcs'!$G$7:$G$14,MATCH('EPA land and ag potential'!E357,'EPA land and ag calcs'!$A$7:$A$15,0))</f>
        <v>forest management</v>
      </c>
    </row>
    <row r="358" spans="1:11" x14ac:dyDescent="0.35">
      <c r="A358" s="20" t="s">
        <v>114</v>
      </c>
      <c r="B358" s="20" t="s">
        <v>115</v>
      </c>
      <c r="C358" s="20">
        <v>2035</v>
      </c>
      <c r="D358" s="20" t="s">
        <v>116</v>
      </c>
      <c r="E358" s="20" t="s">
        <v>127</v>
      </c>
      <c r="F358" s="20" t="s">
        <v>118</v>
      </c>
      <c r="G358" s="20" t="s">
        <v>133</v>
      </c>
      <c r="H358" s="20">
        <v>0.6</v>
      </c>
      <c r="I358" s="20" t="s">
        <v>120</v>
      </c>
      <c r="K358" s="20" t="str">
        <f>INDEX('EPA land and ag calcs'!$G$7:$G$14,MATCH('EPA land and ag potential'!E358,'EPA land and ag calcs'!$A$7:$A$15,0))</f>
        <v>forest management</v>
      </c>
    </row>
    <row r="359" spans="1:11" x14ac:dyDescent="0.35">
      <c r="A359" s="20" t="s">
        <v>114</v>
      </c>
      <c r="B359" s="20" t="s">
        <v>115</v>
      </c>
      <c r="C359" s="20">
        <v>2045</v>
      </c>
      <c r="D359" s="20" t="s">
        <v>116</v>
      </c>
      <c r="E359" s="20" t="s">
        <v>127</v>
      </c>
      <c r="F359" s="20" t="s">
        <v>118</v>
      </c>
      <c r="G359" s="20" t="s">
        <v>133</v>
      </c>
      <c r="H359" s="20">
        <v>0.6</v>
      </c>
      <c r="I359" s="20" t="s">
        <v>120</v>
      </c>
      <c r="K359" s="20" t="str">
        <f>INDEX('EPA land and ag calcs'!$G$7:$G$14,MATCH('EPA land and ag potential'!E359,'EPA land and ag calcs'!$A$7:$A$15,0))</f>
        <v>forest management</v>
      </c>
    </row>
    <row r="360" spans="1:11" x14ac:dyDescent="0.35">
      <c r="A360" s="20" t="s">
        <v>114</v>
      </c>
      <c r="B360" s="20" t="s">
        <v>115</v>
      </c>
      <c r="C360" s="20">
        <v>2055</v>
      </c>
      <c r="D360" s="20" t="s">
        <v>116</v>
      </c>
      <c r="E360" s="20" t="s">
        <v>127</v>
      </c>
      <c r="F360" s="20" t="s">
        <v>118</v>
      </c>
      <c r="G360" s="20" t="s">
        <v>133</v>
      </c>
      <c r="H360" s="20">
        <v>0.7</v>
      </c>
      <c r="I360" s="20" t="s">
        <v>120</v>
      </c>
      <c r="K360" s="20" t="str">
        <f>INDEX('EPA land and ag calcs'!$G$7:$G$14,MATCH('EPA land and ag potential'!E360,'EPA land and ag calcs'!$A$7:$A$15,0))</f>
        <v>forest management</v>
      </c>
    </row>
    <row r="361" spans="1:11" hidden="1" x14ac:dyDescent="0.35">
      <c r="A361" s="20" t="s">
        <v>114</v>
      </c>
      <c r="B361" s="20" t="s">
        <v>115</v>
      </c>
      <c r="C361" s="20">
        <v>2025</v>
      </c>
      <c r="D361" s="20" t="s">
        <v>116</v>
      </c>
      <c r="E361" s="20" t="s">
        <v>127</v>
      </c>
      <c r="F361" s="20" t="s">
        <v>121</v>
      </c>
      <c r="G361" s="20" t="s">
        <v>133</v>
      </c>
      <c r="H361" s="20">
        <v>1.4</v>
      </c>
      <c r="I361" s="20" t="s">
        <v>120</v>
      </c>
    </row>
    <row r="362" spans="1:11" hidden="1" x14ac:dyDescent="0.35">
      <c r="A362" s="20" t="s">
        <v>114</v>
      </c>
      <c r="B362" s="20" t="s">
        <v>115</v>
      </c>
      <c r="C362" s="20">
        <v>2035</v>
      </c>
      <c r="D362" s="20" t="s">
        <v>116</v>
      </c>
      <c r="E362" s="20" t="s">
        <v>127</v>
      </c>
      <c r="F362" s="20" t="s">
        <v>121</v>
      </c>
      <c r="G362" s="20" t="s">
        <v>133</v>
      </c>
      <c r="H362" s="20">
        <v>1.4</v>
      </c>
      <c r="I362" s="20" t="s">
        <v>120</v>
      </c>
    </row>
    <row r="363" spans="1:11" hidden="1" x14ac:dyDescent="0.35">
      <c r="A363" s="20" t="s">
        <v>114</v>
      </c>
      <c r="B363" s="20" t="s">
        <v>115</v>
      </c>
      <c r="C363" s="20">
        <v>2025</v>
      </c>
      <c r="D363" s="20" t="s">
        <v>116</v>
      </c>
      <c r="E363" s="20" t="s">
        <v>128</v>
      </c>
      <c r="F363" s="20" t="s">
        <v>121</v>
      </c>
      <c r="G363" s="20" t="s">
        <v>134</v>
      </c>
      <c r="H363" s="20">
        <v>-125.6</v>
      </c>
      <c r="I363" s="20" t="s">
        <v>120</v>
      </c>
    </row>
    <row r="364" spans="1:11" hidden="1" x14ac:dyDescent="0.35">
      <c r="A364" s="20" t="s">
        <v>114</v>
      </c>
      <c r="B364" s="20" t="s">
        <v>115</v>
      </c>
      <c r="C364" s="20">
        <v>2035</v>
      </c>
      <c r="D364" s="20" t="s">
        <v>116</v>
      </c>
      <c r="E364" s="20" t="s">
        <v>128</v>
      </c>
      <c r="F364" s="20" t="s">
        <v>121</v>
      </c>
      <c r="G364" s="20" t="s">
        <v>134</v>
      </c>
      <c r="H364" s="20">
        <v>-106.7</v>
      </c>
      <c r="I364" s="20" t="s">
        <v>120</v>
      </c>
    </row>
    <row r="365" spans="1:11" hidden="1" x14ac:dyDescent="0.35">
      <c r="A365" s="20" t="s">
        <v>114</v>
      </c>
      <c r="B365" s="20" t="s">
        <v>115</v>
      </c>
      <c r="C365" s="20">
        <v>2045</v>
      </c>
      <c r="D365" s="20" t="s">
        <v>116</v>
      </c>
      <c r="E365" s="20" t="s">
        <v>128</v>
      </c>
      <c r="F365" s="20" t="s">
        <v>121</v>
      </c>
      <c r="G365" s="20" t="s">
        <v>134</v>
      </c>
      <c r="H365" s="20">
        <v>-84.3</v>
      </c>
      <c r="I365" s="20" t="s">
        <v>120</v>
      </c>
    </row>
    <row r="366" spans="1:11" hidden="1" x14ac:dyDescent="0.35">
      <c r="A366" s="20" t="s">
        <v>114</v>
      </c>
      <c r="B366" s="20" t="s">
        <v>115</v>
      </c>
      <c r="C366" s="20">
        <v>2055</v>
      </c>
      <c r="D366" s="20" t="s">
        <v>116</v>
      </c>
      <c r="E366" s="20" t="s">
        <v>128</v>
      </c>
      <c r="F366" s="20" t="s">
        <v>121</v>
      </c>
      <c r="G366" s="20" t="s">
        <v>134</v>
      </c>
      <c r="H366" s="20">
        <v>-80.7</v>
      </c>
      <c r="I366" s="20" t="s">
        <v>120</v>
      </c>
    </row>
    <row r="367" spans="1:11" x14ac:dyDescent="0.35">
      <c r="A367" s="20" t="s">
        <v>114</v>
      </c>
      <c r="B367" s="20" t="s">
        <v>115</v>
      </c>
      <c r="C367" s="20">
        <v>2025</v>
      </c>
      <c r="D367" s="20" t="s">
        <v>116</v>
      </c>
      <c r="E367" s="20" t="s">
        <v>128</v>
      </c>
      <c r="F367" s="20" t="s">
        <v>118</v>
      </c>
      <c r="G367" s="20" t="s">
        <v>133</v>
      </c>
      <c r="H367" s="20">
        <v>-57.7</v>
      </c>
      <c r="I367" s="20" t="s">
        <v>120</v>
      </c>
      <c r="K367" s="20" t="str">
        <f>INDEX('EPA land and ag calcs'!$G$7:$G$14,MATCH('EPA land and ag potential'!E367,'EPA land and ag calcs'!$A$7:$A$15,0))</f>
        <v>afforestation and reforestation</v>
      </c>
    </row>
    <row r="368" spans="1:11" x14ac:dyDescent="0.35">
      <c r="A368" s="20" t="s">
        <v>114</v>
      </c>
      <c r="B368" s="20" t="s">
        <v>115</v>
      </c>
      <c r="C368" s="20">
        <v>2035</v>
      </c>
      <c r="D368" s="20" t="s">
        <v>116</v>
      </c>
      <c r="E368" s="20" t="s">
        <v>128</v>
      </c>
      <c r="F368" s="20" t="s">
        <v>118</v>
      </c>
      <c r="G368" s="20" t="s">
        <v>133</v>
      </c>
      <c r="H368" s="20">
        <v>-93.3</v>
      </c>
      <c r="I368" s="20" t="s">
        <v>120</v>
      </c>
      <c r="K368" s="20" t="str">
        <f>INDEX('EPA land and ag calcs'!$G$7:$G$14,MATCH('EPA land and ag potential'!E368,'EPA land and ag calcs'!$A$7:$A$15,0))</f>
        <v>afforestation and reforestation</v>
      </c>
    </row>
    <row r="369" spans="1:11" x14ac:dyDescent="0.35">
      <c r="A369" s="20" t="s">
        <v>114</v>
      </c>
      <c r="B369" s="20" t="s">
        <v>115</v>
      </c>
      <c r="C369" s="20">
        <v>2045</v>
      </c>
      <c r="D369" s="20" t="s">
        <v>116</v>
      </c>
      <c r="E369" s="20" t="s">
        <v>128</v>
      </c>
      <c r="F369" s="20" t="s">
        <v>118</v>
      </c>
      <c r="G369" s="20" t="s">
        <v>133</v>
      </c>
      <c r="H369" s="20">
        <v>-81.099999999999994</v>
      </c>
      <c r="I369" s="20" t="s">
        <v>120</v>
      </c>
      <c r="K369" s="20" t="str">
        <f>INDEX('EPA land and ag calcs'!$G$7:$G$14,MATCH('EPA land and ag potential'!E369,'EPA land and ag calcs'!$A$7:$A$15,0))</f>
        <v>afforestation and reforestation</v>
      </c>
    </row>
    <row r="370" spans="1:11" x14ac:dyDescent="0.35">
      <c r="A370" s="20" t="s">
        <v>114</v>
      </c>
      <c r="B370" s="20" t="s">
        <v>115</v>
      </c>
      <c r="C370" s="20">
        <v>2055</v>
      </c>
      <c r="D370" s="20" t="s">
        <v>116</v>
      </c>
      <c r="E370" s="20" t="s">
        <v>128</v>
      </c>
      <c r="F370" s="20" t="s">
        <v>118</v>
      </c>
      <c r="G370" s="20" t="s">
        <v>133</v>
      </c>
      <c r="H370" s="20">
        <v>-81.5</v>
      </c>
      <c r="I370" s="20" t="s">
        <v>120</v>
      </c>
      <c r="K370" s="20" t="str">
        <f>INDEX('EPA land and ag calcs'!$G$7:$G$14,MATCH('EPA land and ag potential'!E370,'EPA land and ag calcs'!$A$7:$A$15,0))</f>
        <v>afforestation and reforestation</v>
      </c>
    </row>
    <row r="371" spans="1:11" hidden="1" x14ac:dyDescent="0.35">
      <c r="A371" s="20" t="s">
        <v>114</v>
      </c>
      <c r="B371" s="20" t="s">
        <v>115</v>
      </c>
      <c r="C371" s="20">
        <v>2025</v>
      </c>
      <c r="D371" s="20" t="s">
        <v>116</v>
      </c>
      <c r="E371" s="20" t="s">
        <v>128</v>
      </c>
      <c r="F371" s="20" t="s">
        <v>121</v>
      </c>
      <c r="G371" s="20" t="s">
        <v>133</v>
      </c>
      <c r="H371" s="20">
        <v>-96.9</v>
      </c>
      <c r="I371" s="20" t="s">
        <v>120</v>
      </c>
    </row>
    <row r="372" spans="1:11" hidden="1" x14ac:dyDescent="0.35">
      <c r="A372" s="20" t="s">
        <v>114</v>
      </c>
      <c r="B372" s="20" t="s">
        <v>115</v>
      </c>
      <c r="C372" s="20">
        <v>2035</v>
      </c>
      <c r="D372" s="20" t="s">
        <v>116</v>
      </c>
      <c r="E372" s="20" t="s">
        <v>128</v>
      </c>
      <c r="F372" s="20" t="s">
        <v>121</v>
      </c>
      <c r="G372" s="20" t="s">
        <v>133</v>
      </c>
      <c r="H372" s="20">
        <v>-50.6</v>
      </c>
      <c r="I372" s="20" t="s">
        <v>120</v>
      </c>
    </row>
    <row r="373" spans="1:11" hidden="1" x14ac:dyDescent="0.35">
      <c r="A373" s="20" t="s">
        <v>114</v>
      </c>
      <c r="B373" s="20" t="s">
        <v>115</v>
      </c>
      <c r="C373" s="20">
        <v>2025</v>
      </c>
      <c r="D373" s="20" t="s">
        <v>116</v>
      </c>
      <c r="E373" s="20" t="s">
        <v>129</v>
      </c>
      <c r="F373" s="20" t="s">
        <v>121</v>
      </c>
      <c r="G373" s="20" t="s">
        <v>134</v>
      </c>
      <c r="H373" s="20">
        <v>-10.199999999999999</v>
      </c>
      <c r="I373" s="20" t="s">
        <v>120</v>
      </c>
    </row>
    <row r="374" spans="1:11" hidden="1" x14ac:dyDescent="0.35">
      <c r="A374" s="20" t="s">
        <v>114</v>
      </c>
      <c r="B374" s="20" t="s">
        <v>115</v>
      </c>
      <c r="C374" s="20">
        <v>2035</v>
      </c>
      <c r="D374" s="20" t="s">
        <v>116</v>
      </c>
      <c r="E374" s="20" t="s">
        <v>129</v>
      </c>
      <c r="F374" s="20" t="s">
        <v>121</v>
      </c>
      <c r="G374" s="20" t="s">
        <v>134</v>
      </c>
      <c r="H374" s="20">
        <v>-13.4</v>
      </c>
      <c r="I374" s="20" t="s">
        <v>120</v>
      </c>
    </row>
    <row r="375" spans="1:11" hidden="1" x14ac:dyDescent="0.35">
      <c r="A375" s="20" t="s">
        <v>114</v>
      </c>
      <c r="B375" s="20" t="s">
        <v>115</v>
      </c>
      <c r="C375" s="20">
        <v>2045</v>
      </c>
      <c r="D375" s="20" t="s">
        <v>116</v>
      </c>
      <c r="E375" s="20" t="s">
        <v>129</v>
      </c>
      <c r="F375" s="20" t="s">
        <v>121</v>
      </c>
      <c r="G375" s="20" t="s">
        <v>134</v>
      </c>
      <c r="H375" s="20">
        <v>-15.3</v>
      </c>
      <c r="I375" s="20" t="s">
        <v>120</v>
      </c>
    </row>
    <row r="376" spans="1:11" hidden="1" x14ac:dyDescent="0.35">
      <c r="A376" s="20" t="s">
        <v>114</v>
      </c>
      <c r="B376" s="20" t="s">
        <v>115</v>
      </c>
      <c r="C376" s="20">
        <v>2055</v>
      </c>
      <c r="D376" s="20" t="s">
        <v>116</v>
      </c>
      <c r="E376" s="20" t="s">
        <v>129</v>
      </c>
      <c r="F376" s="20" t="s">
        <v>121</v>
      </c>
      <c r="G376" s="20" t="s">
        <v>134</v>
      </c>
      <c r="H376" s="20">
        <v>-18.899999999999999</v>
      </c>
      <c r="I376" s="20" t="s">
        <v>120</v>
      </c>
    </row>
    <row r="377" spans="1:11" x14ac:dyDescent="0.35">
      <c r="A377" s="20" t="s">
        <v>114</v>
      </c>
      <c r="B377" s="20" t="s">
        <v>115</v>
      </c>
      <c r="C377" s="20">
        <v>2025</v>
      </c>
      <c r="D377" s="20" t="s">
        <v>116</v>
      </c>
      <c r="E377" s="20" t="s">
        <v>129</v>
      </c>
      <c r="F377" s="20" t="s">
        <v>118</v>
      </c>
      <c r="G377" s="20" t="s">
        <v>133</v>
      </c>
      <c r="H377" s="20">
        <v>-4.5</v>
      </c>
      <c r="I377" s="20" t="s">
        <v>120</v>
      </c>
      <c r="K377" s="20" t="str">
        <f>INDEX('EPA land and ag calcs'!$G$7:$G$14,MATCH('EPA land and ag potential'!E377,'EPA land and ag calcs'!$A$7:$A$15,0))</f>
        <v>*handled in agriculture files</v>
      </c>
    </row>
    <row r="378" spans="1:11" x14ac:dyDescent="0.35">
      <c r="A378" s="20" t="s">
        <v>114</v>
      </c>
      <c r="B378" s="20" t="s">
        <v>115</v>
      </c>
      <c r="C378" s="20">
        <v>2035</v>
      </c>
      <c r="D378" s="20" t="s">
        <v>116</v>
      </c>
      <c r="E378" s="20" t="s">
        <v>129</v>
      </c>
      <c r="F378" s="20" t="s">
        <v>118</v>
      </c>
      <c r="G378" s="20" t="s">
        <v>133</v>
      </c>
      <c r="H378" s="20">
        <v>-6.3</v>
      </c>
      <c r="I378" s="20" t="s">
        <v>120</v>
      </c>
      <c r="K378" s="20" t="str">
        <f>INDEX('EPA land and ag calcs'!$G$7:$G$14,MATCH('EPA land and ag potential'!E378,'EPA land and ag calcs'!$A$7:$A$15,0))</f>
        <v>*handled in agriculture files</v>
      </c>
    </row>
    <row r="379" spans="1:11" x14ac:dyDescent="0.35">
      <c r="A379" s="20" t="s">
        <v>114</v>
      </c>
      <c r="B379" s="20" t="s">
        <v>115</v>
      </c>
      <c r="C379" s="20">
        <v>2045</v>
      </c>
      <c r="D379" s="20" t="s">
        <v>116</v>
      </c>
      <c r="E379" s="20" t="s">
        <v>129</v>
      </c>
      <c r="F379" s="20" t="s">
        <v>118</v>
      </c>
      <c r="G379" s="20" t="s">
        <v>133</v>
      </c>
      <c r="H379" s="20">
        <v>-13.4</v>
      </c>
      <c r="I379" s="20" t="s">
        <v>120</v>
      </c>
      <c r="K379" s="20" t="str">
        <f>INDEX('EPA land and ag calcs'!$G$7:$G$14,MATCH('EPA land and ag potential'!E379,'EPA land and ag calcs'!$A$7:$A$15,0))</f>
        <v>*handled in agriculture files</v>
      </c>
    </row>
    <row r="380" spans="1:11" x14ac:dyDescent="0.35">
      <c r="A380" s="20" t="s">
        <v>114</v>
      </c>
      <c r="B380" s="20" t="s">
        <v>115</v>
      </c>
      <c r="C380" s="20">
        <v>2055</v>
      </c>
      <c r="D380" s="20" t="s">
        <v>116</v>
      </c>
      <c r="E380" s="20" t="s">
        <v>129</v>
      </c>
      <c r="F380" s="20" t="s">
        <v>118</v>
      </c>
      <c r="G380" s="20" t="s">
        <v>133</v>
      </c>
      <c r="H380" s="20">
        <v>-19.899999999999999</v>
      </c>
      <c r="I380" s="20" t="s">
        <v>120</v>
      </c>
      <c r="K380" s="20" t="str">
        <f>INDEX('EPA land and ag calcs'!$G$7:$G$14,MATCH('EPA land and ag potential'!E380,'EPA land and ag calcs'!$A$7:$A$15,0))</f>
        <v>*handled in agriculture files</v>
      </c>
    </row>
    <row r="381" spans="1:11" hidden="1" x14ac:dyDescent="0.35">
      <c r="A381" s="20" t="s">
        <v>114</v>
      </c>
      <c r="B381" s="20" t="s">
        <v>115</v>
      </c>
      <c r="C381" s="20">
        <v>2025</v>
      </c>
      <c r="D381" s="20" t="s">
        <v>116</v>
      </c>
      <c r="E381" s="20" t="s">
        <v>129</v>
      </c>
      <c r="F381" s="20" t="s">
        <v>121</v>
      </c>
      <c r="G381" s="20" t="s">
        <v>133</v>
      </c>
      <c r="H381" s="20">
        <v>-4.0999999999999996</v>
      </c>
      <c r="I381" s="20" t="s">
        <v>120</v>
      </c>
    </row>
    <row r="382" spans="1:11" hidden="1" x14ac:dyDescent="0.35">
      <c r="A382" s="20" t="s">
        <v>114</v>
      </c>
      <c r="B382" s="20" t="s">
        <v>115</v>
      </c>
      <c r="C382" s="20">
        <v>2035</v>
      </c>
      <c r="D382" s="20" t="s">
        <v>116</v>
      </c>
      <c r="E382" s="20" t="s">
        <v>129</v>
      </c>
      <c r="F382" s="20" t="s">
        <v>121</v>
      </c>
      <c r="G382" s="20" t="s">
        <v>133</v>
      </c>
      <c r="H382" s="20">
        <v>-5</v>
      </c>
      <c r="I382" s="20" t="s">
        <v>120</v>
      </c>
    </row>
    <row r="383" spans="1:11" hidden="1" x14ac:dyDescent="0.35">
      <c r="A383" s="20" t="s">
        <v>114</v>
      </c>
      <c r="B383" s="20" t="s">
        <v>130</v>
      </c>
      <c r="C383" s="20">
        <v>2045</v>
      </c>
      <c r="D383" s="20" t="s">
        <v>116</v>
      </c>
      <c r="E383" s="20" t="s">
        <v>131</v>
      </c>
      <c r="F383" s="20" t="s">
        <v>121</v>
      </c>
      <c r="G383" s="20" t="s">
        <v>132</v>
      </c>
      <c r="H383" s="20">
        <v>-353</v>
      </c>
      <c r="I383" s="20" t="s">
        <v>120</v>
      </c>
    </row>
    <row r="384" spans="1:11" hidden="1" x14ac:dyDescent="0.35">
      <c r="A384" s="20" t="s">
        <v>114</v>
      </c>
      <c r="B384" s="20" t="s">
        <v>130</v>
      </c>
      <c r="C384" s="20">
        <v>2045</v>
      </c>
      <c r="D384" s="20" t="s">
        <v>116</v>
      </c>
      <c r="E384" s="20" t="s">
        <v>131</v>
      </c>
      <c r="F384" s="20" t="s">
        <v>121</v>
      </c>
      <c r="G384" s="20" t="s">
        <v>133</v>
      </c>
      <c r="H384" s="20">
        <v>-109</v>
      </c>
      <c r="I384" s="20" t="s">
        <v>120</v>
      </c>
    </row>
    <row r="385" spans="1:11" hidden="1" x14ac:dyDescent="0.35">
      <c r="A385" s="20" t="s">
        <v>114</v>
      </c>
      <c r="B385" s="20" t="s">
        <v>130</v>
      </c>
      <c r="C385" s="20">
        <v>2045</v>
      </c>
      <c r="D385" s="20" t="s">
        <v>116</v>
      </c>
      <c r="E385" s="20" t="s">
        <v>131</v>
      </c>
      <c r="F385" s="20" t="s">
        <v>121</v>
      </c>
      <c r="G385" s="20" t="s">
        <v>134</v>
      </c>
      <c r="H385" s="20">
        <v>-223.1</v>
      </c>
      <c r="I385" s="20" t="s">
        <v>120</v>
      </c>
    </row>
    <row r="386" spans="1:11" hidden="1" x14ac:dyDescent="0.35">
      <c r="A386" s="20" t="s">
        <v>114</v>
      </c>
      <c r="B386" s="20" t="s">
        <v>130</v>
      </c>
      <c r="C386" s="20">
        <v>2045</v>
      </c>
      <c r="D386" s="20" t="s">
        <v>116</v>
      </c>
      <c r="E386" s="20" t="s">
        <v>131</v>
      </c>
      <c r="F386" s="20" t="s">
        <v>121</v>
      </c>
      <c r="G386" s="20" t="s">
        <v>122</v>
      </c>
      <c r="H386" s="20">
        <v>-39</v>
      </c>
      <c r="I386" s="20" t="s">
        <v>120</v>
      </c>
    </row>
    <row r="387" spans="1:11" hidden="1" x14ac:dyDescent="0.35">
      <c r="A387" s="20" t="s">
        <v>114</v>
      </c>
      <c r="B387" s="20" t="s">
        <v>130</v>
      </c>
      <c r="C387" s="20">
        <v>2045</v>
      </c>
      <c r="D387" s="20" t="s">
        <v>116</v>
      </c>
      <c r="E387" s="20" t="s">
        <v>131</v>
      </c>
      <c r="F387" s="20" t="s">
        <v>121</v>
      </c>
      <c r="G387" s="20" t="s">
        <v>119</v>
      </c>
      <c r="H387" s="20">
        <v>-287</v>
      </c>
      <c r="I387" s="20" t="s">
        <v>120</v>
      </c>
    </row>
    <row r="388" spans="1:11" x14ac:dyDescent="0.35">
      <c r="A388" s="20" t="s">
        <v>114</v>
      </c>
      <c r="B388" s="20" t="s">
        <v>130</v>
      </c>
      <c r="C388" s="20">
        <v>2045</v>
      </c>
      <c r="D388" s="20" t="s">
        <v>116</v>
      </c>
      <c r="E388" s="20" t="s">
        <v>131</v>
      </c>
      <c r="F388" s="20" t="s">
        <v>118</v>
      </c>
      <c r="G388" s="20" t="s">
        <v>132</v>
      </c>
      <c r="H388" s="20">
        <v>-307.8</v>
      </c>
      <c r="I388" s="20" t="s">
        <v>120</v>
      </c>
      <c r="K388" s="20" t="e">
        <f>INDEX('EPA land and ag calcs'!$G$7:$G$14,MATCH('EPA land and ag potential'!E388,'EPA land and ag calcs'!$A$7:$A$15,0))</f>
        <v>#REF!</v>
      </c>
    </row>
    <row r="389" spans="1:11" x14ac:dyDescent="0.35">
      <c r="A389" s="20" t="s">
        <v>114</v>
      </c>
      <c r="B389" s="20" t="s">
        <v>130</v>
      </c>
      <c r="C389" s="20">
        <v>2045</v>
      </c>
      <c r="D389" s="20" t="s">
        <v>116</v>
      </c>
      <c r="E389" s="20" t="s">
        <v>131</v>
      </c>
      <c r="F389" s="20" t="s">
        <v>118</v>
      </c>
      <c r="G389" s="20" t="s">
        <v>133</v>
      </c>
      <c r="H389" s="20">
        <v>-111</v>
      </c>
      <c r="I389" s="20" t="s">
        <v>120</v>
      </c>
      <c r="K389" s="20" t="e">
        <f>INDEX('EPA land and ag calcs'!$G$7:$G$14,MATCH('EPA land and ag potential'!E389,'EPA land and ag calcs'!$A$7:$A$15,0))</f>
        <v>#REF!</v>
      </c>
    </row>
    <row r="390" spans="1:11" x14ac:dyDescent="0.35">
      <c r="A390" s="20" t="s">
        <v>114</v>
      </c>
      <c r="B390" s="20" t="s">
        <v>130</v>
      </c>
      <c r="C390" s="20">
        <v>2045</v>
      </c>
      <c r="D390" s="20" t="s">
        <v>116</v>
      </c>
      <c r="E390" s="20" t="s">
        <v>131</v>
      </c>
      <c r="F390" s="20" t="s">
        <v>118</v>
      </c>
      <c r="G390" s="20" t="s">
        <v>134</v>
      </c>
      <c r="H390" s="20">
        <v>-200.4</v>
      </c>
      <c r="I390" s="20" t="s">
        <v>120</v>
      </c>
      <c r="K390" s="20" t="e">
        <f>INDEX('EPA land and ag calcs'!$G$7:$G$14,MATCH('EPA land and ag potential'!E390,'EPA land and ag calcs'!$A$7:$A$15,0))</f>
        <v>#REF!</v>
      </c>
    </row>
    <row r="391" spans="1:11" x14ac:dyDescent="0.35">
      <c r="A391" s="20" t="s">
        <v>114</v>
      </c>
      <c r="B391" s="20" t="s">
        <v>130</v>
      </c>
      <c r="C391" s="20">
        <v>2045</v>
      </c>
      <c r="D391" s="20" t="s">
        <v>116</v>
      </c>
      <c r="E391" s="20" t="s">
        <v>131</v>
      </c>
      <c r="F391" s="20" t="s">
        <v>118</v>
      </c>
      <c r="G391" s="20" t="s">
        <v>122</v>
      </c>
      <c r="H391" s="20">
        <v>-28.2</v>
      </c>
      <c r="I391" s="20" t="s">
        <v>120</v>
      </c>
      <c r="K391" s="20" t="e">
        <f>INDEX('EPA land and ag calcs'!$G$7:$G$14,MATCH('EPA land and ag potential'!E391,'EPA land and ag calcs'!$A$7:$A$15,0))</f>
        <v>#REF!</v>
      </c>
    </row>
    <row r="392" spans="1:11" x14ac:dyDescent="0.35">
      <c r="A392" s="20" t="s">
        <v>114</v>
      </c>
      <c r="B392" s="20" t="s">
        <v>130</v>
      </c>
      <c r="C392" s="20">
        <v>2045</v>
      </c>
      <c r="D392" s="20" t="s">
        <v>116</v>
      </c>
      <c r="E392" s="20" t="s">
        <v>131</v>
      </c>
      <c r="F392" s="20" t="s">
        <v>118</v>
      </c>
      <c r="G392" s="20" t="s">
        <v>119</v>
      </c>
      <c r="H392" s="20">
        <v>-260.8</v>
      </c>
      <c r="I392" s="20" t="s">
        <v>120</v>
      </c>
      <c r="K392" s="20" t="e">
        <f>INDEX('EPA land and ag calcs'!$G$7:$G$14,MATCH('EPA land and ag potential'!E392,'EPA land and ag calcs'!$A$7:$A$15,0))</f>
        <v>#REF!</v>
      </c>
    </row>
    <row r="393" spans="1:11" hidden="1" x14ac:dyDescent="0.35">
      <c r="A393" s="20" t="s">
        <v>114</v>
      </c>
      <c r="B393" s="20" t="s">
        <v>115</v>
      </c>
      <c r="C393" s="20">
        <v>2025</v>
      </c>
      <c r="D393" s="20" t="s">
        <v>135</v>
      </c>
      <c r="E393" s="20" t="s">
        <v>125</v>
      </c>
      <c r="F393" s="20" t="s">
        <v>121</v>
      </c>
      <c r="G393" s="20" t="s">
        <v>134</v>
      </c>
      <c r="H393" s="20">
        <v>-0.6</v>
      </c>
      <c r="I393" s="20" t="s">
        <v>120</v>
      </c>
    </row>
    <row r="394" spans="1:11" hidden="1" x14ac:dyDescent="0.35">
      <c r="A394" s="20" t="s">
        <v>114</v>
      </c>
      <c r="B394" s="20" t="s">
        <v>115</v>
      </c>
      <c r="C394" s="20">
        <v>2035</v>
      </c>
      <c r="D394" s="20" t="s">
        <v>135</v>
      </c>
      <c r="E394" s="20" t="s">
        <v>125</v>
      </c>
      <c r="F394" s="20" t="s">
        <v>121</v>
      </c>
      <c r="G394" s="20" t="s">
        <v>134</v>
      </c>
      <c r="H394" s="20">
        <v>-105.4</v>
      </c>
      <c r="I394" s="20" t="s">
        <v>120</v>
      </c>
    </row>
    <row r="395" spans="1:11" hidden="1" x14ac:dyDescent="0.35">
      <c r="A395" s="20" t="s">
        <v>114</v>
      </c>
      <c r="B395" s="20" t="s">
        <v>115</v>
      </c>
      <c r="C395" s="20">
        <v>2045</v>
      </c>
      <c r="D395" s="20" t="s">
        <v>135</v>
      </c>
      <c r="E395" s="20" t="s">
        <v>125</v>
      </c>
      <c r="F395" s="20" t="s">
        <v>121</v>
      </c>
      <c r="G395" s="20" t="s">
        <v>134</v>
      </c>
      <c r="H395" s="20">
        <v>-146.80000000000001</v>
      </c>
      <c r="I395" s="20" t="s">
        <v>120</v>
      </c>
    </row>
    <row r="396" spans="1:11" hidden="1" x14ac:dyDescent="0.35">
      <c r="A396" s="20" t="s">
        <v>114</v>
      </c>
      <c r="B396" s="20" t="s">
        <v>115</v>
      </c>
      <c r="C396" s="20">
        <v>2055</v>
      </c>
      <c r="D396" s="20" t="s">
        <v>135</v>
      </c>
      <c r="E396" s="20" t="s">
        <v>125</v>
      </c>
      <c r="F396" s="20" t="s">
        <v>121</v>
      </c>
      <c r="G396" s="20" t="s">
        <v>134</v>
      </c>
      <c r="H396" s="20">
        <v>-166.4</v>
      </c>
      <c r="I396" s="20" t="s">
        <v>120</v>
      </c>
    </row>
    <row r="397" spans="1:11" hidden="1" x14ac:dyDescent="0.35">
      <c r="A397" s="20" t="s">
        <v>114</v>
      </c>
      <c r="B397" s="20" t="s">
        <v>115</v>
      </c>
      <c r="C397" s="20">
        <v>2025</v>
      </c>
      <c r="D397" s="20" t="s">
        <v>135</v>
      </c>
      <c r="E397" s="20" t="s">
        <v>125</v>
      </c>
      <c r="F397" s="20" t="s">
        <v>118</v>
      </c>
      <c r="G397" s="20" t="s">
        <v>133</v>
      </c>
      <c r="H397" s="20">
        <v>-0.1</v>
      </c>
      <c r="I397" s="20" t="s">
        <v>120</v>
      </c>
    </row>
    <row r="398" spans="1:11" hidden="1" x14ac:dyDescent="0.35">
      <c r="A398" s="20" t="s">
        <v>114</v>
      </c>
      <c r="B398" s="20" t="s">
        <v>115</v>
      </c>
      <c r="C398" s="20">
        <v>2035</v>
      </c>
      <c r="D398" s="20" t="s">
        <v>135</v>
      </c>
      <c r="E398" s="20" t="s">
        <v>125</v>
      </c>
      <c r="F398" s="20" t="s">
        <v>118</v>
      </c>
      <c r="G398" s="20" t="s">
        <v>133</v>
      </c>
      <c r="H398" s="20">
        <v>-97.3</v>
      </c>
      <c r="I398" s="20" t="s">
        <v>120</v>
      </c>
    </row>
    <row r="399" spans="1:11" hidden="1" x14ac:dyDescent="0.35">
      <c r="A399" s="20" t="s">
        <v>114</v>
      </c>
      <c r="B399" s="20" t="s">
        <v>115</v>
      </c>
      <c r="C399" s="20">
        <v>2045</v>
      </c>
      <c r="D399" s="20" t="s">
        <v>135</v>
      </c>
      <c r="E399" s="20" t="s">
        <v>125</v>
      </c>
      <c r="F399" s="20" t="s">
        <v>118</v>
      </c>
      <c r="G399" s="20" t="s">
        <v>133</v>
      </c>
      <c r="H399" s="20">
        <v>-140.4</v>
      </c>
      <c r="I399" s="20" t="s">
        <v>120</v>
      </c>
    </row>
    <row r="400" spans="1:11" hidden="1" x14ac:dyDescent="0.35">
      <c r="A400" s="20" t="s">
        <v>114</v>
      </c>
      <c r="B400" s="20" t="s">
        <v>115</v>
      </c>
      <c r="C400" s="20">
        <v>2055</v>
      </c>
      <c r="D400" s="20" t="s">
        <v>135</v>
      </c>
      <c r="E400" s="20" t="s">
        <v>125</v>
      </c>
      <c r="F400" s="20" t="s">
        <v>118</v>
      </c>
      <c r="G400" s="20" t="s">
        <v>133</v>
      </c>
      <c r="H400" s="20">
        <v>-162.9</v>
      </c>
      <c r="I400" s="20" t="s">
        <v>120</v>
      </c>
    </row>
    <row r="401" spans="1:9" hidden="1" x14ac:dyDescent="0.35">
      <c r="A401" s="20" t="s">
        <v>114</v>
      </c>
      <c r="B401" s="20" t="s">
        <v>115</v>
      </c>
      <c r="C401" s="20">
        <v>2025</v>
      </c>
      <c r="D401" s="20" t="s">
        <v>135</v>
      </c>
      <c r="E401" s="20" t="s">
        <v>125</v>
      </c>
      <c r="F401" s="20" t="s">
        <v>121</v>
      </c>
      <c r="G401" s="20" t="s">
        <v>133</v>
      </c>
      <c r="H401" s="20">
        <v>-0.1</v>
      </c>
      <c r="I401" s="20" t="s">
        <v>120</v>
      </c>
    </row>
    <row r="402" spans="1:9" hidden="1" x14ac:dyDescent="0.35">
      <c r="A402" s="20" t="s">
        <v>114</v>
      </c>
      <c r="B402" s="20" t="s">
        <v>115</v>
      </c>
      <c r="C402" s="20">
        <v>2035</v>
      </c>
      <c r="D402" s="20" t="s">
        <v>135</v>
      </c>
      <c r="E402" s="20" t="s">
        <v>125</v>
      </c>
      <c r="F402" s="20" t="s">
        <v>121</v>
      </c>
      <c r="G402" s="20" t="s">
        <v>133</v>
      </c>
      <c r="H402" s="20">
        <v>-93.6</v>
      </c>
      <c r="I402" s="20" t="s">
        <v>120</v>
      </c>
    </row>
    <row r="403" spans="1:9" hidden="1" x14ac:dyDescent="0.35">
      <c r="A403" s="20" t="s">
        <v>114</v>
      </c>
      <c r="B403" s="20" t="s">
        <v>115</v>
      </c>
      <c r="C403" s="20">
        <v>2045</v>
      </c>
      <c r="D403" s="20" t="s">
        <v>135</v>
      </c>
      <c r="E403" s="20" t="s">
        <v>125</v>
      </c>
      <c r="F403" s="20" t="s">
        <v>121</v>
      </c>
      <c r="G403" s="20" t="s">
        <v>133</v>
      </c>
      <c r="H403" s="20">
        <v>-133.30000000000001</v>
      </c>
      <c r="I403" s="20" t="s">
        <v>120</v>
      </c>
    </row>
    <row r="404" spans="1:9" hidden="1" x14ac:dyDescent="0.35">
      <c r="A404" s="20" t="s">
        <v>114</v>
      </c>
      <c r="B404" s="20" t="s">
        <v>115</v>
      </c>
      <c r="C404" s="20">
        <v>2055</v>
      </c>
      <c r="D404" s="20" t="s">
        <v>135</v>
      </c>
      <c r="E404" s="20" t="s">
        <v>125</v>
      </c>
      <c r="F404" s="20" t="s">
        <v>121</v>
      </c>
      <c r="G404" s="20" t="s">
        <v>133</v>
      </c>
      <c r="H404" s="20">
        <v>-153.30000000000001</v>
      </c>
      <c r="I404" s="20" t="s">
        <v>120</v>
      </c>
    </row>
    <row r="405" spans="1:9" hidden="1" x14ac:dyDescent="0.35">
      <c r="A405" s="20" t="s">
        <v>114</v>
      </c>
      <c r="B405" s="20" t="s">
        <v>115</v>
      </c>
      <c r="C405" s="20">
        <v>2025</v>
      </c>
      <c r="D405" s="20" t="s">
        <v>135</v>
      </c>
      <c r="E405" s="20" t="s">
        <v>125</v>
      </c>
      <c r="F405" s="20" t="s">
        <v>118</v>
      </c>
      <c r="G405" s="20" t="s">
        <v>132</v>
      </c>
      <c r="H405" s="20">
        <v>-0.6</v>
      </c>
      <c r="I405" s="20" t="s">
        <v>120</v>
      </c>
    </row>
    <row r="406" spans="1:9" hidden="1" x14ac:dyDescent="0.35">
      <c r="A406" s="20" t="s">
        <v>114</v>
      </c>
      <c r="B406" s="20" t="s">
        <v>115</v>
      </c>
      <c r="C406" s="20">
        <v>2035</v>
      </c>
      <c r="D406" s="20" t="s">
        <v>135</v>
      </c>
      <c r="E406" s="20" t="s">
        <v>125</v>
      </c>
      <c r="F406" s="20" t="s">
        <v>118</v>
      </c>
      <c r="G406" s="20" t="s">
        <v>132</v>
      </c>
      <c r="H406" s="20">
        <v>-108.4</v>
      </c>
      <c r="I406" s="20" t="s">
        <v>120</v>
      </c>
    </row>
    <row r="407" spans="1:9" hidden="1" x14ac:dyDescent="0.35">
      <c r="A407" s="20" t="s">
        <v>114</v>
      </c>
      <c r="B407" s="20" t="s">
        <v>115</v>
      </c>
      <c r="C407" s="20">
        <v>2045</v>
      </c>
      <c r="D407" s="20" t="s">
        <v>135</v>
      </c>
      <c r="E407" s="20" t="s">
        <v>125</v>
      </c>
      <c r="F407" s="20" t="s">
        <v>118</v>
      </c>
      <c r="G407" s="20" t="s">
        <v>132</v>
      </c>
      <c r="H407" s="20">
        <v>-149.80000000000001</v>
      </c>
      <c r="I407" s="20" t="s">
        <v>120</v>
      </c>
    </row>
    <row r="408" spans="1:9" hidden="1" x14ac:dyDescent="0.35">
      <c r="A408" s="20" t="s">
        <v>114</v>
      </c>
      <c r="B408" s="20" t="s">
        <v>115</v>
      </c>
      <c r="C408" s="20">
        <v>2055</v>
      </c>
      <c r="D408" s="20" t="s">
        <v>135</v>
      </c>
      <c r="E408" s="20" t="s">
        <v>125</v>
      </c>
      <c r="F408" s="20" t="s">
        <v>118</v>
      </c>
      <c r="G408" s="20" t="s">
        <v>132</v>
      </c>
      <c r="H408" s="20">
        <v>-172.8</v>
      </c>
      <c r="I408" s="20" t="s">
        <v>120</v>
      </c>
    </row>
    <row r="409" spans="1:9" hidden="1" x14ac:dyDescent="0.35">
      <c r="A409" s="20" t="s">
        <v>114</v>
      </c>
      <c r="B409" s="20" t="s">
        <v>115</v>
      </c>
      <c r="C409" s="20">
        <v>2025</v>
      </c>
      <c r="D409" s="20" t="s">
        <v>135</v>
      </c>
      <c r="E409" s="20" t="s">
        <v>125</v>
      </c>
      <c r="F409" s="20" t="s">
        <v>121</v>
      </c>
      <c r="G409" s="20" t="s">
        <v>132</v>
      </c>
      <c r="H409" s="20">
        <v>-0.6</v>
      </c>
      <c r="I409" s="20" t="s">
        <v>120</v>
      </c>
    </row>
    <row r="410" spans="1:9" hidden="1" x14ac:dyDescent="0.35">
      <c r="A410" s="20" t="s">
        <v>114</v>
      </c>
      <c r="B410" s="20" t="s">
        <v>115</v>
      </c>
      <c r="C410" s="20">
        <v>2035</v>
      </c>
      <c r="D410" s="20" t="s">
        <v>135</v>
      </c>
      <c r="E410" s="20" t="s">
        <v>125</v>
      </c>
      <c r="F410" s="20" t="s">
        <v>121</v>
      </c>
      <c r="G410" s="20" t="s">
        <v>132</v>
      </c>
      <c r="H410" s="20">
        <v>-108</v>
      </c>
      <c r="I410" s="20" t="s">
        <v>120</v>
      </c>
    </row>
    <row r="411" spans="1:9" hidden="1" x14ac:dyDescent="0.35">
      <c r="A411" s="20" t="s">
        <v>114</v>
      </c>
      <c r="B411" s="20" t="s">
        <v>115</v>
      </c>
      <c r="C411" s="20">
        <v>2045</v>
      </c>
      <c r="D411" s="20" t="s">
        <v>135</v>
      </c>
      <c r="E411" s="20" t="s">
        <v>125</v>
      </c>
      <c r="F411" s="20" t="s">
        <v>121</v>
      </c>
      <c r="G411" s="20" t="s">
        <v>132</v>
      </c>
      <c r="H411" s="20">
        <v>-148.80000000000001</v>
      </c>
      <c r="I411" s="20" t="s">
        <v>120</v>
      </c>
    </row>
    <row r="412" spans="1:9" hidden="1" x14ac:dyDescent="0.35">
      <c r="A412" s="20" t="s">
        <v>114</v>
      </c>
      <c r="B412" s="20" t="s">
        <v>115</v>
      </c>
      <c r="C412" s="20">
        <v>2055</v>
      </c>
      <c r="D412" s="20" t="s">
        <v>135</v>
      </c>
      <c r="E412" s="20" t="s">
        <v>125</v>
      </c>
      <c r="F412" s="20" t="s">
        <v>121</v>
      </c>
      <c r="G412" s="20" t="s">
        <v>132</v>
      </c>
      <c r="H412" s="20">
        <v>-169.5</v>
      </c>
      <c r="I412" s="20" t="s">
        <v>120</v>
      </c>
    </row>
    <row r="413" spans="1:9" hidden="1" x14ac:dyDescent="0.35">
      <c r="A413" s="20" t="s">
        <v>114</v>
      </c>
      <c r="B413" s="20" t="s">
        <v>115</v>
      </c>
      <c r="C413" s="20">
        <v>2025</v>
      </c>
      <c r="D413" s="20" t="s">
        <v>135</v>
      </c>
      <c r="E413" s="20" t="s">
        <v>126</v>
      </c>
      <c r="F413" s="20" t="s">
        <v>118</v>
      </c>
      <c r="G413" s="20" t="s">
        <v>119</v>
      </c>
      <c r="H413" s="20">
        <v>0.1</v>
      </c>
      <c r="I413" s="20" t="s">
        <v>120</v>
      </c>
    </row>
    <row r="414" spans="1:9" hidden="1" x14ac:dyDescent="0.35">
      <c r="A414" s="20" t="s">
        <v>114</v>
      </c>
      <c r="B414" s="20" t="s">
        <v>115</v>
      </c>
      <c r="C414" s="20">
        <v>2035</v>
      </c>
      <c r="D414" s="20" t="s">
        <v>135</v>
      </c>
      <c r="E414" s="20" t="s">
        <v>126</v>
      </c>
      <c r="F414" s="20" t="s">
        <v>118</v>
      </c>
      <c r="G414" s="20" t="s">
        <v>119</v>
      </c>
      <c r="H414" s="20">
        <v>-3.6</v>
      </c>
      <c r="I414" s="20" t="s">
        <v>120</v>
      </c>
    </row>
    <row r="415" spans="1:9" hidden="1" x14ac:dyDescent="0.35">
      <c r="A415" s="20" t="s">
        <v>114</v>
      </c>
      <c r="B415" s="20" t="s">
        <v>115</v>
      </c>
      <c r="C415" s="20">
        <v>2045</v>
      </c>
      <c r="D415" s="20" t="s">
        <v>135</v>
      </c>
      <c r="E415" s="20" t="s">
        <v>126</v>
      </c>
      <c r="F415" s="20" t="s">
        <v>118</v>
      </c>
      <c r="G415" s="20" t="s">
        <v>119</v>
      </c>
      <c r="H415" s="20">
        <v>-15.6</v>
      </c>
      <c r="I415" s="20" t="s">
        <v>120</v>
      </c>
    </row>
    <row r="416" spans="1:9" hidden="1" x14ac:dyDescent="0.35">
      <c r="A416" s="20" t="s">
        <v>114</v>
      </c>
      <c r="B416" s="20" t="s">
        <v>115</v>
      </c>
      <c r="C416" s="20">
        <v>2055</v>
      </c>
      <c r="D416" s="20" t="s">
        <v>135</v>
      </c>
      <c r="E416" s="20" t="s">
        <v>126</v>
      </c>
      <c r="F416" s="20" t="s">
        <v>118</v>
      </c>
      <c r="G416" s="20" t="s">
        <v>119</v>
      </c>
      <c r="H416" s="20">
        <v>-35.700000000000003</v>
      </c>
      <c r="I416" s="20" t="s">
        <v>120</v>
      </c>
    </row>
    <row r="417" spans="1:9" hidden="1" x14ac:dyDescent="0.35">
      <c r="A417" s="20" t="s">
        <v>114</v>
      </c>
      <c r="B417" s="20" t="s">
        <v>115</v>
      </c>
      <c r="C417" s="20">
        <v>2025</v>
      </c>
      <c r="D417" s="20" t="s">
        <v>135</v>
      </c>
      <c r="E417" s="20" t="s">
        <v>126</v>
      </c>
      <c r="F417" s="20" t="s">
        <v>121</v>
      </c>
      <c r="G417" s="20" t="s">
        <v>119</v>
      </c>
      <c r="H417" s="20">
        <v>0.1</v>
      </c>
      <c r="I417" s="20" t="s">
        <v>120</v>
      </c>
    </row>
    <row r="418" spans="1:9" hidden="1" x14ac:dyDescent="0.35">
      <c r="A418" s="20" t="s">
        <v>114</v>
      </c>
      <c r="B418" s="20" t="s">
        <v>115</v>
      </c>
      <c r="C418" s="20">
        <v>2035</v>
      </c>
      <c r="D418" s="20" t="s">
        <v>135</v>
      </c>
      <c r="E418" s="20" t="s">
        <v>126</v>
      </c>
      <c r="F418" s="20" t="s">
        <v>121</v>
      </c>
      <c r="G418" s="20" t="s">
        <v>119</v>
      </c>
      <c r="H418" s="20">
        <v>-3</v>
      </c>
      <c r="I418" s="20" t="s">
        <v>120</v>
      </c>
    </row>
    <row r="419" spans="1:9" hidden="1" x14ac:dyDescent="0.35">
      <c r="A419" s="20" t="s">
        <v>114</v>
      </c>
      <c r="B419" s="20" t="s">
        <v>115</v>
      </c>
      <c r="C419" s="20">
        <v>2045</v>
      </c>
      <c r="D419" s="20" t="s">
        <v>135</v>
      </c>
      <c r="E419" s="20" t="s">
        <v>126</v>
      </c>
      <c r="F419" s="20" t="s">
        <v>121</v>
      </c>
      <c r="G419" s="20" t="s">
        <v>119</v>
      </c>
      <c r="H419" s="20">
        <v>-13.3</v>
      </c>
      <c r="I419" s="20" t="s">
        <v>120</v>
      </c>
    </row>
    <row r="420" spans="1:9" hidden="1" x14ac:dyDescent="0.35">
      <c r="A420" s="20" t="s">
        <v>114</v>
      </c>
      <c r="B420" s="20" t="s">
        <v>115</v>
      </c>
      <c r="C420" s="20">
        <v>2055</v>
      </c>
      <c r="D420" s="20" t="s">
        <v>135</v>
      </c>
      <c r="E420" s="20" t="s">
        <v>126</v>
      </c>
      <c r="F420" s="20" t="s">
        <v>121</v>
      </c>
      <c r="G420" s="20" t="s">
        <v>119</v>
      </c>
      <c r="H420" s="20">
        <v>-30.3</v>
      </c>
      <c r="I420" s="20" t="s">
        <v>120</v>
      </c>
    </row>
    <row r="421" spans="1:9" hidden="1" x14ac:dyDescent="0.35">
      <c r="A421" s="20" t="s">
        <v>114</v>
      </c>
      <c r="B421" s="20" t="s">
        <v>115</v>
      </c>
      <c r="C421" s="20">
        <v>2025</v>
      </c>
      <c r="D421" s="20" t="s">
        <v>135</v>
      </c>
      <c r="E421" s="20" t="s">
        <v>126</v>
      </c>
      <c r="F421" s="20" t="s">
        <v>118</v>
      </c>
      <c r="G421" s="20" t="s">
        <v>122</v>
      </c>
      <c r="H421" s="20">
        <v>0.1</v>
      </c>
      <c r="I421" s="20" t="s">
        <v>120</v>
      </c>
    </row>
    <row r="422" spans="1:9" hidden="1" x14ac:dyDescent="0.35">
      <c r="A422" s="20" t="s">
        <v>114</v>
      </c>
      <c r="B422" s="20" t="s">
        <v>115</v>
      </c>
      <c r="C422" s="20">
        <v>2035</v>
      </c>
      <c r="D422" s="20" t="s">
        <v>135</v>
      </c>
      <c r="E422" s="20" t="s">
        <v>126</v>
      </c>
      <c r="F422" s="20" t="s">
        <v>118</v>
      </c>
      <c r="G422" s="20" t="s">
        <v>122</v>
      </c>
      <c r="H422" s="20">
        <v>0.3</v>
      </c>
      <c r="I422" s="20" t="s">
        <v>120</v>
      </c>
    </row>
    <row r="423" spans="1:9" hidden="1" x14ac:dyDescent="0.35">
      <c r="A423" s="20" t="s">
        <v>114</v>
      </c>
      <c r="B423" s="20" t="s">
        <v>115</v>
      </c>
      <c r="C423" s="20">
        <v>2045</v>
      </c>
      <c r="D423" s="20" t="s">
        <v>135</v>
      </c>
      <c r="E423" s="20" t="s">
        <v>126</v>
      </c>
      <c r="F423" s="20" t="s">
        <v>118</v>
      </c>
      <c r="G423" s="20" t="s">
        <v>122</v>
      </c>
      <c r="H423" s="20">
        <v>0.2</v>
      </c>
      <c r="I423" s="20" t="s">
        <v>120</v>
      </c>
    </row>
    <row r="424" spans="1:9" hidden="1" x14ac:dyDescent="0.35">
      <c r="A424" s="20" t="s">
        <v>114</v>
      </c>
      <c r="B424" s="20" t="s">
        <v>115</v>
      </c>
      <c r="C424" s="20">
        <v>2055</v>
      </c>
      <c r="D424" s="20" t="s">
        <v>135</v>
      </c>
      <c r="E424" s="20" t="s">
        <v>126</v>
      </c>
      <c r="F424" s="20" t="s">
        <v>118</v>
      </c>
      <c r="G424" s="20" t="s">
        <v>122</v>
      </c>
      <c r="H424" s="20">
        <v>-1.2</v>
      </c>
      <c r="I424" s="20" t="s">
        <v>120</v>
      </c>
    </row>
    <row r="425" spans="1:9" hidden="1" x14ac:dyDescent="0.35">
      <c r="A425" s="20" t="s">
        <v>114</v>
      </c>
      <c r="B425" s="20" t="s">
        <v>115</v>
      </c>
      <c r="C425" s="20">
        <v>2025</v>
      </c>
      <c r="D425" s="20" t="s">
        <v>135</v>
      </c>
      <c r="E425" s="20" t="s">
        <v>126</v>
      </c>
      <c r="F425" s="20" t="s">
        <v>121</v>
      </c>
      <c r="G425" s="20" t="s">
        <v>122</v>
      </c>
      <c r="H425" s="20">
        <v>0.1</v>
      </c>
      <c r="I425" s="20" t="s">
        <v>120</v>
      </c>
    </row>
    <row r="426" spans="1:9" hidden="1" x14ac:dyDescent="0.35">
      <c r="A426" s="20" t="s">
        <v>114</v>
      </c>
      <c r="B426" s="20" t="s">
        <v>115</v>
      </c>
      <c r="C426" s="20">
        <v>2035</v>
      </c>
      <c r="D426" s="20" t="s">
        <v>135</v>
      </c>
      <c r="E426" s="20" t="s">
        <v>126</v>
      </c>
      <c r="F426" s="20" t="s">
        <v>121</v>
      </c>
      <c r="G426" s="20" t="s">
        <v>122</v>
      </c>
      <c r="H426" s="20">
        <v>0.3</v>
      </c>
      <c r="I426" s="20" t="s">
        <v>120</v>
      </c>
    </row>
    <row r="427" spans="1:9" hidden="1" x14ac:dyDescent="0.35">
      <c r="A427" s="20" t="s">
        <v>114</v>
      </c>
      <c r="B427" s="20" t="s">
        <v>115</v>
      </c>
      <c r="C427" s="20">
        <v>2045</v>
      </c>
      <c r="D427" s="20" t="s">
        <v>135</v>
      </c>
      <c r="E427" s="20" t="s">
        <v>126</v>
      </c>
      <c r="F427" s="20" t="s">
        <v>121</v>
      </c>
      <c r="G427" s="20" t="s">
        <v>122</v>
      </c>
      <c r="H427" s="20">
        <v>0.4</v>
      </c>
      <c r="I427" s="20" t="s">
        <v>120</v>
      </c>
    </row>
    <row r="428" spans="1:9" hidden="1" x14ac:dyDescent="0.35">
      <c r="A428" s="20" t="s">
        <v>114</v>
      </c>
      <c r="B428" s="20" t="s">
        <v>115</v>
      </c>
      <c r="C428" s="20">
        <v>2055</v>
      </c>
      <c r="D428" s="20" t="s">
        <v>135</v>
      </c>
      <c r="E428" s="20" t="s">
        <v>126</v>
      </c>
      <c r="F428" s="20" t="s">
        <v>121</v>
      </c>
      <c r="G428" s="20" t="s">
        <v>122</v>
      </c>
      <c r="H428" s="20">
        <v>-0.2</v>
      </c>
      <c r="I428" s="20" t="s">
        <v>120</v>
      </c>
    </row>
    <row r="429" spans="1:9" hidden="1" x14ac:dyDescent="0.35">
      <c r="A429" s="20" t="s">
        <v>114</v>
      </c>
      <c r="B429" s="20" t="s">
        <v>115</v>
      </c>
      <c r="C429" s="20">
        <v>2025</v>
      </c>
      <c r="D429" s="20" t="s">
        <v>135</v>
      </c>
      <c r="E429" s="20" t="s">
        <v>126</v>
      </c>
      <c r="F429" s="20" t="s">
        <v>118</v>
      </c>
      <c r="G429" s="20" t="s">
        <v>134</v>
      </c>
      <c r="H429" s="20">
        <v>0.1</v>
      </c>
      <c r="I429" s="20" t="s">
        <v>120</v>
      </c>
    </row>
    <row r="430" spans="1:9" hidden="1" x14ac:dyDescent="0.35">
      <c r="A430" s="20" t="s">
        <v>114</v>
      </c>
      <c r="B430" s="20" t="s">
        <v>115</v>
      </c>
      <c r="C430" s="20">
        <v>2035</v>
      </c>
      <c r="D430" s="20" t="s">
        <v>135</v>
      </c>
      <c r="E430" s="20" t="s">
        <v>126</v>
      </c>
      <c r="F430" s="20" t="s">
        <v>118</v>
      </c>
      <c r="G430" s="20" t="s">
        <v>134</v>
      </c>
      <c r="H430" s="20">
        <v>-2.1</v>
      </c>
      <c r="I430" s="20" t="s">
        <v>120</v>
      </c>
    </row>
    <row r="431" spans="1:9" hidden="1" x14ac:dyDescent="0.35">
      <c r="A431" s="20" t="s">
        <v>114</v>
      </c>
      <c r="B431" s="20" t="s">
        <v>115</v>
      </c>
      <c r="C431" s="20">
        <v>2045</v>
      </c>
      <c r="D431" s="20" t="s">
        <v>135</v>
      </c>
      <c r="E431" s="20" t="s">
        <v>126</v>
      </c>
      <c r="F431" s="20" t="s">
        <v>118</v>
      </c>
      <c r="G431" s="20" t="s">
        <v>134</v>
      </c>
      <c r="H431" s="20">
        <v>-10.5</v>
      </c>
      <c r="I431" s="20" t="s">
        <v>120</v>
      </c>
    </row>
    <row r="432" spans="1:9" hidden="1" x14ac:dyDescent="0.35">
      <c r="A432" s="20" t="s">
        <v>114</v>
      </c>
      <c r="B432" s="20" t="s">
        <v>115</v>
      </c>
      <c r="C432" s="20">
        <v>2055</v>
      </c>
      <c r="D432" s="20" t="s">
        <v>135</v>
      </c>
      <c r="E432" s="20" t="s">
        <v>126</v>
      </c>
      <c r="F432" s="20" t="s">
        <v>118</v>
      </c>
      <c r="G432" s="20" t="s">
        <v>134</v>
      </c>
      <c r="H432" s="20">
        <v>-26.1</v>
      </c>
      <c r="I432" s="20" t="s">
        <v>120</v>
      </c>
    </row>
    <row r="433" spans="1:9" hidden="1" x14ac:dyDescent="0.35">
      <c r="A433" s="20" t="s">
        <v>114</v>
      </c>
      <c r="B433" s="20" t="s">
        <v>115</v>
      </c>
      <c r="C433" s="20">
        <v>2025</v>
      </c>
      <c r="D433" s="20" t="s">
        <v>135</v>
      </c>
      <c r="E433" s="20" t="s">
        <v>126</v>
      </c>
      <c r="F433" s="20" t="s">
        <v>121</v>
      </c>
      <c r="G433" s="20" t="s">
        <v>134</v>
      </c>
      <c r="H433" s="20">
        <v>0.1</v>
      </c>
      <c r="I433" s="20" t="s">
        <v>120</v>
      </c>
    </row>
    <row r="434" spans="1:9" hidden="1" x14ac:dyDescent="0.35">
      <c r="A434" s="20" t="s">
        <v>114</v>
      </c>
      <c r="B434" s="20" t="s">
        <v>115</v>
      </c>
      <c r="C434" s="20">
        <v>2035</v>
      </c>
      <c r="D434" s="20" t="s">
        <v>135</v>
      </c>
      <c r="E434" s="20" t="s">
        <v>126</v>
      </c>
      <c r="F434" s="20" t="s">
        <v>121</v>
      </c>
      <c r="G434" s="20" t="s">
        <v>134</v>
      </c>
      <c r="H434" s="20">
        <v>-1.7</v>
      </c>
      <c r="I434" s="20" t="s">
        <v>120</v>
      </c>
    </row>
    <row r="435" spans="1:9" hidden="1" x14ac:dyDescent="0.35">
      <c r="A435" s="20" t="s">
        <v>114</v>
      </c>
      <c r="B435" s="20" t="s">
        <v>115</v>
      </c>
      <c r="C435" s="20">
        <v>2045</v>
      </c>
      <c r="D435" s="20" t="s">
        <v>135</v>
      </c>
      <c r="E435" s="20" t="s">
        <v>126</v>
      </c>
      <c r="F435" s="20" t="s">
        <v>121</v>
      </c>
      <c r="G435" s="20" t="s">
        <v>134</v>
      </c>
      <c r="H435" s="20">
        <v>-8.1</v>
      </c>
      <c r="I435" s="20" t="s">
        <v>120</v>
      </c>
    </row>
    <row r="436" spans="1:9" hidden="1" x14ac:dyDescent="0.35">
      <c r="A436" s="20" t="s">
        <v>114</v>
      </c>
      <c r="B436" s="20" t="s">
        <v>115</v>
      </c>
      <c r="C436" s="20">
        <v>2055</v>
      </c>
      <c r="D436" s="20" t="s">
        <v>135</v>
      </c>
      <c r="E436" s="20" t="s">
        <v>126</v>
      </c>
      <c r="F436" s="20" t="s">
        <v>121</v>
      </c>
      <c r="G436" s="20" t="s">
        <v>134</v>
      </c>
      <c r="H436" s="20">
        <v>-19.7</v>
      </c>
      <c r="I436" s="20" t="s">
        <v>120</v>
      </c>
    </row>
    <row r="437" spans="1:9" hidden="1" x14ac:dyDescent="0.35">
      <c r="A437" s="20" t="s">
        <v>114</v>
      </c>
      <c r="B437" s="20" t="s">
        <v>115</v>
      </c>
      <c r="C437" s="20">
        <v>2025</v>
      </c>
      <c r="D437" s="20" t="s">
        <v>135</v>
      </c>
      <c r="E437" s="20" t="s">
        <v>126</v>
      </c>
      <c r="F437" s="20" t="s">
        <v>118</v>
      </c>
      <c r="G437" s="20" t="s">
        <v>133</v>
      </c>
      <c r="H437" s="20">
        <v>0.1</v>
      </c>
      <c r="I437" s="20" t="s">
        <v>120</v>
      </c>
    </row>
    <row r="438" spans="1:9" hidden="1" x14ac:dyDescent="0.35">
      <c r="A438" s="20" t="s">
        <v>114</v>
      </c>
      <c r="B438" s="20" t="s">
        <v>115</v>
      </c>
      <c r="C438" s="20">
        <v>2035</v>
      </c>
      <c r="D438" s="20" t="s">
        <v>135</v>
      </c>
      <c r="E438" s="20" t="s">
        <v>126</v>
      </c>
      <c r="F438" s="20" t="s">
        <v>118</v>
      </c>
      <c r="G438" s="20" t="s">
        <v>133</v>
      </c>
      <c r="H438" s="20">
        <v>-0.5</v>
      </c>
      <c r="I438" s="20" t="s">
        <v>120</v>
      </c>
    </row>
    <row r="439" spans="1:9" hidden="1" x14ac:dyDescent="0.35">
      <c r="A439" s="20" t="s">
        <v>114</v>
      </c>
      <c r="B439" s="20" t="s">
        <v>115</v>
      </c>
      <c r="C439" s="20">
        <v>2045</v>
      </c>
      <c r="D439" s="20" t="s">
        <v>135</v>
      </c>
      <c r="E439" s="20" t="s">
        <v>126</v>
      </c>
      <c r="F439" s="20" t="s">
        <v>118</v>
      </c>
      <c r="G439" s="20" t="s">
        <v>133</v>
      </c>
      <c r="H439" s="20">
        <v>-4.2</v>
      </c>
      <c r="I439" s="20" t="s">
        <v>120</v>
      </c>
    </row>
    <row r="440" spans="1:9" hidden="1" x14ac:dyDescent="0.35">
      <c r="A440" s="20" t="s">
        <v>114</v>
      </c>
      <c r="B440" s="20" t="s">
        <v>115</v>
      </c>
      <c r="C440" s="20">
        <v>2055</v>
      </c>
      <c r="D440" s="20" t="s">
        <v>135</v>
      </c>
      <c r="E440" s="20" t="s">
        <v>126</v>
      </c>
      <c r="F440" s="20" t="s">
        <v>118</v>
      </c>
      <c r="G440" s="20" t="s">
        <v>133</v>
      </c>
      <c r="H440" s="20">
        <v>-12.6</v>
      </c>
      <c r="I440" s="20" t="s">
        <v>120</v>
      </c>
    </row>
    <row r="441" spans="1:9" hidden="1" x14ac:dyDescent="0.35">
      <c r="A441" s="20" t="s">
        <v>114</v>
      </c>
      <c r="B441" s="20" t="s">
        <v>115</v>
      </c>
      <c r="C441" s="20">
        <v>2025</v>
      </c>
      <c r="D441" s="20" t="s">
        <v>135</v>
      </c>
      <c r="E441" s="20" t="s">
        <v>126</v>
      </c>
      <c r="F441" s="20" t="s">
        <v>121</v>
      </c>
      <c r="G441" s="20" t="s">
        <v>133</v>
      </c>
      <c r="H441" s="20">
        <v>0.1</v>
      </c>
      <c r="I441" s="20" t="s">
        <v>120</v>
      </c>
    </row>
    <row r="442" spans="1:9" hidden="1" x14ac:dyDescent="0.35">
      <c r="A442" s="20" t="s">
        <v>114</v>
      </c>
      <c r="B442" s="20" t="s">
        <v>115</v>
      </c>
      <c r="C442" s="20">
        <v>2035</v>
      </c>
      <c r="D442" s="20" t="s">
        <v>135</v>
      </c>
      <c r="E442" s="20" t="s">
        <v>126</v>
      </c>
      <c r="F442" s="20" t="s">
        <v>121</v>
      </c>
      <c r="G442" s="20" t="s">
        <v>133</v>
      </c>
      <c r="H442" s="20">
        <v>-0.2</v>
      </c>
      <c r="I442" s="20" t="s">
        <v>120</v>
      </c>
    </row>
    <row r="443" spans="1:9" hidden="1" x14ac:dyDescent="0.35">
      <c r="A443" s="20" t="s">
        <v>114</v>
      </c>
      <c r="B443" s="20" t="s">
        <v>130</v>
      </c>
      <c r="C443" s="20">
        <v>2025</v>
      </c>
      <c r="D443" s="20" t="s">
        <v>135</v>
      </c>
      <c r="E443" s="20" t="s">
        <v>131</v>
      </c>
      <c r="F443" s="20" t="s">
        <v>121</v>
      </c>
      <c r="G443" s="20" t="s">
        <v>132</v>
      </c>
      <c r="H443" s="20">
        <v>-85.6</v>
      </c>
      <c r="I443" s="20" t="s">
        <v>120</v>
      </c>
    </row>
    <row r="444" spans="1:9" hidden="1" x14ac:dyDescent="0.35">
      <c r="A444" s="20" t="s">
        <v>114</v>
      </c>
      <c r="B444" s="20" t="s">
        <v>130</v>
      </c>
      <c r="C444" s="20">
        <v>2045</v>
      </c>
      <c r="D444" s="20" t="s">
        <v>135</v>
      </c>
      <c r="E444" s="20" t="s">
        <v>131</v>
      </c>
      <c r="F444" s="20" t="s">
        <v>121</v>
      </c>
      <c r="G444" s="20" t="s">
        <v>133</v>
      </c>
      <c r="H444" s="20">
        <v>-193.3</v>
      </c>
      <c r="I444" s="20" t="s">
        <v>120</v>
      </c>
    </row>
    <row r="445" spans="1:9" hidden="1" x14ac:dyDescent="0.35">
      <c r="A445" s="20" t="s">
        <v>114</v>
      </c>
      <c r="B445" s="20" t="s">
        <v>130</v>
      </c>
      <c r="C445" s="20">
        <v>2045</v>
      </c>
      <c r="D445" s="20" t="s">
        <v>135</v>
      </c>
      <c r="E445" s="20" t="s">
        <v>131</v>
      </c>
      <c r="F445" s="20" t="s">
        <v>121</v>
      </c>
      <c r="G445" s="20" t="s">
        <v>134</v>
      </c>
      <c r="H445" s="20">
        <v>-225.8</v>
      </c>
      <c r="I445" s="20" t="s">
        <v>120</v>
      </c>
    </row>
    <row r="446" spans="1:9" hidden="1" x14ac:dyDescent="0.35">
      <c r="A446" s="20" t="s">
        <v>114</v>
      </c>
      <c r="B446" s="20" t="s">
        <v>130</v>
      </c>
      <c r="C446" s="20">
        <v>2045</v>
      </c>
      <c r="D446" s="20" t="s">
        <v>135</v>
      </c>
      <c r="E446" s="20" t="s">
        <v>131</v>
      </c>
      <c r="F446" s="20" t="s">
        <v>121</v>
      </c>
      <c r="G446" s="20" t="s">
        <v>122</v>
      </c>
      <c r="H446" s="20">
        <v>-152</v>
      </c>
      <c r="I446" s="20" t="s">
        <v>120</v>
      </c>
    </row>
    <row r="447" spans="1:9" hidden="1" x14ac:dyDescent="0.35">
      <c r="A447" s="20" t="s">
        <v>114</v>
      </c>
      <c r="B447" s="20" t="s">
        <v>130</v>
      </c>
      <c r="C447" s="20">
        <v>2045</v>
      </c>
      <c r="D447" s="20" t="s">
        <v>135</v>
      </c>
      <c r="E447" s="20" t="s">
        <v>131</v>
      </c>
      <c r="F447" s="20" t="s">
        <v>121</v>
      </c>
      <c r="G447" s="20" t="s">
        <v>119</v>
      </c>
      <c r="H447" s="20">
        <v>-240.4</v>
      </c>
      <c r="I447" s="20" t="s">
        <v>120</v>
      </c>
    </row>
    <row r="448" spans="1:9" hidden="1" x14ac:dyDescent="0.35">
      <c r="A448" s="20" t="s">
        <v>114</v>
      </c>
      <c r="B448" s="20" t="s">
        <v>130</v>
      </c>
      <c r="C448" s="20">
        <v>2035</v>
      </c>
      <c r="D448" s="20" t="s">
        <v>135</v>
      </c>
      <c r="E448" s="20" t="s">
        <v>131</v>
      </c>
      <c r="F448" s="20" t="s">
        <v>121</v>
      </c>
      <c r="G448" s="20" t="s">
        <v>132</v>
      </c>
      <c r="H448" s="20">
        <v>-204.1</v>
      </c>
      <c r="I448" s="20" t="s">
        <v>120</v>
      </c>
    </row>
    <row r="449" spans="1:11" hidden="1" x14ac:dyDescent="0.35">
      <c r="A449" s="20" t="s">
        <v>114</v>
      </c>
      <c r="B449" s="20" t="s">
        <v>130</v>
      </c>
      <c r="C449" s="20">
        <v>2045</v>
      </c>
      <c r="D449" s="20" t="s">
        <v>135</v>
      </c>
      <c r="E449" s="20" t="s">
        <v>131</v>
      </c>
      <c r="F449" s="20" t="s">
        <v>118</v>
      </c>
      <c r="G449" s="20" t="s">
        <v>133</v>
      </c>
      <c r="H449" s="20">
        <v>-208</v>
      </c>
      <c r="I449" s="20" t="s">
        <v>120</v>
      </c>
    </row>
    <row r="450" spans="1:11" hidden="1" x14ac:dyDescent="0.35">
      <c r="A450" s="20" t="s">
        <v>114</v>
      </c>
      <c r="B450" s="20" t="s">
        <v>130</v>
      </c>
      <c r="C450" s="20">
        <v>2045</v>
      </c>
      <c r="D450" s="20" t="s">
        <v>135</v>
      </c>
      <c r="E450" s="20" t="s">
        <v>131</v>
      </c>
      <c r="F450" s="20" t="s">
        <v>118</v>
      </c>
      <c r="G450" s="20" t="s">
        <v>134</v>
      </c>
      <c r="H450" s="20">
        <v>-234.1</v>
      </c>
      <c r="I450" s="20" t="s">
        <v>120</v>
      </c>
    </row>
    <row r="451" spans="1:11" hidden="1" x14ac:dyDescent="0.35">
      <c r="A451" s="20" t="s">
        <v>114</v>
      </c>
      <c r="B451" s="20" t="s">
        <v>130</v>
      </c>
      <c r="C451" s="20">
        <v>2045</v>
      </c>
      <c r="D451" s="20" t="s">
        <v>135</v>
      </c>
      <c r="E451" s="20" t="s">
        <v>131</v>
      </c>
      <c r="F451" s="20" t="s">
        <v>118</v>
      </c>
      <c r="G451" s="20" t="s">
        <v>122</v>
      </c>
      <c r="H451" s="20">
        <v>-154.1</v>
      </c>
      <c r="I451" s="20" t="s">
        <v>120</v>
      </c>
    </row>
    <row r="452" spans="1:11" hidden="1" x14ac:dyDescent="0.35">
      <c r="A452" s="20" t="s">
        <v>114</v>
      </c>
      <c r="B452" s="20" t="s">
        <v>130</v>
      </c>
      <c r="C452" s="20">
        <v>2045</v>
      </c>
      <c r="D452" s="20" t="s">
        <v>135</v>
      </c>
      <c r="E452" s="20" t="s">
        <v>131</v>
      </c>
      <c r="F452" s="20" t="s">
        <v>118</v>
      </c>
      <c r="G452" s="20" t="s">
        <v>119</v>
      </c>
      <c r="H452" s="20">
        <v>-248.7</v>
      </c>
      <c r="I452" s="20" t="s">
        <v>120</v>
      </c>
    </row>
    <row r="453" spans="1:11" hidden="1" x14ac:dyDescent="0.35">
      <c r="A453" s="20" t="s">
        <v>114</v>
      </c>
      <c r="B453" s="20" t="s">
        <v>115</v>
      </c>
      <c r="C453" s="20">
        <v>2045</v>
      </c>
      <c r="D453" s="20" t="s">
        <v>116</v>
      </c>
      <c r="E453" s="20" t="s">
        <v>117</v>
      </c>
      <c r="F453" s="20" t="s">
        <v>121</v>
      </c>
      <c r="G453" s="20" t="s">
        <v>133</v>
      </c>
      <c r="H453" s="20">
        <v>13.7</v>
      </c>
      <c r="I453" s="20" t="s">
        <v>120</v>
      </c>
    </row>
    <row r="454" spans="1:11" hidden="1" x14ac:dyDescent="0.35">
      <c r="A454" s="20" t="s">
        <v>114</v>
      </c>
      <c r="B454" s="20" t="s">
        <v>115</v>
      </c>
      <c r="C454" s="20">
        <v>2055</v>
      </c>
      <c r="D454" s="20" t="s">
        <v>116</v>
      </c>
      <c r="E454" s="20" t="s">
        <v>117</v>
      </c>
      <c r="F454" s="20" t="s">
        <v>121</v>
      </c>
      <c r="G454" s="20" t="s">
        <v>133</v>
      </c>
      <c r="H454" s="20">
        <v>7.7</v>
      </c>
      <c r="I454" s="20" t="s">
        <v>120</v>
      </c>
    </row>
    <row r="455" spans="1:11" x14ac:dyDescent="0.35">
      <c r="A455" s="20" t="s">
        <v>114</v>
      </c>
      <c r="B455" s="20" t="s">
        <v>115</v>
      </c>
      <c r="C455" s="20">
        <v>2025</v>
      </c>
      <c r="D455" s="20" t="s">
        <v>116</v>
      </c>
      <c r="E455" s="20" t="s">
        <v>117</v>
      </c>
      <c r="F455" s="20" t="s">
        <v>118</v>
      </c>
      <c r="G455" s="20" t="s">
        <v>132</v>
      </c>
      <c r="H455" s="20">
        <v>124.1</v>
      </c>
      <c r="I455" s="20" t="s">
        <v>120</v>
      </c>
      <c r="K455" s="20" t="str">
        <f>INDEX('EPA land and ag calcs'!$G$7:$G$14,MATCH('EPA land and ag potential'!E455,'EPA land and ag calcs'!$A$7:$A$15,0))</f>
        <v>afforestation and reforestation</v>
      </c>
    </row>
    <row r="456" spans="1:11" x14ac:dyDescent="0.35">
      <c r="A456" s="20" t="s">
        <v>114</v>
      </c>
      <c r="B456" s="20" t="s">
        <v>115</v>
      </c>
      <c r="C456" s="20">
        <v>2035</v>
      </c>
      <c r="D456" s="20" t="s">
        <v>116</v>
      </c>
      <c r="E456" s="20" t="s">
        <v>117</v>
      </c>
      <c r="F456" s="20" t="s">
        <v>118</v>
      </c>
      <c r="G456" s="20" t="s">
        <v>132</v>
      </c>
      <c r="H456" s="20">
        <v>109.7</v>
      </c>
      <c r="I456" s="20" t="s">
        <v>120</v>
      </c>
      <c r="K456" s="20" t="str">
        <f>INDEX('EPA land and ag calcs'!$G$7:$G$14,MATCH('EPA land and ag potential'!E456,'EPA land and ag calcs'!$A$7:$A$15,0))</f>
        <v>afforestation and reforestation</v>
      </c>
    </row>
    <row r="457" spans="1:11" x14ac:dyDescent="0.35">
      <c r="A457" s="20" t="s">
        <v>114</v>
      </c>
      <c r="B457" s="20" t="s">
        <v>115</v>
      </c>
      <c r="C457" s="20">
        <v>2045</v>
      </c>
      <c r="D457" s="20" t="s">
        <v>116</v>
      </c>
      <c r="E457" s="20" t="s">
        <v>117</v>
      </c>
      <c r="F457" s="20" t="s">
        <v>118</v>
      </c>
      <c r="G457" s="20" t="s">
        <v>132</v>
      </c>
      <c r="H457" s="20">
        <v>73.5</v>
      </c>
      <c r="I457" s="20" t="s">
        <v>120</v>
      </c>
      <c r="K457" s="20" t="str">
        <f>INDEX('EPA land and ag calcs'!$G$7:$G$14,MATCH('EPA land and ag potential'!E457,'EPA land and ag calcs'!$A$7:$A$15,0))</f>
        <v>afforestation and reforestation</v>
      </c>
    </row>
    <row r="458" spans="1:11" x14ac:dyDescent="0.35">
      <c r="A458" s="20" t="s">
        <v>114</v>
      </c>
      <c r="B458" s="20" t="s">
        <v>115</v>
      </c>
      <c r="C458" s="20">
        <v>2055</v>
      </c>
      <c r="D458" s="20" t="s">
        <v>116</v>
      </c>
      <c r="E458" s="20" t="s">
        <v>117</v>
      </c>
      <c r="F458" s="20" t="s">
        <v>118</v>
      </c>
      <c r="G458" s="20" t="s">
        <v>132</v>
      </c>
      <c r="H458" s="20">
        <v>45.3</v>
      </c>
      <c r="I458" s="20" t="s">
        <v>120</v>
      </c>
      <c r="K458" s="20" t="str">
        <f>INDEX('EPA land and ag calcs'!$G$7:$G$14,MATCH('EPA land and ag potential'!E458,'EPA land and ag calcs'!$A$7:$A$15,0))</f>
        <v>afforestation and reforestation</v>
      </c>
    </row>
    <row r="459" spans="1:11" hidden="1" x14ac:dyDescent="0.35">
      <c r="A459" s="20" t="s">
        <v>114</v>
      </c>
      <c r="B459" s="20" t="s">
        <v>115</v>
      </c>
      <c r="C459" s="20">
        <v>2025</v>
      </c>
      <c r="D459" s="20" t="s">
        <v>116</v>
      </c>
      <c r="E459" s="20" t="s">
        <v>117</v>
      </c>
      <c r="F459" s="20" t="s">
        <v>121</v>
      </c>
      <c r="G459" s="20" t="s">
        <v>132</v>
      </c>
      <c r="H459" s="20">
        <v>15.7</v>
      </c>
      <c r="I459" s="20" t="s">
        <v>120</v>
      </c>
    </row>
    <row r="460" spans="1:11" hidden="1" x14ac:dyDescent="0.35">
      <c r="A460" s="20" t="s">
        <v>114</v>
      </c>
      <c r="B460" s="20" t="s">
        <v>115</v>
      </c>
      <c r="C460" s="20">
        <v>2035</v>
      </c>
      <c r="D460" s="20" t="s">
        <v>116</v>
      </c>
      <c r="E460" s="20" t="s">
        <v>117</v>
      </c>
      <c r="F460" s="20" t="s">
        <v>121</v>
      </c>
      <c r="G460" s="20" t="s">
        <v>132</v>
      </c>
      <c r="H460" s="20">
        <v>19.7</v>
      </c>
      <c r="I460" s="20" t="s">
        <v>120</v>
      </c>
    </row>
    <row r="461" spans="1:11" hidden="1" x14ac:dyDescent="0.35">
      <c r="A461" s="20" t="s">
        <v>114</v>
      </c>
      <c r="B461" s="20" t="s">
        <v>115</v>
      </c>
      <c r="C461" s="20">
        <v>2045</v>
      </c>
      <c r="D461" s="20" t="s">
        <v>116</v>
      </c>
      <c r="E461" s="20" t="s">
        <v>117</v>
      </c>
      <c r="F461" s="20" t="s">
        <v>121</v>
      </c>
      <c r="G461" s="20" t="s">
        <v>132</v>
      </c>
      <c r="H461" s="20">
        <v>9</v>
      </c>
      <c r="I461" s="20" t="s">
        <v>120</v>
      </c>
    </row>
    <row r="462" spans="1:11" hidden="1" x14ac:dyDescent="0.35">
      <c r="A462" s="20" t="s">
        <v>114</v>
      </c>
      <c r="B462" s="20" t="s">
        <v>115</v>
      </c>
      <c r="C462" s="20">
        <v>2055</v>
      </c>
      <c r="D462" s="20" t="s">
        <v>116</v>
      </c>
      <c r="E462" s="20" t="s">
        <v>117</v>
      </c>
      <c r="F462" s="20" t="s">
        <v>121</v>
      </c>
      <c r="G462" s="20" t="s">
        <v>132</v>
      </c>
      <c r="H462" s="20">
        <v>5.0999999999999996</v>
      </c>
      <c r="I462" s="20" t="s">
        <v>120</v>
      </c>
    </row>
    <row r="463" spans="1:11" hidden="1" x14ac:dyDescent="0.35">
      <c r="A463" s="20" t="s">
        <v>114</v>
      </c>
      <c r="B463" s="20" t="s">
        <v>115</v>
      </c>
      <c r="C463" s="20">
        <v>2045</v>
      </c>
      <c r="D463" s="20" t="s">
        <v>116</v>
      </c>
      <c r="E463" s="20" t="s">
        <v>123</v>
      </c>
      <c r="F463" s="20" t="s">
        <v>121</v>
      </c>
      <c r="G463" s="20" t="s">
        <v>133</v>
      </c>
      <c r="H463" s="20">
        <v>-6.1</v>
      </c>
      <c r="I463" s="20" t="s">
        <v>120</v>
      </c>
    </row>
    <row r="464" spans="1:11" hidden="1" x14ac:dyDescent="0.35">
      <c r="A464" s="20" t="s">
        <v>114</v>
      </c>
      <c r="B464" s="20" t="s">
        <v>115</v>
      </c>
      <c r="C464" s="20">
        <v>2055</v>
      </c>
      <c r="D464" s="20" t="s">
        <v>116</v>
      </c>
      <c r="E464" s="20" t="s">
        <v>123</v>
      </c>
      <c r="F464" s="20" t="s">
        <v>121</v>
      </c>
      <c r="G464" s="20" t="s">
        <v>133</v>
      </c>
      <c r="H464" s="20">
        <v>-6.9</v>
      </c>
      <c r="I464" s="20" t="s">
        <v>120</v>
      </c>
    </row>
    <row r="465" spans="1:11" x14ac:dyDescent="0.35">
      <c r="A465" s="20" t="s">
        <v>114</v>
      </c>
      <c r="B465" s="20" t="s">
        <v>115</v>
      </c>
      <c r="C465" s="20">
        <v>2025</v>
      </c>
      <c r="D465" s="20" t="s">
        <v>116</v>
      </c>
      <c r="E465" s="20" t="s">
        <v>123</v>
      </c>
      <c r="F465" s="20" t="s">
        <v>118</v>
      </c>
      <c r="G465" s="20" t="s">
        <v>132</v>
      </c>
      <c r="H465" s="20">
        <v>-3.8</v>
      </c>
      <c r="I465" s="20" t="s">
        <v>120</v>
      </c>
      <c r="K465" s="20" t="str">
        <f>INDEX('EPA land and ag calcs'!$G$7:$G$14,MATCH('EPA land and ag potential'!E465,'EPA land and ag calcs'!$A$7:$A$15,0))</f>
        <v>*handled in agriculture files</v>
      </c>
    </row>
    <row r="466" spans="1:11" x14ac:dyDescent="0.35">
      <c r="A466" s="20" t="s">
        <v>114</v>
      </c>
      <c r="B466" s="20" t="s">
        <v>115</v>
      </c>
      <c r="C466" s="20">
        <v>2035</v>
      </c>
      <c r="D466" s="20" t="s">
        <v>116</v>
      </c>
      <c r="E466" s="20" t="s">
        <v>123</v>
      </c>
      <c r="F466" s="20" t="s">
        <v>118</v>
      </c>
      <c r="G466" s="20" t="s">
        <v>132</v>
      </c>
      <c r="H466" s="20">
        <v>-7.6</v>
      </c>
      <c r="I466" s="20" t="s">
        <v>120</v>
      </c>
      <c r="K466" s="20" t="str">
        <f>INDEX('EPA land and ag calcs'!$G$7:$G$14,MATCH('EPA land and ag potential'!E466,'EPA land and ag calcs'!$A$7:$A$15,0))</f>
        <v>*handled in agriculture files</v>
      </c>
    </row>
    <row r="467" spans="1:11" x14ac:dyDescent="0.35">
      <c r="A467" s="20" t="s">
        <v>114</v>
      </c>
      <c r="B467" s="20" t="s">
        <v>115</v>
      </c>
      <c r="C467" s="20">
        <v>2045</v>
      </c>
      <c r="D467" s="20" t="s">
        <v>116</v>
      </c>
      <c r="E467" s="20" t="s">
        <v>123</v>
      </c>
      <c r="F467" s="20" t="s">
        <v>118</v>
      </c>
      <c r="G467" s="20" t="s">
        <v>132</v>
      </c>
      <c r="H467" s="20">
        <v>-10.199999999999999</v>
      </c>
      <c r="I467" s="20" t="s">
        <v>120</v>
      </c>
      <c r="K467" s="20" t="str">
        <f>INDEX('EPA land and ag calcs'!$G$7:$G$14,MATCH('EPA land and ag potential'!E467,'EPA land and ag calcs'!$A$7:$A$15,0))</f>
        <v>*handled in agriculture files</v>
      </c>
    </row>
    <row r="468" spans="1:11" x14ac:dyDescent="0.35">
      <c r="A468" s="20" t="s">
        <v>114</v>
      </c>
      <c r="B468" s="20" t="s">
        <v>115</v>
      </c>
      <c r="C468" s="20">
        <v>2055</v>
      </c>
      <c r="D468" s="20" t="s">
        <v>116</v>
      </c>
      <c r="E468" s="20" t="s">
        <v>123</v>
      </c>
      <c r="F468" s="20" t="s">
        <v>118</v>
      </c>
      <c r="G468" s="20" t="s">
        <v>132</v>
      </c>
      <c r="H468" s="20">
        <v>-12</v>
      </c>
      <c r="I468" s="20" t="s">
        <v>120</v>
      </c>
      <c r="K468" s="20" t="str">
        <f>INDEX('EPA land and ag calcs'!$G$7:$G$14,MATCH('EPA land and ag potential'!E468,'EPA land and ag calcs'!$A$7:$A$15,0))</f>
        <v>*handled in agriculture files</v>
      </c>
    </row>
    <row r="469" spans="1:11" hidden="1" x14ac:dyDescent="0.35">
      <c r="A469" s="20" t="s">
        <v>114</v>
      </c>
      <c r="B469" s="20" t="s">
        <v>115</v>
      </c>
      <c r="C469" s="20">
        <v>2025</v>
      </c>
      <c r="D469" s="20" t="s">
        <v>116</v>
      </c>
      <c r="E469" s="20" t="s">
        <v>123</v>
      </c>
      <c r="F469" s="20" t="s">
        <v>121</v>
      </c>
      <c r="G469" s="20" t="s">
        <v>132</v>
      </c>
      <c r="H469" s="20">
        <v>-5.7</v>
      </c>
      <c r="I469" s="20" t="s">
        <v>120</v>
      </c>
    </row>
    <row r="470" spans="1:11" hidden="1" x14ac:dyDescent="0.35">
      <c r="A470" s="20" t="s">
        <v>114</v>
      </c>
      <c r="B470" s="20" t="s">
        <v>115</v>
      </c>
      <c r="C470" s="20">
        <v>2035</v>
      </c>
      <c r="D470" s="20" t="s">
        <v>116</v>
      </c>
      <c r="E470" s="20" t="s">
        <v>123</v>
      </c>
      <c r="F470" s="20" t="s">
        <v>121</v>
      </c>
      <c r="G470" s="20" t="s">
        <v>132</v>
      </c>
      <c r="H470" s="20">
        <v>-9.1</v>
      </c>
      <c r="I470" s="20" t="s">
        <v>120</v>
      </c>
    </row>
    <row r="471" spans="1:11" hidden="1" x14ac:dyDescent="0.35">
      <c r="A471" s="20" t="s">
        <v>114</v>
      </c>
      <c r="B471" s="20" t="s">
        <v>115</v>
      </c>
      <c r="C471" s="20">
        <v>2045</v>
      </c>
      <c r="D471" s="20" t="s">
        <v>116</v>
      </c>
      <c r="E471" s="20" t="s">
        <v>123</v>
      </c>
      <c r="F471" s="20" t="s">
        <v>121</v>
      </c>
      <c r="G471" s="20" t="s">
        <v>132</v>
      </c>
      <c r="H471" s="20">
        <v>-11.3</v>
      </c>
      <c r="I471" s="20" t="s">
        <v>120</v>
      </c>
    </row>
    <row r="472" spans="1:11" hidden="1" x14ac:dyDescent="0.35">
      <c r="A472" s="20" t="s">
        <v>114</v>
      </c>
      <c r="B472" s="20" t="s">
        <v>115</v>
      </c>
      <c r="C472" s="20">
        <v>2055</v>
      </c>
      <c r="D472" s="20" t="s">
        <v>116</v>
      </c>
      <c r="E472" s="20" t="s">
        <v>123</v>
      </c>
      <c r="F472" s="20" t="s">
        <v>121</v>
      </c>
      <c r="G472" s="20" t="s">
        <v>132</v>
      </c>
      <c r="H472" s="20">
        <v>-12.9</v>
      </c>
      <c r="I472" s="20" t="s">
        <v>120</v>
      </c>
    </row>
    <row r="473" spans="1:11" hidden="1" x14ac:dyDescent="0.35">
      <c r="A473" s="20" t="s">
        <v>114</v>
      </c>
      <c r="B473" s="20" t="s">
        <v>115</v>
      </c>
      <c r="C473" s="20">
        <v>2045</v>
      </c>
      <c r="D473" s="20" t="s">
        <v>116</v>
      </c>
      <c r="E473" s="20" t="s">
        <v>124</v>
      </c>
      <c r="F473" s="20" t="s">
        <v>121</v>
      </c>
      <c r="G473" s="20" t="s">
        <v>133</v>
      </c>
      <c r="H473" s="20">
        <v>-1.9</v>
      </c>
      <c r="I473" s="20" t="s">
        <v>120</v>
      </c>
    </row>
    <row r="474" spans="1:11" hidden="1" x14ac:dyDescent="0.35">
      <c r="A474" s="20" t="s">
        <v>114</v>
      </c>
      <c r="B474" s="20" t="s">
        <v>115</v>
      </c>
      <c r="C474" s="20">
        <v>2055</v>
      </c>
      <c r="D474" s="20" t="s">
        <v>116</v>
      </c>
      <c r="E474" s="20" t="s">
        <v>124</v>
      </c>
      <c r="F474" s="20" t="s">
        <v>121</v>
      </c>
      <c r="G474" s="20" t="s">
        <v>133</v>
      </c>
      <c r="H474" s="20">
        <v>-2.9</v>
      </c>
      <c r="I474" s="20" t="s">
        <v>120</v>
      </c>
    </row>
    <row r="475" spans="1:11" x14ac:dyDescent="0.35">
      <c r="A475" s="20" t="s">
        <v>114</v>
      </c>
      <c r="B475" s="20" t="s">
        <v>115</v>
      </c>
      <c r="C475" s="20">
        <v>2025</v>
      </c>
      <c r="D475" s="20" t="s">
        <v>116</v>
      </c>
      <c r="E475" s="20" t="s">
        <v>124</v>
      </c>
      <c r="F475" s="20" t="s">
        <v>118</v>
      </c>
      <c r="G475" s="20" t="s">
        <v>132</v>
      </c>
      <c r="H475" s="20">
        <v>-4</v>
      </c>
      <c r="I475" s="20" t="s">
        <v>120</v>
      </c>
      <c r="K475" s="20" t="str">
        <f>INDEX('EPA land and ag calcs'!$G$7:$G$14,MATCH('EPA land and ag potential'!E475,'EPA land and ag calcs'!$A$7:$A$15,0))</f>
        <v>*handled in agriculture files</v>
      </c>
    </row>
    <row r="476" spans="1:11" x14ac:dyDescent="0.35">
      <c r="A476" s="20" t="s">
        <v>114</v>
      </c>
      <c r="B476" s="20" t="s">
        <v>115</v>
      </c>
      <c r="C476" s="20">
        <v>2035</v>
      </c>
      <c r="D476" s="20" t="s">
        <v>116</v>
      </c>
      <c r="E476" s="20" t="s">
        <v>124</v>
      </c>
      <c r="F476" s="20" t="s">
        <v>118</v>
      </c>
      <c r="G476" s="20" t="s">
        <v>132</v>
      </c>
      <c r="H476" s="20">
        <v>-8.8000000000000007</v>
      </c>
      <c r="I476" s="20" t="s">
        <v>120</v>
      </c>
      <c r="K476" s="20" t="str">
        <f>INDEX('EPA land and ag calcs'!$G$7:$G$14,MATCH('EPA land and ag potential'!E476,'EPA land and ag calcs'!$A$7:$A$15,0))</f>
        <v>*handled in agriculture files</v>
      </c>
    </row>
    <row r="477" spans="1:11" x14ac:dyDescent="0.35">
      <c r="A477" s="20" t="s">
        <v>114</v>
      </c>
      <c r="B477" s="20" t="s">
        <v>115</v>
      </c>
      <c r="C477" s="20">
        <v>2045</v>
      </c>
      <c r="D477" s="20" t="s">
        <v>116</v>
      </c>
      <c r="E477" s="20" t="s">
        <v>124</v>
      </c>
      <c r="F477" s="20" t="s">
        <v>118</v>
      </c>
      <c r="G477" s="20" t="s">
        <v>132</v>
      </c>
      <c r="H477" s="20">
        <v>-13</v>
      </c>
      <c r="I477" s="20" t="s">
        <v>120</v>
      </c>
      <c r="K477" s="20" t="str">
        <f>INDEX('EPA land and ag calcs'!$G$7:$G$14,MATCH('EPA land and ag potential'!E477,'EPA land and ag calcs'!$A$7:$A$15,0))</f>
        <v>*handled in agriculture files</v>
      </c>
    </row>
    <row r="478" spans="1:11" x14ac:dyDescent="0.35">
      <c r="A478" s="20" t="s">
        <v>114</v>
      </c>
      <c r="B478" s="20" t="s">
        <v>115</v>
      </c>
      <c r="C478" s="20">
        <v>2055</v>
      </c>
      <c r="D478" s="20" t="s">
        <v>116</v>
      </c>
      <c r="E478" s="20" t="s">
        <v>124</v>
      </c>
      <c r="F478" s="20" t="s">
        <v>118</v>
      </c>
      <c r="G478" s="20" t="s">
        <v>132</v>
      </c>
      <c r="H478" s="20">
        <v>-15.8</v>
      </c>
      <c r="I478" s="20" t="s">
        <v>120</v>
      </c>
      <c r="K478" s="20" t="str">
        <f>INDEX('EPA land and ag calcs'!$G$7:$G$14,MATCH('EPA land and ag potential'!E478,'EPA land and ag calcs'!$A$7:$A$15,0))</f>
        <v>*handled in agriculture files</v>
      </c>
    </row>
    <row r="479" spans="1:11" hidden="1" x14ac:dyDescent="0.35">
      <c r="A479" s="20" t="s">
        <v>114</v>
      </c>
      <c r="B479" s="20" t="s">
        <v>115</v>
      </c>
      <c r="C479" s="20">
        <v>2025</v>
      </c>
      <c r="D479" s="20" t="s">
        <v>116</v>
      </c>
      <c r="E479" s="20" t="s">
        <v>124</v>
      </c>
      <c r="F479" s="20" t="s">
        <v>121</v>
      </c>
      <c r="G479" s="20" t="s">
        <v>132</v>
      </c>
      <c r="H479" s="20">
        <v>-7</v>
      </c>
      <c r="I479" s="20" t="s">
        <v>120</v>
      </c>
    </row>
    <row r="480" spans="1:11" hidden="1" x14ac:dyDescent="0.35">
      <c r="A480" s="20" t="s">
        <v>114</v>
      </c>
      <c r="B480" s="20" t="s">
        <v>115</v>
      </c>
      <c r="C480" s="20">
        <v>2035</v>
      </c>
      <c r="D480" s="20" t="s">
        <v>116</v>
      </c>
      <c r="E480" s="20" t="s">
        <v>124</v>
      </c>
      <c r="F480" s="20" t="s">
        <v>121</v>
      </c>
      <c r="G480" s="20" t="s">
        <v>132</v>
      </c>
      <c r="H480" s="20">
        <v>-10.7</v>
      </c>
      <c r="I480" s="20" t="s">
        <v>120</v>
      </c>
    </row>
    <row r="481" spans="1:11" hidden="1" x14ac:dyDescent="0.35">
      <c r="A481" s="20" t="s">
        <v>114</v>
      </c>
      <c r="B481" s="20" t="s">
        <v>115</v>
      </c>
      <c r="C481" s="20">
        <v>2045</v>
      </c>
      <c r="D481" s="20" t="s">
        <v>116</v>
      </c>
      <c r="E481" s="20" t="s">
        <v>124</v>
      </c>
      <c r="F481" s="20" t="s">
        <v>121</v>
      </c>
      <c r="G481" s="20" t="s">
        <v>132</v>
      </c>
      <c r="H481" s="20">
        <v>-14.2</v>
      </c>
      <c r="I481" s="20" t="s">
        <v>120</v>
      </c>
    </row>
    <row r="482" spans="1:11" hidden="1" x14ac:dyDescent="0.35">
      <c r="A482" s="20" t="s">
        <v>114</v>
      </c>
      <c r="B482" s="20" t="s">
        <v>115</v>
      </c>
      <c r="C482" s="20">
        <v>2055</v>
      </c>
      <c r="D482" s="20" t="s">
        <v>116</v>
      </c>
      <c r="E482" s="20" t="s">
        <v>124</v>
      </c>
      <c r="F482" s="20" t="s">
        <v>121</v>
      </c>
      <c r="G482" s="20" t="s">
        <v>132</v>
      </c>
      <c r="H482" s="20">
        <v>-16.7</v>
      </c>
      <c r="I482" s="20" t="s">
        <v>120</v>
      </c>
    </row>
    <row r="483" spans="1:11" hidden="1" x14ac:dyDescent="0.35">
      <c r="A483" s="20" t="s">
        <v>114</v>
      </c>
      <c r="B483" s="20" t="s">
        <v>115</v>
      </c>
      <c r="C483" s="20">
        <v>2045</v>
      </c>
      <c r="D483" s="20" t="s">
        <v>116</v>
      </c>
      <c r="E483" s="20" t="s">
        <v>125</v>
      </c>
      <c r="F483" s="20" t="s">
        <v>121</v>
      </c>
      <c r="G483" s="20" t="s">
        <v>133</v>
      </c>
      <c r="H483" s="20">
        <v>-31.3</v>
      </c>
      <c r="I483" s="20" t="s">
        <v>120</v>
      </c>
    </row>
    <row r="484" spans="1:11" hidden="1" x14ac:dyDescent="0.35">
      <c r="A484" s="20" t="s">
        <v>114</v>
      </c>
      <c r="B484" s="20" t="s">
        <v>115</v>
      </c>
      <c r="C484" s="20">
        <v>2055</v>
      </c>
      <c r="D484" s="20" t="s">
        <v>116</v>
      </c>
      <c r="E484" s="20" t="s">
        <v>125</v>
      </c>
      <c r="F484" s="20" t="s">
        <v>121</v>
      </c>
      <c r="G484" s="20" t="s">
        <v>133</v>
      </c>
      <c r="H484" s="20">
        <v>-32.700000000000003</v>
      </c>
      <c r="I484" s="20" t="s">
        <v>120</v>
      </c>
    </row>
    <row r="485" spans="1:11" x14ac:dyDescent="0.35">
      <c r="A485" s="20" t="s">
        <v>114</v>
      </c>
      <c r="B485" s="20" t="s">
        <v>115</v>
      </c>
      <c r="C485" s="20">
        <v>2025</v>
      </c>
      <c r="D485" s="20" t="s">
        <v>116</v>
      </c>
      <c r="E485" s="20" t="s">
        <v>125</v>
      </c>
      <c r="F485" s="20" t="s">
        <v>118</v>
      </c>
      <c r="G485" s="20" t="s">
        <v>132</v>
      </c>
      <c r="H485" s="20">
        <v>-30.3</v>
      </c>
      <c r="I485" s="20" t="s">
        <v>120</v>
      </c>
      <c r="K485" s="20" t="str">
        <f>INDEX('EPA land and ag calcs'!$G$7:$G$14,MATCH('EPA land and ag potential'!E485,'EPA land and ag calcs'!$A$7:$A$15,0))</f>
        <v>forest management</v>
      </c>
    </row>
    <row r="486" spans="1:11" x14ac:dyDescent="0.35">
      <c r="A486" s="20" t="s">
        <v>114</v>
      </c>
      <c r="B486" s="20" t="s">
        <v>115</v>
      </c>
      <c r="C486" s="20">
        <v>2035</v>
      </c>
      <c r="D486" s="20" t="s">
        <v>116</v>
      </c>
      <c r="E486" s="20" t="s">
        <v>125</v>
      </c>
      <c r="F486" s="20" t="s">
        <v>118</v>
      </c>
      <c r="G486" s="20" t="s">
        <v>132</v>
      </c>
      <c r="H486" s="20">
        <v>-67.099999999999994</v>
      </c>
      <c r="I486" s="20" t="s">
        <v>120</v>
      </c>
      <c r="K486" s="20" t="str">
        <f>INDEX('EPA land and ag calcs'!$G$7:$G$14,MATCH('EPA land and ag potential'!E486,'EPA land and ag calcs'!$A$7:$A$15,0))</f>
        <v>forest management</v>
      </c>
    </row>
    <row r="487" spans="1:11" x14ac:dyDescent="0.35">
      <c r="A487" s="20" t="s">
        <v>114</v>
      </c>
      <c r="B487" s="20" t="s">
        <v>115</v>
      </c>
      <c r="C487" s="20">
        <v>2045</v>
      </c>
      <c r="D487" s="20" t="s">
        <v>116</v>
      </c>
      <c r="E487" s="20" t="s">
        <v>125</v>
      </c>
      <c r="F487" s="20" t="s">
        <v>118</v>
      </c>
      <c r="G487" s="20" t="s">
        <v>132</v>
      </c>
      <c r="H487" s="20">
        <v>-77.8</v>
      </c>
      <c r="I487" s="20" t="s">
        <v>120</v>
      </c>
      <c r="K487" s="20" t="str">
        <f>INDEX('EPA land and ag calcs'!$G$7:$G$14,MATCH('EPA land and ag potential'!E487,'EPA land and ag calcs'!$A$7:$A$15,0))</f>
        <v>forest management</v>
      </c>
    </row>
    <row r="488" spans="1:11" x14ac:dyDescent="0.35">
      <c r="A488" s="20" t="s">
        <v>114</v>
      </c>
      <c r="B488" s="20" t="s">
        <v>115</v>
      </c>
      <c r="C488" s="20">
        <v>2055</v>
      </c>
      <c r="D488" s="20" t="s">
        <v>116</v>
      </c>
      <c r="E488" s="20" t="s">
        <v>125</v>
      </c>
      <c r="F488" s="20" t="s">
        <v>118</v>
      </c>
      <c r="G488" s="20" t="s">
        <v>132</v>
      </c>
      <c r="H488" s="20">
        <v>-91.9</v>
      </c>
      <c r="I488" s="20" t="s">
        <v>120</v>
      </c>
      <c r="K488" s="20" t="str">
        <f>INDEX('EPA land and ag calcs'!$G$7:$G$14,MATCH('EPA land and ag potential'!E488,'EPA land and ag calcs'!$A$7:$A$15,0))</f>
        <v>forest management</v>
      </c>
    </row>
    <row r="489" spans="1:11" hidden="1" x14ac:dyDescent="0.35">
      <c r="A489" s="20" t="s">
        <v>114</v>
      </c>
      <c r="B489" s="20" t="s">
        <v>115</v>
      </c>
      <c r="C489" s="20">
        <v>2025</v>
      </c>
      <c r="D489" s="20" t="s">
        <v>116</v>
      </c>
      <c r="E489" s="20" t="s">
        <v>125</v>
      </c>
      <c r="F489" s="20" t="s">
        <v>121</v>
      </c>
      <c r="G489" s="20" t="s">
        <v>132</v>
      </c>
      <c r="H489" s="20">
        <v>-54.7</v>
      </c>
      <c r="I489" s="20" t="s">
        <v>120</v>
      </c>
    </row>
    <row r="490" spans="1:11" hidden="1" x14ac:dyDescent="0.35">
      <c r="A490" s="20" t="s">
        <v>114</v>
      </c>
      <c r="B490" s="20" t="s">
        <v>115</v>
      </c>
      <c r="C490" s="20">
        <v>2035</v>
      </c>
      <c r="D490" s="20" t="s">
        <v>116</v>
      </c>
      <c r="E490" s="20" t="s">
        <v>125</v>
      </c>
      <c r="F490" s="20" t="s">
        <v>121</v>
      </c>
      <c r="G490" s="20" t="s">
        <v>132</v>
      </c>
      <c r="H490" s="20">
        <v>-91.1</v>
      </c>
      <c r="I490" s="20" t="s">
        <v>120</v>
      </c>
    </row>
    <row r="491" spans="1:11" hidden="1" x14ac:dyDescent="0.35">
      <c r="A491" s="20" t="s">
        <v>114</v>
      </c>
      <c r="B491" s="20" t="s">
        <v>115</v>
      </c>
      <c r="C491" s="20">
        <v>2045</v>
      </c>
      <c r="D491" s="20" t="s">
        <v>116</v>
      </c>
      <c r="E491" s="20" t="s">
        <v>125</v>
      </c>
      <c r="F491" s="20" t="s">
        <v>121</v>
      </c>
      <c r="G491" s="20" t="s">
        <v>132</v>
      </c>
      <c r="H491" s="20">
        <v>-93.6</v>
      </c>
      <c r="I491" s="20" t="s">
        <v>120</v>
      </c>
    </row>
    <row r="492" spans="1:11" hidden="1" x14ac:dyDescent="0.35">
      <c r="A492" s="20" t="s">
        <v>114</v>
      </c>
      <c r="B492" s="20" t="s">
        <v>115</v>
      </c>
      <c r="C492" s="20">
        <v>2055</v>
      </c>
      <c r="D492" s="20" t="s">
        <v>116</v>
      </c>
      <c r="E492" s="20" t="s">
        <v>125</v>
      </c>
      <c r="F492" s="20" t="s">
        <v>121</v>
      </c>
      <c r="G492" s="20" t="s">
        <v>132</v>
      </c>
      <c r="H492" s="20">
        <v>-89.6</v>
      </c>
      <c r="I492" s="20" t="s">
        <v>120</v>
      </c>
    </row>
    <row r="493" spans="1:11" hidden="1" x14ac:dyDescent="0.35">
      <c r="A493" s="20" t="s">
        <v>114</v>
      </c>
      <c r="B493" s="20" t="s">
        <v>115</v>
      </c>
      <c r="C493" s="20">
        <v>2045</v>
      </c>
      <c r="D493" s="20" t="s">
        <v>116</v>
      </c>
      <c r="E493" s="20" t="s">
        <v>126</v>
      </c>
      <c r="F493" s="20" t="s">
        <v>121</v>
      </c>
      <c r="G493" s="20" t="s">
        <v>133</v>
      </c>
      <c r="H493" s="20">
        <v>-42.6</v>
      </c>
      <c r="I493" s="20" t="s">
        <v>120</v>
      </c>
    </row>
    <row r="494" spans="1:11" hidden="1" x14ac:dyDescent="0.35">
      <c r="A494" s="20" t="s">
        <v>114</v>
      </c>
      <c r="B494" s="20" t="s">
        <v>115</v>
      </c>
      <c r="C494" s="20">
        <v>2055</v>
      </c>
      <c r="D494" s="20" t="s">
        <v>116</v>
      </c>
      <c r="E494" s="20" t="s">
        <v>126</v>
      </c>
      <c r="F494" s="20" t="s">
        <v>121</v>
      </c>
      <c r="G494" s="20" t="s">
        <v>133</v>
      </c>
      <c r="H494" s="20">
        <v>-47.6</v>
      </c>
      <c r="I494" s="20" t="s">
        <v>120</v>
      </c>
    </row>
    <row r="495" spans="1:11" x14ac:dyDescent="0.35">
      <c r="A495" s="20" t="s">
        <v>114</v>
      </c>
      <c r="B495" s="20" t="s">
        <v>115</v>
      </c>
      <c r="C495" s="20">
        <v>2025</v>
      </c>
      <c r="D495" s="20" t="s">
        <v>116</v>
      </c>
      <c r="E495" s="20" t="s">
        <v>126</v>
      </c>
      <c r="F495" s="20" t="s">
        <v>118</v>
      </c>
      <c r="G495" s="20" t="s">
        <v>132</v>
      </c>
      <c r="I495" s="20" t="s">
        <v>120</v>
      </c>
      <c r="K495" s="20" t="str">
        <f>INDEX('EPA land and ag calcs'!$G$7:$G$14,MATCH('EPA land and ag potential'!E495,'EPA land and ag calcs'!$A$7:$A$15,0))</f>
        <v>afforestation and reforestation</v>
      </c>
    </row>
    <row r="496" spans="1:11" x14ac:dyDescent="0.35">
      <c r="A496" s="20" t="s">
        <v>114</v>
      </c>
      <c r="B496" s="20" t="s">
        <v>115</v>
      </c>
      <c r="C496" s="20">
        <v>2035</v>
      </c>
      <c r="D496" s="20" t="s">
        <v>116</v>
      </c>
      <c r="E496" s="20" t="s">
        <v>126</v>
      </c>
      <c r="F496" s="20" t="s">
        <v>118</v>
      </c>
      <c r="G496" s="20" t="s">
        <v>132</v>
      </c>
      <c r="H496" s="20">
        <v>-59</v>
      </c>
      <c r="I496" s="20" t="s">
        <v>120</v>
      </c>
      <c r="K496" s="20" t="str">
        <f>INDEX('EPA land and ag calcs'!$G$7:$G$14,MATCH('EPA land and ag potential'!E496,'EPA land and ag calcs'!$A$7:$A$15,0))</f>
        <v>afforestation and reforestation</v>
      </c>
    </row>
    <row r="497" spans="1:11" x14ac:dyDescent="0.35">
      <c r="A497" s="20" t="s">
        <v>114</v>
      </c>
      <c r="B497" s="20" t="s">
        <v>115</v>
      </c>
      <c r="C497" s="20">
        <v>2045</v>
      </c>
      <c r="D497" s="20" t="s">
        <v>116</v>
      </c>
      <c r="E497" s="20" t="s">
        <v>126</v>
      </c>
      <c r="F497" s="20" t="s">
        <v>118</v>
      </c>
      <c r="G497" s="20" t="s">
        <v>132</v>
      </c>
      <c r="H497" s="20">
        <v>-77.599999999999994</v>
      </c>
      <c r="I497" s="20" t="s">
        <v>120</v>
      </c>
      <c r="K497" s="20" t="str">
        <f>INDEX('EPA land and ag calcs'!$G$7:$G$14,MATCH('EPA land and ag potential'!E497,'EPA land and ag calcs'!$A$7:$A$15,0))</f>
        <v>afforestation and reforestation</v>
      </c>
    </row>
    <row r="498" spans="1:11" x14ac:dyDescent="0.35">
      <c r="A498" s="20" t="s">
        <v>114</v>
      </c>
      <c r="B498" s="20" t="s">
        <v>115</v>
      </c>
      <c r="C498" s="20">
        <v>2055</v>
      </c>
      <c r="D498" s="20" t="s">
        <v>116</v>
      </c>
      <c r="E498" s="20" t="s">
        <v>126</v>
      </c>
      <c r="F498" s="20" t="s">
        <v>118</v>
      </c>
      <c r="G498" s="20" t="s">
        <v>132</v>
      </c>
      <c r="H498" s="20">
        <v>-107</v>
      </c>
      <c r="I498" s="20" t="s">
        <v>120</v>
      </c>
      <c r="K498" s="20" t="str">
        <f>INDEX('EPA land and ag calcs'!$G$7:$G$14,MATCH('EPA land and ag potential'!E498,'EPA land and ag calcs'!$A$7:$A$15,0))</f>
        <v>afforestation and reforestation</v>
      </c>
    </row>
    <row r="499" spans="1:11" hidden="1" x14ac:dyDescent="0.35">
      <c r="A499" s="20" t="s">
        <v>114</v>
      </c>
      <c r="B499" s="20" t="s">
        <v>115</v>
      </c>
      <c r="C499" s="20">
        <v>2025</v>
      </c>
      <c r="D499" s="20" t="s">
        <v>116</v>
      </c>
      <c r="E499" s="20" t="s">
        <v>126</v>
      </c>
      <c r="F499" s="20" t="s">
        <v>121</v>
      </c>
      <c r="G499" s="20" t="s">
        <v>132</v>
      </c>
      <c r="I499" s="20" t="s">
        <v>120</v>
      </c>
    </row>
    <row r="500" spans="1:11" hidden="1" x14ac:dyDescent="0.35">
      <c r="A500" s="20" t="s">
        <v>114</v>
      </c>
      <c r="B500" s="20" t="s">
        <v>115</v>
      </c>
      <c r="C500" s="20">
        <v>2035</v>
      </c>
      <c r="D500" s="20" t="s">
        <v>116</v>
      </c>
      <c r="E500" s="20" t="s">
        <v>126</v>
      </c>
      <c r="F500" s="20" t="s">
        <v>121</v>
      </c>
      <c r="G500" s="20" t="s">
        <v>132</v>
      </c>
      <c r="H500" s="20">
        <v>-60.3</v>
      </c>
      <c r="I500" s="20" t="s">
        <v>120</v>
      </c>
    </row>
    <row r="501" spans="1:11" hidden="1" x14ac:dyDescent="0.35">
      <c r="A501" s="20" t="s">
        <v>114</v>
      </c>
      <c r="B501" s="20" t="s">
        <v>115</v>
      </c>
      <c r="C501" s="20">
        <v>2045</v>
      </c>
      <c r="D501" s="20" t="s">
        <v>116</v>
      </c>
      <c r="E501" s="20" t="s">
        <v>126</v>
      </c>
      <c r="F501" s="20" t="s">
        <v>121</v>
      </c>
      <c r="G501" s="20" t="s">
        <v>132</v>
      </c>
      <c r="H501" s="20">
        <v>-87.8</v>
      </c>
      <c r="I501" s="20" t="s">
        <v>120</v>
      </c>
    </row>
    <row r="502" spans="1:11" hidden="1" x14ac:dyDescent="0.35">
      <c r="A502" s="20" t="s">
        <v>114</v>
      </c>
      <c r="B502" s="20" t="s">
        <v>115</v>
      </c>
      <c r="C502" s="20">
        <v>2055</v>
      </c>
      <c r="D502" s="20" t="s">
        <v>116</v>
      </c>
      <c r="E502" s="20" t="s">
        <v>126</v>
      </c>
      <c r="F502" s="20" t="s">
        <v>121</v>
      </c>
      <c r="G502" s="20" t="s">
        <v>132</v>
      </c>
      <c r="H502" s="20">
        <v>-115.7</v>
      </c>
      <c r="I502" s="20" t="s">
        <v>120</v>
      </c>
    </row>
    <row r="503" spans="1:11" hidden="1" x14ac:dyDescent="0.35">
      <c r="A503" s="20" t="s">
        <v>114</v>
      </c>
      <c r="B503" s="20" t="s">
        <v>115</v>
      </c>
      <c r="C503" s="20">
        <v>2045</v>
      </c>
      <c r="D503" s="20" t="s">
        <v>116</v>
      </c>
      <c r="E503" s="20" t="s">
        <v>127</v>
      </c>
      <c r="F503" s="20" t="s">
        <v>121</v>
      </c>
      <c r="G503" s="20" t="s">
        <v>133</v>
      </c>
      <c r="H503" s="20">
        <v>1.1000000000000001</v>
      </c>
      <c r="I503" s="20" t="s">
        <v>120</v>
      </c>
    </row>
    <row r="504" spans="1:11" hidden="1" x14ac:dyDescent="0.35">
      <c r="A504" s="20" t="s">
        <v>114</v>
      </c>
      <c r="B504" s="20" t="s">
        <v>115</v>
      </c>
      <c r="C504" s="20">
        <v>2055</v>
      </c>
      <c r="D504" s="20" t="s">
        <v>116</v>
      </c>
      <c r="E504" s="20" t="s">
        <v>127</v>
      </c>
      <c r="F504" s="20" t="s">
        <v>121</v>
      </c>
      <c r="G504" s="20" t="s">
        <v>133</v>
      </c>
      <c r="H504" s="20">
        <v>1</v>
      </c>
      <c r="I504" s="20" t="s">
        <v>120</v>
      </c>
    </row>
    <row r="505" spans="1:11" x14ac:dyDescent="0.35">
      <c r="A505" s="20" t="s">
        <v>114</v>
      </c>
      <c r="B505" s="20" t="s">
        <v>115</v>
      </c>
      <c r="C505" s="20">
        <v>2025</v>
      </c>
      <c r="D505" s="20" t="s">
        <v>116</v>
      </c>
      <c r="E505" s="20" t="s">
        <v>127</v>
      </c>
      <c r="F505" s="20" t="s">
        <v>118</v>
      </c>
      <c r="G505" s="20" t="s">
        <v>132</v>
      </c>
      <c r="H505" s="20">
        <v>3.6</v>
      </c>
      <c r="I505" s="20" t="s">
        <v>120</v>
      </c>
      <c r="K505" s="20" t="str">
        <f>INDEX('EPA land and ag calcs'!$G$7:$G$14,MATCH('EPA land and ag potential'!E505,'EPA land and ag calcs'!$A$7:$A$15,0))</f>
        <v>forest management</v>
      </c>
    </row>
    <row r="506" spans="1:11" x14ac:dyDescent="0.35">
      <c r="A506" s="20" t="s">
        <v>114</v>
      </c>
      <c r="B506" s="20" t="s">
        <v>115</v>
      </c>
      <c r="C506" s="20">
        <v>2035</v>
      </c>
      <c r="D506" s="20" t="s">
        <v>116</v>
      </c>
      <c r="E506" s="20" t="s">
        <v>127</v>
      </c>
      <c r="F506" s="20" t="s">
        <v>118</v>
      </c>
      <c r="G506" s="20" t="s">
        <v>132</v>
      </c>
      <c r="H506" s="20">
        <v>3</v>
      </c>
      <c r="I506" s="20" t="s">
        <v>120</v>
      </c>
      <c r="K506" s="20" t="str">
        <f>INDEX('EPA land and ag calcs'!$G$7:$G$14,MATCH('EPA land and ag potential'!E506,'EPA land and ag calcs'!$A$7:$A$15,0))</f>
        <v>forest management</v>
      </c>
    </row>
    <row r="507" spans="1:11" x14ac:dyDescent="0.35">
      <c r="A507" s="20" t="s">
        <v>114</v>
      </c>
      <c r="B507" s="20" t="s">
        <v>115</v>
      </c>
      <c r="C507" s="20">
        <v>2045</v>
      </c>
      <c r="D507" s="20" t="s">
        <v>116</v>
      </c>
      <c r="E507" s="20" t="s">
        <v>127</v>
      </c>
      <c r="F507" s="20" t="s">
        <v>118</v>
      </c>
      <c r="G507" s="20" t="s">
        <v>132</v>
      </c>
      <c r="H507" s="20">
        <v>2.6</v>
      </c>
      <c r="I507" s="20" t="s">
        <v>120</v>
      </c>
      <c r="K507" s="20" t="str">
        <f>INDEX('EPA land and ag calcs'!$G$7:$G$14,MATCH('EPA land and ag potential'!E507,'EPA land and ag calcs'!$A$7:$A$15,0))</f>
        <v>forest management</v>
      </c>
    </row>
    <row r="508" spans="1:11" x14ac:dyDescent="0.35">
      <c r="A508" s="20" t="s">
        <v>114</v>
      </c>
      <c r="B508" s="20" t="s">
        <v>115</v>
      </c>
      <c r="C508" s="20">
        <v>2055</v>
      </c>
      <c r="D508" s="20" t="s">
        <v>116</v>
      </c>
      <c r="E508" s="20" t="s">
        <v>127</v>
      </c>
      <c r="F508" s="20" t="s">
        <v>118</v>
      </c>
      <c r="G508" s="20" t="s">
        <v>132</v>
      </c>
      <c r="H508" s="20">
        <v>2.4</v>
      </c>
      <c r="I508" s="20" t="s">
        <v>120</v>
      </c>
      <c r="K508" s="20" t="str">
        <f>INDEX('EPA land and ag calcs'!$G$7:$G$14,MATCH('EPA land and ag potential'!E508,'EPA land and ag calcs'!$A$7:$A$15,0))</f>
        <v>forest management</v>
      </c>
    </row>
    <row r="509" spans="1:11" hidden="1" x14ac:dyDescent="0.35">
      <c r="A509" s="20" t="s">
        <v>114</v>
      </c>
      <c r="B509" s="20" t="s">
        <v>115</v>
      </c>
      <c r="C509" s="20">
        <v>2025</v>
      </c>
      <c r="D509" s="20" t="s">
        <v>116</v>
      </c>
      <c r="E509" s="20" t="s">
        <v>127</v>
      </c>
      <c r="F509" s="20" t="s">
        <v>121</v>
      </c>
      <c r="G509" s="20" t="s">
        <v>132</v>
      </c>
      <c r="H509" s="20">
        <v>6.9</v>
      </c>
      <c r="I509" s="20" t="s">
        <v>120</v>
      </c>
    </row>
    <row r="510" spans="1:11" hidden="1" x14ac:dyDescent="0.35">
      <c r="A510" s="20" t="s">
        <v>114</v>
      </c>
      <c r="B510" s="20" t="s">
        <v>115</v>
      </c>
      <c r="C510" s="20">
        <v>2035</v>
      </c>
      <c r="D510" s="20" t="s">
        <v>116</v>
      </c>
      <c r="E510" s="20" t="s">
        <v>127</v>
      </c>
      <c r="F510" s="20" t="s">
        <v>121</v>
      </c>
      <c r="G510" s="20" t="s">
        <v>132</v>
      </c>
      <c r="H510" s="20">
        <v>5.4</v>
      </c>
      <c r="I510" s="20" t="s">
        <v>120</v>
      </c>
    </row>
    <row r="511" spans="1:11" hidden="1" x14ac:dyDescent="0.35">
      <c r="A511" s="20" t="s">
        <v>114</v>
      </c>
      <c r="B511" s="20" t="s">
        <v>115</v>
      </c>
      <c r="C511" s="20">
        <v>2045</v>
      </c>
      <c r="D511" s="20" t="s">
        <v>116</v>
      </c>
      <c r="E511" s="20" t="s">
        <v>127</v>
      </c>
      <c r="F511" s="20" t="s">
        <v>121</v>
      </c>
      <c r="G511" s="20" t="s">
        <v>132</v>
      </c>
      <c r="H511" s="20">
        <v>5</v>
      </c>
      <c r="I511" s="20" t="s">
        <v>120</v>
      </c>
    </row>
    <row r="512" spans="1:11" hidden="1" x14ac:dyDescent="0.35">
      <c r="A512" s="20" t="s">
        <v>114</v>
      </c>
      <c r="B512" s="20" t="s">
        <v>115</v>
      </c>
      <c r="C512" s="20">
        <v>2055</v>
      </c>
      <c r="D512" s="20" t="s">
        <v>116</v>
      </c>
      <c r="E512" s="20" t="s">
        <v>127</v>
      </c>
      <c r="F512" s="20" t="s">
        <v>121</v>
      </c>
      <c r="G512" s="20" t="s">
        <v>132</v>
      </c>
      <c r="H512" s="20">
        <v>4.5999999999999996</v>
      </c>
      <c r="I512" s="20" t="s">
        <v>120</v>
      </c>
    </row>
    <row r="513" spans="1:11" hidden="1" x14ac:dyDescent="0.35">
      <c r="A513" s="20" t="s">
        <v>114</v>
      </c>
      <c r="B513" s="20" t="s">
        <v>115</v>
      </c>
      <c r="C513" s="20">
        <v>2045</v>
      </c>
      <c r="D513" s="20" t="s">
        <v>116</v>
      </c>
      <c r="E513" s="20" t="s">
        <v>128</v>
      </c>
      <c r="F513" s="20" t="s">
        <v>121</v>
      </c>
      <c r="G513" s="20" t="s">
        <v>133</v>
      </c>
      <c r="H513" s="20">
        <v>-36.4</v>
      </c>
      <c r="I513" s="20" t="s">
        <v>120</v>
      </c>
    </row>
    <row r="514" spans="1:11" hidden="1" x14ac:dyDescent="0.35">
      <c r="A514" s="20" t="s">
        <v>114</v>
      </c>
      <c r="B514" s="20" t="s">
        <v>115</v>
      </c>
      <c r="C514" s="20">
        <v>2055</v>
      </c>
      <c r="D514" s="20" t="s">
        <v>116</v>
      </c>
      <c r="E514" s="20" t="s">
        <v>128</v>
      </c>
      <c r="F514" s="20" t="s">
        <v>121</v>
      </c>
      <c r="G514" s="20" t="s">
        <v>133</v>
      </c>
      <c r="H514" s="20">
        <v>-33.9</v>
      </c>
      <c r="I514" s="20" t="s">
        <v>120</v>
      </c>
    </row>
    <row r="515" spans="1:11" x14ac:dyDescent="0.35">
      <c r="A515" s="20" t="s">
        <v>114</v>
      </c>
      <c r="B515" s="20" t="s">
        <v>115</v>
      </c>
      <c r="C515" s="20">
        <v>2025</v>
      </c>
      <c r="D515" s="20" t="s">
        <v>116</v>
      </c>
      <c r="E515" s="20" t="s">
        <v>128</v>
      </c>
      <c r="F515" s="20" t="s">
        <v>118</v>
      </c>
      <c r="G515" s="20" t="s">
        <v>132</v>
      </c>
      <c r="H515" s="20">
        <v>-153.19999999999999</v>
      </c>
      <c r="I515" s="20" t="s">
        <v>120</v>
      </c>
      <c r="K515" s="20" t="str">
        <f>INDEX('EPA land and ag calcs'!$G$7:$G$14,MATCH('EPA land and ag potential'!E515,'EPA land and ag calcs'!$A$7:$A$15,0))</f>
        <v>afforestation and reforestation</v>
      </c>
    </row>
    <row r="516" spans="1:11" x14ac:dyDescent="0.35">
      <c r="A516" s="20" t="s">
        <v>114</v>
      </c>
      <c r="B516" s="20" t="s">
        <v>115</v>
      </c>
      <c r="C516" s="20">
        <v>2035</v>
      </c>
      <c r="D516" s="20" t="s">
        <v>116</v>
      </c>
      <c r="E516" s="20" t="s">
        <v>128</v>
      </c>
      <c r="F516" s="20" t="s">
        <v>118</v>
      </c>
      <c r="G516" s="20" t="s">
        <v>132</v>
      </c>
      <c r="H516" s="20">
        <v>-173.5</v>
      </c>
      <c r="I516" s="20" t="s">
        <v>120</v>
      </c>
      <c r="K516" s="20" t="str">
        <f>INDEX('EPA land and ag calcs'!$G$7:$G$14,MATCH('EPA land and ag potential'!E516,'EPA land and ag calcs'!$A$7:$A$15,0))</f>
        <v>afforestation and reforestation</v>
      </c>
    </row>
    <row r="517" spans="1:11" x14ac:dyDescent="0.35">
      <c r="A517" s="20" t="s">
        <v>114</v>
      </c>
      <c r="B517" s="20" t="s">
        <v>115</v>
      </c>
      <c r="C517" s="20">
        <v>2045</v>
      </c>
      <c r="D517" s="20" t="s">
        <v>116</v>
      </c>
      <c r="E517" s="20" t="s">
        <v>128</v>
      </c>
      <c r="F517" s="20" t="s">
        <v>118</v>
      </c>
      <c r="G517" s="20" t="s">
        <v>132</v>
      </c>
      <c r="H517" s="20">
        <v>-154.1</v>
      </c>
      <c r="I517" s="20" t="s">
        <v>120</v>
      </c>
      <c r="K517" s="20" t="str">
        <f>INDEX('EPA land and ag calcs'!$G$7:$G$14,MATCH('EPA land and ag potential'!E517,'EPA land and ag calcs'!$A$7:$A$15,0))</f>
        <v>afforestation and reforestation</v>
      </c>
    </row>
    <row r="518" spans="1:11" x14ac:dyDescent="0.35">
      <c r="A518" s="20" t="s">
        <v>114</v>
      </c>
      <c r="B518" s="20" t="s">
        <v>115</v>
      </c>
      <c r="C518" s="20">
        <v>2055</v>
      </c>
      <c r="D518" s="20" t="s">
        <v>116</v>
      </c>
      <c r="E518" s="20" t="s">
        <v>128</v>
      </c>
      <c r="F518" s="20" t="s">
        <v>118</v>
      </c>
      <c r="G518" s="20" t="s">
        <v>132</v>
      </c>
      <c r="H518" s="20">
        <v>-130.19999999999999</v>
      </c>
      <c r="I518" s="20" t="s">
        <v>120</v>
      </c>
      <c r="K518" s="20" t="str">
        <f>INDEX('EPA land and ag calcs'!$G$7:$G$14,MATCH('EPA land and ag potential'!E518,'EPA land and ag calcs'!$A$7:$A$15,0))</f>
        <v>afforestation and reforestation</v>
      </c>
    </row>
    <row r="519" spans="1:11" hidden="1" x14ac:dyDescent="0.35">
      <c r="A519" s="20" t="s">
        <v>114</v>
      </c>
      <c r="B519" s="20" t="s">
        <v>115</v>
      </c>
      <c r="C519" s="20">
        <v>2025</v>
      </c>
      <c r="D519" s="20" t="s">
        <v>116</v>
      </c>
      <c r="E519" s="20" t="s">
        <v>128</v>
      </c>
      <c r="F519" s="20" t="s">
        <v>121</v>
      </c>
      <c r="G519" s="20" t="s">
        <v>132</v>
      </c>
      <c r="H519" s="20">
        <v>-153.1</v>
      </c>
      <c r="I519" s="20" t="s">
        <v>120</v>
      </c>
    </row>
    <row r="520" spans="1:11" hidden="1" x14ac:dyDescent="0.35">
      <c r="A520" s="20" t="s">
        <v>114</v>
      </c>
      <c r="B520" s="20" t="s">
        <v>115</v>
      </c>
      <c r="C520" s="20">
        <v>2035</v>
      </c>
      <c r="D520" s="20" t="s">
        <v>116</v>
      </c>
      <c r="E520" s="20" t="s">
        <v>128</v>
      </c>
      <c r="F520" s="20" t="s">
        <v>121</v>
      </c>
      <c r="G520" s="20" t="s">
        <v>132</v>
      </c>
      <c r="H520" s="20">
        <v>-138.6</v>
      </c>
      <c r="I520" s="20" t="s">
        <v>120</v>
      </c>
    </row>
    <row r="521" spans="1:11" hidden="1" x14ac:dyDescent="0.35">
      <c r="A521" s="20" t="s">
        <v>114</v>
      </c>
      <c r="B521" s="20" t="s">
        <v>115</v>
      </c>
      <c r="C521" s="20">
        <v>2045</v>
      </c>
      <c r="D521" s="20" t="s">
        <v>116</v>
      </c>
      <c r="E521" s="20" t="s">
        <v>128</v>
      </c>
      <c r="F521" s="20" t="s">
        <v>121</v>
      </c>
      <c r="G521" s="20" t="s">
        <v>132</v>
      </c>
      <c r="H521" s="20">
        <v>-112.8</v>
      </c>
      <c r="I521" s="20" t="s">
        <v>120</v>
      </c>
    </row>
    <row r="522" spans="1:11" hidden="1" x14ac:dyDescent="0.35">
      <c r="A522" s="20" t="s">
        <v>114</v>
      </c>
      <c r="B522" s="20" t="s">
        <v>115</v>
      </c>
      <c r="C522" s="20">
        <v>2055</v>
      </c>
      <c r="D522" s="20" t="s">
        <v>116</v>
      </c>
      <c r="E522" s="20" t="s">
        <v>128</v>
      </c>
      <c r="F522" s="20" t="s">
        <v>121</v>
      </c>
      <c r="G522" s="20" t="s">
        <v>132</v>
      </c>
      <c r="H522" s="20">
        <v>-97.8</v>
      </c>
      <c r="I522" s="20" t="s">
        <v>120</v>
      </c>
    </row>
    <row r="523" spans="1:11" hidden="1" x14ac:dyDescent="0.35">
      <c r="A523" s="20" t="s">
        <v>114</v>
      </c>
      <c r="B523" s="20" t="s">
        <v>115</v>
      </c>
      <c r="C523" s="20">
        <v>2045</v>
      </c>
      <c r="D523" s="20" t="s">
        <v>116</v>
      </c>
      <c r="E523" s="20" t="s">
        <v>129</v>
      </c>
      <c r="F523" s="20" t="s">
        <v>121</v>
      </c>
      <c r="G523" s="20" t="s">
        <v>133</v>
      </c>
      <c r="H523" s="20">
        <v>-5.5</v>
      </c>
      <c r="I523" s="20" t="s">
        <v>120</v>
      </c>
    </row>
    <row r="524" spans="1:11" hidden="1" x14ac:dyDescent="0.35">
      <c r="A524" s="20" t="s">
        <v>114</v>
      </c>
      <c r="B524" s="20" t="s">
        <v>115</v>
      </c>
      <c r="C524" s="20">
        <v>2055</v>
      </c>
      <c r="D524" s="20" t="s">
        <v>116</v>
      </c>
      <c r="E524" s="20" t="s">
        <v>129</v>
      </c>
      <c r="F524" s="20" t="s">
        <v>121</v>
      </c>
      <c r="G524" s="20" t="s">
        <v>133</v>
      </c>
      <c r="H524" s="20">
        <v>-8</v>
      </c>
      <c r="I524" s="20" t="s">
        <v>120</v>
      </c>
    </row>
    <row r="525" spans="1:11" x14ac:dyDescent="0.35">
      <c r="A525" s="20" t="s">
        <v>114</v>
      </c>
      <c r="B525" s="20" t="s">
        <v>115</v>
      </c>
      <c r="C525" s="20">
        <v>2025</v>
      </c>
      <c r="D525" s="20" t="s">
        <v>116</v>
      </c>
      <c r="E525" s="20" t="s">
        <v>129</v>
      </c>
      <c r="F525" s="20" t="s">
        <v>118</v>
      </c>
      <c r="G525" s="20" t="s">
        <v>132</v>
      </c>
      <c r="H525" s="20">
        <v>-33.299999999999997</v>
      </c>
      <c r="I525" s="20" t="s">
        <v>120</v>
      </c>
      <c r="K525" s="20" t="str">
        <f>INDEX('EPA land and ag calcs'!$G$7:$G$14,MATCH('EPA land and ag potential'!E525,'EPA land and ag calcs'!$A$7:$A$15,0))</f>
        <v>*handled in agriculture files</v>
      </c>
    </row>
    <row r="526" spans="1:11" x14ac:dyDescent="0.35">
      <c r="A526" s="20" t="s">
        <v>114</v>
      </c>
      <c r="B526" s="20" t="s">
        <v>115</v>
      </c>
      <c r="C526" s="20">
        <v>2035</v>
      </c>
      <c r="D526" s="20" t="s">
        <v>116</v>
      </c>
      <c r="E526" s="20" t="s">
        <v>129</v>
      </c>
      <c r="F526" s="20" t="s">
        <v>118</v>
      </c>
      <c r="G526" s="20" t="s">
        <v>132</v>
      </c>
      <c r="H526" s="20">
        <v>-44.3</v>
      </c>
      <c r="I526" s="20" t="s">
        <v>120</v>
      </c>
      <c r="K526" s="20" t="str">
        <f>INDEX('EPA land and ag calcs'!$G$7:$G$14,MATCH('EPA land and ag potential'!E526,'EPA land and ag calcs'!$A$7:$A$15,0))</f>
        <v>*handled in agriculture files</v>
      </c>
    </row>
    <row r="527" spans="1:11" x14ac:dyDescent="0.35">
      <c r="A527" s="20" t="s">
        <v>114</v>
      </c>
      <c r="B527" s="20" t="s">
        <v>115</v>
      </c>
      <c r="C527" s="20">
        <v>2045</v>
      </c>
      <c r="D527" s="20" t="s">
        <v>116</v>
      </c>
      <c r="E527" s="20" t="s">
        <v>129</v>
      </c>
      <c r="F527" s="20" t="s">
        <v>118</v>
      </c>
      <c r="G527" s="20" t="s">
        <v>132</v>
      </c>
      <c r="H527" s="20">
        <v>-51.2</v>
      </c>
      <c r="I527" s="20" t="s">
        <v>120</v>
      </c>
      <c r="K527" s="20" t="str">
        <f>INDEX('EPA land and ag calcs'!$G$7:$G$14,MATCH('EPA land and ag potential'!E527,'EPA land and ag calcs'!$A$7:$A$15,0))</f>
        <v>*handled in agriculture files</v>
      </c>
    </row>
    <row r="528" spans="1:11" x14ac:dyDescent="0.35">
      <c r="A528" s="20" t="s">
        <v>114</v>
      </c>
      <c r="B528" s="20" t="s">
        <v>115</v>
      </c>
      <c r="C528" s="20">
        <v>2055</v>
      </c>
      <c r="D528" s="20" t="s">
        <v>116</v>
      </c>
      <c r="E528" s="20" t="s">
        <v>129</v>
      </c>
      <c r="F528" s="20" t="s">
        <v>118</v>
      </c>
      <c r="G528" s="20" t="s">
        <v>132</v>
      </c>
      <c r="H528" s="20">
        <v>-59.2</v>
      </c>
      <c r="I528" s="20" t="s">
        <v>120</v>
      </c>
      <c r="K528" s="20" t="str">
        <f>INDEX('EPA land and ag calcs'!$G$7:$G$14,MATCH('EPA land and ag potential'!E528,'EPA land and ag calcs'!$A$7:$A$15,0))</f>
        <v>*handled in agriculture files</v>
      </c>
    </row>
    <row r="529" spans="1:11" hidden="1" x14ac:dyDescent="0.35">
      <c r="A529" s="20" t="s">
        <v>114</v>
      </c>
      <c r="B529" s="20" t="s">
        <v>115</v>
      </c>
      <c r="C529" s="20">
        <v>2025</v>
      </c>
      <c r="D529" s="20" t="s">
        <v>116</v>
      </c>
      <c r="E529" s="20" t="s">
        <v>129</v>
      </c>
      <c r="F529" s="20" t="s">
        <v>121</v>
      </c>
      <c r="G529" s="20" t="s">
        <v>132</v>
      </c>
      <c r="H529" s="20">
        <v>-34.200000000000003</v>
      </c>
      <c r="I529" s="20" t="s">
        <v>120</v>
      </c>
    </row>
    <row r="530" spans="1:11" hidden="1" x14ac:dyDescent="0.35">
      <c r="A530" s="20" t="s">
        <v>114</v>
      </c>
      <c r="B530" s="20" t="s">
        <v>115</v>
      </c>
      <c r="C530" s="20">
        <v>2035</v>
      </c>
      <c r="D530" s="20" t="s">
        <v>116</v>
      </c>
      <c r="E530" s="20" t="s">
        <v>129</v>
      </c>
      <c r="F530" s="20" t="s">
        <v>121</v>
      </c>
      <c r="G530" s="20" t="s">
        <v>132</v>
      </c>
      <c r="H530" s="20">
        <v>-43.6</v>
      </c>
      <c r="I530" s="20" t="s">
        <v>120</v>
      </c>
    </row>
    <row r="531" spans="1:11" hidden="1" x14ac:dyDescent="0.35">
      <c r="A531" s="20" t="s">
        <v>114</v>
      </c>
      <c r="B531" s="20" t="s">
        <v>115</v>
      </c>
      <c r="C531" s="20">
        <v>2045</v>
      </c>
      <c r="D531" s="20" t="s">
        <v>116</v>
      </c>
      <c r="E531" s="20" t="s">
        <v>129</v>
      </c>
      <c r="F531" s="20" t="s">
        <v>121</v>
      </c>
      <c r="G531" s="20" t="s">
        <v>132</v>
      </c>
      <c r="H531" s="20">
        <v>-47.3</v>
      </c>
      <c r="I531" s="20" t="s">
        <v>120</v>
      </c>
    </row>
    <row r="532" spans="1:11" hidden="1" x14ac:dyDescent="0.35">
      <c r="A532" s="20" t="s">
        <v>114</v>
      </c>
      <c r="B532" s="20" t="s">
        <v>115</v>
      </c>
      <c r="C532" s="20">
        <v>2055</v>
      </c>
      <c r="D532" s="20" t="s">
        <v>116</v>
      </c>
      <c r="E532" s="20" t="s">
        <v>129</v>
      </c>
      <c r="F532" s="20" t="s">
        <v>121</v>
      </c>
      <c r="G532" s="20" t="s">
        <v>132</v>
      </c>
      <c r="H532" s="20">
        <v>-52</v>
      </c>
      <c r="I532" s="20" t="s">
        <v>120</v>
      </c>
    </row>
    <row r="533" spans="1:11" hidden="1" x14ac:dyDescent="0.35">
      <c r="A533" s="20" t="s">
        <v>114</v>
      </c>
      <c r="B533" s="20" t="s">
        <v>130</v>
      </c>
      <c r="C533" s="20">
        <v>2055</v>
      </c>
      <c r="D533" s="20" t="s">
        <v>116</v>
      </c>
      <c r="E533" s="20" t="s">
        <v>131</v>
      </c>
      <c r="F533" s="20" t="s">
        <v>121</v>
      </c>
      <c r="G533" s="20" t="s">
        <v>132</v>
      </c>
      <c r="H533" s="20">
        <v>-375</v>
      </c>
      <c r="I533" s="20" t="s">
        <v>120</v>
      </c>
    </row>
    <row r="534" spans="1:11" hidden="1" x14ac:dyDescent="0.35">
      <c r="A534" s="20" t="s">
        <v>114</v>
      </c>
      <c r="B534" s="20" t="s">
        <v>130</v>
      </c>
      <c r="C534" s="20">
        <v>2055</v>
      </c>
      <c r="D534" s="20" t="s">
        <v>116</v>
      </c>
      <c r="E534" s="20" t="s">
        <v>131</v>
      </c>
      <c r="F534" s="20" t="s">
        <v>121</v>
      </c>
      <c r="G534" s="20" t="s">
        <v>133</v>
      </c>
      <c r="H534" s="20">
        <v>-123.3</v>
      </c>
      <c r="I534" s="20" t="s">
        <v>120</v>
      </c>
    </row>
    <row r="535" spans="1:11" hidden="1" x14ac:dyDescent="0.35">
      <c r="A535" s="20" t="s">
        <v>114</v>
      </c>
      <c r="B535" s="20" t="s">
        <v>130</v>
      </c>
      <c r="C535" s="20">
        <v>2055</v>
      </c>
      <c r="D535" s="20" t="s">
        <v>116</v>
      </c>
      <c r="E535" s="20" t="s">
        <v>131</v>
      </c>
      <c r="F535" s="20" t="s">
        <v>121</v>
      </c>
      <c r="G535" s="20" t="s">
        <v>134</v>
      </c>
      <c r="H535" s="20">
        <v>-255.2</v>
      </c>
      <c r="I535" s="20" t="s">
        <v>120</v>
      </c>
    </row>
    <row r="536" spans="1:11" hidden="1" x14ac:dyDescent="0.35">
      <c r="A536" s="20" t="s">
        <v>114</v>
      </c>
      <c r="B536" s="20" t="s">
        <v>130</v>
      </c>
      <c r="C536" s="20">
        <v>2055</v>
      </c>
      <c r="D536" s="20" t="s">
        <v>116</v>
      </c>
      <c r="E536" s="20" t="s">
        <v>131</v>
      </c>
      <c r="F536" s="20" t="s">
        <v>121</v>
      </c>
      <c r="G536" s="20" t="s">
        <v>122</v>
      </c>
      <c r="H536" s="20">
        <v>-42.3</v>
      </c>
      <c r="I536" s="20" t="s">
        <v>120</v>
      </c>
    </row>
    <row r="537" spans="1:11" hidden="1" x14ac:dyDescent="0.35">
      <c r="A537" s="20" t="s">
        <v>114</v>
      </c>
      <c r="B537" s="20" t="s">
        <v>130</v>
      </c>
      <c r="C537" s="20">
        <v>2055</v>
      </c>
      <c r="D537" s="20" t="s">
        <v>116</v>
      </c>
      <c r="E537" s="20" t="s">
        <v>131</v>
      </c>
      <c r="F537" s="20" t="s">
        <v>121</v>
      </c>
      <c r="G537" s="20" t="s">
        <v>119</v>
      </c>
      <c r="H537" s="20">
        <v>-314.7</v>
      </c>
      <c r="I537" s="20" t="s">
        <v>120</v>
      </c>
    </row>
    <row r="538" spans="1:11" x14ac:dyDescent="0.35">
      <c r="A538" s="20" t="s">
        <v>114</v>
      </c>
      <c r="B538" s="20" t="s">
        <v>130</v>
      </c>
      <c r="C538" s="20">
        <v>2055</v>
      </c>
      <c r="D538" s="20" t="s">
        <v>116</v>
      </c>
      <c r="E538" s="20" t="s">
        <v>131</v>
      </c>
      <c r="F538" s="20" t="s">
        <v>118</v>
      </c>
      <c r="G538" s="20" t="s">
        <v>132</v>
      </c>
      <c r="H538" s="20">
        <v>-368.4</v>
      </c>
      <c r="I538" s="20" t="s">
        <v>120</v>
      </c>
      <c r="K538" s="20" t="e">
        <f>INDEX('EPA land and ag calcs'!$G$7:$G$14,MATCH('EPA land and ag potential'!E538,'EPA land and ag calcs'!$A$7:$A$15,0))</f>
        <v>#REF!</v>
      </c>
    </row>
    <row r="539" spans="1:11" x14ac:dyDescent="0.35">
      <c r="A539" s="20" t="s">
        <v>114</v>
      </c>
      <c r="B539" s="20" t="s">
        <v>130</v>
      </c>
      <c r="C539" s="20">
        <v>2055</v>
      </c>
      <c r="D539" s="20" t="s">
        <v>116</v>
      </c>
      <c r="E539" s="20" t="s">
        <v>131</v>
      </c>
      <c r="F539" s="20" t="s">
        <v>118</v>
      </c>
      <c r="G539" s="20" t="s">
        <v>133</v>
      </c>
      <c r="H539" s="20">
        <v>-153.1</v>
      </c>
      <c r="I539" s="20" t="s">
        <v>120</v>
      </c>
      <c r="K539" s="20" t="e">
        <f>INDEX('EPA land and ag calcs'!$G$7:$G$14,MATCH('EPA land and ag potential'!E539,'EPA land and ag calcs'!$A$7:$A$15,0))</f>
        <v>#REF!</v>
      </c>
    </row>
    <row r="540" spans="1:11" x14ac:dyDescent="0.35">
      <c r="A540" s="20" t="s">
        <v>114</v>
      </c>
      <c r="B540" s="20" t="s">
        <v>130</v>
      </c>
      <c r="C540" s="20">
        <v>2055</v>
      </c>
      <c r="D540" s="20" t="s">
        <v>116</v>
      </c>
      <c r="E540" s="20" t="s">
        <v>131</v>
      </c>
      <c r="F540" s="20" t="s">
        <v>118</v>
      </c>
      <c r="G540" s="20" t="s">
        <v>134</v>
      </c>
      <c r="H540" s="20">
        <v>-248.8</v>
      </c>
      <c r="I540" s="20" t="s">
        <v>120</v>
      </c>
      <c r="K540" s="20" t="e">
        <f>INDEX('EPA land and ag calcs'!$G$7:$G$14,MATCH('EPA land and ag potential'!E540,'EPA land and ag calcs'!$A$7:$A$15,0))</f>
        <v>#REF!</v>
      </c>
    </row>
    <row r="541" spans="1:11" x14ac:dyDescent="0.35">
      <c r="A541" s="20" t="s">
        <v>114</v>
      </c>
      <c r="B541" s="20" t="s">
        <v>130</v>
      </c>
      <c r="C541" s="20">
        <v>2055</v>
      </c>
      <c r="D541" s="20" t="s">
        <v>116</v>
      </c>
      <c r="E541" s="20" t="s">
        <v>131</v>
      </c>
      <c r="F541" s="20" t="s">
        <v>118</v>
      </c>
      <c r="G541" s="20" t="s">
        <v>122</v>
      </c>
      <c r="H541" s="20">
        <v>-36.5</v>
      </c>
      <c r="I541" s="20" t="s">
        <v>120</v>
      </c>
      <c r="K541" s="20" t="e">
        <f>INDEX('EPA land and ag calcs'!$G$7:$G$14,MATCH('EPA land and ag potential'!E541,'EPA land and ag calcs'!$A$7:$A$15,0))</f>
        <v>#REF!</v>
      </c>
    </row>
    <row r="542" spans="1:11" x14ac:dyDescent="0.35">
      <c r="A542" s="20" t="s">
        <v>114</v>
      </c>
      <c r="B542" s="20" t="s">
        <v>130</v>
      </c>
      <c r="C542" s="20">
        <v>2055</v>
      </c>
      <c r="D542" s="20" t="s">
        <v>116</v>
      </c>
      <c r="E542" s="20" t="s">
        <v>131</v>
      </c>
      <c r="F542" s="20" t="s">
        <v>118</v>
      </c>
      <c r="G542" s="20" t="s">
        <v>119</v>
      </c>
      <c r="H542" s="20">
        <v>-313.89999999999998</v>
      </c>
      <c r="I542" s="20" t="s">
        <v>120</v>
      </c>
      <c r="K542" s="20" t="e">
        <f>INDEX('EPA land and ag calcs'!$G$7:$G$14,MATCH('EPA land and ag potential'!E542,'EPA land and ag calcs'!$A$7:$A$15,0))</f>
        <v>#REF!</v>
      </c>
    </row>
    <row r="543" spans="1:11" hidden="1" x14ac:dyDescent="0.35">
      <c r="A543" s="20" t="s">
        <v>114</v>
      </c>
      <c r="B543" s="20" t="s">
        <v>115</v>
      </c>
      <c r="C543" s="20">
        <v>2045</v>
      </c>
      <c r="D543" s="20" t="s">
        <v>135</v>
      </c>
      <c r="E543" s="20" t="s">
        <v>126</v>
      </c>
      <c r="F543" s="20" t="s">
        <v>121</v>
      </c>
      <c r="G543" s="20" t="s">
        <v>133</v>
      </c>
      <c r="H543" s="20">
        <v>-2.5</v>
      </c>
      <c r="I543" s="20" t="s">
        <v>120</v>
      </c>
    </row>
    <row r="544" spans="1:11" hidden="1" x14ac:dyDescent="0.35">
      <c r="A544" s="20" t="s">
        <v>114</v>
      </c>
      <c r="B544" s="20" t="s">
        <v>115</v>
      </c>
      <c r="C544" s="20">
        <v>2055</v>
      </c>
      <c r="D544" s="20" t="s">
        <v>135</v>
      </c>
      <c r="E544" s="20" t="s">
        <v>126</v>
      </c>
      <c r="F544" s="20" t="s">
        <v>121</v>
      </c>
      <c r="G544" s="20" t="s">
        <v>133</v>
      </c>
      <c r="H544" s="20">
        <v>-7.6</v>
      </c>
      <c r="I544" s="20" t="s">
        <v>120</v>
      </c>
    </row>
    <row r="545" spans="1:9" hidden="1" x14ac:dyDescent="0.35">
      <c r="A545" s="20" t="s">
        <v>114</v>
      </c>
      <c r="B545" s="20" t="s">
        <v>115</v>
      </c>
      <c r="C545" s="20">
        <v>2025</v>
      </c>
      <c r="D545" s="20" t="s">
        <v>135</v>
      </c>
      <c r="E545" s="20" t="s">
        <v>126</v>
      </c>
      <c r="F545" s="20" t="s">
        <v>118</v>
      </c>
      <c r="G545" s="20" t="s">
        <v>132</v>
      </c>
      <c r="H545" s="20">
        <v>0</v>
      </c>
      <c r="I545" s="20" t="s">
        <v>120</v>
      </c>
    </row>
    <row r="546" spans="1:9" hidden="1" x14ac:dyDescent="0.35">
      <c r="A546" s="20" t="s">
        <v>114</v>
      </c>
      <c r="B546" s="20" t="s">
        <v>115</v>
      </c>
      <c r="C546" s="20">
        <v>2035</v>
      </c>
      <c r="D546" s="20" t="s">
        <v>135</v>
      </c>
      <c r="E546" s="20" t="s">
        <v>126</v>
      </c>
      <c r="F546" s="20" t="s">
        <v>118</v>
      </c>
      <c r="G546" s="20" t="s">
        <v>132</v>
      </c>
      <c r="H546" s="20">
        <v>-5.8</v>
      </c>
      <c r="I546" s="20" t="s">
        <v>120</v>
      </c>
    </row>
    <row r="547" spans="1:9" hidden="1" x14ac:dyDescent="0.35">
      <c r="A547" s="20" t="s">
        <v>114</v>
      </c>
      <c r="B547" s="20" t="s">
        <v>115</v>
      </c>
      <c r="C547" s="20">
        <v>2045</v>
      </c>
      <c r="D547" s="20" t="s">
        <v>135</v>
      </c>
      <c r="E547" s="20" t="s">
        <v>126</v>
      </c>
      <c r="F547" s="20" t="s">
        <v>118</v>
      </c>
      <c r="G547" s="20" t="s">
        <v>132</v>
      </c>
      <c r="H547" s="20">
        <v>-22.5</v>
      </c>
      <c r="I547" s="20" t="s">
        <v>120</v>
      </c>
    </row>
    <row r="548" spans="1:9" hidden="1" x14ac:dyDescent="0.35">
      <c r="A548" s="20" t="s">
        <v>114</v>
      </c>
      <c r="B548" s="20" t="s">
        <v>115</v>
      </c>
      <c r="C548" s="20">
        <v>2055</v>
      </c>
      <c r="D548" s="20" t="s">
        <v>135</v>
      </c>
      <c r="E548" s="20" t="s">
        <v>126</v>
      </c>
      <c r="F548" s="20" t="s">
        <v>118</v>
      </c>
      <c r="G548" s="20" t="s">
        <v>132</v>
      </c>
      <c r="H548" s="20">
        <v>-48.3</v>
      </c>
      <c r="I548" s="20" t="s">
        <v>120</v>
      </c>
    </row>
    <row r="549" spans="1:9" hidden="1" x14ac:dyDescent="0.35">
      <c r="A549" s="20" t="s">
        <v>114</v>
      </c>
      <c r="B549" s="20" t="s">
        <v>115</v>
      </c>
      <c r="C549" s="20">
        <v>2025</v>
      </c>
      <c r="D549" s="20" t="s">
        <v>135</v>
      </c>
      <c r="E549" s="20" t="s">
        <v>126</v>
      </c>
      <c r="F549" s="20" t="s">
        <v>121</v>
      </c>
      <c r="G549" s="20" t="s">
        <v>132</v>
      </c>
      <c r="H549" s="20">
        <v>0</v>
      </c>
      <c r="I549" s="20" t="s">
        <v>120</v>
      </c>
    </row>
    <row r="550" spans="1:9" hidden="1" x14ac:dyDescent="0.35">
      <c r="A550" s="20" t="s">
        <v>114</v>
      </c>
      <c r="B550" s="20" t="s">
        <v>115</v>
      </c>
      <c r="C550" s="20">
        <v>2035</v>
      </c>
      <c r="D550" s="20" t="s">
        <v>135</v>
      </c>
      <c r="E550" s="20" t="s">
        <v>126</v>
      </c>
      <c r="F550" s="20" t="s">
        <v>121</v>
      </c>
      <c r="G550" s="20" t="s">
        <v>132</v>
      </c>
      <c r="H550" s="20">
        <v>-5.5</v>
      </c>
      <c r="I550" s="20" t="s">
        <v>120</v>
      </c>
    </row>
    <row r="551" spans="1:9" hidden="1" x14ac:dyDescent="0.35">
      <c r="A551" s="20" t="s">
        <v>114</v>
      </c>
      <c r="B551" s="20" t="s">
        <v>115</v>
      </c>
      <c r="C551" s="20">
        <v>2045</v>
      </c>
      <c r="D551" s="20" t="s">
        <v>135</v>
      </c>
      <c r="E551" s="20" t="s">
        <v>126</v>
      </c>
      <c r="F551" s="20" t="s">
        <v>121</v>
      </c>
      <c r="G551" s="20" t="s">
        <v>132</v>
      </c>
      <c r="H551" s="20">
        <v>-21.5</v>
      </c>
      <c r="I551" s="20" t="s">
        <v>120</v>
      </c>
    </row>
    <row r="552" spans="1:9" hidden="1" x14ac:dyDescent="0.35">
      <c r="A552" s="20" t="s">
        <v>114</v>
      </c>
      <c r="B552" s="20" t="s">
        <v>115</v>
      </c>
      <c r="C552" s="20">
        <v>2055</v>
      </c>
      <c r="D552" s="20" t="s">
        <v>135</v>
      </c>
      <c r="E552" s="20" t="s">
        <v>126</v>
      </c>
      <c r="F552" s="20" t="s">
        <v>121</v>
      </c>
      <c r="G552" s="20" t="s">
        <v>132</v>
      </c>
      <c r="H552" s="20">
        <v>-45.9</v>
      </c>
      <c r="I552" s="20" t="s">
        <v>120</v>
      </c>
    </row>
    <row r="553" spans="1:9" hidden="1" x14ac:dyDescent="0.35">
      <c r="A553" s="20" t="s">
        <v>114</v>
      </c>
      <c r="B553" s="20" t="s">
        <v>115</v>
      </c>
      <c r="C553" s="20">
        <v>2025</v>
      </c>
      <c r="D553" s="20" t="s">
        <v>135</v>
      </c>
      <c r="E553" s="20" t="s">
        <v>129</v>
      </c>
      <c r="F553" s="20" t="s">
        <v>118</v>
      </c>
      <c r="G553" s="20" t="s">
        <v>119</v>
      </c>
      <c r="H553" s="20">
        <v>-35.799999999999997</v>
      </c>
      <c r="I553" s="20" t="s">
        <v>120</v>
      </c>
    </row>
    <row r="554" spans="1:9" hidden="1" x14ac:dyDescent="0.35">
      <c r="A554" s="20" t="s">
        <v>114</v>
      </c>
      <c r="B554" s="20" t="s">
        <v>115</v>
      </c>
      <c r="C554" s="20">
        <v>2035</v>
      </c>
      <c r="D554" s="20" t="s">
        <v>135</v>
      </c>
      <c r="E554" s="20" t="s">
        <v>129</v>
      </c>
      <c r="F554" s="20" t="s">
        <v>118</v>
      </c>
      <c r="G554" s="20" t="s">
        <v>119</v>
      </c>
      <c r="H554" s="20">
        <v>-42.1</v>
      </c>
      <c r="I554" s="20" t="s">
        <v>120</v>
      </c>
    </row>
    <row r="555" spans="1:9" hidden="1" x14ac:dyDescent="0.35">
      <c r="A555" s="20" t="s">
        <v>114</v>
      </c>
      <c r="B555" s="20" t="s">
        <v>115</v>
      </c>
      <c r="C555" s="20">
        <v>2045</v>
      </c>
      <c r="D555" s="20" t="s">
        <v>135</v>
      </c>
      <c r="E555" s="20" t="s">
        <v>129</v>
      </c>
      <c r="F555" s="20" t="s">
        <v>118</v>
      </c>
      <c r="G555" s="20" t="s">
        <v>119</v>
      </c>
      <c r="H555" s="20">
        <v>-48.7</v>
      </c>
      <c r="I555" s="20" t="s">
        <v>120</v>
      </c>
    </row>
    <row r="556" spans="1:9" hidden="1" x14ac:dyDescent="0.35">
      <c r="A556" s="20" t="s">
        <v>114</v>
      </c>
      <c r="B556" s="20" t="s">
        <v>115</v>
      </c>
      <c r="C556" s="20">
        <v>2055</v>
      </c>
      <c r="D556" s="20" t="s">
        <v>135</v>
      </c>
      <c r="E556" s="20" t="s">
        <v>129</v>
      </c>
      <c r="F556" s="20" t="s">
        <v>118</v>
      </c>
      <c r="G556" s="20" t="s">
        <v>119</v>
      </c>
      <c r="H556" s="20">
        <v>-53.5</v>
      </c>
      <c r="I556" s="20" t="s">
        <v>120</v>
      </c>
    </row>
    <row r="557" spans="1:9" hidden="1" x14ac:dyDescent="0.35">
      <c r="A557" s="20" t="s">
        <v>114</v>
      </c>
      <c r="B557" s="20" t="s">
        <v>115</v>
      </c>
      <c r="C557" s="20">
        <v>2025</v>
      </c>
      <c r="D557" s="20" t="s">
        <v>135</v>
      </c>
      <c r="E557" s="20" t="s">
        <v>129</v>
      </c>
      <c r="F557" s="20" t="s">
        <v>121</v>
      </c>
      <c r="G557" s="20" t="s">
        <v>119</v>
      </c>
      <c r="H557" s="20">
        <v>-35.799999999999997</v>
      </c>
      <c r="I557" s="20" t="s">
        <v>120</v>
      </c>
    </row>
    <row r="558" spans="1:9" hidden="1" x14ac:dyDescent="0.35">
      <c r="A558" s="20" t="s">
        <v>114</v>
      </c>
      <c r="B558" s="20" t="s">
        <v>115</v>
      </c>
      <c r="C558" s="20">
        <v>2035</v>
      </c>
      <c r="D558" s="20" t="s">
        <v>135</v>
      </c>
      <c r="E558" s="20" t="s">
        <v>129</v>
      </c>
      <c r="F558" s="20" t="s">
        <v>121</v>
      </c>
      <c r="G558" s="20" t="s">
        <v>119</v>
      </c>
      <c r="H558" s="20">
        <v>-40.700000000000003</v>
      </c>
      <c r="I558" s="20" t="s">
        <v>120</v>
      </c>
    </row>
    <row r="559" spans="1:9" hidden="1" x14ac:dyDescent="0.35">
      <c r="A559" s="20" t="s">
        <v>114</v>
      </c>
      <c r="B559" s="20" t="s">
        <v>115</v>
      </c>
      <c r="C559" s="20">
        <v>2045</v>
      </c>
      <c r="D559" s="20" t="s">
        <v>135</v>
      </c>
      <c r="E559" s="20" t="s">
        <v>129</v>
      </c>
      <c r="F559" s="20" t="s">
        <v>121</v>
      </c>
      <c r="G559" s="20" t="s">
        <v>119</v>
      </c>
      <c r="H559" s="20">
        <v>-46.8</v>
      </c>
      <c r="I559" s="20" t="s">
        <v>120</v>
      </c>
    </row>
    <row r="560" spans="1:9" hidden="1" x14ac:dyDescent="0.35">
      <c r="A560" s="20" t="s">
        <v>114</v>
      </c>
      <c r="B560" s="20" t="s">
        <v>115</v>
      </c>
      <c r="C560" s="20">
        <v>2055</v>
      </c>
      <c r="D560" s="20" t="s">
        <v>135</v>
      </c>
      <c r="E560" s="20" t="s">
        <v>129</v>
      </c>
      <c r="F560" s="20" t="s">
        <v>121</v>
      </c>
      <c r="G560" s="20" t="s">
        <v>119</v>
      </c>
      <c r="H560" s="20">
        <v>-51.6</v>
      </c>
      <c r="I560" s="20" t="s">
        <v>120</v>
      </c>
    </row>
    <row r="561" spans="1:9" hidden="1" x14ac:dyDescent="0.35">
      <c r="A561" s="20" t="s">
        <v>114</v>
      </c>
      <c r="B561" s="20" t="s">
        <v>115</v>
      </c>
      <c r="C561" s="20">
        <v>2025</v>
      </c>
      <c r="D561" s="20" t="s">
        <v>135</v>
      </c>
      <c r="E561" s="20" t="s">
        <v>129</v>
      </c>
      <c r="F561" s="20" t="s">
        <v>118</v>
      </c>
      <c r="G561" s="20" t="s">
        <v>122</v>
      </c>
      <c r="H561" s="20">
        <v>-3</v>
      </c>
      <c r="I561" s="20" t="s">
        <v>120</v>
      </c>
    </row>
    <row r="562" spans="1:9" hidden="1" x14ac:dyDescent="0.35">
      <c r="A562" s="20" t="s">
        <v>114</v>
      </c>
      <c r="B562" s="20" t="s">
        <v>115</v>
      </c>
      <c r="C562" s="20">
        <v>2035</v>
      </c>
      <c r="D562" s="20" t="s">
        <v>135</v>
      </c>
      <c r="E562" s="20" t="s">
        <v>129</v>
      </c>
      <c r="F562" s="20" t="s">
        <v>118</v>
      </c>
      <c r="G562" s="20" t="s">
        <v>122</v>
      </c>
      <c r="H562" s="20">
        <v>-5.3</v>
      </c>
      <c r="I562" s="20" t="s">
        <v>120</v>
      </c>
    </row>
    <row r="563" spans="1:9" hidden="1" x14ac:dyDescent="0.35">
      <c r="A563" s="20" t="s">
        <v>114</v>
      </c>
      <c r="B563" s="20" t="s">
        <v>115</v>
      </c>
      <c r="C563" s="20">
        <v>2045</v>
      </c>
      <c r="D563" s="20" t="s">
        <v>135</v>
      </c>
      <c r="E563" s="20" t="s">
        <v>129</v>
      </c>
      <c r="F563" s="20" t="s">
        <v>118</v>
      </c>
      <c r="G563" s="20" t="s">
        <v>122</v>
      </c>
      <c r="H563" s="20">
        <v>-8.6999999999999993</v>
      </c>
      <c r="I563" s="20" t="s">
        <v>120</v>
      </c>
    </row>
    <row r="564" spans="1:9" hidden="1" x14ac:dyDescent="0.35">
      <c r="A564" s="20" t="s">
        <v>114</v>
      </c>
      <c r="B564" s="20" t="s">
        <v>115</v>
      </c>
      <c r="C564" s="20">
        <v>2055</v>
      </c>
      <c r="D564" s="20" t="s">
        <v>135</v>
      </c>
      <c r="E564" s="20" t="s">
        <v>129</v>
      </c>
      <c r="F564" s="20" t="s">
        <v>118</v>
      </c>
      <c r="G564" s="20" t="s">
        <v>122</v>
      </c>
      <c r="H564" s="20">
        <v>-17</v>
      </c>
      <c r="I564" s="20" t="s">
        <v>120</v>
      </c>
    </row>
    <row r="565" spans="1:9" hidden="1" x14ac:dyDescent="0.35">
      <c r="A565" s="20" t="s">
        <v>114</v>
      </c>
      <c r="B565" s="20" t="s">
        <v>115</v>
      </c>
      <c r="C565" s="20">
        <v>2025</v>
      </c>
      <c r="D565" s="20" t="s">
        <v>135</v>
      </c>
      <c r="E565" s="20" t="s">
        <v>129</v>
      </c>
      <c r="F565" s="20" t="s">
        <v>121</v>
      </c>
      <c r="G565" s="20" t="s">
        <v>122</v>
      </c>
      <c r="H565" s="20">
        <v>-3</v>
      </c>
      <c r="I565" s="20" t="s">
        <v>120</v>
      </c>
    </row>
    <row r="566" spans="1:9" hidden="1" x14ac:dyDescent="0.35">
      <c r="A566" s="20" t="s">
        <v>114</v>
      </c>
      <c r="B566" s="20" t="s">
        <v>115</v>
      </c>
      <c r="C566" s="20">
        <v>2035</v>
      </c>
      <c r="D566" s="20" t="s">
        <v>135</v>
      </c>
      <c r="E566" s="20" t="s">
        <v>129</v>
      </c>
      <c r="F566" s="20" t="s">
        <v>121</v>
      </c>
      <c r="G566" s="20" t="s">
        <v>122</v>
      </c>
      <c r="H566" s="20">
        <v>-5.5</v>
      </c>
      <c r="I566" s="20" t="s">
        <v>120</v>
      </c>
    </row>
    <row r="567" spans="1:9" hidden="1" x14ac:dyDescent="0.35">
      <c r="A567" s="20" t="s">
        <v>114</v>
      </c>
      <c r="B567" s="20" t="s">
        <v>115</v>
      </c>
      <c r="C567" s="20">
        <v>2045</v>
      </c>
      <c r="D567" s="20" t="s">
        <v>135</v>
      </c>
      <c r="E567" s="20" t="s">
        <v>129</v>
      </c>
      <c r="F567" s="20" t="s">
        <v>121</v>
      </c>
      <c r="G567" s="20" t="s">
        <v>122</v>
      </c>
      <c r="H567" s="20">
        <v>-8.6999999999999993</v>
      </c>
      <c r="I567" s="20" t="s">
        <v>120</v>
      </c>
    </row>
    <row r="568" spans="1:9" hidden="1" x14ac:dyDescent="0.35">
      <c r="A568" s="20" t="s">
        <v>114</v>
      </c>
      <c r="B568" s="20" t="s">
        <v>115</v>
      </c>
      <c r="C568" s="20">
        <v>2055</v>
      </c>
      <c r="D568" s="20" t="s">
        <v>135</v>
      </c>
      <c r="E568" s="20" t="s">
        <v>129</v>
      </c>
      <c r="F568" s="20" t="s">
        <v>121</v>
      </c>
      <c r="G568" s="20" t="s">
        <v>122</v>
      </c>
      <c r="H568" s="20">
        <v>-10.8</v>
      </c>
      <c r="I568" s="20" t="s">
        <v>120</v>
      </c>
    </row>
    <row r="569" spans="1:9" hidden="1" x14ac:dyDescent="0.35">
      <c r="A569" s="20" t="s">
        <v>114</v>
      </c>
      <c r="B569" s="20" t="s">
        <v>115</v>
      </c>
      <c r="C569" s="20">
        <v>2025</v>
      </c>
      <c r="D569" s="20" t="s">
        <v>135</v>
      </c>
      <c r="E569" s="20" t="s">
        <v>129</v>
      </c>
      <c r="F569" s="20" t="s">
        <v>118</v>
      </c>
      <c r="G569" s="20" t="s">
        <v>134</v>
      </c>
      <c r="H569" s="20">
        <v>-27.8</v>
      </c>
      <c r="I569" s="20" t="s">
        <v>120</v>
      </c>
    </row>
    <row r="570" spans="1:9" hidden="1" x14ac:dyDescent="0.35">
      <c r="A570" s="20" t="s">
        <v>114</v>
      </c>
      <c r="B570" s="20" t="s">
        <v>115</v>
      </c>
      <c r="C570" s="20">
        <v>2035</v>
      </c>
      <c r="D570" s="20" t="s">
        <v>135</v>
      </c>
      <c r="E570" s="20" t="s">
        <v>129</v>
      </c>
      <c r="F570" s="20" t="s">
        <v>118</v>
      </c>
      <c r="G570" s="20" t="s">
        <v>134</v>
      </c>
      <c r="H570" s="20">
        <v>-36.299999999999997</v>
      </c>
      <c r="I570" s="20" t="s">
        <v>120</v>
      </c>
    </row>
    <row r="571" spans="1:9" hidden="1" x14ac:dyDescent="0.35">
      <c r="A571" s="20" t="s">
        <v>114</v>
      </c>
      <c r="B571" s="20" t="s">
        <v>115</v>
      </c>
      <c r="C571" s="20">
        <v>2045</v>
      </c>
      <c r="D571" s="20" t="s">
        <v>135</v>
      </c>
      <c r="E571" s="20" t="s">
        <v>129</v>
      </c>
      <c r="F571" s="20" t="s">
        <v>118</v>
      </c>
      <c r="G571" s="20" t="s">
        <v>134</v>
      </c>
      <c r="H571" s="20">
        <v>-44.3</v>
      </c>
      <c r="I571" s="20" t="s">
        <v>120</v>
      </c>
    </row>
    <row r="572" spans="1:9" hidden="1" x14ac:dyDescent="0.35">
      <c r="A572" s="20" t="s">
        <v>114</v>
      </c>
      <c r="B572" s="20" t="s">
        <v>115</v>
      </c>
      <c r="C572" s="20">
        <v>2055</v>
      </c>
      <c r="D572" s="20" t="s">
        <v>135</v>
      </c>
      <c r="E572" s="20" t="s">
        <v>129</v>
      </c>
      <c r="F572" s="20" t="s">
        <v>118</v>
      </c>
      <c r="G572" s="20" t="s">
        <v>134</v>
      </c>
      <c r="H572" s="20">
        <v>-49.8</v>
      </c>
      <c r="I572" s="20" t="s">
        <v>120</v>
      </c>
    </row>
    <row r="573" spans="1:9" hidden="1" x14ac:dyDescent="0.35">
      <c r="A573" s="20" t="s">
        <v>114</v>
      </c>
      <c r="B573" s="20" t="s">
        <v>115</v>
      </c>
      <c r="C573" s="20">
        <v>2025</v>
      </c>
      <c r="D573" s="20" t="s">
        <v>135</v>
      </c>
      <c r="E573" s="20" t="s">
        <v>129</v>
      </c>
      <c r="F573" s="20" t="s">
        <v>121</v>
      </c>
      <c r="G573" s="20" t="s">
        <v>134</v>
      </c>
      <c r="H573" s="20">
        <v>-27.8</v>
      </c>
      <c r="I573" s="20" t="s">
        <v>120</v>
      </c>
    </row>
    <row r="574" spans="1:9" hidden="1" x14ac:dyDescent="0.35">
      <c r="A574" s="20" t="s">
        <v>114</v>
      </c>
      <c r="B574" s="20" t="s">
        <v>115</v>
      </c>
      <c r="C574" s="20">
        <v>2035</v>
      </c>
      <c r="D574" s="20" t="s">
        <v>135</v>
      </c>
      <c r="E574" s="20" t="s">
        <v>129</v>
      </c>
      <c r="F574" s="20" t="s">
        <v>121</v>
      </c>
      <c r="G574" s="20" t="s">
        <v>134</v>
      </c>
      <c r="H574" s="20">
        <v>-34.5</v>
      </c>
      <c r="I574" s="20" t="s">
        <v>120</v>
      </c>
    </row>
    <row r="575" spans="1:9" hidden="1" x14ac:dyDescent="0.35">
      <c r="A575" s="20" t="s">
        <v>114</v>
      </c>
      <c r="B575" s="20" t="s">
        <v>115</v>
      </c>
      <c r="C575" s="20">
        <v>2045</v>
      </c>
      <c r="D575" s="20" t="s">
        <v>135</v>
      </c>
      <c r="E575" s="20" t="s">
        <v>129</v>
      </c>
      <c r="F575" s="20" t="s">
        <v>121</v>
      </c>
      <c r="G575" s="20" t="s">
        <v>134</v>
      </c>
      <c r="H575" s="20">
        <v>-41.1</v>
      </c>
      <c r="I575" s="20" t="s">
        <v>120</v>
      </c>
    </row>
    <row r="576" spans="1:9" hidden="1" x14ac:dyDescent="0.35">
      <c r="A576" s="20" t="s">
        <v>114</v>
      </c>
      <c r="B576" s="20" t="s">
        <v>115</v>
      </c>
      <c r="C576" s="20">
        <v>2055</v>
      </c>
      <c r="D576" s="20" t="s">
        <v>135</v>
      </c>
      <c r="E576" s="20" t="s">
        <v>129</v>
      </c>
      <c r="F576" s="20" t="s">
        <v>121</v>
      </c>
      <c r="G576" s="20" t="s">
        <v>134</v>
      </c>
      <c r="H576" s="20">
        <v>-45.8</v>
      </c>
      <c r="I576" s="20" t="s">
        <v>120</v>
      </c>
    </row>
    <row r="577" spans="1:9" hidden="1" x14ac:dyDescent="0.35">
      <c r="A577" s="20" t="s">
        <v>114</v>
      </c>
      <c r="B577" s="20" t="s">
        <v>115</v>
      </c>
      <c r="C577" s="20">
        <v>2025</v>
      </c>
      <c r="D577" s="20" t="s">
        <v>135</v>
      </c>
      <c r="E577" s="20" t="s">
        <v>129</v>
      </c>
      <c r="F577" s="20" t="s">
        <v>118</v>
      </c>
      <c r="G577" s="20" t="s">
        <v>133</v>
      </c>
      <c r="H577" s="20">
        <v>-22.7</v>
      </c>
      <c r="I577" s="20" t="s">
        <v>120</v>
      </c>
    </row>
    <row r="578" spans="1:9" hidden="1" x14ac:dyDescent="0.35">
      <c r="A578" s="20" t="s">
        <v>114</v>
      </c>
      <c r="B578" s="20" t="s">
        <v>115</v>
      </c>
      <c r="C578" s="20">
        <v>2035</v>
      </c>
      <c r="D578" s="20" t="s">
        <v>135</v>
      </c>
      <c r="E578" s="20" t="s">
        <v>129</v>
      </c>
      <c r="F578" s="20" t="s">
        <v>118</v>
      </c>
      <c r="G578" s="20" t="s">
        <v>133</v>
      </c>
      <c r="H578" s="20">
        <v>-27.5</v>
      </c>
      <c r="I578" s="20" t="s">
        <v>120</v>
      </c>
    </row>
    <row r="579" spans="1:9" hidden="1" x14ac:dyDescent="0.35">
      <c r="A579" s="20" t="s">
        <v>114</v>
      </c>
      <c r="B579" s="20" t="s">
        <v>115</v>
      </c>
      <c r="C579" s="20">
        <v>2045</v>
      </c>
      <c r="D579" s="20" t="s">
        <v>135</v>
      </c>
      <c r="E579" s="20" t="s">
        <v>129</v>
      </c>
      <c r="F579" s="20" t="s">
        <v>118</v>
      </c>
      <c r="G579" s="20" t="s">
        <v>133</v>
      </c>
      <c r="H579" s="20">
        <v>-36.200000000000003</v>
      </c>
      <c r="I579" s="20" t="s">
        <v>120</v>
      </c>
    </row>
    <row r="580" spans="1:9" hidden="1" x14ac:dyDescent="0.35">
      <c r="A580" s="20" t="s">
        <v>114</v>
      </c>
      <c r="B580" s="20" t="s">
        <v>115</v>
      </c>
      <c r="C580" s="20">
        <v>2055</v>
      </c>
      <c r="D580" s="20" t="s">
        <v>135</v>
      </c>
      <c r="E580" s="20" t="s">
        <v>129</v>
      </c>
      <c r="F580" s="20" t="s">
        <v>118</v>
      </c>
      <c r="G580" s="20" t="s">
        <v>133</v>
      </c>
      <c r="H580" s="20">
        <v>-42.5</v>
      </c>
      <c r="I580" s="20" t="s">
        <v>120</v>
      </c>
    </row>
    <row r="581" spans="1:9" hidden="1" x14ac:dyDescent="0.35">
      <c r="A581" s="20" t="s">
        <v>114</v>
      </c>
      <c r="B581" s="20" t="s">
        <v>115</v>
      </c>
      <c r="C581" s="20">
        <v>2025</v>
      </c>
      <c r="D581" s="20" t="s">
        <v>135</v>
      </c>
      <c r="E581" s="20" t="s">
        <v>129</v>
      </c>
      <c r="F581" s="20" t="s">
        <v>121</v>
      </c>
      <c r="G581" s="20" t="s">
        <v>133</v>
      </c>
      <c r="H581" s="20">
        <v>-22.7</v>
      </c>
      <c r="I581" s="20" t="s">
        <v>120</v>
      </c>
    </row>
    <row r="582" spans="1:9" hidden="1" x14ac:dyDescent="0.35">
      <c r="A582" s="20" t="s">
        <v>114</v>
      </c>
      <c r="B582" s="20" t="s">
        <v>115</v>
      </c>
      <c r="C582" s="20">
        <v>2035</v>
      </c>
      <c r="D582" s="20" t="s">
        <v>135</v>
      </c>
      <c r="E582" s="20" t="s">
        <v>129</v>
      </c>
      <c r="F582" s="20" t="s">
        <v>121</v>
      </c>
      <c r="G582" s="20" t="s">
        <v>133</v>
      </c>
      <c r="H582" s="20">
        <v>-25.8</v>
      </c>
      <c r="I582" s="20" t="s">
        <v>120</v>
      </c>
    </row>
    <row r="583" spans="1:9" hidden="1" x14ac:dyDescent="0.35">
      <c r="A583" s="20" t="s">
        <v>114</v>
      </c>
      <c r="B583" s="20" t="s">
        <v>115</v>
      </c>
      <c r="C583" s="20">
        <v>2045</v>
      </c>
      <c r="D583" s="20" t="s">
        <v>135</v>
      </c>
      <c r="E583" s="20" t="s">
        <v>129</v>
      </c>
      <c r="F583" s="20" t="s">
        <v>121</v>
      </c>
      <c r="G583" s="20" t="s">
        <v>133</v>
      </c>
      <c r="H583" s="20">
        <v>-32.6</v>
      </c>
      <c r="I583" s="20" t="s">
        <v>120</v>
      </c>
    </row>
    <row r="584" spans="1:9" hidden="1" x14ac:dyDescent="0.35">
      <c r="A584" s="20" t="s">
        <v>114</v>
      </c>
      <c r="B584" s="20" t="s">
        <v>115</v>
      </c>
      <c r="C584" s="20">
        <v>2055</v>
      </c>
      <c r="D584" s="20" t="s">
        <v>135</v>
      </c>
      <c r="E584" s="20" t="s">
        <v>129</v>
      </c>
      <c r="F584" s="20" t="s">
        <v>121</v>
      </c>
      <c r="G584" s="20" t="s">
        <v>133</v>
      </c>
      <c r="H584" s="20">
        <v>-38.9</v>
      </c>
      <c r="I584" s="20" t="s">
        <v>120</v>
      </c>
    </row>
    <row r="585" spans="1:9" hidden="1" x14ac:dyDescent="0.35">
      <c r="A585" s="20" t="s">
        <v>114</v>
      </c>
      <c r="B585" s="20" t="s">
        <v>115</v>
      </c>
      <c r="C585" s="20">
        <v>2025</v>
      </c>
      <c r="D585" s="20" t="s">
        <v>135</v>
      </c>
      <c r="E585" s="20" t="s">
        <v>129</v>
      </c>
      <c r="F585" s="20" t="s">
        <v>118</v>
      </c>
      <c r="G585" s="20" t="s">
        <v>132</v>
      </c>
      <c r="H585" s="20">
        <v>-45.9</v>
      </c>
      <c r="I585" s="20" t="s">
        <v>120</v>
      </c>
    </row>
    <row r="586" spans="1:9" hidden="1" x14ac:dyDescent="0.35">
      <c r="A586" s="20" t="s">
        <v>114</v>
      </c>
      <c r="B586" s="20" t="s">
        <v>115</v>
      </c>
      <c r="C586" s="20">
        <v>2035</v>
      </c>
      <c r="D586" s="20" t="s">
        <v>135</v>
      </c>
      <c r="E586" s="20" t="s">
        <v>129</v>
      </c>
      <c r="F586" s="20" t="s">
        <v>118</v>
      </c>
      <c r="G586" s="20" t="s">
        <v>132</v>
      </c>
      <c r="H586" s="20">
        <v>-50.8</v>
      </c>
      <c r="I586" s="20" t="s">
        <v>120</v>
      </c>
    </row>
    <row r="587" spans="1:9" hidden="1" x14ac:dyDescent="0.35">
      <c r="A587" s="20" t="s">
        <v>114</v>
      </c>
      <c r="B587" s="20" t="s">
        <v>115</v>
      </c>
      <c r="C587" s="20">
        <v>2045</v>
      </c>
      <c r="D587" s="20" t="s">
        <v>135</v>
      </c>
      <c r="E587" s="20" t="s">
        <v>129</v>
      </c>
      <c r="F587" s="20" t="s">
        <v>118</v>
      </c>
      <c r="G587" s="20" t="s">
        <v>132</v>
      </c>
      <c r="H587" s="20">
        <v>-55.7</v>
      </c>
      <c r="I587" s="20" t="s">
        <v>120</v>
      </c>
    </row>
    <row r="588" spans="1:9" hidden="1" x14ac:dyDescent="0.35">
      <c r="A588" s="20" t="s">
        <v>114</v>
      </c>
      <c r="B588" s="20" t="s">
        <v>115</v>
      </c>
      <c r="C588" s="20">
        <v>2055</v>
      </c>
      <c r="D588" s="20" t="s">
        <v>135</v>
      </c>
      <c r="E588" s="20" t="s">
        <v>129</v>
      </c>
      <c r="F588" s="20" t="s">
        <v>118</v>
      </c>
      <c r="G588" s="20" t="s">
        <v>132</v>
      </c>
      <c r="H588" s="20">
        <v>-59.7</v>
      </c>
      <c r="I588" s="20" t="s">
        <v>120</v>
      </c>
    </row>
    <row r="589" spans="1:9" hidden="1" x14ac:dyDescent="0.35">
      <c r="A589" s="20" t="s">
        <v>114</v>
      </c>
      <c r="B589" s="20" t="s">
        <v>115</v>
      </c>
      <c r="C589" s="20">
        <v>2025</v>
      </c>
      <c r="D589" s="20" t="s">
        <v>135</v>
      </c>
      <c r="E589" s="20" t="s">
        <v>129</v>
      </c>
      <c r="F589" s="20" t="s">
        <v>121</v>
      </c>
      <c r="G589" s="20" t="s">
        <v>132</v>
      </c>
      <c r="H589" s="20">
        <v>-45.9</v>
      </c>
      <c r="I589" s="20" t="s">
        <v>120</v>
      </c>
    </row>
    <row r="590" spans="1:9" hidden="1" x14ac:dyDescent="0.35">
      <c r="A590" s="20" t="s">
        <v>114</v>
      </c>
      <c r="B590" s="20" t="s">
        <v>115</v>
      </c>
      <c r="C590" s="20">
        <v>2035</v>
      </c>
      <c r="D590" s="20" t="s">
        <v>135</v>
      </c>
      <c r="E590" s="20" t="s">
        <v>129</v>
      </c>
      <c r="F590" s="20" t="s">
        <v>121</v>
      </c>
      <c r="G590" s="20" t="s">
        <v>132</v>
      </c>
      <c r="H590" s="20">
        <v>-50.2</v>
      </c>
      <c r="I590" s="20" t="s">
        <v>120</v>
      </c>
    </row>
    <row r="591" spans="1:9" hidden="1" x14ac:dyDescent="0.35">
      <c r="A591" s="20" t="s">
        <v>114</v>
      </c>
      <c r="B591" s="20" t="s">
        <v>115</v>
      </c>
      <c r="C591" s="20">
        <v>2045</v>
      </c>
      <c r="D591" s="20" t="s">
        <v>135</v>
      </c>
      <c r="E591" s="20" t="s">
        <v>129</v>
      </c>
      <c r="F591" s="20" t="s">
        <v>121</v>
      </c>
      <c r="G591" s="20" t="s">
        <v>132</v>
      </c>
      <c r="H591" s="20">
        <v>-54.5</v>
      </c>
      <c r="I591" s="20" t="s">
        <v>120</v>
      </c>
    </row>
    <row r="592" spans="1:9" hidden="1" x14ac:dyDescent="0.35">
      <c r="A592" s="20" t="s">
        <v>114</v>
      </c>
      <c r="B592" s="20" t="s">
        <v>115</v>
      </c>
      <c r="C592" s="20">
        <v>2055</v>
      </c>
      <c r="D592" s="20" t="s">
        <v>135</v>
      </c>
      <c r="E592" s="20" t="s">
        <v>129</v>
      </c>
      <c r="F592" s="20" t="s">
        <v>121</v>
      </c>
      <c r="G592" s="20" t="s">
        <v>132</v>
      </c>
      <c r="H592" s="20">
        <v>-57.9</v>
      </c>
      <c r="I592" s="20" t="s">
        <v>120</v>
      </c>
    </row>
    <row r="593" spans="1:9" hidden="1" x14ac:dyDescent="0.35">
      <c r="A593" s="20" t="s">
        <v>114</v>
      </c>
      <c r="B593" s="20" t="s">
        <v>130</v>
      </c>
      <c r="C593" s="20">
        <v>2045</v>
      </c>
      <c r="D593" s="20" t="s">
        <v>135</v>
      </c>
      <c r="E593" s="20" t="s">
        <v>131</v>
      </c>
      <c r="F593" s="20" t="s">
        <v>121</v>
      </c>
      <c r="G593" s="20" t="s">
        <v>132</v>
      </c>
      <c r="H593" s="20">
        <v>-271.3</v>
      </c>
      <c r="I593" s="20" t="s">
        <v>120</v>
      </c>
    </row>
    <row r="594" spans="1:9" hidden="1" x14ac:dyDescent="0.35">
      <c r="A594" s="20" t="s">
        <v>114</v>
      </c>
      <c r="B594" s="20" t="s">
        <v>130</v>
      </c>
      <c r="C594" s="20">
        <v>2055</v>
      </c>
      <c r="D594" s="20" t="s">
        <v>135</v>
      </c>
      <c r="E594" s="20" t="s">
        <v>131</v>
      </c>
      <c r="F594" s="20" t="s">
        <v>121</v>
      </c>
      <c r="G594" s="20" t="s">
        <v>133</v>
      </c>
      <c r="H594" s="20">
        <v>-228.2</v>
      </c>
      <c r="I594" s="20" t="s">
        <v>120</v>
      </c>
    </row>
    <row r="595" spans="1:9" hidden="1" x14ac:dyDescent="0.35">
      <c r="A595" s="20" t="s">
        <v>114</v>
      </c>
      <c r="B595" s="20" t="s">
        <v>130</v>
      </c>
      <c r="C595" s="20">
        <v>2055</v>
      </c>
      <c r="D595" s="20" t="s">
        <v>135</v>
      </c>
      <c r="E595" s="20" t="s">
        <v>131</v>
      </c>
      <c r="F595" s="20" t="s">
        <v>121</v>
      </c>
      <c r="G595" s="20" t="s">
        <v>134</v>
      </c>
      <c r="H595" s="20">
        <v>-265</v>
      </c>
      <c r="I595" s="20" t="s">
        <v>120</v>
      </c>
    </row>
    <row r="596" spans="1:9" hidden="1" x14ac:dyDescent="0.35">
      <c r="A596" s="20" t="s">
        <v>114</v>
      </c>
      <c r="B596" s="20" t="s">
        <v>130</v>
      </c>
      <c r="C596" s="20">
        <v>2055</v>
      </c>
      <c r="D596" s="20" t="s">
        <v>135</v>
      </c>
      <c r="E596" s="20" t="s">
        <v>131</v>
      </c>
      <c r="F596" s="20" t="s">
        <v>121</v>
      </c>
      <c r="G596" s="20" t="s">
        <v>122</v>
      </c>
      <c r="H596" s="20">
        <v>-174.7</v>
      </c>
      <c r="I596" s="20" t="s">
        <v>120</v>
      </c>
    </row>
    <row r="597" spans="1:9" hidden="1" x14ac:dyDescent="0.35">
      <c r="A597" s="20" t="s">
        <v>114</v>
      </c>
      <c r="B597" s="20" t="s">
        <v>130</v>
      </c>
      <c r="C597" s="20">
        <v>2055</v>
      </c>
      <c r="D597" s="20" t="s">
        <v>135</v>
      </c>
      <c r="E597" s="20" t="s">
        <v>131</v>
      </c>
      <c r="F597" s="20" t="s">
        <v>121</v>
      </c>
      <c r="G597" s="20" t="s">
        <v>119</v>
      </c>
      <c r="H597" s="20">
        <v>-285.2</v>
      </c>
      <c r="I597" s="20" t="s">
        <v>120</v>
      </c>
    </row>
    <row r="598" spans="1:9" hidden="1" x14ac:dyDescent="0.35">
      <c r="A598" s="20" t="s">
        <v>114</v>
      </c>
      <c r="B598" s="20" t="s">
        <v>130</v>
      </c>
      <c r="C598" s="20">
        <v>2055</v>
      </c>
      <c r="D598" s="20" t="s">
        <v>135</v>
      </c>
      <c r="E598" s="20" t="s">
        <v>131</v>
      </c>
      <c r="F598" s="20" t="s">
        <v>121</v>
      </c>
      <c r="G598" s="20" t="s">
        <v>132</v>
      </c>
      <c r="H598" s="20">
        <v>-326.7</v>
      </c>
      <c r="I598" s="20" t="s">
        <v>120</v>
      </c>
    </row>
    <row r="599" spans="1:9" hidden="1" x14ac:dyDescent="0.35">
      <c r="A599" s="20" t="s">
        <v>114</v>
      </c>
      <c r="B599" s="20" t="s">
        <v>130</v>
      </c>
      <c r="C599" s="20">
        <v>2055</v>
      </c>
      <c r="D599" s="20" t="s">
        <v>135</v>
      </c>
      <c r="E599" s="20" t="s">
        <v>131</v>
      </c>
      <c r="F599" s="20" t="s">
        <v>118</v>
      </c>
      <c r="G599" s="20" t="s">
        <v>133</v>
      </c>
      <c r="H599" s="20">
        <v>-249.2</v>
      </c>
      <c r="I599" s="20" t="s">
        <v>120</v>
      </c>
    </row>
    <row r="600" spans="1:9" hidden="1" x14ac:dyDescent="0.35">
      <c r="A600" s="20" t="s">
        <v>114</v>
      </c>
      <c r="B600" s="20" t="s">
        <v>130</v>
      </c>
      <c r="C600" s="20">
        <v>2055</v>
      </c>
      <c r="D600" s="20" t="s">
        <v>135</v>
      </c>
      <c r="E600" s="20" t="s">
        <v>131</v>
      </c>
      <c r="F600" s="20" t="s">
        <v>118</v>
      </c>
      <c r="G600" s="20" t="s">
        <v>134</v>
      </c>
      <c r="H600" s="20">
        <v>-281.60000000000002</v>
      </c>
      <c r="I600" s="20" t="s">
        <v>120</v>
      </c>
    </row>
    <row r="601" spans="1:9" hidden="1" x14ac:dyDescent="0.35">
      <c r="A601" s="20" t="s">
        <v>114</v>
      </c>
      <c r="B601" s="20" t="s">
        <v>130</v>
      </c>
      <c r="C601" s="20">
        <v>2055</v>
      </c>
      <c r="D601" s="20" t="s">
        <v>135</v>
      </c>
      <c r="E601" s="20" t="s">
        <v>131</v>
      </c>
      <c r="F601" s="20" t="s">
        <v>118</v>
      </c>
      <c r="G601" s="20" t="s">
        <v>122</v>
      </c>
      <c r="H601" s="20">
        <v>-185.4</v>
      </c>
      <c r="I601" s="20" t="s">
        <v>120</v>
      </c>
    </row>
    <row r="602" spans="1:9" hidden="1" x14ac:dyDescent="0.35">
      <c r="A602" s="20" t="s">
        <v>114</v>
      </c>
      <c r="B602" s="20" t="s">
        <v>130</v>
      </c>
      <c r="C602" s="20">
        <v>2055</v>
      </c>
      <c r="D602" s="20" t="s">
        <v>135</v>
      </c>
      <c r="E602" s="20" t="s">
        <v>131</v>
      </c>
      <c r="F602" s="20" t="s">
        <v>118</v>
      </c>
      <c r="G602" s="20" t="s">
        <v>119</v>
      </c>
      <c r="H602" s="20">
        <v>-302.3</v>
      </c>
      <c r="I602" s="20" t="s">
        <v>120</v>
      </c>
    </row>
  </sheetData>
  <autoFilter ref="A2:I602" xr:uid="{00000000-0001-0000-0C00-000000000000}">
    <filterColumn colId="3">
      <filters>
        <filter val="FASOMGHG"/>
      </filters>
    </filterColumn>
    <filterColumn colId="5">
      <filters>
        <filter val="3% Growth"/>
      </filters>
    </filterColumn>
  </autoFilter>
  <mergeCells count="1">
    <mergeCell ref="A1:I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9B65-B517-48F3-ABEF-F6AA7FDFDF8B}">
  <dimension ref="A1:AE60"/>
  <sheetViews>
    <sheetView topLeftCell="A34" workbookViewId="0">
      <selection activeCell="B53" sqref="B53"/>
    </sheetView>
  </sheetViews>
  <sheetFormatPr defaultColWidth="8.7265625" defaultRowHeight="14.5" x14ac:dyDescent="0.35"/>
  <cols>
    <col min="1" max="1" width="37.26953125" style="20" customWidth="1"/>
    <col min="2" max="2" width="15.54296875" style="20" bestFit="1" customWidth="1"/>
    <col min="3" max="3" width="6.453125" style="20" bestFit="1" customWidth="1"/>
    <col min="4" max="4" width="12.54296875" style="20" bestFit="1" customWidth="1"/>
    <col min="5" max="12" width="13.7265625" style="20" bestFit="1" customWidth="1"/>
    <col min="13" max="13" width="18.1796875" style="20" customWidth="1"/>
    <col min="14" max="14" width="13.7265625" style="20" bestFit="1" customWidth="1"/>
    <col min="15" max="16" width="12.54296875" style="20" bestFit="1" customWidth="1"/>
    <col min="17" max="19" width="8.7265625" style="20"/>
    <col min="20" max="20" width="12" style="20" bestFit="1" customWidth="1"/>
    <col min="21" max="23" width="8.7265625" style="20"/>
    <col min="24" max="24" width="9.81640625" style="20" bestFit="1" customWidth="1"/>
    <col min="25" max="25" width="16.54296875" style="20" customWidth="1"/>
    <col min="26" max="26" width="17.7265625" style="20" customWidth="1"/>
    <col min="27" max="27" width="8.7265625" style="20"/>
    <col min="28" max="28" width="14" style="20" bestFit="1" customWidth="1"/>
    <col min="29" max="30" width="8.7265625" style="20"/>
    <col min="31" max="32" width="12" style="20" bestFit="1" customWidth="1"/>
    <col min="33" max="33" width="8.7265625" style="20"/>
    <col min="34" max="34" width="9.81640625" style="20" bestFit="1" customWidth="1"/>
    <col min="35" max="16384" width="8.7265625" style="20"/>
  </cols>
  <sheetData>
    <row r="1" spans="1:7" x14ac:dyDescent="0.35">
      <c r="A1" s="20" t="s">
        <v>107</v>
      </c>
      <c r="B1" s="20" t="s">
        <v>116</v>
      </c>
    </row>
    <row r="2" spans="1:7" x14ac:dyDescent="0.35">
      <c r="A2" s="20" t="s">
        <v>109</v>
      </c>
      <c r="B2" s="20" t="s">
        <v>118</v>
      </c>
    </row>
    <row r="3" spans="1:7" x14ac:dyDescent="0.35">
      <c r="A3" s="20" t="s">
        <v>110</v>
      </c>
      <c r="B3" s="20" t="s">
        <v>132</v>
      </c>
    </row>
    <row r="5" spans="1:7" x14ac:dyDescent="0.35">
      <c r="A5" s="20" t="s">
        <v>136</v>
      </c>
      <c r="B5" s="20" t="s">
        <v>137</v>
      </c>
    </row>
    <row r="6" spans="1:7" x14ac:dyDescent="0.35">
      <c r="A6" s="20" t="s">
        <v>138</v>
      </c>
      <c r="B6" s="20">
        <v>2025</v>
      </c>
      <c r="C6" s="20">
        <v>2035</v>
      </c>
      <c r="D6" s="20">
        <v>2045</v>
      </c>
      <c r="E6" s="20">
        <v>2055</v>
      </c>
      <c r="F6" s="20" t="s">
        <v>139</v>
      </c>
    </row>
    <row r="7" spans="1:7" x14ac:dyDescent="0.35">
      <c r="A7" s="21" t="s">
        <v>117</v>
      </c>
      <c r="B7" s="20">
        <v>124.1</v>
      </c>
      <c r="C7" s="20">
        <v>109.7</v>
      </c>
      <c r="D7" s="20">
        <v>73.5</v>
      </c>
      <c r="E7" s="20">
        <v>45.3</v>
      </c>
      <c r="F7" s="20">
        <v>352.6</v>
      </c>
      <c r="G7" s="20" t="s">
        <v>89</v>
      </c>
    </row>
    <row r="8" spans="1:7" x14ac:dyDescent="0.35">
      <c r="A8" s="21" t="s">
        <v>124</v>
      </c>
      <c r="B8" s="20">
        <v>-4</v>
      </c>
      <c r="C8" s="20">
        <v>-8.8000000000000007</v>
      </c>
      <c r="D8" s="20">
        <v>-13</v>
      </c>
      <c r="E8" s="20">
        <v>-15.8</v>
      </c>
      <c r="F8" s="20">
        <v>-41.6</v>
      </c>
      <c r="G8" s="20" t="s">
        <v>143</v>
      </c>
    </row>
    <row r="9" spans="1:7" x14ac:dyDescent="0.35">
      <c r="A9" s="21" t="s">
        <v>123</v>
      </c>
      <c r="B9" s="20">
        <v>-3.8</v>
      </c>
      <c r="C9" s="20">
        <v>-7.6</v>
      </c>
      <c r="D9" s="20">
        <v>-10.199999999999999</v>
      </c>
      <c r="E9" s="20">
        <v>-12</v>
      </c>
      <c r="F9" s="20">
        <v>-33.599999999999994</v>
      </c>
      <c r="G9" s="20" t="s">
        <v>143</v>
      </c>
    </row>
    <row r="10" spans="1:7" x14ac:dyDescent="0.35">
      <c r="A10" s="21" t="s">
        <v>125</v>
      </c>
      <c r="B10" s="20">
        <v>-30.3</v>
      </c>
      <c r="C10" s="20">
        <v>-67.099999999999994</v>
      </c>
      <c r="D10" s="20">
        <v>-77.8</v>
      </c>
      <c r="E10" s="20">
        <v>-91.9</v>
      </c>
      <c r="F10" s="20">
        <v>-267.10000000000002</v>
      </c>
      <c r="G10" s="20" t="s">
        <v>85</v>
      </c>
    </row>
    <row r="11" spans="1:7" x14ac:dyDescent="0.35">
      <c r="A11" s="21" t="s">
        <v>126</v>
      </c>
      <c r="C11" s="20">
        <v>-59</v>
      </c>
      <c r="D11" s="20">
        <v>-77.599999999999994</v>
      </c>
      <c r="E11" s="20">
        <v>-107</v>
      </c>
      <c r="F11" s="20">
        <v>-243.6</v>
      </c>
      <c r="G11" s="20" t="s">
        <v>89</v>
      </c>
    </row>
    <row r="12" spans="1:7" x14ac:dyDescent="0.35">
      <c r="A12" s="21" t="s">
        <v>127</v>
      </c>
      <c r="B12" s="20">
        <v>3.6</v>
      </c>
      <c r="C12" s="20">
        <v>3</v>
      </c>
      <c r="D12" s="20">
        <v>2.6</v>
      </c>
      <c r="E12" s="20">
        <v>2.4</v>
      </c>
      <c r="F12" s="20">
        <v>11.6</v>
      </c>
      <c r="G12" s="20" t="s">
        <v>85</v>
      </c>
    </row>
    <row r="13" spans="1:7" x14ac:dyDescent="0.35">
      <c r="A13" s="21" t="s">
        <v>128</v>
      </c>
      <c r="B13" s="20">
        <v>-153.19999999999999</v>
      </c>
      <c r="C13" s="20">
        <v>-173.5</v>
      </c>
      <c r="D13" s="20">
        <v>-154.1</v>
      </c>
      <c r="E13" s="20">
        <v>-130.19999999999999</v>
      </c>
      <c r="F13" s="20">
        <v>-611</v>
      </c>
      <c r="G13" s="20" t="s">
        <v>89</v>
      </c>
    </row>
    <row r="14" spans="1:7" x14ac:dyDescent="0.35">
      <c r="A14" s="21" t="s">
        <v>129</v>
      </c>
      <c r="B14" s="20">
        <v>-33.299999999999997</v>
      </c>
      <c r="C14" s="20">
        <v>-44.3</v>
      </c>
      <c r="D14" s="20">
        <v>-51.2</v>
      </c>
      <c r="E14" s="20">
        <v>-59.2</v>
      </c>
      <c r="F14" s="20">
        <v>-188</v>
      </c>
      <c r="G14" s="20" t="s">
        <v>143</v>
      </c>
    </row>
    <row r="15" spans="1:7" x14ac:dyDescent="0.35">
      <c r="A15" s="21" t="s">
        <v>131</v>
      </c>
      <c r="B15" s="20">
        <v>-96.9</v>
      </c>
      <c r="C15" s="20">
        <v>-247.6</v>
      </c>
      <c r="D15" s="20">
        <v>-307.8</v>
      </c>
      <c r="E15" s="20">
        <v>-368.4</v>
      </c>
      <c r="F15" s="20">
        <v>-1020.6999999999999</v>
      </c>
    </row>
    <row r="16" spans="1:7" x14ac:dyDescent="0.35">
      <c r="A16" s="21" t="s">
        <v>139</v>
      </c>
      <c r="B16" s="20">
        <v>-193.8</v>
      </c>
      <c r="C16" s="20">
        <v>-495.19999999999993</v>
      </c>
      <c r="D16" s="20">
        <v>-615.6</v>
      </c>
      <c r="E16" s="20">
        <v>-736.8</v>
      </c>
      <c r="F16" s="20">
        <v>-2041.4</v>
      </c>
    </row>
    <row r="18" spans="1:29" x14ac:dyDescent="0.35">
      <c r="A18" s="21" t="s">
        <v>140</v>
      </c>
      <c r="B18" s="20">
        <f>SUM(B7:B14)</f>
        <v>-96.899999999999991</v>
      </c>
      <c r="C18" s="20">
        <f>SUM(C7:C14)</f>
        <v>-247.59999999999997</v>
      </c>
      <c r="D18" s="20">
        <f>SUM(D7:D14)</f>
        <v>-307.8</v>
      </c>
      <c r="E18" s="20">
        <f>SUM(E7:E14)</f>
        <v>-368.4</v>
      </c>
    </row>
    <row r="20" spans="1:29" x14ac:dyDescent="0.35">
      <c r="A20" s="22" t="s">
        <v>85</v>
      </c>
    </row>
    <row r="21" spans="1:29" x14ac:dyDescent="0.35">
      <c r="A21" s="22"/>
      <c r="B21" s="20" t="s">
        <v>141</v>
      </c>
      <c r="G21" s="22"/>
      <c r="H21" s="20" t="s">
        <v>142</v>
      </c>
      <c r="Z21" s="23"/>
    </row>
    <row r="22" spans="1:29" x14ac:dyDescent="0.35">
      <c r="B22" s="20">
        <v>2025</v>
      </c>
      <c r="C22" s="20">
        <v>2035</v>
      </c>
      <c r="D22" s="20">
        <v>2045</v>
      </c>
      <c r="E22" s="20">
        <v>2055</v>
      </c>
      <c r="H22" s="20">
        <v>2025</v>
      </c>
      <c r="I22" s="20">
        <v>2035</v>
      </c>
      <c r="J22" s="20">
        <v>2045</v>
      </c>
      <c r="K22" s="20">
        <v>2055</v>
      </c>
    </row>
    <row r="23" spans="1:29" x14ac:dyDescent="0.35">
      <c r="A23" s="20">
        <v>5</v>
      </c>
      <c r="B23" s="20">
        <f>SUMIFS('EPA land and ag potential'!$H:$H,'EPA land and ag potential'!$C:$C,'EPA land and ag calcs'!B$22,'EPA land and ag potential'!$G:$G,'EPA land and ag calcs'!$A23,'EPA land and ag potential'!$D:$D,"FASOMGHG",'EPA land and ag potential'!$F:$F,"3% Growth",'EPA land and ag potential'!$K:$K,'EPA land and ag calcs'!$A$20)</f>
        <v>-6.2</v>
      </c>
      <c r="C23" s="20">
        <f>SUMIFS('EPA land and ag potential'!$H:$H,'EPA land and ag potential'!$C:$C,'EPA land and ag calcs'!C$22,'EPA land and ag potential'!$G:$G,'EPA land and ag calcs'!$A23,'EPA land and ag potential'!$D:$D,"FASOMGHG",'EPA land and ag potential'!$F:$F,"3% Growth",'EPA land and ag potential'!$K:$K,'EPA land and ag calcs'!$A$20)</f>
        <v>-15.7</v>
      </c>
      <c r="D23" s="20">
        <f>SUMIFS('EPA land and ag potential'!$H:$H,'EPA land and ag potential'!$C:$C,'EPA land and ag calcs'!D$22,'EPA land and ag potential'!$G:$G,'EPA land and ag calcs'!$A23,'EPA land and ag potential'!$D:$D,"FASOMGHG",'EPA land and ag potential'!$F:$F,"3% Growth",'EPA land and ag potential'!$K:$K,'EPA land and ag calcs'!$A$20)</f>
        <v>-21.9</v>
      </c>
      <c r="E23" s="20">
        <f>SUMIFS('EPA land and ag potential'!$H:$H,'EPA land and ag potential'!$C:$C,'EPA land and ag calcs'!E$22,'EPA land and ag potential'!$G:$G,'EPA land and ag calcs'!$A23,'EPA land and ag potential'!$D:$D,"FASOMGHG",'EPA land and ag potential'!$F:$F,"3% Growth",'EPA land and ag potential'!$K:$K,'EPA land and ag calcs'!$A$20)</f>
        <v>-27.900000000000002</v>
      </c>
      <c r="G23" s="20">
        <v>5</v>
      </c>
      <c r="H23" s="20">
        <f>SUMIFS('EPA land and ag potential'!$H:$H,'EPA land and ag potential'!$C:$C,'EPA land and ag calcs'!B$22,'EPA land and ag potential'!$G:$G,'EPA land and ag calcs'!$A23,'EPA land and ag potential'!$K:$K,'EPA land and ag calcs'!$A$20,'EPA land and ag potential'!$D:$D,"FASOMGHG",'EPA land and ag potential'!$F:$F,"3% Growth")</f>
        <v>-6.2</v>
      </c>
      <c r="I23" s="20">
        <f>SUMIFS('EPA land and ag potential'!$H:$H,'EPA land and ag potential'!$C:$C,'EPA land and ag calcs'!C$22,'EPA land and ag potential'!$G:$G,'EPA land and ag calcs'!$A23,'EPA land and ag potential'!$K:$K,'EPA land and ag calcs'!$A$20,'EPA land and ag potential'!$D:$D,"FASOMGHG",'EPA land and ag potential'!$F:$F,"3% Growth")</f>
        <v>-15.7</v>
      </c>
      <c r="J23" s="20">
        <f>SUMIFS('EPA land and ag potential'!$H:$H,'EPA land and ag potential'!$C:$C,'EPA land and ag calcs'!D$22,'EPA land and ag potential'!$G:$G,'EPA land and ag calcs'!$A23,'EPA land and ag potential'!$K:$K,'EPA land and ag calcs'!$A$20,'EPA land and ag potential'!$D:$D,"FASOMGHG",'EPA land and ag potential'!$F:$F,"3% Growth")</f>
        <v>-21.9</v>
      </c>
      <c r="K23" s="20">
        <f>SUMIFS('EPA land and ag potential'!$H:$H,'EPA land and ag potential'!$C:$C,'EPA land and ag calcs'!E$22,'EPA land and ag potential'!$G:$G,'EPA land and ag calcs'!$A23,'EPA land and ag potential'!$K:$K,'EPA land and ag calcs'!$A$20,'EPA land and ag potential'!$D:$D,"FASOMGHG",'EPA land and ag potential'!$F:$F,"3% Growth")</f>
        <v>-27.900000000000002</v>
      </c>
      <c r="AB23" s="24"/>
      <c r="AC23" s="24"/>
    </row>
    <row r="24" spans="1:29" x14ac:dyDescent="0.35">
      <c r="A24" s="20">
        <v>20</v>
      </c>
      <c r="B24" s="20">
        <f>SUMIFS('EPA land and ag potential'!$H:$H,'EPA land and ag potential'!$C:$C,'EPA land and ag calcs'!B$22,'EPA land and ag potential'!$G:$G,'EPA land and ag calcs'!$A24,'EPA land and ag potential'!$D:$D,"FASOMGHG",'EPA land and ag potential'!$F:$F,"3% Growth",'EPA land and ag potential'!$K:$K,'EPA land and ag calcs'!$A$20)</f>
        <v>-12.299999999999999</v>
      </c>
      <c r="C24" s="20">
        <f>SUMIFS('EPA land and ag potential'!$H:$H,'EPA land and ag potential'!$C:$C,'EPA land and ag calcs'!C$22,'EPA land and ag potential'!$G:$G,'EPA land and ag calcs'!$A24,'EPA land and ag potential'!$D:$D,"FASOMGHG",'EPA land and ag potential'!$F:$F,"3% Growth",'EPA land and ag potential'!$K:$K,'EPA land and ag calcs'!$A$20)</f>
        <v>-39.1</v>
      </c>
      <c r="D24" s="20">
        <f>SUMIFS('EPA land and ag potential'!$H:$H,'EPA land and ag potential'!$C:$C,'EPA land and ag calcs'!D$22,'EPA land and ag potential'!$G:$G,'EPA land and ag calcs'!$A24,'EPA land and ag potential'!$D:$D,"FASOMGHG",'EPA land and ag potential'!$F:$F,"3% Growth",'EPA land and ag potential'!$K:$K,'EPA land and ag calcs'!$A$20)</f>
        <v>-48.1</v>
      </c>
      <c r="E24" s="20">
        <f>SUMIFS('EPA land and ag potential'!$H:$H,'EPA land and ag potential'!$C:$C,'EPA land and ag calcs'!E$22,'EPA land and ag potential'!$G:$G,'EPA land and ag calcs'!$A24,'EPA land and ag potential'!$D:$D,"FASOMGHG",'EPA land and ag potential'!$F:$F,"3% Growth",'EPA land and ag potential'!$K:$K,'EPA land and ag calcs'!$A$20)</f>
        <v>-58.3</v>
      </c>
      <c r="G24" s="20">
        <v>20</v>
      </c>
      <c r="H24" s="20">
        <f>B24-B23</f>
        <v>-6.0999999999999988</v>
      </c>
      <c r="I24" s="20">
        <f t="shared" ref="I24:K27" si="0">C24-C23</f>
        <v>-23.400000000000002</v>
      </c>
      <c r="J24" s="20">
        <f t="shared" si="0"/>
        <v>-26.200000000000003</v>
      </c>
      <c r="K24" s="20">
        <f t="shared" si="0"/>
        <v>-30.399999999999995</v>
      </c>
      <c r="AB24" s="24"/>
      <c r="AC24" s="24"/>
    </row>
    <row r="25" spans="1:29" x14ac:dyDescent="0.35">
      <c r="A25" s="20">
        <v>35</v>
      </c>
      <c r="B25" s="20">
        <f>SUMIFS('EPA land and ag potential'!$H:$H,'EPA land and ag potential'!$C:$C,'EPA land and ag calcs'!B$22,'EPA land and ag potential'!$G:$G,'EPA land and ag calcs'!$A25,'EPA land and ag potential'!$D:$D,"FASOMGHG",'EPA land and ag potential'!$F:$F,"3% Growth",'EPA land and ag potential'!$K:$K,'EPA land and ag calcs'!$A$20)</f>
        <v>-14.799999999999999</v>
      </c>
      <c r="C25" s="20">
        <f>SUMIFS('EPA land and ag potential'!$H:$H,'EPA land and ag potential'!$C:$C,'EPA land and ag calcs'!C$22,'EPA land and ag potential'!$G:$G,'EPA land and ag calcs'!$A25,'EPA land and ag potential'!$D:$D,"FASOMGHG",'EPA land and ag potential'!$F:$F,"3% Growth",'EPA land and ag potential'!$K:$K,'EPA land and ag calcs'!$A$20)</f>
        <v>-49.5</v>
      </c>
      <c r="D25" s="20">
        <f>SUMIFS('EPA land and ag potential'!$H:$H,'EPA land and ag potential'!$C:$C,'EPA land and ag calcs'!D$22,'EPA land and ag potential'!$G:$G,'EPA land and ag calcs'!$A25,'EPA land and ag potential'!$D:$D,"FASOMGHG",'EPA land and ag potential'!$F:$F,"3% Growth",'EPA land and ag potential'!$K:$K,'EPA land and ag calcs'!$A$20)</f>
        <v>-59.900000000000006</v>
      </c>
      <c r="E25" s="20">
        <f>SUMIFS('EPA land and ag potential'!$H:$H,'EPA land and ag potential'!$C:$C,'EPA land and ag calcs'!E$22,'EPA land and ag potential'!$G:$G,'EPA land and ag calcs'!$A25,'EPA land and ag potential'!$D:$D,"FASOMGHG",'EPA land and ag potential'!$F:$F,"3% Growth",'EPA land and ag potential'!$K:$K,'EPA land and ag calcs'!$A$20)</f>
        <v>-72</v>
      </c>
      <c r="G25" s="20">
        <v>35</v>
      </c>
      <c r="H25" s="20">
        <f>B25-B24</f>
        <v>-2.5</v>
      </c>
      <c r="I25" s="20">
        <f t="shared" si="0"/>
        <v>-10.399999999999999</v>
      </c>
      <c r="J25" s="20">
        <f t="shared" si="0"/>
        <v>-11.800000000000004</v>
      </c>
      <c r="K25" s="20">
        <f t="shared" si="0"/>
        <v>-13.700000000000003</v>
      </c>
      <c r="AB25" s="24"/>
      <c r="AC25" s="24"/>
    </row>
    <row r="26" spans="1:29" x14ac:dyDescent="0.35">
      <c r="A26" s="20">
        <v>50</v>
      </c>
      <c r="B26" s="20">
        <f>SUMIFS('EPA land and ag potential'!$H:$H,'EPA land and ag potential'!$C:$C,'EPA land and ag calcs'!B$22,'EPA land and ag potential'!$G:$G,'EPA land and ag calcs'!$A26,'EPA land and ag potential'!$D:$D,"FASOMGHG",'EPA land and ag potential'!$F:$F,"3% Growth",'EPA land and ag potential'!$K:$K,'EPA land and ag calcs'!$A$20)</f>
        <v>-17.399999999999999</v>
      </c>
      <c r="C26" s="20">
        <f>SUMIFS('EPA land and ag potential'!$H:$H,'EPA land and ag potential'!$C:$C,'EPA land and ag calcs'!C$22,'EPA land and ag potential'!$G:$G,'EPA land and ag calcs'!$A26,'EPA land and ag potential'!$D:$D,"FASOMGHG",'EPA land and ag potential'!$F:$F,"3% Growth",'EPA land and ag potential'!$K:$K,'EPA land and ag calcs'!$A$20)</f>
        <v>-53.3</v>
      </c>
      <c r="D26" s="20">
        <f>SUMIFS('EPA land and ag potential'!$H:$H,'EPA land and ag potential'!$C:$C,'EPA land and ag calcs'!D$22,'EPA land and ag potential'!$G:$G,'EPA land and ag calcs'!$A26,'EPA land and ag potential'!$D:$D,"FASOMGHG",'EPA land and ag potential'!$F:$F,"3% Growth",'EPA land and ag potential'!$K:$K,'EPA land and ag calcs'!$A$20)</f>
        <v>-64.100000000000009</v>
      </c>
      <c r="E26" s="20">
        <f>SUMIFS('EPA land and ag potential'!$H:$H,'EPA land and ag potential'!$C:$C,'EPA land and ag calcs'!E$22,'EPA land and ag potential'!$G:$G,'EPA land and ag calcs'!$A26,'EPA land and ag potential'!$D:$D,"FASOMGHG",'EPA land and ag potential'!$F:$F,"3% Growth",'EPA land and ag potential'!$K:$K,'EPA land and ag calcs'!$A$20)</f>
        <v>-76.7</v>
      </c>
      <c r="G26" s="20">
        <v>50</v>
      </c>
      <c r="H26" s="20">
        <f>B26-B25</f>
        <v>-2.5999999999999996</v>
      </c>
      <c r="I26" s="20">
        <f t="shared" si="0"/>
        <v>-3.7999999999999972</v>
      </c>
      <c r="J26" s="20">
        <f t="shared" si="0"/>
        <v>-4.2000000000000028</v>
      </c>
      <c r="K26" s="20">
        <f t="shared" si="0"/>
        <v>-4.7000000000000028</v>
      </c>
      <c r="AB26" s="24"/>
      <c r="AC26" s="24"/>
    </row>
    <row r="27" spans="1:29" x14ac:dyDescent="0.35">
      <c r="A27" s="20">
        <v>100</v>
      </c>
      <c r="B27" s="20">
        <f>SUMIFS('EPA land and ag potential'!$H:$H,'EPA land and ag potential'!$C:$C,'EPA land and ag calcs'!B$22,'EPA land and ag potential'!$G:$G,'EPA land and ag calcs'!$A27,'EPA land and ag potential'!$D:$D,"FASOMGHG",'EPA land and ag potential'!$F:$F,"3% Growth",'EPA land and ag potential'!$K:$K,'EPA land and ag calcs'!$A$20)</f>
        <v>-26.7</v>
      </c>
      <c r="C27" s="20">
        <f>SUMIFS('EPA land and ag potential'!$H:$H,'EPA land and ag potential'!$C:$C,'EPA land and ag calcs'!C$22,'EPA land and ag potential'!$G:$G,'EPA land and ag calcs'!$A27,'EPA land and ag potential'!$D:$D,"FASOMGHG",'EPA land and ag potential'!$F:$F,"3% Growth",'EPA land and ag potential'!$K:$K,'EPA land and ag calcs'!$A$20)</f>
        <v>-64.099999999999994</v>
      </c>
      <c r="D27" s="20">
        <f>SUMIFS('EPA land and ag potential'!$H:$H,'EPA land and ag potential'!$C:$C,'EPA land and ag calcs'!D$22,'EPA land and ag potential'!$G:$G,'EPA land and ag calcs'!$A27,'EPA land and ag potential'!$D:$D,"FASOMGHG",'EPA land and ag potential'!$F:$F,"3% Growth",'EPA land and ag potential'!$K:$K,'EPA land and ag calcs'!$A$20)</f>
        <v>-75.2</v>
      </c>
      <c r="E27" s="20">
        <f>SUMIFS('EPA land and ag potential'!$H:$H,'EPA land and ag potential'!$C:$C,'EPA land and ag calcs'!E$22,'EPA land and ag potential'!$G:$G,'EPA land and ag calcs'!$A27,'EPA land and ag potential'!$D:$D,"FASOMGHG",'EPA land and ag potential'!$F:$F,"3% Growth",'EPA land and ag potential'!$K:$K,'EPA land and ag calcs'!$A$20)</f>
        <v>-89.5</v>
      </c>
      <c r="G27" s="20">
        <v>100</v>
      </c>
      <c r="H27" s="20">
        <f>B27-B26</f>
        <v>-9.3000000000000007</v>
      </c>
      <c r="I27" s="20">
        <f t="shared" si="0"/>
        <v>-10.799999999999997</v>
      </c>
      <c r="J27" s="20">
        <f t="shared" si="0"/>
        <v>-11.099999999999994</v>
      </c>
      <c r="K27" s="20">
        <f t="shared" si="0"/>
        <v>-12.799999999999997</v>
      </c>
      <c r="AB27" s="24"/>
      <c r="AC27" s="24"/>
    </row>
    <row r="29" spans="1:29" x14ac:dyDescent="0.35">
      <c r="A29" s="22" t="s">
        <v>89</v>
      </c>
    </row>
    <row r="30" spans="1:29" x14ac:dyDescent="0.35">
      <c r="A30" s="22"/>
      <c r="B30" s="20" t="s">
        <v>141</v>
      </c>
      <c r="G30" s="22"/>
      <c r="H30" s="20" t="s">
        <v>142</v>
      </c>
      <c r="Z30" s="23"/>
    </row>
    <row r="31" spans="1:29" x14ac:dyDescent="0.35">
      <c r="B31" s="20">
        <v>2025</v>
      </c>
      <c r="C31" s="20">
        <v>2035</v>
      </c>
      <c r="D31" s="20">
        <v>2045</v>
      </c>
      <c r="E31" s="20">
        <v>2055</v>
      </c>
      <c r="H31" s="20">
        <v>2025</v>
      </c>
      <c r="I31" s="20">
        <v>2035</v>
      </c>
      <c r="J31" s="20">
        <v>2045</v>
      </c>
      <c r="K31" s="20">
        <v>2055</v>
      </c>
    </row>
    <row r="32" spans="1:29" x14ac:dyDescent="0.35">
      <c r="A32" s="20">
        <v>5</v>
      </c>
      <c r="B32" s="20">
        <f>SUMIFS('EPA land and ag potential'!$H:$H,'EPA land and ag potential'!$C:$C,'EPA land and ag calcs'!B$22,'EPA land and ag potential'!$G:$G,'EPA land and ag calcs'!$A23,'EPA land and ag potential'!$D:$D,"FASOMGHG",'EPA land and ag potential'!$F:$F,"3% Growth",'EPA land and ag potential'!$K:$K,'EPA land and ag calcs'!$A$29)</f>
        <v>15.6</v>
      </c>
      <c r="C32" s="20">
        <f>SUMIFS('EPA land and ag potential'!$H:$H,'EPA land and ag potential'!$C:$C,'EPA land and ag calcs'!C$22,'EPA land and ag potential'!$G:$G,'EPA land and ag calcs'!$A23,'EPA land and ag potential'!$D:$D,"FASOMGHG",'EPA land and ag potential'!$F:$F,"3% Growth",'EPA land and ag potential'!$K:$K,'EPA land and ag calcs'!$A$29)</f>
        <v>1.6999999999999957</v>
      </c>
      <c r="D32" s="20">
        <f>SUMIFS('EPA land and ag potential'!$H:$H,'EPA land and ag potential'!$C:$C,'EPA land and ag calcs'!D$22,'EPA land and ag potential'!$G:$G,'EPA land and ag calcs'!$A23,'EPA land and ag potential'!$D:$D,"FASOMGHG",'EPA land and ag potential'!$F:$F,"3% Growth",'EPA land and ag potential'!$K:$K,'EPA land and ag calcs'!$A$29)</f>
        <v>-1.4999999999999964</v>
      </c>
      <c r="E32" s="20">
        <f>SUMIFS('EPA land and ag potential'!$H:$H,'EPA land and ag potential'!$C:$C,'EPA land and ag calcs'!E$22,'EPA land and ag potential'!$G:$G,'EPA land and ag calcs'!$A23,'EPA land and ag potential'!$D:$D,"FASOMGHG",'EPA land and ag potential'!$F:$F,"3% Growth",'EPA land and ag potential'!$K:$K,'EPA land and ag calcs'!$A$29)</f>
        <v>-0.60000000000000142</v>
      </c>
      <c r="G32" s="20">
        <v>5</v>
      </c>
      <c r="H32" s="35">
        <f>SUMIFS('EPA land and ag potential'!$H:$H,'EPA land and ag potential'!$C:$C,'EPA land and ag calcs'!B$22,'EPA land and ag potential'!$G:$G,'EPA land and ag calcs'!$A32,'EPA land and ag potential'!$K:$K,'EPA land and ag calcs'!$A$29,'EPA land and ag potential'!$D:$D,"FASOMGHG",'EPA land and ag potential'!$F:$F,"3% Growth")</f>
        <v>15.6</v>
      </c>
      <c r="I32" s="35">
        <f>SUMIFS('EPA land and ag potential'!$H:$H,'EPA land and ag potential'!$C:$C,'EPA land and ag calcs'!C$22,'EPA land and ag potential'!$G:$G,'EPA land and ag calcs'!$A32,'EPA land and ag potential'!$K:$K,'EPA land and ag calcs'!$A$29,'EPA land and ag potential'!$D:$D,"FASOMGHG",'EPA land and ag potential'!$F:$F,"3% Growth")</f>
        <v>1.6999999999999957</v>
      </c>
      <c r="J32" s="35">
        <f>SUMIFS('EPA land and ag potential'!$H:$H,'EPA land and ag potential'!$C:$C,'EPA land and ag calcs'!D$22,'EPA land and ag potential'!$G:$G,'EPA land and ag calcs'!$A32,'EPA land and ag potential'!$K:$K,'EPA land and ag calcs'!$A$29,'EPA land and ag potential'!$D:$D,"FASOMGHG",'EPA land and ag potential'!$F:$F,"3% Growth")</f>
        <v>-1.4999999999999964</v>
      </c>
      <c r="K32" s="20">
        <f>SUMIFS('EPA land and ag potential'!$H:$H,'EPA land and ag potential'!$C:$C,'EPA land and ag calcs'!E$22,'EPA land and ag potential'!$G:$G,'EPA land and ag calcs'!$A32,'EPA land and ag potential'!$K:$K,'EPA land and ag calcs'!$A$29,'EPA land and ag potential'!$D:$D,"FASOMGHG",'EPA land and ag potential'!$F:$F,"3% Growth")</f>
        <v>-0.60000000000000142</v>
      </c>
      <c r="AB32" s="24"/>
      <c r="AC32" s="24"/>
    </row>
    <row r="33" spans="1:31" x14ac:dyDescent="0.35">
      <c r="A33" s="20">
        <v>20</v>
      </c>
      <c r="B33" s="20">
        <f>SUMIFS('EPA land and ag potential'!$H:$H,'EPA land and ag potential'!$C:$C,'EPA land and ag calcs'!B$22,'EPA land and ag potential'!$G:$G,'EPA land and ag calcs'!$A24,'EPA land and ag potential'!$D:$D,"FASOMGHG",'EPA land and ag potential'!$F:$F,"3% Growth",'EPA land and ag potential'!$K:$K,'EPA land and ag calcs'!$A$29)</f>
        <v>15.099999999999994</v>
      </c>
      <c r="C33" s="20">
        <f>SUMIFS('EPA land and ag potential'!$H:$H,'EPA land and ag potential'!$C:$C,'EPA land and ag calcs'!C$22,'EPA land and ag potential'!$G:$G,'EPA land and ag calcs'!$A24,'EPA land and ag potential'!$D:$D,"FASOMGHG",'EPA land and ag potential'!$F:$F,"3% Growth",'EPA land and ag potential'!$K:$K,'EPA land and ag calcs'!$A$29)</f>
        <v>-25.5</v>
      </c>
      <c r="D33" s="20">
        <f>SUMIFS('EPA land and ag potential'!$H:$H,'EPA land and ag potential'!$C:$C,'EPA land and ag calcs'!D$22,'EPA land and ag potential'!$G:$G,'EPA land and ag calcs'!$A24,'EPA land and ag potential'!$D:$D,"FASOMGHG",'EPA land and ag potential'!$F:$F,"3% Growth",'EPA land and ag potential'!$K:$K,'EPA land and ag calcs'!$A$29)</f>
        <v>-40.099999999999994</v>
      </c>
      <c r="E33" s="20">
        <f>SUMIFS('EPA land and ag potential'!$H:$H,'EPA land and ag potential'!$C:$C,'EPA land and ag calcs'!E$22,'EPA land and ag potential'!$G:$G,'EPA land and ag calcs'!$A24,'EPA land and ag potential'!$D:$D,"FASOMGHG",'EPA land and ag potential'!$F:$F,"3% Growth",'EPA land and ag potential'!$K:$K,'EPA land and ag calcs'!$A$29)</f>
        <v>-62.5</v>
      </c>
      <c r="G33" s="20">
        <v>20</v>
      </c>
      <c r="H33" s="20">
        <f t="shared" ref="H33:K36" si="1">B33-B32</f>
        <v>-0.50000000000000533</v>
      </c>
      <c r="I33" s="20">
        <f t="shared" si="1"/>
        <v>-27.199999999999996</v>
      </c>
      <c r="J33" s="20">
        <f t="shared" si="1"/>
        <v>-38.599999999999994</v>
      </c>
      <c r="K33" s="20">
        <f t="shared" si="1"/>
        <v>-61.9</v>
      </c>
      <c r="AB33" s="24"/>
      <c r="AC33" s="24"/>
    </row>
    <row r="34" spans="1:31" x14ac:dyDescent="0.35">
      <c r="A34" s="20">
        <v>35</v>
      </c>
      <c r="B34" s="20">
        <f>SUMIFS('EPA land and ag potential'!$H:$H,'EPA land and ag potential'!$C:$C,'EPA land and ag calcs'!B$22,'EPA land and ag potential'!$G:$G,'EPA land and ag calcs'!$A25,'EPA land and ag potential'!$D:$D,"FASOMGHG",'EPA land and ag potential'!$F:$F,"3% Growth",'EPA land and ag potential'!$K:$K,'EPA land and ag calcs'!$A$29)</f>
        <v>20.5</v>
      </c>
      <c r="C34" s="20">
        <f>SUMIFS('EPA land and ag potential'!$H:$H,'EPA land and ag potential'!$C:$C,'EPA land and ag calcs'!C$22,'EPA land and ag potential'!$G:$G,'EPA land and ag calcs'!$A25,'EPA land and ag potential'!$D:$D,"FASOMGHG",'EPA land and ag potential'!$F:$F,"3% Growth",'EPA land and ag potential'!$K:$K,'EPA land and ag calcs'!$A$29)</f>
        <v>-59.3</v>
      </c>
      <c r="D34" s="20">
        <f>SUMIFS('EPA land and ag potential'!$H:$H,'EPA land and ag potential'!$C:$C,'EPA land and ag calcs'!D$22,'EPA land and ag potential'!$G:$G,'EPA land and ag calcs'!$A25,'EPA land and ag potential'!$D:$D,"FASOMGHG",'EPA land and ag potential'!$F:$F,"3% Growth",'EPA land and ag potential'!$K:$K,'EPA land and ag calcs'!$A$29)</f>
        <v>-99.2</v>
      </c>
      <c r="E34" s="20">
        <f>SUMIFS('EPA land and ag potential'!$H:$H,'EPA land and ag potential'!$C:$C,'EPA land and ag calcs'!E$22,'EPA land and ag potential'!$G:$G,'EPA land and ag calcs'!$A25,'EPA land and ag potential'!$D:$D,"FASOMGHG",'EPA land and ag potential'!$F:$F,"3% Growth",'EPA land and ag potential'!$K:$K,'EPA land and ag calcs'!$A$29)</f>
        <v>-124.1</v>
      </c>
      <c r="G34" s="20">
        <v>35</v>
      </c>
      <c r="H34" s="35">
        <f t="shared" si="1"/>
        <v>5.4000000000000057</v>
      </c>
      <c r="I34" s="35">
        <f t="shared" si="1"/>
        <v>-33.799999999999997</v>
      </c>
      <c r="J34" s="20">
        <f t="shared" si="1"/>
        <v>-59.100000000000009</v>
      </c>
      <c r="K34" s="20">
        <f t="shared" si="1"/>
        <v>-61.599999999999994</v>
      </c>
      <c r="AB34" s="24"/>
      <c r="AC34" s="24"/>
    </row>
    <row r="35" spans="1:31" x14ac:dyDescent="0.35">
      <c r="A35" s="20">
        <v>50</v>
      </c>
      <c r="B35" s="20">
        <f>SUMIFS('EPA land and ag potential'!$H:$H,'EPA land and ag potential'!$C:$C,'EPA land and ag calcs'!B$22,'EPA land and ag potential'!$G:$G,'EPA land and ag calcs'!$A26,'EPA land and ag potential'!$D:$D,"FASOMGHG",'EPA land and ag potential'!$F:$F,"3% Growth",'EPA land and ag potential'!$K:$K,'EPA land and ag calcs'!$A$29)</f>
        <v>-26.5</v>
      </c>
      <c r="C35" s="20">
        <f>SUMIFS('EPA land and ag potential'!$H:$H,'EPA land and ag potential'!$C:$C,'EPA land and ag calcs'!C$22,'EPA land and ag potential'!$G:$G,'EPA land and ag calcs'!$A26,'EPA land and ag potential'!$D:$D,"FASOMGHG",'EPA land and ag potential'!$F:$F,"3% Growth",'EPA land and ag potential'!$K:$K,'EPA land and ag calcs'!$A$29)</f>
        <v>-103.49999999999999</v>
      </c>
      <c r="D35" s="20">
        <f>SUMIFS('EPA land and ag potential'!$H:$H,'EPA land and ag potential'!$C:$C,'EPA land and ag calcs'!D$22,'EPA land and ag potential'!$G:$G,'EPA land and ag calcs'!$A26,'EPA land and ag potential'!$D:$D,"FASOMGHG",'EPA land and ag potential'!$F:$F,"3% Growth",'EPA land and ag potential'!$K:$K,'EPA land and ag calcs'!$A$29)</f>
        <v>-141.90000000000003</v>
      </c>
      <c r="E35" s="20">
        <f>SUMIFS('EPA land and ag potential'!$H:$H,'EPA land and ag potential'!$C:$C,'EPA land and ag calcs'!E$22,'EPA land and ag potential'!$G:$G,'EPA land and ag calcs'!$A26,'EPA land and ag potential'!$D:$D,"FASOMGHG",'EPA land and ag potential'!$F:$F,"3% Growth",'EPA land and ag potential'!$K:$K,'EPA land and ag calcs'!$A$29)</f>
        <v>-168.4</v>
      </c>
      <c r="G35" s="20">
        <v>50</v>
      </c>
      <c r="H35" s="20">
        <f t="shared" si="1"/>
        <v>-47</v>
      </c>
      <c r="I35" s="20">
        <f t="shared" si="1"/>
        <v>-44.199999999999989</v>
      </c>
      <c r="J35" s="20">
        <f t="shared" si="1"/>
        <v>-42.700000000000031</v>
      </c>
      <c r="K35" s="20">
        <f t="shared" si="1"/>
        <v>-44.300000000000011</v>
      </c>
      <c r="AB35" s="25"/>
      <c r="AC35" s="24"/>
    </row>
    <row r="36" spans="1:31" x14ac:dyDescent="0.35">
      <c r="A36" s="20">
        <v>100</v>
      </c>
      <c r="B36" s="20">
        <f>SUMIFS('EPA land and ag potential'!$H:$H,'EPA land and ag potential'!$C:$C,'EPA land and ag calcs'!B$22,'EPA land and ag potential'!$G:$G,'EPA land and ag calcs'!$A27,'EPA land and ag potential'!$D:$D,"FASOMGHG",'EPA land and ag potential'!$F:$F,"3% Growth",'EPA land and ag potential'!$K:$K,'EPA land and ag calcs'!$A$29)</f>
        <v>-29.099999999999994</v>
      </c>
      <c r="C36" s="20">
        <f>SUMIFS('EPA land and ag potential'!$H:$H,'EPA land and ag potential'!$C:$C,'EPA land and ag calcs'!C$22,'EPA land and ag potential'!$G:$G,'EPA land and ag calcs'!$A27,'EPA land and ag potential'!$D:$D,"FASOMGHG",'EPA land and ag potential'!$F:$F,"3% Growth",'EPA land and ag potential'!$K:$K,'EPA land and ag calcs'!$A$29)</f>
        <v>-122.8</v>
      </c>
      <c r="D36" s="20">
        <f>SUMIFS('EPA land and ag potential'!$H:$H,'EPA land and ag potential'!$C:$C,'EPA land and ag calcs'!D$22,'EPA land and ag potential'!$G:$G,'EPA land and ag calcs'!$A27,'EPA land and ag potential'!$D:$D,"FASOMGHG",'EPA land and ag potential'!$F:$F,"3% Growth",'EPA land and ag potential'!$K:$K,'EPA land and ag calcs'!$A$29)</f>
        <v>-158.19999999999999</v>
      </c>
      <c r="E36" s="20">
        <f>SUMIFS('EPA land and ag potential'!$H:$H,'EPA land and ag potential'!$C:$C,'EPA land and ag calcs'!E$22,'EPA land and ag potential'!$G:$G,'EPA land and ag calcs'!$A27,'EPA land and ag potential'!$D:$D,"FASOMGHG",'EPA land and ag potential'!$F:$F,"3% Growth",'EPA land and ag potential'!$K:$K,'EPA land and ag calcs'!$A$29)</f>
        <v>-191.89999999999998</v>
      </c>
      <c r="G36" s="20">
        <v>100</v>
      </c>
      <c r="H36" s="20">
        <f t="shared" si="1"/>
        <v>-2.5999999999999943</v>
      </c>
      <c r="I36" s="20">
        <f t="shared" si="1"/>
        <v>-19.300000000000011</v>
      </c>
      <c r="J36" s="20">
        <f t="shared" si="1"/>
        <v>-16.299999999999955</v>
      </c>
      <c r="K36" s="20">
        <f t="shared" si="1"/>
        <v>-23.499999999999972</v>
      </c>
      <c r="AB36" s="24"/>
      <c r="AC36" s="24"/>
    </row>
    <row r="37" spans="1:31" x14ac:dyDescent="0.35">
      <c r="A37" s="22"/>
    </row>
    <row r="38" spans="1:31" x14ac:dyDescent="0.35">
      <c r="A38" s="22" t="s">
        <v>85</v>
      </c>
    </row>
    <row r="39" spans="1:31" s="1" customFormat="1" x14ac:dyDescent="0.35">
      <c r="A39" s="34" t="s">
        <v>159</v>
      </c>
      <c r="B39" s="1">
        <v>2021</v>
      </c>
      <c r="C39" s="1">
        <v>2022</v>
      </c>
      <c r="D39" s="1">
        <v>2023</v>
      </c>
      <c r="E39" s="1">
        <v>2024</v>
      </c>
      <c r="F39" s="1">
        <v>2025</v>
      </c>
      <c r="G39" s="1">
        <v>2026</v>
      </c>
      <c r="H39" s="1">
        <v>2027</v>
      </c>
      <c r="I39" s="1">
        <v>2028</v>
      </c>
      <c r="J39" s="1">
        <v>2029</v>
      </c>
      <c r="K39" s="1">
        <v>2030</v>
      </c>
      <c r="L39" s="1">
        <v>2031</v>
      </c>
      <c r="M39" s="1">
        <v>2032</v>
      </c>
      <c r="N39" s="1">
        <v>2033</v>
      </c>
      <c r="O39" s="1">
        <v>2034</v>
      </c>
      <c r="P39" s="1">
        <v>2035</v>
      </c>
      <c r="Q39" s="1">
        <v>2036</v>
      </c>
      <c r="R39" s="1">
        <v>2037</v>
      </c>
      <c r="S39" s="1">
        <v>2038</v>
      </c>
      <c r="T39" s="1">
        <v>2039</v>
      </c>
      <c r="U39" s="1">
        <v>2040</v>
      </c>
      <c r="V39" s="1">
        <v>2041</v>
      </c>
      <c r="W39" s="1">
        <v>2042</v>
      </c>
      <c r="X39" s="1">
        <v>2043</v>
      </c>
      <c r="Y39" s="1">
        <v>2044</v>
      </c>
      <c r="Z39" s="1">
        <v>2045</v>
      </c>
      <c r="AA39" s="1">
        <v>2046</v>
      </c>
      <c r="AB39" s="1">
        <v>2047</v>
      </c>
      <c r="AC39" s="1">
        <v>2048</v>
      </c>
      <c r="AD39" s="1">
        <v>2049</v>
      </c>
      <c r="AE39" s="1">
        <v>2050</v>
      </c>
    </row>
    <row r="40" spans="1:31" customFormat="1" x14ac:dyDescent="0.35">
      <c r="A40" s="20">
        <v>5</v>
      </c>
      <c r="B40" s="37" cm="1">
        <f t="array" ref="B40">MAX(TREND($H23:$I23,$H$31:$I$31,B$39)*10^12*-1,0)</f>
        <v>2399999999999.8638</v>
      </c>
      <c r="C40" s="37" cm="1">
        <f t="array" ref="C40">MAX(TREND($H23:$I23,$H$31:$I$31,C$39)*10^12*-1,0)</f>
        <v>3349999999999.9092</v>
      </c>
      <c r="D40" s="37" cm="1">
        <f t="array" ref="D40">MAX(TREND($H23:$I23,$H$31:$I$31,D$39)*10^12*-1,0)</f>
        <v>4299999999999.9546</v>
      </c>
      <c r="E40" s="37" cm="1">
        <f t="array" ref="E40">MAX(TREND($H23:$I23,$H$31:$I$31,E$39)*10^12*-1,0)</f>
        <v>5250000000000</v>
      </c>
      <c r="F40" s="37" cm="1">
        <f t="array" ref="F40">MAX(TREND($H23:$I23,$H$31:$I$31,F$39)*10^12*-1,0)</f>
        <v>6200000000000.0459</v>
      </c>
      <c r="G40" s="37" cm="1">
        <f t="array" ref="G40">MAX(TREND($H23:$I23,$H$31:$I$31,G$39)*10^12*-1,0)</f>
        <v>7149999999999.8633</v>
      </c>
      <c r="H40" s="37" cm="1">
        <f t="array" ref="H40">MAX(TREND($H23:$I23,$H$31:$I$31,H$39)*10^12*-1,0)</f>
        <v>8099999999999.9092</v>
      </c>
      <c r="I40" s="37" cm="1">
        <f t="array" ref="I40">MAX(TREND($H23:$I23,$H$31:$I$31,I$39)*10^12*-1,0)</f>
        <v>9049999999999.9551</v>
      </c>
      <c r="J40" s="37" cm="1">
        <f t="array" ref="J40">MAX(TREND($H23:$I23,$H$31:$I$31,J$39)*10^12*-1,0)</f>
        <v>10000000000000</v>
      </c>
      <c r="K40" s="37" cm="1">
        <f t="array" ref="K40">MAX(TREND($H23:$I23,$H$31:$I$31,K$39)*10^12*-1,0)</f>
        <v>10950000000000.045</v>
      </c>
      <c r="L40" s="37" cm="1">
        <f t="array" ref="L40">MAX(TREND($H23:$I23,$H$31:$I$31,L$39)*10^12*-1,0)</f>
        <v>11899999999999.863</v>
      </c>
      <c r="M40" s="37" cm="1">
        <f t="array" ref="M40">MAX(TREND($H23:$I23,$H$31:$I$31,M$39)*10^12*-1,0)</f>
        <v>12849999999999.908</v>
      </c>
      <c r="N40" s="37" cm="1">
        <f t="array" ref="N40">MAX(TREND($H23:$I23,$H$31:$I$31,N$39)*10^12*-1,0)</f>
        <v>13799999999999.955</v>
      </c>
      <c r="O40" s="37" cm="1">
        <f t="array" ref="O40">MAX(TREND($H23:$I23,$H$31:$I$31,O$39)*10^12*-1,0)</f>
        <v>14750000000000</v>
      </c>
      <c r="P40" s="37" cm="1">
        <f t="array" ref="P40">MAX(TREND($H23:$I23,$H$31:$I$31,P$39)*10^12*-1,0)</f>
        <v>15700000000000.045</v>
      </c>
      <c r="Q40" s="37" cm="1">
        <f t="array" ref="Q40">MAX(TREND($I23:$J23,$I$31:$J$31,Q$39)*10^12*-1,0)</f>
        <v>16319999999999.936</v>
      </c>
      <c r="R40" s="37" cm="1">
        <f t="array" ref="R40">MAX(TREND($I23:$J23,$I$31:$J$31,R$39)*10^12*-1,0)</f>
        <v>16940000000000.055</v>
      </c>
      <c r="S40" s="37" cm="1">
        <f t="array" ref="S40">MAX(TREND($I23:$J23,$I$31:$J$31,S$39)*10^12*-1,0)</f>
        <v>17559999999999.945</v>
      </c>
      <c r="T40" s="37" cm="1">
        <f t="array" ref="T40">MAX(TREND($I23:$J23,$I$31:$J$31,T$39)*10^12*-1,0)</f>
        <v>18180000000000.063</v>
      </c>
      <c r="U40" s="37" cm="1">
        <f t="array" ref="U40">MAX(TREND($I23:$J23,$I$31:$J$31,U$39)*10^12*-1,0)</f>
        <v>18799999999999.953</v>
      </c>
      <c r="V40" s="37" cm="1">
        <f t="array" ref="V40">MAX(TREND($I23:$J23,$I$31:$J$31,V$39)*10^12*-1,0)</f>
        <v>19420000000000.074</v>
      </c>
      <c r="W40" s="37" cm="1">
        <f t="array" ref="W40">MAX(TREND($I23:$J23,$I$31:$J$31,W$39)*10^12*-1,0)</f>
        <v>20039999999999.965</v>
      </c>
      <c r="X40" s="37" cm="1">
        <f t="array" ref="X40">MAX(TREND($I23:$J23,$I$31:$J$31,X$39)*10^12*-1,0)</f>
        <v>20660000000000.082</v>
      </c>
      <c r="Y40" s="37" cm="1">
        <f t="array" ref="Y40">MAX(TREND($I23:$J23,$I$31:$J$31,Y$39)*10^12*-1,0)</f>
        <v>21279999999999.973</v>
      </c>
      <c r="Z40" s="37" cm="1">
        <f t="array" ref="Z40">MAX(TREND($I23:$J23,$I$31:$J$31,Z$39)*10^12*-1,0)</f>
        <v>21900000000000.09</v>
      </c>
      <c r="AA40" s="37" cm="1">
        <f t="array" ref="AA40">MAX(TREND($J23:$K23,$J$31:$K$31,AA$39)*10^12*-1,0)</f>
        <v>22500000000000</v>
      </c>
      <c r="AB40" s="37" cm="1">
        <f t="array" ref="AB40">MAX(TREND($J23:$K23,$J$31:$K$31,AB$39)*10^12*-1,0)</f>
        <v>23100000000000.137</v>
      </c>
      <c r="AC40" s="37" cm="1">
        <f t="array" ref="AC40">MAX(TREND($J23:$K23,$J$31:$K$31,AC$39)*10^12*-1,0)</f>
        <v>23700000000000.047</v>
      </c>
      <c r="AD40" s="37" cm="1">
        <f t="array" ref="AD40">MAX(TREND($J23:$K23,$J$31:$K$31,AD$39)*10^12*-1,0)</f>
        <v>24299999999999.953</v>
      </c>
      <c r="AE40" s="37" cm="1">
        <f t="array" ref="AE40">MAX(TREND($J23:$K23,$J$31:$K$31,AE$39)*10^12*-1,0)</f>
        <v>24900000000000.09</v>
      </c>
    </row>
    <row r="41" spans="1:31" customFormat="1" x14ac:dyDescent="0.35">
      <c r="A41" s="20">
        <v>20</v>
      </c>
      <c r="B41" s="37" cm="1">
        <f t="array" ref="B41">MAX(TREND($H24:$I24,$H$31:$I$31,B$39)*10^12*-1,0)</f>
        <v>0</v>
      </c>
      <c r="C41" s="37" cm="1">
        <f t="array" ref="C41">MAX(TREND($H24:$I24,$H$31:$I$31,C$39)*10^12*-1,0)</f>
        <v>909999999999.85449</v>
      </c>
      <c r="D41" s="37" cm="1">
        <f t="array" ref="D41">MAX(TREND($H24:$I24,$H$31:$I$31,D$39)*10^12*-1,0)</f>
        <v>2639999999999.8726</v>
      </c>
      <c r="E41" s="37" cm="1">
        <f t="array" ref="E41">MAX(TREND($H24:$I24,$H$31:$I$31,E$39)*10^12*-1,0)</f>
        <v>4369999999999.8906</v>
      </c>
      <c r="F41" s="37" cm="1">
        <f t="array" ref="F41">MAX(TREND($H24:$I24,$H$31:$I$31,F$39)*10^12*-1,0)</f>
        <v>6099999999999.9092</v>
      </c>
      <c r="G41" s="37" cm="1">
        <f t="array" ref="G41">MAX(TREND($H24:$I24,$H$31:$I$31,G$39)*10^12*-1,0)</f>
        <v>7829999999999.9268</v>
      </c>
      <c r="H41" s="37" cm="1">
        <f t="array" ref="H41">MAX(TREND($H24:$I24,$H$31:$I$31,H$39)*10^12*-1,0)</f>
        <v>9559999999999.9453</v>
      </c>
      <c r="I41" s="37" cm="1">
        <f t="array" ref="I41">MAX(TREND($H24:$I24,$H$31:$I$31,I$39)*10^12*-1,0)</f>
        <v>11289999999999.963</v>
      </c>
      <c r="J41" s="37" cm="1">
        <f t="array" ref="J41">MAX(TREND($H24:$I24,$H$31:$I$31,J$39)*10^12*-1,0)</f>
        <v>13019999999999.982</v>
      </c>
      <c r="K41" s="37" cm="1">
        <f t="array" ref="K41">MAX(TREND($H24:$I24,$H$31:$I$31,K$39)*10^12*-1,0)</f>
        <v>14750000000000</v>
      </c>
      <c r="L41" s="37" cm="1">
        <f t="array" ref="L41">MAX(TREND($H24:$I24,$H$31:$I$31,L$39)*10^12*-1,0)</f>
        <v>16480000000000.018</v>
      </c>
      <c r="M41" s="37" cm="1">
        <f t="array" ref="M41">MAX(TREND($H24:$I24,$H$31:$I$31,M$39)*10^12*-1,0)</f>
        <v>18210000000000.035</v>
      </c>
      <c r="N41" s="37" cm="1">
        <f t="array" ref="N41">MAX(TREND($H24:$I24,$H$31:$I$31,N$39)*10^12*-1,0)</f>
        <v>19940000000000.055</v>
      </c>
      <c r="O41" s="37" cm="1">
        <f t="array" ref="O41">MAX(TREND($H24:$I24,$H$31:$I$31,O$39)*10^12*-1,0)</f>
        <v>21670000000000.074</v>
      </c>
      <c r="P41" s="37" cm="1">
        <f t="array" ref="P41">MAX(TREND($H24:$I24,$H$31:$I$31,P$39)*10^12*-1,0)</f>
        <v>23400000000000.09</v>
      </c>
      <c r="Q41" s="37" cm="1">
        <f t="array" ref="Q41">MAX(TREND($I24:$J24,$I$31:$J$31,Q$39)*10^12*-1,0)</f>
        <v>23679999999999.949</v>
      </c>
      <c r="R41" s="37" cm="1">
        <f t="array" ref="R41">MAX(TREND($I24:$J24,$I$31:$J$31,R$39)*10^12*-1,0)</f>
        <v>23959999999999.922</v>
      </c>
      <c r="S41" s="37" cm="1">
        <f t="array" ref="S41">MAX(TREND($I24:$J24,$I$31:$J$31,S$39)*10^12*-1,0)</f>
        <v>24240000000000.008</v>
      </c>
      <c r="T41" s="37" cm="1">
        <f t="array" ref="T41">MAX(TREND($I24:$J24,$I$31:$J$31,T$39)*10^12*-1,0)</f>
        <v>24519999999999.98</v>
      </c>
      <c r="U41" s="37" cm="1">
        <f t="array" ref="U41">MAX(TREND($I24:$J24,$I$31:$J$31,U$39)*10^12*-1,0)</f>
        <v>24799999999999.953</v>
      </c>
      <c r="V41" s="37" cm="1">
        <f t="array" ref="V41">MAX(TREND($I24:$J24,$I$31:$J$31,V$39)*10^12*-1,0)</f>
        <v>25079999999999.926</v>
      </c>
      <c r="W41" s="37" cm="1">
        <f t="array" ref="W41">MAX(TREND($I24:$J24,$I$31:$J$31,W$39)*10^12*-1,0)</f>
        <v>25360000000000.012</v>
      </c>
      <c r="X41" s="37" cm="1">
        <f t="array" ref="X41">MAX(TREND($I24:$J24,$I$31:$J$31,X$39)*10^12*-1,0)</f>
        <v>25639999999999.988</v>
      </c>
      <c r="Y41" s="37" cm="1">
        <f t="array" ref="Y41">MAX(TREND($I24:$J24,$I$31:$J$31,Y$39)*10^12*-1,0)</f>
        <v>25919999999999.961</v>
      </c>
      <c r="Z41" s="37" cm="1">
        <f t="array" ref="Z41">MAX(TREND($I24:$J24,$I$31:$J$31,Z$39)*10^12*-1,0)</f>
        <v>26199999999999.934</v>
      </c>
      <c r="AA41" s="37" cm="1">
        <f t="array" ref="AA41">MAX(TREND($J24:$K24,$J$31:$K$31,AA$39)*10^12*-1,0)</f>
        <v>26619999999999.891</v>
      </c>
      <c r="AB41" s="37" cm="1">
        <f t="array" ref="AB41">MAX(TREND($J24:$K24,$J$31:$K$31,AB$39)*10^12*-1,0)</f>
        <v>27039999999999.965</v>
      </c>
      <c r="AC41" s="37" cm="1">
        <f t="array" ref="AC41">MAX(TREND($J24:$K24,$J$31:$K$31,AC$39)*10^12*-1,0)</f>
        <v>27459999999999.922</v>
      </c>
      <c r="AD41" s="37" cm="1">
        <f t="array" ref="AD41">MAX(TREND($J24:$K24,$J$31:$K$31,AD$39)*10^12*-1,0)</f>
        <v>27879999999999.883</v>
      </c>
      <c r="AE41" s="37" cm="1">
        <f t="array" ref="AE41">MAX(TREND($J24:$K24,$J$31:$K$31,AE$39)*10^12*-1,0)</f>
        <v>28299999999999.953</v>
      </c>
    </row>
    <row r="42" spans="1:31" customFormat="1" x14ac:dyDescent="0.35">
      <c r="A42" s="20">
        <v>35</v>
      </c>
      <c r="B42" s="37" cm="1">
        <f t="array" ref="B42">MAX(TREND($H25:$I25,$H$31:$I$31,B$39)*10^12*-1,0)</f>
        <v>0</v>
      </c>
      <c r="C42" s="37" cm="1">
        <f t="array" ref="C42">MAX(TREND($H25:$I25,$H$31:$I$31,C$39)*10^12*-1,0)</f>
        <v>130000000000.10915</v>
      </c>
      <c r="D42" s="37" cm="1">
        <f t="array" ref="D42">MAX(TREND($H25:$I25,$H$31:$I$31,D$39)*10^12*-1,0)</f>
        <v>920000000000.07275</v>
      </c>
      <c r="E42" s="37" cm="1">
        <f t="array" ref="E42">MAX(TREND($H25:$I25,$H$31:$I$31,E$39)*10^12*-1,0)</f>
        <v>1710000000000.0364</v>
      </c>
      <c r="F42" s="37" cm="1">
        <f t="array" ref="F42">MAX(TREND($H25:$I25,$H$31:$I$31,F$39)*10^12*-1,0)</f>
        <v>2500000000000</v>
      </c>
      <c r="G42" s="37" cm="1">
        <f t="array" ref="G42">MAX(TREND($H25:$I25,$H$31:$I$31,G$39)*10^12*-1,0)</f>
        <v>3290000000000.1909</v>
      </c>
      <c r="H42" s="37" cm="1">
        <f t="array" ref="H42">MAX(TREND($H25:$I25,$H$31:$I$31,H$39)*10^12*-1,0)</f>
        <v>4080000000000.1548</v>
      </c>
      <c r="I42" s="37" cm="1">
        <f t="array" ref="I42">MAX(TREND($H25:$I25,$H$31:$I$31,I$39)*10^12*-1,0)</f>
        <v>4870000000000.1182</v>
      </c>
      <c r="J42" s="37" cm="1">
        <f t="array" ref="J42">MAX(TREND($H25:$I25,$H$31:$I$31,J$39)*10^12*-1,0)</f>
        <v>5660000000000.082</v>
      </c>
      <c r="K42" s="37" cm="1">
        <f t="array" ref="K42">MAX(TREND($H25:$I25,$H$31:$I$31,K$39)*10^12*-1,0)</f>
        <v>6450000000000.0459</v>
      </c>
      <c r="L42" s="37" cm="1">
        <f t="array" ref="L42">MAX(TREND($H25:$I25,$H$31:$I$31,L$39)*10^12*-1,0)</f>
        <v>7240000000000.0088</v>
      </c>
      <c r="M42" s="37" cm="1">
        <f t="array" ref="M42">MAX(TREND($H25:$I25,$H$31:$I$31,M$39)*10^12*-1,0)</f>
        <v>8029999999999.9727</v>
      </c>
      <c r="N42" s="37" cm="1">
        <f t="array" ref="N42">MAX(TREND($H25:$I25,$H$31:$I$31,N$39)*10^12*-1,0)</f>
        <v>8820000000000.1641</v>
      </c>
      <c r="O42" s="37" cm="1">
        <f t="array" ref="O42">MAX(TREND($H25:$I25,$H$31:$I$31,O$39)*10^12*-1,0)</f>
        <v>9610000000000.127</v>
      </c>
      <c r="P42" s="37" cm="1">
        <f t="array" ref="P42">MAX(TREND($H25:$I25,$H$31:$I$31,P$39)*10^12*-1,0)</f>
        <v>10400000000000.092</v>
      </c>
      <c r="Q42" s="37" cm="1">
        <f t="array" ref="Q42">MAX(TREND($I25:$J25,$I$31:$J$31,Q$39)*10^12*-1,0)</f>
        <v>10540000000000.02</v>
      </c>
      <c r="R42" s="37" cm="1">
        <f t="array" ref="R42">MAX(TREND($I25:$J25,$I$31:$J$31,R$39)*10^12*-1,0)</f>
        <v>10680000000000.006</v>
      </c>
      <c r="S42" s="37" cm="1">
        <f t="array" ref="S42">MAX(TREND($I25:$J25,$I$31:$J$31,S$39)*10^12*-1,0)</f>
        <v>10820000000000.051</v>
      </c>
      <c r="T42" s="37" cm="1">
        <f t="array" ref="T42">MAX(TREND($I25:$J25,$I$31:$J$31,T$39)*10^12*-1,0)</f>
        <v>10960000000000.037</v>
      </c>
      <c r="U42" s="37" cm="1">
        <f t="array" ref="U42">MAX(TREND($I25:$J25,$I$31:$J$31,U$39)*10^12*-1,0)</f>
        <v>11100000000000.023</v>
      </c>
      <c r="V42" s="37" cm="1">
        <f t="array" ref="V42">MAX(TREND($I25:$J25,$I$31:$J$31,V$39)*10^12*-1,0)</f>
        <v>11240000000000.01</v>
      </c>
      <c r="W42" s="37" cm="1">
        <f t="array" ref="W42">MAX(TREND($I25:$J25,$I$31:$J$31,W$39)*10^12*-1,0)</f>
        <v>11380000000000.053</v>
      </c>
      <c r="X42" s="37" cm="1">
        <f t="array" ref="X42">MAX(TREND($I25:$J25,$I$31:$J$31,X$39)*10^12*-1,0)</f>
        <v>11520000000000.039</v>
      </c>
      <c r="Y42" s="37" cm="1">
        <f t="array" ref="Y42">MAX(TREND($I25:$J25,$I$31:$J$31,Y$39)*10^12*-1,0)</f>
        <v>11660000000000.025</v>
      </c>
      <c r="Z42" s="37" cm="1">
        <f t="array" ref="Z42">MAX(TREND($I25:$J25,$I$31:$J$31,Z$39)*10^12*-1,0)</f>
        <v>11800000000000.012</v>
      </c>
      <c r="AA42" s="37" cm="1">
        <f t="array" ref="AA42">MAX(TREND($J25:$K25,$J$31:$K$31,AA$39)*10^12*-1,0)</f>
        <v>11990000000000.01</v>
      </c>
      <c r="AB42" s="37" cm="1">
        <f t="array" ref="AB42">MAX(TREND($J25:$K25,$J$31:$K$31,AB$39)*10^12*-1,0)</f>
        <v>12180000000000.006</v>
      </c>
      <c r="AC42" s="37" cm="1">
        <f t="array" ref="AC42">MAX(TREND($J25:$K25,$J$31:$K$31,AC$39)*10^12*-1,0)</f>
        <v>12370000000000.004</v>
      </c>
      <c r="AD42" s="37" cm="1">
        <f t="array" ref="AD42">MAX(TREND($J25:$K25,$J$31:$K$31,AD$39)*10^12*-1,0)</f>
        <v>12560000000000.002</v>
      </c>
      <c r="AE42" s="37" cm="1">
        <f t="array" ref="AE42">MAX(TREND($J25:$K25,$J$31:$K$31,AE$39)*10^12*-1,0)</f>
        <v>12750000000000</v>
      </c>
    </row>
    <row r="43" spans="1:31" customFormat="1" x14ac:dyDescent="0.35">
      <c r="A43" s="20">
        <v>50</v>
      </c>
      <c r="B43" s="37" cm="1">
        <f t="array" ref="B43">MAX(TREND($H26:$I26,$H$31:$I$31,B$39)*10^12*-1,0)</f>
        <v>2120000000000.0046</v>
      </c>
      <c r="C43" s="37" cm="1">
        <f t="array" ref="C43">MAX(TREND($H26:$I26,$H$31:$I$31,C$39)*10^12*-1,0)</f>
        <v>2239999999999.9805</v>
      </c>
      <c r="D43" s="37" cm="1">
        <f t="array" ref="D43">MAX(TREND($H26:$I26,$H$31:$I$31,D$39)*10^12*-1,0)</f>
        <v>2359999999999.9854</v>
      </c>
      <c r="E43" s="37" cm="1">
        <f t="array" ref="E43">MAX(TREND($H26:$I26,$H$31:$I$31,E$39)*10^12*-1,0)</f>
        <v>2479999999999.9897</v>
      </c>
      <c r="F43" s="37" cm="1">
        <f t="array" ref="F43">MAX(TREND($H26:$I26,$H$31:$I$31,F$39)*10^12*-1,0)</f>
        <v>2599999999999.9941</v>
      </c>
      <c r="G43" s="37" cm="1">
        <f t="array" ref="G43">MAX(TREND($H26:$I26,$H$31:$I$31,G$39)*10^12*-1,0)</f>
        <v>2719999999999.999</v>
      </c>
      <c r="H43" s="37" cm="1">
        <f t="array" ref="H43">MAX(TREND($H26:$I26,$H$31:$I$31,H$39)*10^12*-1,0)</f>
        <v>2840000000000.0034</v>
      </c>
      <c r="I43" s="37" cm="1">
        <f t="array" ref="I43">MAX(TREND($H26:$I26,$H$31:$I$31,I$39)*10^12*-1,0)</f>
        <v>2959999999999.9795</v>
      </c>
      <c r="J43" s="37" cm="1">
        <f t="array" ref="J43">MAX(TREND($H26:$I26,$H$31:$I$31,J$39)*10^12*-1,0)</f>
        <v>3079999999999.9839</v>
      </c>
      <c r="K43" s="37" cm="1">
        <f t="array" ref="K43">MAX(TREND($H26:$I26,$H$31:$I$31,K$39)*10^12*-1,0)</f>
        <v>3199999999999.9888</v>
      </c>
      <c r="L43" s="37" cm="1">
        <f t="array" ref="L43">MAX(TREND($H26:$I26,$H$31:$I$31,L$39)*10^12*-1,0)</f>
        <v>3319999999999.9932</v>
      </c>
      <c r="M43" s="37" cm="1">
        <f t="array" ref="M43">MAX(TREND($H26:$I26,$H$31:$I$31,M$39)*10^12*-1,0)</f>
        <v>3439999999999.9976</v>
      </c>
      <c r="N43" s="37" cm="1">
        <f t="array" ref="N43">MAX(TREND($H26:$I26,$H$31:$I$31,N$39)*10^12*-1,0)</f>
        <v>3560000000000.0024</v>
      </c>
      <c r="O43" s="37" cm="1">
        <f t="array" ref="O43">MAX(TREND($H26:$I26,$H$31:$I$31,O$39)*10^12*-1,0)</f>
        <v>3679999999999.9785</v>
      </c>
      <c r="P43" s="37" cm="1">
        <f t="array" ref="P43">MAX(TREND($H26:$I26,$H$31:$I$31,P$39)*10^12*-1,0)</f>
        <v>3799999999999.9829</v>
      </c>
      <c r="Q43" s="37" cm="1">
        <f t="array" ref="Q43">MAX(TREND($I26:$J26,$I$31:$J$31,Q$39)*10^12*-1,0)</f>
        <v>3840000000000.0034</v>
      </c>
      <c r="R43" s="37" cm="1">
        <f t="array" ref="R43">MAX(TREND($I26:$J26,$I$31:$J$31,R$39)*10^12*-1,0)</f>
        <v>3879999999999.9956</v>
      </c>
      <c r="S43" s="37" cm="1">
        <f t="array" ref="S43">MAX(TREND($I26:$J26,$I$31:$J$31,S$39)*10^12*-1,0)</f>
        <v>3920000000000.0015</v>
      </c>
      <c r="T43" s="37" cm="1">
        <f t="array" ref="T43">MAX(TREND($I26:$J26,$I$31:$J$31,T$39)*10^12*-1,0)</f>
        <v>3960000000000.0078</v>
      </c>
      <c r="U43" s="37" cm="1">
        <f t="array" ref="U43">MAX(TREND($I26:$J26,$I$31:$J$31,U$39)*10^12*-1,0)</f>
        <v>4000000000000</v>
      </c>
      <c r="V43" s="37" cm="1">
        <f t="array" ref="V43">MAX(TREND($I26:$J26,$I$31:$J$31,V$39)*10^12*-1,0)</f>
        <v>4040000000000.0063</v>
      </c>
      <c r="W43" s="37" cm="1">
        <f t="array" ref="W43">MAX(TREND($I26:$J26,$I$31:$J$31,W$39)*10^12*-1,0)</f>
        <v>4079999999999.9985</v>
      </c>
      <c r="X43" s="37" cm="1">
        <f t="array" ref="X43">MAX(TREND($I26:$J26,$I$31:$J$31,X$39)*10^12*-1,0)</f>
        <v>4120000000000.0044</v>
      </c>
      <c r="Y43" s="37" cm="1">
        <f t="array" ref="Y43">MAX(TREND($I26:$J26,$I$31:$J$31,Y$39)*10^12*-1,0)</f>
        <v>4160000000000.0107</v>
      </c>
      <c r="Z43" s="37" cm="1">
        <f t="array" ref="Z43">MAX(TREND($I26:$J26,$I$31:$J$31,Z$39)*10^12*-1,0)</f>
        <v>4200000000000.0029</v>
      </c>
      <c r="AA43" s="37" cm="1">
        <f t="array" ref="AA43">MAX(TREND($J26:$K26,$J$31:$K$31,AA$39)*10^12*-1,0)</f>
        <v>4250000000000.0142</v>
      </c>
      <c r="AB43" s="37" cm="1">
        <f t="array" ref="AB43">MAX(TREND($J26:$K26,$J$31:$K$31,AB$39)*10^12*-1,0)</f>
        <v>4300000000000.0112</v>
      </c>
      <c r="AC43" s="37" cm="1">
        <f t="array" ref="AC43">MAX(TREND($J26:$K26,$J$31:$K$31,AC$39)*10^12*-1,0)</f>
        <v>4350000000000.0083</v>
      </c>
      <c r="AD43" s="37" cm="1">
        <f t="array" ref="AD43">MAX(TREND($J26:$K26,$J$31:$K$31,AD$39)*10^12*-1,0)</f>
        <v>4400000000000.0059</v>
      </c>
      <c r="AE43" s="37" cm="1">
        <f t="array" ref="AE43">MAX(TREND($J26:$K26,$J$31:$K$31,AE$39)*10^12*-1,0)</f>
        <v>4450000000000.0029</v>
      </c>
    </row>
    <row r="44" spans="1:31" customFormat="1" x14ac:dyDescent="0.35">
      <c r="A44" s="20">
        <v>100</v>
      </c>
      <c r="B44" s="37" cm="1">
        <f t="array" ref="B44">MAX(TREND($H27:$I27,$H$31:$I$31,B$39)*10^12*-1,0)</f>
        <v>8699999999999.9883</v>
      </c>
      <c r="C44" s="37" cm="1">
        <f t="array" ref="C44">MAX(TREND($H27:$I27,$H$31:$I$31,C$39)*10^12*-1,0)</f>
        <v>8850000000000.0234</v>
      </c>
      <c r="D44" s="37" cm="1">
        <f t="array" ref="D44">MAX(TREND($H27:$I27,$H$31:$I$31,D$39)*10^12*-1,0)</f>
        <v>9000000000000</v>
      </c>
      <c r="E44" s="37" cm="1">
        <f t="array" ref="E44">MAX(TREND($H27:$I27,$H$31:$I$31,E$39)*10^12*-1,0)</f>
        <v>9150000000000.0332</v>
      </c>
      <c r="F44" s="37" cm="1">
        <f t="array" ref="F44">MAX(TREND($H27:$I27,$H$31:$I$31,F$39)*10^12*-1,0)</f>
        <v>9300000000000.0117</v>
      </c>
      <c r="G44" s="37" cm="1">
        <f t="array" ref="G44">MAX(TREND($H27:$I27,$H$31:$I$31,G$39)*10^12*-1,0)</f>
        <v>9449999999999.9883</v>
      </c>
      <c r="H44" s="37" cm="1">
        <f t="array" ref="H44">MAX(TREND($H27:$I27,$H$31:$I$31,H$39)*10^12*-1,0)</f>
        <v>9600000000000.0234</v>
      </c>
      <c r="I44" s="37" cm="1">
        <f t="array" ref="I44">MAX(TREND($H27:$I27,$H$31:$I$31,I$39)*10^12*-1,0)</f>
        <v>9750000000000</v>
      </c>
      <c r="J44" s="37" cm="1">
        <f t="array" ref="J44">MAX(TREND($H27:$I27,$H$31:$I$31,J$39)*10^12*-1,0)</f>
        <v>9900000000000.0332</v>
      </c>
      <c r="K44" s="37" cm="1">
        <f t="array" ref="K44">MAX(TREND($H27:$I27,$H$31:$I$31,K$39)*10^12*-1,0)</f>
        <v>10050000000000.012</v>
      </c>
      <c r="L44" s="37" cm="1">
        <f t="array" ref="L44">MAX(TREND($H27:$I27,$H$31:$I$31,L$39)*10^12*-1,0)</f>
        <v>10199999999999.988</v>
      </c>
      <c r="M44" s="37" cm="1">
        <f t="array" ref="M44">MAX(TREND($H27:$I27,$H$31:$I$31,M$39)*10^12*-1,0)</f>
        <v>10350000000000.023</v>
      </c>
      <c r="N44" s="37" cm="1">
        <f t="array" ref="N44">MAX(TREND($H27:$I27,$H$31:$I$31,N$39)*10^12*-1,0)</f>
        <v>10500000000000</v>
      </c>
      <c r="O44" s="37" cm="1">
        <f t="array" ref="O44">MAX(TREND($H27:$I27,$H$31:$I$31,O$39)*10^12*-1,0)</f>
        <v>10649999999999.977</v>
      </c>
      <c r="P44" s="37" cm="1">
        <f t="array" ref="P44">MAX(TREND($H27:$I27,$H$31:$I$31,P$39)*10^12*-1,0)</f>
        <v>10800000000000.012</v>
      </c>
      <c r="Q44" s="37" cm="1">
        <f t="array" ref="Q44">MAX(TREND($I27:$J27,$I$31:$J$31,Q$39)*10^12*-1,0)</f>
        <v>10829999999999.99</v>
      </c>
      <c r="R44" s="37" cm="1">
        <f t="array" ref="R44">MAX(TREND($I27:$J27,$I$31:$J$31,R$39)*10^12*-1,0)</f>
        <v>10859999999999.992</v>
      </c>
      <c r="S44" s="37" cm="1">
        <f t="array" ref="S44">MAX(TREND($I27:$J27,$I$31:$J$31,S$39)*10^12*-1,0)</f>
        <v>10889999999999.994</v>
      </c>
      <c r="T44" s="37" cm="1">
        <f t="array" ref="T44">MAX(TREND($I27:$J27,$I$31:$J$31,T$39)*10^12*-1,0)</f>
        <v>10919999999999.994</v>
      </c>
      <c r="U44" s="37" cm="1">
        <f t="array" ref="U44">MAX(TREND($I27:$J27,$I$31:$J$31,U$39)*10^12*-1,0)</f>
        <v>10949999999999.996</v>
      </c>
      <c r="V44" s="37" cm="1">
        <f t="array" ref="V44">MAX(TREND($I27:$J27,$I$31:$J$31,V$39)*10^12*-1,0)</f>
        <v>10979999999999.99</v>
      </c>
      <c r="W44" s="37" cm="1">
        <f t="array" ref="W44">MAX(TREND($I27:$J27,$I$31:$J$31,W$39)*10^12*-1,0)</f>
        <v>11009999999999.99</v>
      </c>
      <c r="X44" s="37" cm="1">
        <f t="array" ref="X44">MAX(TREND($I27:$J27,$I$31:$J$31,X$39)*10^12*-1,0)</f>
        <v>11039999999999.992</v>
      </c>
      <c r="Y44" s="37" cm="1">
        <f t="array" ref="Y44">MAX(TREND($I27:$J27,$I$31:$J$31,Y$39)*10^12*-1,0)</f>
        <v>11069999999999.994</v>
      </c>
      <c r="Z44" s="37" cm="1">
        <f t="array" ref="Z44">MAX(TREND($I27:$J27,$I$31:$J$31,Z$39)*10^12*-1,0)</f>
        <v>11099999999999.994</v>
      </c>
      <c r="AA44" s="37" cm="1">
        <f t="array" ref="AA44">MAX(TREND($J27:$K27,$J$31:$K$31,AA$39)*10^12*-1,0)</f>
        <v>11270000000000.039</v>
      </c>
      <c r="AB44" s="37" cm="1">
        <f t="array" ref="AB44">MAX(TREND($J27:$K27,$J$31:$K$31,AB$39)*10^12*-1,0)</f>
        <v>11439999999999.998</v>
      </c>
      <c r="AC44" s="37" cm="1">
        <f t="array" ref="AC44">MAX(TREND($J27:$K27,$J$31:$K$31,AC$39)*10^12*-1,0)</f>
        <v>11610000000000.014</v>
      </c>
      <c r="AD44" s="37" cm="1">
        <f t="array" ref="AD44">MAX(TREND($J27:$K27,$J$31:$K$31,AD$39)*10^12*-1,0)</f>
        <v>11780000000000.029</v>
      </c>
      <c r="AE44" s="37" cm="1">
        <f t="array" ref="AE44">MAX(TREND($J27:$K27,$J$31:$K$31,AE$39)*10^12*-1,0)</f>
        <v>11949999999999.988</v>
      </c>
    </row>
    <row r="46" spans="1:31" x14ac:dyDescent="0.35">
      <c r="A46" s="22" t="s">
        <v>89</v>
      </c>
    </row>
    <row r="47" spans="1:31" s="1" customFormat="1" x14ac:dyDescent="0.35">
      <c r="A47" s="34" t="s">
        <v>159</v>
      </c>
      <c r="B47" s="1">
        <v>2021</v>
      </c>
      <c r="C47" s="1">
        <v>2022</v>
      </c>
      <c r="D47" s="1">
        <v>2023</v>
      </c>
      <c r="E47" s="1">
        <v>2024</v>
      </c>
      <c r="F47" s="1">
        <v>2025</v>
      </c>
      <c r="G47" s="1">
        <v>2026</v>
      </c>
      <c r="H47" s="1">
        <v>2027</v>
      </c>
      <c r="I47" s="1">
        <v>2028</v>
      </c>
      <c r="J47" s="1">
        <v>2029</v>
      </c>
      <c r="K47" s="1">
        <v>2030</v>
      </c>
      <c r="L47" s="1">
        <v>2031</v>
      </c>
      <c r="M47" s="1">
        <v>2032</v>
      </c>
      <c r="N47" s="1">
        <v>2033</v>
      </c>
      <c r="O47" s="1">
        <v>2034</v>
      </c>
      <c r="P47" s="1">
        <v>2035</v>
      </c>
      <c r="Q47" s="1">
        <v>2036</v>
      </c>
      <c r="R47" s="1">
        <v>2037</v>
      </c>
      <c r="S47" s="1">
        <v>2038</v>
      </c>
      <c r="T47" s="1">
        <v>2039</v>
      </c>
      <c r="U47" s="1">
        <v>2040</v>
      </c>
      <c r="V47" s="1">
        <v>2041</v>
      </c>
      <c r="W47" s="1">
        <v>2042</v>
      </c>
      <c r="X47" s="1">
        <v>2043</v>
      </c>
      <c r="Y47" s="1">
        <v>2044</v>
      </c>
      <c r="Z47" s="1">
        <v>2045</v>
      </c>
      <c r="AA47" s="1">
        <v>2046</v>
      </c>
      <c r="AB47" s="1">
        <v>2047</v>
      </c>
      <c r="AC47" s="1">
        <v>2048</v>
      </c>
      <c r="AD47" s="1">
        <v>2049</v>
      </c>
      <c r="AE47" s="1">
        <v>2050</v>
      </c>
    </row>
    <row r="48" spans="1:31" customFormat="1" x14ac:dyDescent="0.35">
      <c r="A48" s="20">
        <v>5</v>
      </c>
      <c r="B48" s="37" cm="1">
        <f t="array" ref="B48">TREND($H32:$I32,$H$31:$I$31,B$39)*10^12*-1</f>
        <v>-21160000000000.309</v>
      </c>
      <c r="C48" s="37" cm="1">
        <f t="array" ref="C48">TREND($H32:$I32,$H$31:$I$31,C$39)*10^12*-1</f>
        <v>-19769999999999.98</v>
      </c>
      <c r="D48" s="37" cm="1">
        <f t="array" ref="D48">TREND($H32:$I32,$H$31:$I$31,D$39)*10^12*-1</f>
        <v>-18380000000000.109</v>
      </c>
      <c r="E48" s="37" cm="1">
        <f t="array" ref="E48">TREND($H32:$I32,$H$31:$I$31,E$39)*10^12*-1</f>
        <v>-16990000000000.236</v>
      </c>
      <c r="F48" s="37" cm="1">
        <f t="array" ref="F48">TREND($H32:$I32,$H$31:$I$31,F$39)*10^12*-1</f>
        <v>-15599999999999.908</v>
      </c>
      <c r="G48" s="37" cm="1">
        <f t="array" ref="G48">TREND($H32:$I32,$H$31:$I$31,G$39)*10^12*-1</f>
        <v>-14210000000000.037</v>
      </c>
      <c r="H48" s="37" cm="1">
        <f t="array" ref="H48">TREND($H32:$I32,$H$31:$I$31,H$39)*10^12*-1</f>
        <v>-12820000000000.164</v>
      </c>
      <c r="I48" s="37" cm="1">
        <f t="array" ref="I48">TREND($H32:$I32,$H$31:$I$31,I$39)*10^12*-1</f>
        <v>-11430000000000.291</v>
      </c>
      <c r="J48" s="37" cm="1">
        <f t="array" ref="J48">TREND($H32:$I32,$H$31:$I$31,J$39)*10^12*-1</f>
        <v>-10039999999999.963</v>
      </c>
      <c r="K48" s="37" cm="1">
        <f t="array" ref="K48">TREND($H32:$I32,$H$31:$I$31,K$39)*10^12*-1</f>
        <v>-8650000000000.0908</v>
      </c>
      <c r="L48" s="37" cm="1">
        <f t="array" ref="L48">TREND($H32:$I32,$H$31:$I$31,L$39)*10^12*-1</f>
        <v>-7260000000000.2188</v>
      </c>
      <c r="M48" s="37" cm="1">
        <f t="array" ref="M48">TREND($H32:$I32,$H$31:$I$31,M$39)*10^12*-1</f>
        <v>-5869999999999.8906</v>
      </c>
      <c r="N48" s="37" cm="1">
        <f t="array" ref="N48">TREND($H32:$I32,$H$31:$I$31,N$39)*10^12*-1</f>
        <v>-4480000000000.0186</v>
      </c>
      <c r="O48" s="37" cm="1">
        <f t="array" ref="O48">TREND($H32:$I32,$H$31:$I$31,O$39)*10^12*-1</f>
        <v>-3090000000000.1455</v>
      </c>
      <c r="P48" s="37" cm="1">
        <f t="array" ref="P48">TREND($H32:$I32,$H$31:$I$31,P$39)*10^12*-1</f>
        <v>-1700000000000.2729</v>
      </c>
      <c r="Q48" s="37" cm="1">
        <f t="array" ref="Q48">TREND($I32:$J32,$I$31:$J$31,Q$39)*10^12*-1</f>
        <v>-1380000000000.1091</v>
      </c>
      <c r="R48" s="37" cm="1">
        <f t="array" ref="R48">TREND($I32:$J32,$I$31:$J$31,R$39)*10^12*-1</f>
        <v>-1060000000000.0591</v>
      </c>
      <c r="S48" s="37" cm="1">
        <f t="array" ref="S48">TREND($I32:$J32,$I$31:$J$31,S$39)*10^12*-1</f>
        <v>-740000000000.1228</v>
      </c>
      <c r="T48" s="37" cm="1">
        <f t="array" ref="T48">TREND($I32:$J32,$I$31:$J$31,T$39)*10^12*-1</f>
        <v>-420000000000.07275</v>
      </c>
      <c r="U48" s="37" cm="1">
        <f t="array" ref="U48">TREND($I32:$J32,$I$31:$J$31,U$39)*10^12*-1</f>
        <v>-100000000000.02274</v>
      </c>
      <c r="V48" s="37" cm="1">
        <f t="array" ref="V48">TREND($I32:$J32,$I$31:$J$31,V$39)*10^12*-1</f>
        <v>219999999999.9136</v>
      </c>
      <c r="W48" s="37" cm="1">
        <f t="array" ref="W48">TREND($I32:$J32,$I$31:$J$31,W$39)*10^12*-1</f>
        <v>539999999999.96362</v>
      </c>
      <c r="X48" s="37" cm="1">
        <f t="array" ref="X48">TREND($I32:$J32,$I$31:$J$31,X$39)*10^12*-1</f>
        <v>859999999999.8999</v>
      </c>
      <c r="Y48" s="37" cm="1">
        <f t="array" ref="Y48">TREND($I32:$J32,$I$31:$J$31,Y$39)*10^12*-1</f>
        <v>1179999999999.95</v>
      </c>
      <c r="Z48" s="37" cm="1">
        <f t="array" ref="Z48">TREND($I32:$J32,$I$31:$J$31,Z$39)*10^12*-1</f>
        <v>1499999999999.8862</v>
      </c>
      <c r="AA48" s="37" cm="1">
        <f t="array" ref="AA48">MAX(TREND($J32:$K32,$J$31:$K$31,AA$39)*10^12*-1,0)</f>
        <v>1410000000000.0249</v>
      </c>
      <c r="AB48" s="37" cm="1">
        <f t="array" ref="AB48">MAX(TREND($J32:$K32,$J$31:$K$31,AB$39)*10^12*-1,0)</f>
        <v>1320000000000.0215</v>
      </c>
      <c r="AC48" s="37" cm="1">
        <f t="array" ref="AC48">MAX(TREND($J32:$K32,$J$31:$K$31,AC$39)*10^12*-1,0)</f>
        <v>1230000000000.0183</v>
      </c>
      <c r="AD48" s="37" cm="1">
        <f t="array" ref="AD48">MAX(TREND($J32:$K32,$J$31:$K$31,AD$39)*10^12*-1,0)</f>
        <v>1140000000000.0149</v>
      </c>
      <c r="AE48" s="37" cm="1">
        <f t="array" ref="AE48">MAX(TREND($J32:$K32,$J$31:$K$31,AE$39)*10^12*-1,0)</f>
        <v>1050000000000.0114</v>
      </c>
    </row>
    <row r="49" spans="1:31" customFormat="1" x14ac:dyDescent="0.35">
      <c r="A49" s="20">
        <v>20</v>
      </c>
      <c r="B49" s="37" cm="1">
        <f t="array" ref="B49">TREND($H33:$I33,$H$31:$I$31,B$39)*10^12*-1</f>
        <v>-10179999999999.381</v>
      </c>
      <c r="C49" s="37" cm="1">
        <f t="array" ref="C49">TREND($H33:$I33,$H$31:$I$31,C$39)*10^12*-1</f>
        <v>-7509999999999.3086</v>
      </c>
      <c r="D49" s="37" cm="1">
        <f t="array" ref="D49">TREND($H33:$I33,$H$31:$I$31,D$39)*10^12*-1</f>
        <v>-4839999999999.2363</v>
      </c>
      <c r="E49" s="37" cm="1">
        <f t="array" ref="E49">TREND($H33:$I33,$H$31:$I$31,E$39)*10^12*-1</f>
        <v>-2169999999999.1633</v>
      </c>
      <c r="F49" s="37" cm="1">
        <f t="array" ref="F49">TREND($H33:$I33,$H$31:$I$31,F$39)*10^12*-1</f>
        <v>500000000000.90948</v>
      </c>
      <c r="G49" s="37" cm="1">
        <f t="array" ref="G49">TREND($H33:$I33,$H$31:$I$31,G$39)*10^12*-1</f>
        <v>3170000000000.9824</v>
      </c>
      <c r="H49" s="37" cm="1">
        <f t="array" ref="H49">TREND($H33:$I33,$H$31:$I$31,H$39)*10^12*-1</f>
        <v>5840000000001.0547</v>
      </c>
      <c r="I49" s="37" cm="1">
        <f t="array" ref="I49">TREND($H33:$I33,$H$31:$I$31,I$39)*10^12*-1</f>
        <v>8510000000001.1279</v>
      </c>
      <c r="J49" s="37" cm="1">
        <f t="array" ref="J49">TREND($H33:$I33,$H$31:$I$31,J$39)*10^12*-1</f>
        <v>11180000000001.201</v>
      </c>
      <c r="K49" s="37" cm="1">
        <f t="array" ref="K49">TREND($H33:$I33,$H$31:$I$31,K$39)*10^12*-1</f>
        <v>13850000000000.363</v>
      </c>
      <c r="L49" s="37" cm="1">
        <f t="array" ref="L49">TREND($H33:$I33,$H$31:$I$31,L$39)*10^12*-1</f>
        <v>16520000000000.438</v>
      </c>
      <c r="M49" s="37" cm="1">
        <f t="array" ref="M49">TREND($H33:$I33,$H$31:$I$31,M$39)*10^12*-1</f>
        <v>19190000000000.508</v>
      </c>
      <c r="N49" s="37" cm="1">
        <f t="array" ref="N49">TREND($H33:$I33,$H$31:$I$31,N$39)*10^12*-1</f>
        <v>21860000000000.582</v>
      </c>
      <c r="O49" s="37" cm="1">
        <f t="array" ref="O49">TREND($H33:$I33,$H$31:$I$31,O$39)*10^12*-1</f>
        <v>24530000000000.656</v>
      </c>
      <c r="P49" s="37" cm="1">
        <f t="array" ref="P49">TREND($H33:$I33,$H$31:$I$31,P$39)*10^12*-1</f>
        <v>27200000000000.727</v>
      </c>
      <c r="Q49" s="37" cm="1">
        <f t="array" ref="Q49">TREND($I33:$J33,$I$31:$J$31,Q$39)*10^12*-1</f>
        <v>28340000000000.145</v>
      </c>
      <c r="R49" s="37" cm="1">
        <f t="array" ref="R49">TREND($I33:$J33,$I$31:$J$31,R$39)*10^12*-1</f>
        <v>29480000000000.02</v>
      </c>
      <c r="S49" s="37" cm="1">
        <f t="array" ref="S49">TREND($I33:$J33,$I$31:$J$31,S$39)*10^12*-1</f>
        <v>30619999999999.891</v>
      </c>
      <c r="T49" s="37" cm="1">
        <f t="array" ref="T49">TREND($I33:$J33,$I$31:$J$31,T$39)*10^12*-1</f>
        <v>31759999999999.762</v>
      </c>
      <c r="U49" s="37" cm="1">
        <f t="array" ref="U49">TREND($I33:$J33,$I$31:$J$31,U$39)*10^12*-1</f>
        <v>32900000000000.09</v>
      </c>
      <c r="V49" s="37" cm="1">
        <f t="array" ref="V49">TREND($I33:$J33,$I$31:$J$31,V$39)*10^12*-1</f>
        <v>34039999999999.965</v>
      </c>
      <c r="W49" s="37" cm="1">
        <f t="array" ref="W49">TREND($I33:$J33,$I$31:$J$31,W$39)*10^12*-1</f>
        <v>35179999999999.836</v>
      </c>
      <c r="X49" s="37" cm="1">
        <f t="array" ref="X49">TREND($I33:$J33,$I$31:$J$31,X$39)*10^12*-1</f>
        <v>36320000000000.164</v>
      </c>
      <c r="Y49" s="37" cm="1">
        <f t="array" ref="Y49">TREND($I33:$J33,$I$31:$J$31,Y$39)*10^12*-1</f>
        <v>37460000000000.039</v>
      </c>
      <c r="Z49" s="37" cm="1">
        <f t="array" ref="Z49">TREND($I33:$J33,$I$31:$J$31,Z$39)*10^12*-1</f>
        <v>38599999999999.906</v>
      </c>
      <c r="AA49" s="37" cm="1">
        <f t="array" ref="AA49">MAX(TREND($J33:$K33,$J$31:$K$31,AA$39)*10^12*-1,0)</f>
        <v>40930000000000.289</v>
      </c>
      <c r="AB49" s="37" cm="1">
        <f t="array" ref="AB49">MAX(TREND($J33:$K33,$J$31:$K$31,AB$39)*10^12*-1,0)</f>
        <v>43260000000000.219</v>
      </c>
      <c r="AC49" s="37" cm="1">
        <f t="array" ref="AC49">MAX(TREND($J33:$K33,$J$31:$K$31,AC$39)*10^12*-1,0)</f>
        <v>45590000000000.148</v>
      </c>
      <c r="AD49" s="37" cm="1">
        <f t="array" ref="AD49">MAX(TREND($J33:$K33,$J$31:$K$31,AD$39)*10^12*-1,0)</f>
        <v>47920000000000.07</v>
      </c>
      <c r="AE49" s="37" cm="1">
        <f t="array" ref="AE49">MAX(TREND($J33:$K33,$J$31:$K$31,AE$39)*10^12*-1,0)</f>
        <v>50250000000000</v>
      </c>
    </row>
    <row r="50" spans="1:31" customFormat="1" x14ac:dyDescent="0.35">
      <c r="A50" s="20">
        <v>35</v>
      </c>
      <c r="B50" s="37" cm="1">
        <f t="array" ref="B50">TREND($H34:$I34,$H$31:$I$31,B$39)*10^12*-1</f>
        <v>-21079999999999.926</v>
      </c>
      <c r="C50" s="37" cm="1">
        <f t="array" ref="C50">TREND($H34:$I34,$H$31:$I$31,C$39)*10^12*-1</f>
        <v>-17159999999999.854</v>
      </c>
      <c r="D50" s="37" cm="1">
        <f t="array" ref="D50">TREND($H34:$I34,$H$31:$I$31,D$39)*10^12*-1</f>
        <v>-13239999999999.781</v>
      </c>
      <c r="E50" s="37" cm="1">
        <f t="array" ref="E50">TREND($H34:$I34,$H$31:$I$31,E$39)*10^12*-1</f>
        <v>-9319999999999.709</v>
      </c>
      <c r="F50" s="37" cm="1">
        <f t="array" ref="F50">TREND($H34:$I34,$H$31:$I$31,F$39)*10^12*-1</f>
        <v>-5399999999999.6357</v>
      </c>
      <c r="G50" s="37" cm="1">
        <f t="array" ref="G50">TREND($H34:$I34,$H$31:$I$31,G$39)*10^12*-1</f>
        <v>-1479999999999.5635</v>
      </c>
      <c r="H50" s="37" cm="1">
        <f t="array" ref="H50">TREND($H34:$I34,$H$31:$I$31,H$39)*10^12*-1</f>
        <v>2440000000000.5093</v>
      </c>
      <c r="I50" s="37" cm="1">
        <f t="array" ref="I50">TREND($H34:$I34,$H$31:$I$31,I$39)*10^12*-1</f>
        <v>6360000000000.582</v>
      </c>
      <c r="J50" s="37" cm="1">
        <f t="array" ref="J50">TREND($H34:$I34,$H$31:$I$31,J$39)*10^12*-1</f>
        <v>10280000000000.654</v>
      </c>
      <c r="K50" s="37" cm="1">
        <f t="array" ref="K50">TREND($H34:$I34,$H$31:$I$31,K$39)*10^12*-1</f>
        <v>14199999999999.818</v>
      </c>
      <c r="L50" s="37" cm="1">
        <f t="array" ref="L50">TREND($H34:$I34,$H$31:$I$31,L$39)*10^12*-1</f>
        <v>18119999999999.891</v>
      </c>
      <c r="M50" s="37" cm="1">
        <f t="array" ref="M50">TREND($H34:$I34,$H$31:$I$31,M$39)*10^12*-1</f>
        <v>22039999999999.965</v>
      </c>
      <c r="N50" s="37" cm="1">
        <f t="array" ref="N50">TREND($H34:$I34,$H$31:$I$31,N$39)*10^12*-1</f>
        <v>25960000000000.035</v>
      </c>
      <c r="O50" s="37" cm="1">
        <f t="array" ref="O50">TREND($H34:$I34,$H$31:$I$31,O$39)*10^12*-1</f>
        <v>29880000000000.109</v>
      </c>
      <c r="P50" s="37" cm="1">
        <f t="array" ref="P50">TREND($H34:$I34,$H$31:$I$31,P$39)*10^12*-1</f>
        <v>33800000000000.184</v>
      </c>
      <c r="Q50" s="37" cm="1">
        <f t="array" ref="Q50">TREND($I34:$J34,$I$31:$J$31,Q$39)*10^12*-1</f>
        <v>36329999999999.93</v>
      </c>
      <c r="R50" s="37" cm="1">
        <f t="array" ref="R50">TREND($I34:$J34,$I$31:$J$31,R$39)*10^12*-1</f>
        <v>38859999999999.672</v>
      </c>
      <c r="S50" s="37" cm="1">
        <f t="array" ref="S50">TREND($I34:$J34,$I$31:$J$31,S$39)*10^12*-1</f>
        <v>41389999999999.414</v>
      </c>
      <c r="T50" s="37" cm="1">
        <f t="array" ref="T50">TREND($I34:$J34,$I$31:$J$31,T$39)*10^12*-1</f>
        <v>43919999999999.164</v>
      </c>
      <c r="U50" s="37" cm="1">
        <f t="array" ref="U50">TREND($I34:$J34,$I$31:$J$31,U$39)*10^12*-1</f>
        <v>46449999999999.82</v>
      </c>
      <c r="V50" s="37" cm="1">
        <f t="array" ref="V50">TREND($I34:$J34,$I$31:$J$31,V$39)*10^12*-1</f>
        <v>48979999999999.563</v>
      </c>
      <c r="W50" s="37" cm="1">
        <f t="array" ref="W50">TREND($I34:$J34,$I$31:$J$31,W$39)*10^12*-1</f>
        <v>51509999999999.313</v>
      </c>
      <c r="X50" s="37" cm="1">
        <f t="array" ref="X50">TREND($I34:$J34,$I$31:$J$31,X$39)*10^12*-1</f>
        <v>54039999999999.961</v>
      </c>
      <c r="Y50" s="37" cm="1">
        <f t="array" ref="Y50">TREND($I34:$J34,$I$31:$J$31,Y$39)*10^12*-1</f>
        <v>56569999999999.711</v>
      </c>
      <c r="Z50" s="37" cm="1">
        <f t="array" ref="Z50">TREND($I34:$J34,$I$31:$J$31,Z$39)*10^12*-1</f>
        <v>59099999999999.453</v>
      </c>
      <c r="AA50" s="37" cm="1">
        <f t="array" ref="AA50">MAX(TREND($J34:$K34,$J$31:$K$31,AA$39)*10^12*-1,0)</f>
        <v>59350000000000.023</v>
      </c>
      <c r="AB50" s="37" cm="1">
        <f t="array" ref="AB50">MAX(TREND($J34:$K34,$J$31:$K$31,AB$39)*10^12*-1,0)</f>
        <v>59600000000000.023</v>
      </c>
      <c r="AC50" s="37" cm="1">
        <f t="array" ref="AC50">MAX(TREND($J34:$K34,$J$31:$K$31,AC$39)*10^12*-1,0)</f>
        <v>59850000000000.023</v>
      </c>
      <c r="AD50" s="37" cm="1">
        <f t="array" ref="AD50">MAX(TREND($J34:$K34,$J$31:$K$31,AD$39)*10^12*-1,0)</f>
        <v>60100000000000.023</v>
      </c>
      <c r="AE50" s="37" cm="1">
        <f t="array" ref="AE50">MAX(TREND($J34:$K34,$J$31:$K$31,AE$39)*10^12*-1,0)</f>
        <v>60350000000000.023</v>
      </c>
    </row>
    <row r="51" spans="1:31" customFormat="1" x14ac:dyDescent="0.35">
      <c r="A51" s="20">
        <v>50</v>
      </c>
      <c r="B51" s="37" cm="1">
        <f t="array" ref="B51">TREND($H35:$I35,$H$31:$I$31,B$39)*10^12*-1</f>
        <v>48120000000000.117</v>
      </c>
      <c r="C51" s="37" cm="1">
        <f t="array" ref="C51">TREND($H35:$I35,$H$31:$I$31,C$39)*10^12*-1</f>
        <v>47840000000000.031</v>
      </c>
      <c r="D51" s="37" cm="1">
        <f t="array" ref="D51">TREND($H35:$I35,$H$31:$I$31,D$39)*10^12*-1</f>
        <v>47560000000000.063</v>
      </c>
      <c r="E51" s="37" cm="1">
        <f t="array" ref="E51">TREND($H35:$I35,$H$31:$I$31,E$39)*10^12*-1</f>
        <v>47280000000000.086</v>
      </c>
      <c r="F51" s="37" cm="1">
        <f t="array" ref="F51">TREND($H35:$I35,$H$31:$I$31,F$39)*10^12*-1</f>
        <v>47000000000000.117</v>
      </c>
      <c r="G51" s="37" cm="1">
        <f t="array" ref="G51">TREND($H35:$I35,$H$31:$I$31,G$39)*10^12*-1</f>
        <v>46720000000000.023</v>
      </c>
      <c r="H51" s="37" cm="1">
        <f t="array" ref="H51">TREND($H35:$I35,$H$31:$I$31,H$39)*10^12*-1</f>
        <v>46440000000000.055</v>
      </c>
      <c r="I51" s="37" cm="1">
        <f t="array" ref="I51">TREND($H35:$I35,$H$31:$I$31,I$39)*10^12*-1</f>
        <v>46160000000000.078</v>
      </c>
      <c r="J51" s="37" cm="1">
        <f t="array" ref="J51">TREND($H35:$I35,$H$31:$I$31,J$39)*10^12*-1</f>
        <v>45880000000000.109</v>
      </c>
      <c r="K51" s="37" cm="1">
        <f t="array" ref="K51">TREND($H35:$I35,$H$31:$I$31,K$39)*10^12*-1</f>
        <v>45600000000000.023</v>
      </c>
      <c r="L51" s="37" cm="1">
        <f t="array" ref="L51">TREND($H35:$I35,$H$31:$I$31,L$39)*10^12*-1</f>
        <v>45320000000000.047</v>
      </c>
      <c r="M51" s="37" cm="1">
        <f t="array" ref="M51">TREND($H35:$I35,$H$31:$I$31,M$39)*10^12*-1</f>
        <v>45040000000000.078</v>
      </c>
      <c r="N51" s="37" cm="1">
        <f t="array" ref="N51">TREND($H35:$I35,$H$31:$I$31,N$39)*10^12*-1</f>
        <v>44760000000000.102</v>
      </c>
      <c r="O51" s="37" cm="1">
        <f t="array" ref="O51">TREND($H35:$I35,$H$31:$I$31,O$39)*10^12*-1</f>
        <v>44480000000000.016</v>
      </c>
      <c r="P51" s="37" cm="1">
        <f t="array" ref="P51">TREND($H35:$I35,$H$31:$I$31,P$39)*10^12*-1</f>
        <v>44200000000000.047</v>
      </c>
      <c r="Q51" s="37" cm="1">
        <f t="array" ref="Q51">TREND($I35:$J35,$I$31:$J$31,Q$39)*10^12*-1</f>
        <v>44049999999999.953</v>
      </c>
      <c r="R51" s="37" cm="1">
        <f t="array" ref="R51">TREND($I35:$J35,$I$31:$J$31,R$39)*10^12*-1</f>
        <v>43899999999999.977</v>
      </c>
      <c r="S51" s="37" cm="1">
        <f t="array" ref="S51">TREND($I35:$J35,$I$31:$J$31,S$39)*10^12*-1</f>
        <v>43749999999999.945</v>
      </c>
      <c r="T51" s="37" cm="1">
        <f t="array" ref="T51">TREND($I35:$J35,$I$31:$J$31,T$39)*10^12*-1</f>
        <v>43599999999999.969</v>
      </c>
      <c r="U51" s="37" cm="1">
        <f t="array" ref="U51">TREND($I35:$J35,$I$31:$J$31,U$39)*10^12*-1</f>
        <v>43449999999999.992</v>
      </c>
      <c r="V51" s="37" cm="1">
        <f t="array" ref="V51">TREND($I35:$J35,$I$31:$J$31,V$39)*10^12*-1</f>
        <v>43299999999999.953</v>
      </c>
      <c r="W51" s="37" cm="1">
        <f t="array" ref="W51">TREND($I35:$J35,$I$31:$J$31,W$39)*10^12*-1</f>
        <v>43149999999999.977</v>
      </c>
      <c r="X51" s="37" cm="1">
        <f t="array" ref="X51">TREND($I35:$J35,$I$31:$J$31,X$39)*10^12*-1</f>
        <v>43000000000000</v>
      </c>
      <c r="Y51" s="37" cm="1">
        <f t="array" ref="Y51">TREND($I35:$J35,$I$31:$J$31,Y$39)*10^12*-1</f>
        <v>42849999999999.969</v>
      </c>
      <c r="Z51" s="37" cm="1">
        <f t="array" ref="Z51">TREND($I35:$J35,$I$31:$J$31,Z$39)*10^12*-1</f>
        <v>42699999999999.992</v>
      </c>
      <c r="AA51" s="37" cm="1">
        <f t="array" ref="AA51">MAX(TREND($J35:$K35,$J$31:$K$31,AA$39)*10^12*-1,0)</f>
        <v>42860000000000.016</v>
      </c>
      <c r="AB51" s="37" cm="1">
        <f t="array" ref="AB51">MAX(TREND($J35:$K35,$J$31:$K$31,AB$39)*10^12*-1,0)</f>
        <v>43019999999999.984</v>
      </c>
      <c r="AC51" s="37" cm="1">
        <f t="array" ref="AC51">MAX(TREND($J35:$K35,$J$31:$K$31,AC$39)*10^12*-1,0)</f>
        <v>43180000000000.008</v>
      </c>
      <c r="AD51" s="37" cm="1">
        <f t="array" ref="AD51">MAX(TREND($J35:$K35,$J$31:$K$31,AD$39)*10^12*-1,0)</f>
        <v>43340000000000.031</v>
      </c>
      <c r="AE51" s="37" cm="1">
        <f t="array" ref="AE51">MAX(TREND($J35:$K35,$J$31:$K$31,AE$39)*10^12*-1,0)</f>
        <v>43500000000000</v>
      </c>
    </row>
    <row r="52" spans="1:31" customFormat="1" x14ac:dyDescent="0.35">
      <c r="A52" s="20">
        <v>100</v>
      </c>
      <c r="B52" s="37" cm="1">
        <f t="array" ref="B52">TREND($H36:$I36,$H$31:$I$31,B$39)*10^12*-1</f>
        <v>-4080000000000.3818</v>
      </c>
      <c r="C52" s="37" cm="1">
        <f t="array" ref="C52">TREND($H36:$I36,$H$31:$I$31,C$39)*10^12*-1</f>
        <v>-2410000000000.3091</v>
      </c>
      <c r="D52" s="37" cm="1">
        <f t="array" ref="D52">TREND($H36:$I36,$H$31:$I$31,D$39)*10^12*-1</f>
        <v>-740000000000.23645</v>
      </c>
      <c r="E52" s="37" cm="1">
        <f t="array" ref="E52">TREND($H36:$I36,$H$31:$I$31,E$39)*10^12*-1</f>
        <v>929999999999.8363</v>
      </c>
      <c r="F52" s="37" cm="1">
        <f t="array" ref="F52">TREND($H36:$I36,$H$31:$I$31,F$39)*10^12*-1</f>
        <v>2599999999999.9092</v>
      </c>
      <c r="G52" s="37" cm="1">
        <f t="array" ref="G52">TREND($H36:$I36,$H$31:$I$31,G$39)*10^12*-1</f>
        <v>4269999999999.5269</v>
      </c>
      <c r="H52" s="37" cm="1">
        <f t="array" ref="H52">TREND($H36:$I36,$H$31:$I$31,H$39)*10^12*-1</f>
        <v>5939999999999.5996</v>
      </c>
      <c r="I52" s="37" cm="1">
        <f t="array" ref="I52">TREND($H36:$I36,$H$31:$I$31,I$39)*10^12*-1</f>
        <v>7609999999999.6729</v>
      </c>
      <c r="J52" s="37" cm="1">
        <f t="array" ref="J52">TREND($H36:$I36,$H$31:$I$31,J$39)*10^12*-1</f>
        <v>9279999999999.7461</v>
      </c>
      <c r="K52" s="37" cm="1">
        <f t="array" ref="K52">TREND($H36:$I36,$H$31:$I$31,K$39)*10^12*-1</f>
        <v>10949999999999.818</v>
      </c>
      <c r="L52" s="37" cm="1">
        <f t="array" ref="L52">TREND($H36:$I36,$H$31:$I$31,L$39)*10^12*-1</f>
        <v>12619999999999.891</v>
      </c>
      <c r="M52" s="37" cm="1">
        <f t="array" ref="M52">TREND($H36:$I36,$H$31:$I$31,M$39)*10^12*-1</f>
        <v>14289999999999.963</v>
      </c>
      <c r="N52" s="37" cm="1">
        <f t="array" ref="N52">TREND($H36:$I36,$H$31:$I$31,N$39)*10^12*-1</f>
        <v>15959999999999.582</v>
      </c>
      <c r="O52" s="37" cm="1">
        <f t="array" ref="O52">TREND($H36:$I36,$H$31:$I$31,O$39)*10^12*-1</f>
        <v>17629999999999.656</v>
      </c>
      <c r="P52" s="37" cm="1">
        <f t="array" ref="P52">TREND($H36:$I36,$H$31:$I$31,P$39)*10^12*-1</f>
        <v>19299999999999.727</v>
      </c>
      <c r="Q52" s="37" cm="1">
        <f t="array" ref="Q52">TREND($I36:$J36,$I$31:$J$31,Q$39)*10^12*-1</f>
        <v>18999999999999.887</v>
      </c>
      <c r="R52" s="37" cm="1">
        <f t="array" ref="R52">TREND($I36:$J36,$I$31:$J$31,R$39)*10^12*-1</f>
        <v>18699999999999.934</v>
      </c>
      <c r="S52" s="37" cm="1">
        <f t="array" ref="S52">TREND($I36:$J36,$I$31:$J$31,S$39)*10^12*-1</f>
        <v>18399999999999.863</v>
      </c>
      <c r="T52" s="37" cm="1">
        <f t="array" ref="T52">TREND($I36:$J36,$I$31:$J$31,T$39)*10^12*-1</f>
        <v>18099999999999.91</v>
      </c>
      <c r="U52" s="37" cm="1">
        <f t="array" ref="U52">TREND($I36:$J36,$I$31:$J$31,U$39)*10^12*-1</f>
        <v>17799999999999.953</v>
      </c>
      <c r="V52" s="37" cm="1">
        <f t="array" ref="V52">TREND($I36:$J36,$I$31:$J$31,V$39)*10^12*-1</f>
        <v>17499999999999.887</v>
      </c>
      <c r="W52" s="37" cm="1">
        <f t="array" ref="W52">TREND($I36:$J36,$I$31:$J$31,W$39)*10^12*-1</f>
        <v>17199999999999.932</v>
      </c>
      <c r="X52" s="37" cm="1">
        <f t="array" ref="X52">TREND($I36:$J36,$I$31:$J$31,X$39)*10^12*-1</f>
        <v>16899999999999.863</v>
      </c>
      <c r="Y52" s="37" cm="1">
        <f t="array" ref="Y52">TREND($I36:$J36,$I$31:$J$31,Y$39)*10^12*-1</f>
        <v>16599999999999.908</v>
      </c>
      <c r="Z52" s="37" cm="1">
        <f t="array" ref="Z52">TREND($I36:$J36,$I$31:$J$31,Z$39)*10^12*-1</f>
        <v>16299999999999.842</v>
      </c>
      <c r="AA52" s="37" cm="1">
        <f t="array" ref="AA52">MAX(TREND($J36:$K36,$J$31:$K$31,AA$39)*10^12*-1,0)</f>
        <v>17019999999999.754</v>
      </c>
      <c r="AB52" s="37" cm="1">
        <f t="array" ref="AB52">MAX(TREND($J36:$K36,$J$31:$K$31,AB$39)*10^12*-1,0)</f>
        <v>17739999999999.781</v>
      </c>
      <c r="AC52" s="37" cm="1">
        <f t="array" ref="AC52">MAX(TREND($J36:$K36,$J$31:$K$31,AC$39)*10^12*-1,0)</f>
        <v>18459999999999.809</v>
      </c>
      <c r="AD52" s="37" cm="1">
        <f t="array" ref="AD52">MAX(TREND($J36:$K36,$J$31:$K$31,AD$39)*10^12*-1,0)</f>
        <v>19179999999999.836</v>
      </c>
      <c r="AE52" s="37" cm="1">
        <f t="array" ref="AE52">MAX(TREND($J36:$K36,$J$31:$K$31,AE$39)*10^12*-1,0)</f>
        <v>19899999999999.863</v>
      </c>
    </row>
    <row r="54" spans="1:31" x14ac:dyDescent="0.35">
      <c r="A54" s="22" t="s">
        <v>168</v>
      </c>
    </row>
    <row r="55" spans="1:31" s="1" customFormat="1" x14ac:dyDescent="0.35">
      <c r="A55" s="34" t="s">
        <v>159</v>
      </c>
      <c r="B55" s="1">
        <v>2021</v>
      </c>
      <c r="C55" s="1">
        <v>2022</v>
      </c>
      <c r="D55" s="1">
        <v>2023</v>
      </c>
      <c r="E55" s="1">
        <v>2024</v>
      </c>
      <c r="F55" s="1">
        <v>2025</v>
      </c>
      <c r="G55" s="1">
        <v>2026</v>
      </c>
      <c r="H55" s="1">
        <v>2027</v>
      </c>
      <c r="I55" s="1">
        <v>2028</v>
      </c>
      <c r="J55" s="1">
        <v>2029</v>
      </c>
      <c r="K55" s="1">
        <v>2030</v>
      </c>
      <c r="L55" s="1">
        <v>2031</v>
      </c>
      <c r="M55" s="1">
        <v>2032</v>
      </c>
      <c r="N55" s="1">
        <v>2033</v>
      </c>
      <c r="O55" s="1">
        <v>2034</v>
      </c>
      <c r="P55" s="1">
        <v>2035</v>
      </c>
      <c r="Q55" s="1">
        <v>2036</v>
      </c>
      <c r="R55" s="1">
        <v>2037</v>
      </c>
      <c r="S55" s="1">
        <v>2038</v>
      </c>
      <c r="T55" s="1">
        <v>2039</v>
      </c>
      <c r="U55" s="1">
        <v>2040</v>
      </c>
      <c r="V55" s="1">
        <v>2041</v>
      </c>
      <c r="W55" s="1">
        <v>2042</v>
      </c>
      <c r="X55" s="1">
        <v>2043</v>
      </c>
      <c r="Y55" s="1">
        <v>2044</v>
      </c>
      <c r="Z55" s="1">
        <v>2045</v>
      </c>
      <c r="AA55" s="1">
        <v>2046</v>
      </c>
      <c r="AB55" s="1">
        <v>2047</v>
      </c>
      <c r="AC55" s="1">
        <v>2048</v>
      </c>
      <c r="AD55" s="1">
        <v>2049</v>
      </c>
      <c r="AE55" s="1">
        <v>2050</v>
      </c>
    </row>
    <row r="56" spans="1:31" customFormat="1" x14ac:dyDescent="0.35">
      <c r="A56" s="20">
        <v>5</v>
      </c>
      <c r="B56" s="37">
        <f>MAX(B48,0)</f>
        <v>0</v>
      </c>
      <c r="C56" s="37">
        <f t="shared" ref="C56:AE60" si="2">MAX(C48,0)</f>
        <v>0</v>
      </c>
      <c r="D56" s="37">
        <f t="shared" si="2"/>
        <v>0</v>
      </c>
      <c r="E56" s="37">
        <f t="shared" si="2"/>
        <v>0</v>
      </c>
      <c r="F56" s="37">
        <f t="shared" si="2"/>
        <v>0</v>
      </c>
      <c r="G56" s="37">
        <f t="shared" si="2"/>
        <v>0</v>
      </c>
      <c r="H56" s="37">
        <f t="shared" si="2"/>
        <v>0</v>
      </c>
      <c r="I56" s="37">
        <f t="shared" si="2"/>
        <v>0</v>
      </c>
      <c r="J56" s="37">
        <f t="shared" si="2"/>
        <v>0</v>
      </c>
      <c r="K56" s="37">
        <f t="shared" si="2"/>
        <v>0</v>
      </c>
      <c r="L56" s="37">
        <f t="shared" si="2"/>
        <v>0</v>
      </c>
      <c r="M56" s="37">
        <f t="shared" si="2"/>
        <v>0</v>
      </c>
      <c r="N56" s="37">
        <f t="shared" si="2"/>
        <v>0</v>
      </c>
      <c r="O56" s="37">
        <f t="shared" si="2"/>
        <v>0</v>
      </c>
      <c r="P56" s="37">
        <f t="shared" si="2"/>
        <v>0</v>
      </c>
      <c r="Q56" s="37">
        <f t="shared" si="2"/>
        <v>0</v>
      </c>
      <c r="R56" s="37">
        <f t="shared" si="2"/>
        <v>0</v>
      </c>
      <c r="S56" s="37">
        <f t="shared" si="2"/>
        <v>0</v>
      </c>
      <c r="T56" s="37">
        <f t="shared" si="2"/>
        <v>0</v>
      </c>
      <c r="U56" s="37">
        <f t="shared" si="2"/>
        <v>0</v>
      </c>
      <c r="V56" s="37">
        <f t="shared" si="2"/>
        <v>219999999999.9136</v>
      </c>
      <c r="W56" s="37">
        <f t="shared" si="2"/>
        <v>539999999999.96362</v>
      </c>
      <c r="X56" s="37">
        <f t="shared" si="2"/>
        <v>859999999999.8999</v>
      </c>
      <c r="Y56" s="37">
        <f t="shared" si="2"/>
        <v>1179999999999.95</v>
      </c>
      <c r="Z56" s="37">
        <f t="shared" si="2"/>
        <v>1499999999999.8862</v>
      </c>
      <c r="AA56" s="37">
        <f t="shared" si="2"/>
        <v>1410000000000.0249</v>
      </c>
      <c r="AB56" s="37">
        <f t="shared" si="2"/>
        <v>1320000000000.0215</v>
      </c>
      <c r="AC56" s="37">
        <f t="shared" si="2"/>
        <v>1230000000000.0183</v>
      </c>
      <c r="AD56" s="37">
        <f t="shared" si="2"/>
        <v>1140000000000.0149</v>
      </c>
      <c r="AE56" s="37">
        <f t="shared" si="2"/>
        <v>1050000000000.0114</v>
      </c>
    </row>
    <row r="57" spans="1:31" customFormat="1" x14ac:dyDescent="0.35">
      <c r="A57" s="20">
        <v>20</v>
      </c>
      <c r="B57" s="37">
        <f t="shared" ref="B57:Q60" si="3">MAX(B49,0)</f>
        <v>0</v>
      </c>
      <c r="C57" s="37">
        <f t="shared" si="3"/>
        <v>0</v>
      </c>
      <c r="D57" s="37">
        <f t="shared" si="3"/>
        <v>0</v>
      </c>
      <c r="E57" s="37">
        <f t="shared" si="3"/>
        <v>0</v>
      </c>
      <c r="F57" s="37">
        <f t="shared" si="3"/>
        <v>500000000000.90948</v>
      </c>
      <c r="G57" s="37">
        <f t="shared" si="3"/>
        <v>3170000000000.9824</v>
      </c>
      <c r="H57" s="37">
        <f t="shared" si="3"/>
        <v>5840000000001.0547</v>
      </c>
      <c r="I57" s="37">
        <f t="shared" si="3"/>
        <v>8510000000001.1279</v>
      </c>
      <c r="J57" s="37">
        <f t="shared" si="3"/>
        <v>11180000000001.201</v>
      </c>
      <c r="K57" s="37">
        <f t="shared" si="3"/>
        <v>13850000000000.363</v>
      </c>
      <c r="L57" s="37">
        <f t="shared" si="3"/>
        <v>16520000000000.438</v>
      </c>
      <c r="M57" s="37">
        <f t="shared" si="3"/>
        <v>19190000000000.508</v>
      </c>
      <c r="N57" s="37">
        <f t="shared" si="3"/>
        <v>21860000000000.582</v>
      </c>
      <c r="O57" s="37">
        <f t="shared" si="3"/>
        <v>24530000000000.656</v>
      </c>
      <c r="P57" s="37">
        <f t="shared" si="3"/>
        <v>27200000000000.727</v>
      </c>
      <c r="Q57" s="37">
        <f t="shared" si="3"/>
        <v>28340000000000.145</v>
      </c>
      <c r="R57" s="37">
        <f t="shared" si="2"/>
        <v>29480000000000.02</v>
      </c>
      <c r="S57" s="37">
        <f t="shared" si="2"/>
        <v>30619999999999.891</v>
      </c>
      <c r="T57" s="37">
        <f t="shared" si="2"/>
        <v>31759999999999.762</v>
      </c>
      <c r="U57" s="37">
        <f t="shared" si="2"/>
        <v>32900000000000.09</v>
      </c>
      <c r="V57" s="37">
        <f t="shared" si="2"/>
        <v>34039999999999.965</v>
      </c>
      <c r="W57" s="37">
        <f t="shared" si="2"/>
        <v>35179999999999.836</v>
      </c>
      <c r="X57" s="37">
        <f t="shared" si="2"/>
        <v>36320000000000.164</v>
      </c>
      <c r="Y57" s="37">
        <f t="shared" si="2"/>
        <v>37460000000000.039</v>
      </c>
      <c r="Z57" s="37">
        <f t="shared" si="2"/>
        <v>38599999999999.906</v>
      </c>
      <c r="AA57" s="37">
        <f t="shared" si="2"/>
        <v>40930000000000.289</v>
      </c>
      <c r="AB57" s="37">
        <f t="shared" si="2"/>
        <v>43260000000000.219</v>
      </c>
      <c r="AC57" s="37">
        <f t="shared" si="2"/>
        <v>45590000000000.148</v>
      </c>
      <c r="AD57" s="37">
        <f t="shared" si="2"/>
        <v>47920000000000.07</v>
      </c>
      <c r="AE57" s="37">
        <f t="shared" si="2"/>
        <v>50250000000000</v>
      </c>
    </row>
    <row r="58" spans="1:31" customFormat="1" x14ac:dyDescent="0.35">
      <c r="A58" s="20">
        <v>35</v>
      </c>
      <c r="B58" s="37">
        <f t="shared" si="3"/>
        <v>0</v>
      </c>
      <c r="C58" s="37">
        <f t="shared" si="2"/>
        <v>0</v>
      </c>
      <c r="D58" s="37">
        <f t="shared" si="2"/>
        <v>0</v>
      </c>
      <c r="E58" s="37">
        <f t="shared" si="2"/>
        <v>0</v>
      </c>
      <c r="F58" s="37">
        <f t="shared" si="2"/>
        <v>0</v>
      </c>
      <c r="G58" s="37">
        <f t="shared" si="2"/>
        <v>0</v>
      </c>
      <c r="H58" s="37">
        <f t="shared" si="2"/>
        <v>2440000000000.5093</v>
      </c>
      <c r="I58" s="37">
        <f t="shared" si="2"/>
        <v>6360000000000.582</v>
      </c>
      <c r="J58" s="37">
        <f t="shared" si="2"/>
        <v>10280000000000.654</v>
      </c>
      <c r="K58" s="37">
        <f t="shared" si="2"/>
        <v>14199999999999.818</v>
      </c>
      <c r="L58" s="37">
        <f t="shared" si="2"/>
        <v>18119999999999.891</v>
      </c>
      <c r="M58" s="37">
        <f t="shared" si="2"/>
        <v>22039999999999.965</v>
      </c>
      <c r="N58" s="37">
        <f t="shared" si="2"/>
        <v>25960000000000.035</v>
      </c>
      <c r="O58" s="37">
        <f t="shared" si="2"/>
        <v>29880000000000.109</v>
      </c>
      <c r="P58" s="37">
        <f t="shared" si="2"/>
        <v>33800000000000.184</v>
      </c>
      <c r="Q58" s="37">
        <f t="shared" si="2"/>
        <v>36329999999999.93</v>
      </c>
      <c r="R58" s="37">
        <f t="shared" si="2"/>
        <v>38859999999999.672</v>
      </c>
      <c r="S58" s="37">
        <f t="shared" si="2"/>
        <v>41389999999999.414</v>
      </c>
      <c r="T58" s="37">
        <f t="shared" si="2"/>
        <v>43919999999999.164</v>
      </c>
      <c r="U58" s="37">
        <f t="shared" si="2"/>
        <v>46449999999999.82</v>
      </c>
      <c r="V58" s="37">
        <f t="shared" si="2"/>
        <v>48979999999999.563</v>
      </c>
      <c r="W58" s="37">
        <f t="shared" si="2"/>
        <v>51509999999999.313</v>
      </c>
      <c r="X58" s="37">
        <f t="shared" si="2"/>
        <v>54039999999999.961</v>
      </c>
      <c r="Y58" s="37">
        <f t="shared" si="2"/>
        <v>56569999999999.711</v>
      </c>
      <c r="Z58" s="37">
        <f t="shared" si="2"/>
        <v>59099999999999.453</v>
      </c>
      <c r="AA58" s="37">
        <f t="shared" si="2"/>
        <v>59350000000000.023</v>
      </c>
      <c r="AB58" s="37">
        <f t="shared" si="2"/>
        <v>59600000000000.023</v>
      </c>
      <c r="AC58" s="37">
        <f t="shared" si="2"/>
        <v>59850000000000.023</v>
      </c>
      <c r="AD58" s="37">
        <f t="shared" si="2"/>
        <v>60100000000000.023</v>
      </c>
      <c r="AE58" s="37">
        <f t="shared" si="2"/>
        <v>60350000000000.023</v>
      </c>
    </row>
    <row r="59" spans="1:31" customFormat="1" x14ac:dyDescent="0.35">
      <c r="A59" s="20">
        <v>50</v>
      </c>
      <c r="B59" s="37">
        <f t="shared" si="3"/>
        <v>48120000000000.117</v>
      </c>
      <c r="C59" s="37">
        <f t="shared" si="2"/>
        <v>47840000000000.031</v>
      </c>
      <c r="D59" s="37">
        <f t="shared" si="2"/>
        <v>47560000000000.063</v>
      </c>
      <c r="E59" s="37">
        <f t="shared" si="2"/>
        <v>47280000000000.086</v>
      </c>
      <c r="F59" s="37">
        <f t="shared" si="2"/>
        <v>47000000000000.117</v>
      </c>
      <c r="G59" s="37">
        <f t="shared" si="2"/>
        <v>46720000000000.023</v>
      </c>
      <c r="H59" s="37">
        <f t="shared" si="2"/>
        <v>46440000000000.055</v>
      </c>
      <c r="I59" s="37">
        <f t="shared" si="2"/>
        <v>46160000000000.078</v>
      </c>
      <c r="J59" s="37">
        <f t="shared" si="2"/>
        <v>45880000000000.109</v>
      </c>
      <c r="K59" s="37">
        <f t="shared" si="2"/>
        <v>45600000000000.023</v>
      </c>
      <c r="L59" s="37">
        <f t="shared" si="2"/>
        <v>45320000000000.047</v>
      </c>
      <c r="M59" s="37">
        <f t="shared" si="2"/>
        <v>45040000000000.078</v>
      </c>
      <c r="N59" s="37">
        <f t="shared" si="2"/>
        <v>44760000000000.102</v>
      </c>
      <c r="O59" s="37">
        <f t="shared" si="2"/>
        <v>44480000000000.016</v>
      </c>
      <c r="P59" s="37">
        <f t="shared" si="2"/>
        <v>44200000000000.047</v>
      </c>
      <c r="Q59" s="37">
        <f t="shared" si="2"/>
        <v>44049999999999.953</v>
      </c>
      <c r="R59" s="37">
        <f t="shared" si="2"/>
        <v>43899999999999.977</v>
      </c>
      <c r="S59" s="37">
        <f t="shared" si="2"/>
        <v>43749999999999.945</v>
      </c>
      <c r="T59" s="37">
        <f t="shared" si="2"/>
        <v>43599999999999.969</v>
      </c>
      <c r="U59" s="37">
        <f t="shared" si="2"/>
        <v>43449999999999.992</v>
      </c>
      <c r="V59" s="37">
        <f t="shared" si="2"/>
        <v>43299999999999.953</v>
      </c>
      <c r="W59" s="37">
        <f t="shared" si="2"/>
        <v>43149999999999.977</v>
      </c>
      <c r="X59" s="37">
        <f t="shared" si="2"/>
        <v>43000000000000</v>
      </c>
      <c r="Y59" s="37">
        <f t="shared" si="2"/>
        <v>42849999999999.969</v>
      </c>
      <c r="Z59" s="37">
        <f t="shared" si="2"/>
        <v>42699999999999.992</v>
      </c>
      <c r="AA59" s="37">
        <f t="shared" si="2"/>
        <v>42860000000000.016</v>
      </c>
      <c r="AB59" s="37">
        <f t="shared" si="2"/>
        <v>43019999999999.984</v>
      </c>
      <c r="AC59" s="37">
        <f t="shared" si="2"/>
        <v>43180000000000.008</v>
      </c>
      <c r="AD59" s="37">
        <f t="shared" si="2"/>
        <v>43340000000000.031</v>
      </c>
      <c r="AE59" s="37">
        <f t="shared" si="2"/>
        <v>43500000000000</v>
      </c>
    </row>
    <row r="60" spans="1:31" customFormat="1" x14ac:dyDescent="0.35">
      <c r="A60" s="20">
        <v>100</v>
      </c>
      <c r="B60" s="37">
        <f t="shared" si="3"/>
        <v>0</v>
      </c>
      <c r="C60" s="37">
        <f t="shared" si="2"/>
        <v>0</v>
      </c>
      <c r="D60" s="37">
        <f t="shared" si="2"/>
        <v>0</v>
      </c>
      <c r="E60" s="37">
        <f t="shared" si="2"/>
        <v>929999999999.8363</v>
      </c>
      <c r="F60" s="37">
        <f t="shared" si="2"/>
        <v>2599999999999.9092</v>
      </c>
      <c r="G60" s="37">
        <f t="shared" si="2"/>
        <v>4269999999999.5269</v>
      </c>
      <c r="H60" s="37">
        <f t="shared" si="2"/>
        <v>5939999999999.5996</v>
      </c>
      <c r="I60" s="37">
        <f t="shared" si="2"/>
        <v>7609999999999.6729</v>
      </c>
      <c r="J60" s="37">
        <f t="shared" si="2"/>
        <v>9279999999999.7461</v>
      </c>
      <c r="K60" s="37">
        <f t="shared" si="2"/>
        <v>10949999999999.818</v>
      </c>
      <c r="L60" s="37">
        <f t="shared" si="2"/>
        <v>12619999999999.891</v>
      </c>
      <c r="M60" s="37">
        <f t="shared" si="2"/>
        <v>14289999999999.963</v>
      </c>
      <c r="N60" s="37">
        <f t="shared" si="2"/>
        <v>15959999999999.582</v>
      </c>
      <c r="O60" s="37">
        <f t="shared" si="2"/>
        <v>17629999999999.656</v>
      </c>
      <c r="P60" s="37">
        <f t="shared" si="2"/>
        <v>19299999999999.727</v>
      </c>
      <c r="Q60" s="37">
        <f t="shared" si="2"/>
        <v>18999999999999.887</v>
      </c>
      <c r="R60" s="37">
        <f t="shared" si="2"/>
        <v>18699999999999.934</v>
      </c>
      <c r="S60" s="37">
        <f t="shared" si="2"/>
        <v>18399999999999.863</v>
      </c>
      <c r="T60" s="37">
        <f t="shared" si="2"/>
        <v>18099999999999.91</v>
      </c>
      <c r="U60" s="37">
        <f t="shared" si="2"/>
        <v>17799999999999.953</v>
      </c>
      <c r="V60" s="37">
        <f t="shared" si="2"/>
        <v>17499999999999.887</v>
      </c>
      <c r="W60" s="37">
        <f t="shared" si="2"/>
        <v>17199999999999.932</v>
      </c>
      <c r="X60" s="37">
        <f t="shared" si="2"/>
        <v>16899999999999.863</v>
      </c>
      <c r="Y60" s="37">
        <f t="shared" si="2"/>
        <v>16599999999999.908</v>
      </c>
      <c r="Z60" s="37">
        <f t="shared" si="2"/>
        <v>16299999999999.842</v>
      </c>
      <c r="AA60" s="37">
        <f t="shared" si="2"/>
        <v>17019999999999.754</v>
      </c>
      <c r="AB60" s="37">
        <f t="shared" si="2"/>
        <v>17739999999999.781</v>
      </c>
      <c r="AC60" s="37">
        <f t="shared" si="2"/>
        <v>18459999999999.809</v>
      </c>
      <c r="AD60" s="37">
        <f t="shared" si="2"/>
        <v>19179999999999.836</v>
      </c>
      <c r="AE60" s="37">
        <f t="shared" si="2"/>
        <v>19899999999999.863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5FA0-E3E7-47BD-9447-13EDD33DA751}">
  <sheetPr>
    <tabColor rgb="FF92D050"/>
  </sheetPr>
  <dimension ref="A1:BM272"/>
  <sheetViews>
    <sheetView topLeftCell="A61" workbookViewId="0">
      <selection activeCell="G22" sqref="G21:G22"/>
    </sheetView>
  </sheetViews>
  <sheetFormatPr defaultColWidth="12.54296875" defaultRowHeight="14.5" x14ac:dyDescent="0.35"/>
  <cols>
    <col min="1" max="1" width="73.81640625" customWidth="1"/>
    <col min="2" max="2" width="22" customWidth="1"/>
    <col min="3" max="3" width="36.1796875" customWidth="1"/>
    <col min="4" max="4" width="14.7265625" customWidth="1"/>
    <col min="5" max="6" width="12.7265625" bestFit="1" customWidth="1"/>
    <col min="7" max="7" width="15.7265625" bestFit="1" customWidth="1"/>
    <col min="8" max="12" width="16.7265625" bestFit="1" customWidth="1"/>
    <col min="13" max="15" width="15.7265625" bestFit="1" customWidth="1"/>
    <col min="16" max="16" width="12.7265625" bestFit="1" customWidth="1"/>
  </cols>
  <sheetData>
    <row r="1" spans="1:64" ht="14.25" customHeight="1" x14ac:dyDescent="0.35">
      <c r="A1" s="8" t="s">
        <v>77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row>
    <row r="2" spans="1:64" ht="145.5" customHeight="1" x14ac:dyDescent="0.35">
      <c r="A2" s="11" t="s">
        <v>91</v>
      </c>
      <c r="B2" s="12"/>
    </row>
    <row r="3" spans="1:64" x14ac:dyDescent="0.35">
      <c r="A3" s="12"/>
      <c r="B3" s="12"/>
    </row>
    <row r="4" spans="1:64" ht="14.25" customHeight="1" x14ac:dyDescent="0.35">
      <c r="A4" s="8" t="s">
        <v>78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spans="1:64" x14ac:dyDescent="0.35">
      <c r="A5" t="s">
        <v>92</v>
      </c>
      <c r="B5">
        <v>0.78500000000000003</v>
      </c>
    </row>
    <row r="7" spans="1:64" x14ac:dyDescent="0.35">
      <c r="A7" t="s">
        <v>79</v>
      </c>
    </row>
    <row r="8" spans="1:64" x14ac:dyDescent="0.35">
      <c r="A8" t="s">
        <v>80</v>
      </c>
      <c r="B8">
        <v>1.8</v>
      </c>
      <c r="D8" t="s">
        <v>81</v>
      </c>
    </row>
    <row r="9" spans="1:64" x14ac:dyDescent="0.35">
      <c r="A9" t="s">
        <v>82</v>
      </c>
      <c r="B9">
        <v>0.2</v>
      </c>
      <c r="D9" t="s">
        <v>81</v>
      </c>
    </row>
    <row r="10" spans="1:64" x14ac:dyDescent="0.35">
      <c r="A10" t="s">
        <v>83</v>
      </c>
      <c r="B10">
        <v>0.1</v>
      </c>
      <c r="D10" t="s">
        <v>81</v>
      </c>
    </row>
    <row r="11" spans="1:64" x14ac:dyDescent="0.35">
      <c r="A11" t="s">
        <v>84</v>
      </c>
      <c r="B11">
        <v>0.05</v>
      </c>
      <c r="D11" t="s">
        <v>85</v>
      </c>
    </row>
    <row r="12" spans="1:64" x14ac:dyDescent="0.35">
      <c r="A12" t="s">
        <v>86</v>
      </c>
      <c r="B12">
        <v>0.15</v>
      </c>
      <c r="D12" t="s">
        <v>85</v>
      </c>
    </row>
    <row r="13" spans="1:64" x14ac:dyDescent="0.35">
      <c r="A13" t="s">
        <v>86</v>
      </c>
      <c r="B13">
        <v>0.15</v>
      </c>
      <c r="D13" t="s">
        <v>85</v>
      </c>
    </row>
    <row r="14" spans="1:64" x14ac:dyDescent="0.35">
      <c r="A14" t="s">
        <v>86</v>
      </c>
      <c r="B14">
        <v>0.1</v>
      </c>
      <c r="D14" t="s">
        <v>85</v>
      </c>
    </row>
    <row r="15" spans="1:64" x14ac:dyDescent="0.35">
      <c r="A15" t="s">
        <v>86</v>
      </c>
      <c r="B15">
        <v>0.05</v>
      </c>
      <c r="D15" t="s">
        <v>85</v>
      </c>
    </row>
    <row r="16" spans="1:64" x14ac:dyDescent="0.35">
      <c r="A16" t="s">
        <v>87</v>
      </c>
      <c r="B16">
        <v>0.1</v>
      </c>
      <c r="D16" t="s">
        <v>85</v>
      </c>
    </row>
    <row r="17" spans="1:4" x14ac:dyDescent="0.35">
      <c r="A17" t="s">
        <v>86</v>
      </c>
      <c r="B17">
        <v>0.7</v>
      </c>
      <c r="D17" t="s">
        <v>85</v>
      </c>
    </row>
    <row r="18" spans="1:4" x14ac:dyDescent="0.35">
      <c r="A18" t="s">
        <v>88</v>
      </c>
      <c r="B18">
        <v>1.5</v>
      </c>
      <c r="D18" t="s">
        <v>89</v>
      </c>
    </row>
    <row r="19" spans="1:4" x14ac:dyDescent="0.35">
      <c r="A19" t="s">
        <v>90</v>
      </c>
      <c r="B19">
        <v>0.1</v>
      </c>
      <c r="D19" t="s">
        <v>81</v>
      </c>
    </row>
    <row r="21" spans="1:4" x14ac:dyDescent="0.35">
      <c r="A21" t="s">
        <v>144</v>
      </c>
    </row>
    <row r="22" spans="1:4" x14ac:dyDescent="0.35">
      <c r="A22" t="s">
        <v>85</v>
      </c>
      <c r="B22">
        <f>SUM(B11:B17)*10^9</f>
        <v>1299999999.9999998</v>
      </c>
    </row>
    <row r="23" spans="1:4" x14ac:dyDescent="0.35">
      <c r="A23" t="s">
        <v>89</v>
      </c>
      <c r="B23">
        <f>B18*10^9</f>
        <v>1500000000</v>
      </c>
    </row>
    <row r="25" spans="1:4" x14ac:dyDescent="0.35">
      <c r="C25" t="s">
        <v>153</v>
      </c>
    </row>
    <row r="42" spans="1:10" x14ac:dyDescent="0.35">
      <c r="B42">
        <v>2023</v>
      </c>
      <c r="C42">
        <v>2024</v>
      </c>
      <c r="D42">
        <v>2025</v>
      </c>
      <c r="E42">
        <v>2026</v>
      </c>
      <c r="F42">
        <v>2027</v>
      </c>
      <c r="G42">
        <v>2028</v>
      </c>
      <c r="H42">
        <v>2029</v>
      </c>
      <c r="I42">
        <v>2030</v>
      </c>
      <c r="J42">
        <v>2031</v>
      </c>
    </row>
    <row r="43" spans="1:10" x14ac:dyDescent="0.35">
      <c r="A43" t="s">
        <v>156</v>
      </c>
      <c r="B43">
        <v>30</v>
      </c>
      <c r="C43">
        <v>120</v>
      </c>
      <c r="D43">
        <v>165</v>
      </c>
      <c r="E43">
        <v>370</v>
      </c>
      <c r="F43">
        <v>470</v>
      </c>
      <c r="G43">
        <v>420</v>
      </c>
      <c r="H43">
        <v>285</v>
      </c>
      <c r="I43">
        <v>220</v>
      </c>
      <c r="J43">
        <v>65</v>
      </c>
    </row>
    <row r="44" spans="1:10" x14ac:dyDescent="0.35">
      <c r="A44" t="s">
        <v>157</v>
      </c>
      <c r="B44">
        <v>30</v>
      </c>
      <c r="C44">
        <v>90</v>
      </c>
      <c r="D44">
        <v>90</v>
      </c>
      <c r="E44">
        <v>85</v>
      </c>
      <c r="F44">
        <v>70</v>
      </c>
      <c r="G44">
        <v>65</v>
      </c>
      <c r="H44">
        <v>65</v>
      </c>
      <c r="I44">
        <v>35</v>
      </c>
      <c r="J44">
        <v>15</v>
      </c>
    </row>
    <row r="45" spans="1:10" x14ac:dyDescent="0.35">
      <c r="A45" t="s">
        <v>158</v>
      </c>
      <c r="B45">
        <v>65</v>
      </c>
      <c r="C45">
        <v>150</v>
      </c>
      <c r="D45">
        <v>290</v>
      </c>
      <c r="E45">
        <v>290</v>
      </c>
      <c r="F45">
        <v>290</v>
      </c>
      <c r="G45">
        <v>285</v>
      </c>
      <c r="H45">
        <v>250</v>
      </c>
      <c r="I45">
        <v>220</v>
      </c>
      <c r="J45">
        <v>160</v>
      </c>
    </row>
    <row r="46" spans="1:10" x14ac:dyDescent="0.35">
      <c r="A46" t="s">
        <v>154</v>
      </c>
      <c r="B46">
        <f>SUM(B43:B45)</f>
        <v>125</v>
      </c>
      <c r="C46">
        <f t="shared" ref="C46:J46" si="0">SUM(C43:C45)</f>
        <v>360</v>
      </c>
      <c r="D46">
        <f t="shared" si="0"/>
        <v>545</v>
      </c>
      <c r="E46">
        <f t="shared" si="0"/>
        <v>745</v>
      </c>
      <c r="F46">
        <f t="shared" si="0"/>
        <v>830</v>
      </c>
      <c r="G46">
        <f t="shared" si="0"/>
        <v>770</v>
      </c>
      <c r="H46">
        <f t="shared" si="0"/>
        <v>600</v>
      </c>
      <c r="I46">
        <f t="shared" si="0"/>
        <v>475</v>
      </c>
      <c r="J46">
        <f t="shared" si="0"/>
        <v>240</v>
      </c>
    </row>
    <row r="47" spans="1:10" x14ac:dyDescent="0.35">
      <c r="A47" t="s">
        <v>155</v>
      </c>
      <c r="B47" s="36">
        <f>B46/SUM($B$46:$J$46)</f>
        <v>2.6652452025586353E-2</v>
      </c>
      <c r="C47" s="36">
        <f t="shared" ref="C47:J47" si="1">C46/SUM($B$46:$J$46)</f>
        <v>7.6759061833688705E-2</v>
      </c>
      <c r="D47" s="36">
        <f t="shared" si="1"/>
        <v>0.1162046908315565</v>
      </c>
      <c r="E47" s="36">
        <f t="shared" si="1"/>
        <v>0.15884861407249468</v>
      </c>
      <c r="F47" s="36">
        <f t="shared" si="1"/>
        <v>0.17697228144989338</v>
      </c>
      <c r="G47" s="36">
        <f t="shared" si="1"/>
        <v>0.16417910447761194</v>
      </c>
      <c r="H47" s="36">
        <f t="shared" si="1"/>
        <v>0.1279317697228145</v>
      </c>
      <c r="I47" s="36">
        <f t="shared" si="1"/>
        <v>0.10127931769722814</v>
      </c>
      <c r="J47" s="36">
        <f t="shared" si="1"/>
        <v>5.1172707889125799E-2</v>
      </c>
    </row>
    <row r="48" spans="1:10" x14ac:dyDescent="0.35">
      <c r="B48" s="36"/>
      <c r="C48" s="36"/>
      <c r="D48" s="36"/>
      <c r="E48" s="36"/>
      <c r="F48" s="36"/>
      <c r="G48" s="36"/>
      <c r="H48" s="36"/>
      <c r="I48" s="36"/>
      <c r="J48" s="36"/>
    </row>
    <row r="49" spans="1:65" x14ac:dyDescent="0.35">
      <c r="A49" s="27"/>
      <c r="B49" s="28"/>
      <c r="C49" s="27"/>
      <c r="E49" s="27"/>
      <c r="F49" s="16"/>
      <c r="G49" s="16"/>
      <c r="H49" s="16"/>
      <c r="I49" s="16"/>
      <c r="J49" s="16"/>
      <c r="K49" s="29">
        <v>0.75</v>
      </c>
      <c r="L49" s="29">
        <v>0.5</v>
      </c>
      <c r="M49" s="29">
        <v>0.25</v>
      </c>
      <c r="N49" s="29">
        <v>0</v>
      </c>
      <c r="O49" s="16"/>
      <c r="P49" s="16"/>
      <c r="Q49" s="16"/>
      <c r="R49" s="16"/>
      <c r="S49" s="16"/>
      <c r="T49" s="16"/>
      <c r="U49" s="16"/>
      <c r="V49" s="16"/>
      <c r="W49" s="16"/>
      <c r="X49" s="16"/>
      <c r="Y49" s="16"/>
      <c r="Z49" s="16"/>
      <c r="AA49" s="16"/>
      <c r="AB49" s="16"/>
      <c r="AC49" s="16"/>
      <c r="AD49" s="16"/>
      <c r="AE49" s="16"/>
      <c r="AF49" s="16"/>
      <c r="AG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row>
    <row r="50" spans="1:65" x14ac:dyDescent="0.35">
      <c r="A50" s="27"/>
      <c r="B50" s="12">
        <v>2023</v>
      </c>
      <c r="C50" s="12">
        <v>2024</v>
      </c>
      <c r="D50" s="12">
        <v>2025</v>
      </c>
      <c r="E50" s="12">
        <v>2026</v>
      </c>
      <c r="F50" s="12">
        <v>2027</v>
      </c>
      <c r="G50" s="12">
        <v>2028</v>
      </c>
      <c r="H50" s="12">
        <v>2029</v>
      </c>
      <c r="I50" s="12">
        <v>2030</v>
      </c>
      <c r="J50" s="12">
        <v>2031</v>
      </c>
      <c r="K50" s="12">
        <v>2032</v>
      </c>
      <c r="L50" s="12">
        <v>2033</v>
      </c>
      <c r="M50" s="12">
        <v>2034</v>
      </c>
      <c r="N50" s="12">
        <v>2035</v>
      </c>
      <c r="O50" s="16"/>
      <c r="P50" s="16"/>
      <c r="Q50" s="16"/>
      <c r="R50" s="16"/>
      <c r="S50" s="16"/>
      <c r="T50" s="16"/>
      <c r="U50" s="16"/>
      <c r="V50" s="16"/>
      <c r="W50" s="16"/>
      <c r="X50" s="16"/>
      <c r="Y50" s="16"/>
      <c r="Z50" s="16"/>
      <c r="AA50" s="16"/>
      <c r="AB50" s="16"/>
      <c r="AC50" s="16"/>
      <c r="AD50" s="16"/>
      <c r="AE50" s="16"/>
      <c r="AF50" s="16"/>
      <c r="AG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row>
    <row r="51" spans="1:65" x14ac:dyDescent="0.35">
      <c r="A51" s="27" t="s">
        <v>160</v>
      </c>
      <c r="B51" s="12">
        <f>$B22*B$47</f>
        <v>34648187.633262254</v>
      </c>
      <c r="C51" s="12">
        <f t="shared" ref="C51:J51" si="2">$B22*C$47</f>
        <v>99786780.383795291</v>
      </c>
      <c r="D51" s="12">
        <f t="shared" si="2"/>
        <v>151066098.08102342</v>
      </c>
      <c r="E51" s="12">
        <f t="shared" si="2"/>
        <v>206503198.29424304</v>
      </c>
      <c r="F51" s="12">
        <f t="shared" si="2"/>
        <v>230063965.88486135</v>
      </c>
      <c r="G51" s="12">
        <f t="shared" si="2"/>
        <v>213432835.82089549</v>
      </c>
      <c r="H51" s="12">
        <f t="shared" si="2"/>
        <v>166311300.63965884</v>
      </c>
      <c r="I51" s="12">
        <f t="shared" si="2"/>
        <v>131663113.00639656</v>
      </c>
      <c r="J51" s="12">
        <f t="shared" si="2"/>
        <v>66524520.255863525</v>
      </c>
      <c r="K51" s="12">
        <f>$J51*K$49</f>
        <v>49893390.191897646</v>
      </c>
      <c r="L51" s="12">
        <f t="shared" ref="L51:N52" si="3">$J51*L$49</f>
        <v>33262260.127931762</v>
      </c>
      <c r="M51" s="12">
        <f t="shared" si="3"/>
        <v>16631130.063965881</v>
      </c>
      <c r="N51" s="12">
        <f t="shared" si="3"/>
        <v>0</v>
      </c>
      <c r="O51" s="16"/>
      <c r="P51" s="16"/>
      <c r="Q51" s="16"/>
      <c r="R51" s="16"/>
      <c r="S51" s="16"/>
      <c r="T51" s="16"/>
      <c r="U51" s="16"/>
      <c r="V51" s="16"/>
      <c r="W51" s="16"/>
      <c r="X51" s="16"/>
      <c r="Y51" s="16"/>
      <c r="Z51" s="16"/>
      <c r="AA51" s="16"/>
      <c r="AB51" s="16"/>
      <c r="AC51" s="16"/>
      <c r="AD51" s="16"/>
      <c r="AE51" s="16"/>
      <c r="AF51" s="16"/>
      <c r="AG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row>
    <row r="52" spans="1:65" x14ac:dyDescent="0.35">
      <c r="A52" s="27" t="s">
        <v>161</v>
      </c>
      <c r="B52" s="12">
        <f>$B23*B$47</f>
        <v>39978678.038379528</v>
      </c>
      <c r="C52" s="12">
        <f t="shared" ref="C52:J52" si="4">$B23*C$47</f>
        <v>115138592.75053306</v>
      </c>
      <c r="D52" s="12">
        <f t="shared" si="4"/>
        <v>174307036.24733475</v>
      </c>
      <c r="E52" s="12">
        <f t="shared" si="4"/>
        <v>238272921.10874203</v>
      </c>
      <c r="F52" s="12">
        <f t="shared" si="4"/>
        <v>265458422.17484006</v>
      </c>
      <c r="G52" s="12">
        <f t="shared" si="4"/>
        <v>246268656.71641791</v>
      </c>
      <c r="H52" s="12">
        <f t="shared" si="4"/>
        <v>191897654.58422175</v>
      </c>
      <c r="I52" s="12">
        <f t="shared" si="4"/>
        <v>151918976.54584223</v>
      </c>
      <c r="J52" s="12">
        <f t="shared" si="4"/>
        <v>76759061.833688691</v>
      </c>
      <c r="K52" s="12">
        <f>$J52*K$49</f>
        <v>57569296.375266522</v>
      </c>
      <c r="L52" s="12">
        <f t="shared" si="3"/>
        <v>38379530.916844346</v>
      </c>
      <c r="M52" s="12">
        <f t="shared" si="3"/>
        <v>19189765.458422173</v>
      </c>
      <c r="N52" s="12">
        <f t="shared" si="3"/>
        <v>0</v>
      </c>
      <c r="O52" s="16"/>
      <c r="P52" s="16"/>
      <c r="Q52" s="16"/>
      <c r="R52" s="16"/>
      <c r="S52" s="16"/>
      <c r="T52" s="16"/>
      <c r="U52" s="16"/>
      <c r="V52" s="16"/>
      <c r="W52" s="16"/>
      <c r="X52" s="16"/>
      <c r="Y52" s="16"/>
      <c r="Z52" s="16"/>
      <c r="AA52" s="16"/>
      <c r="AB52" s="16"/>
      <c r="AC52" s="16"/>
      <c r="AD52" s="16"/>
      <c r="AE52" s="16"/>
      <c r="AF52" s="16"/>
      <c r="AG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row>
    <row r="53" spans="1:65" x14ac:dyDescent="0.35">
      <c r="A53" s="27"/>
      <c r="B53" s="12"/>
      <c r="C53" s="12"/>
      <c r="D53" s="12"/>
      <c r="E53" s="12"/>
      <c r="F53" s="12"/>
      <c r="G53" s="12"/>
      <c r="H53" s="12"/>
      <c r="I53" s="12"/>
      <c r="J53" s="12"/>
      <c r="K53" s="12"/>
      <c r="L53" s="12"/>
      <c r="M53" s="12"/>
      <c r="N53" s="12"/>
      <c r="O53" s="16"/>
      <c r="P53" s="16"/>
      <c r="Q53" s="16"/>
      <c r="R53" s="16"/>
      <c r="S53" s="16"/>
      <c r="T53" s="16"/>
      <c r="U53" s="16"/>
      <c r="V53" s="16"/>
      <c r="W53" s="16"/>
      <c r="X53" s="16"/>
      <c r="Y53" s="16"/>
      <c r="Z53" s="16"/>
      <c r="AA53" s="16"/>
      <c r="AB53" s="16"/>
      <c r="AC53" s="16"/>
      <c r="AD53" s="16"/>
      <c r="AE53" s="16"/>
      <c r="AF53" s="16"/>
      <c r="AG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row>
    <row r="54" spans="1:65" x14ac:dyDescent="0.35">
      <c r="A54" s="27"/>
      <c r="B54" s="30"/>
      <c r="C54" s="27"/>
      <c r="D54" s="19"/>
      <c r="E54" s="27"/>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row>
    <row r="55" spans="1:65" x14ac:dyDescent="0.35">
      <c r="A55" s="31" t="s">
        <v>162</v>
      </c>
      <c r="B55" s="12">
        <v>2023</v>
      </c>
      <c r="C55" s="12">
        <v>2024</v>
      </c>
      <c r="D55" s="12">
        <v>2025</v>
      </c>
      <c r="E55" s="12">
        <v>2026</v>
      </c>
      <c r="F55" s="12">
        <v>2027</v>
      </c>
      <c r="G55" s="12">
        <v>2028</v>
      </c>
      <c r="H55" s="12">
        <v>2029</v>
      </c>
      <c r="I55" s="12">
        <v>2030</v>
      </c>
      <c r="J55" s="12">
        <v>2031</v>
      </c>
      <c r="K55" s="12">
        <v>2032</v>
      </c>
      <c r="L55" s="12">
        <v>2033</v>
      </c>
      <c r="M55" s="12">
        <v>2034</v>
      </c>
      <c r="N55" s="12">
        <v>2035</v>
      </c>
    </row>
    <row r="56" spans="1:65" x14ac:dyDescent="0.35">
      <c r="A56" s="32">
        <v>5</v>
      </c>
      <c r="B56" s="12">
        <f>$A56*'EPA land and ag calcs'!D40/10^6</f>
        <v>21499999.999999773</v>
      </c>
      <c r="C56" s="12">
        <f>$A56*'EPA land and ag calcs'!E40/10^6</f>
        <v>26250000</v>
      </c>
      <c r="D56" s="12">
        <f>$A56*'EPA land and ag calcs'!F40/10^6</f>
        <v>31000000.000000231</v>
      </c>
      <c r="E56" s="12">
        <f>$A56*'EPA land and ag calcs'!G40/10^6</f>
        <v>35749999.999999315</v>
      </c>
      <c r="F56" s="12">
        <f>$A56*'EPA land and ag calcs'!H40/10^6</f>
        <v>40499999.999999546</v>
      </c>
      <c r="G56" s="12">
        <f>$A56*'EPA land and ag calcs'!I40/10^6</f>
        <v>45249999.999999776</v>
      </c>
      <c r="H56" s="12">
        <f>$A56*'EPA land and ag calcs'!J40/10^6</f>
        <v>50000000</v>
      </c>
      <c r="I56" s="12">
        <f>$A56*'EPA land and ag calcs'!K40/10^6</f>
        <v>54750000.000000224</v>
      </c>
      <c r="J56" s="12">
        <f>$A56*'EPA land and ag calcs'!L40/10^6</f>
        <v>59499999.999999315</v>
      </c>
      <c r="K56" s="12">
        <f>$A56*'EPA land and ag calcs'!M40/10^6</f>
        <v>64249999.999999538</v>
      </c>
      <c r="L56" s="12">
        <f>$A56*'EPA land and ag calcs'!N40/10^6</f>
        <v>68999999.999999776</v>
      </c>
      <c r="M56" s="12">
        <f>$A56*'EPA land and ag calcs'!O40/10^6</f>
        <v>73750000</v>
      </c>
      <c r="N56" s="12">
        <f>$A56*'EPA land and ag calcs'!P40/10^6</f>
        <v>78500000.000000224</v>
      </c>
    </row>
    <row r="57" spans="1:65" x14ac:dyDescent="0.35">
      <c r="A57" s="32">
        <v>20</v>
      </c>
      <c r="B57" s="12">
        <f>$A57*'EPA land and ag calcs'!D41/10^6</f>
        <v>52799999.999997452</v>
      </c>
      <c r="C57" s="12">
        <f>$A57*'EPA land and ag calcs'!E41/10^6</f>
        <v>87399999.99999781</v>
      </c>
      <c r="D57" s="12">
        <f>$A57*'EPA land and ag calcs'!F41/10^6</f>
        <v>121999999.99999818</v>
      </c>
      <c r="E57" s="12">
        <f>$A57*'EPA land and ag calcs'!G41/10^6</f>
        <v>156599999.99999854</v>
      </c>
      <c r="F57" s="12">
        <f>$A57*'EPA land and ag calcs'!H41/10^6</f>
        <v>191199999.9999989</v>
      </c>
      <c r="G57" s="12">
        <f>$A57*'EPA land and ag calcs'!I41/10^6</f>
        <v>225799999.99999925</v>
      </c>
      <c r="H57" s="12">
        <f>$A57*'EPA land and ag calcs'!J41/10^6</f>
        <v>260399999.99999964</v>
      </c>
      <c r="I57" s="12">
        <f>$A57*'EPA land and ag calcs'!K41/10^6</f>
        <v>295000000</v>
      </c>
      <c r="J57" s="12">
        <f>$A57*'EPA land and ag calcs'!L41/10^6</f>
        <v>329600000.00000036</v>
      </c>
      <c r="K57" s="12">
        <f>$A57*'EPA land and ag calcs'!M41/10^6</f>
        <v>364200000.00000072</v>
      </c>
      <c r="L57" s="12">
        <f>$A57*'EPA land and ag calcs'!N41/10^6</f>
        <v>398800000.00000113</v>
      </c>
      <c r="M57" s="12">
        <f>$A57*'EPA land and ag calcs'!O41/10^6</f>
        <v>433400000.00000149</v>
      </c>
      <c r="N57" s="12">
        <f>$A57*'EPA land and ag calcs'!P41/10^6</f>
        <v>468000000.00000179</v>
      </c>
    </row>
    <row r="58" spans="1:65" x14ac:dyDescent="0.35">
      <c r="A58" s="32">
        <v>35</v>
      </c>
      <c r="B58" s="12">
        <f>$A58*'EPA land and ag calcs'!D42/10^6</f>
        <v>32200000.000002548</v>
      </c>
      <c r="C58" s="12">
        <f>$A58*'EPA land and ag calcs'!E42/10^6</f>
        <v>59850000.000001274</v>
      </c>
      <c r="D58" s="12">
        <f>$A58*'EPA land and ag calcs'!F42/10^6</f>
        <v>87500000</v>
      </c>
      <c r="E58" s="12">
        <f>$A58*'EPA land and ag calcs'!G42/10^6</f>
        <v>115150000.00000669</v>
      </c>
      <c r="F58" s="12">
        <f>$A58*'EPA land and ag calcs'!H42/10^6</f>
        <v>142800000.00000539</v>
      </c>
      <c r="G58" s="12">
        <f>$A58*'EPA land and ag calcs'!I42/10^6</f>
        <v>170450000.00000411</v>
      </c>
      <c r="H58" s="12">
        <f>$A58*'EPA land and ag calcs'!J42/10^6</f>
        <v>198100000.00000286</v>
      </c>
      <c r="I58" s="12">
        <f>$A58*'EPA land and ag calcs'!K42/10^6</f>
        <v>225750000.00000158</v>
      </c>
      <c r="J58" s="12">
        <f>$A58*'EPA land and ag calcs'!L42/10^6</f>
        <v>253400000.0000003</v>
      </c>
      <c r="K58" s="12">
        <f>$A58*'EPA land and ag calcs'!M42/10^6</f>
        <v>281049999.99999905</v>
      </c>
      <c r="L58" s="12">
        <f>$A58*'EPA land and ag calcs'!N42/10^6</f>
        <v>308700000.00000572</v>
      </c>
      <c r="M58" s="12">
        <f>$A58*'EPA land and ag calcs'!O42/10^6</f>
        <v>336350000.00000441</v>
      </c>
      <c r="N58" s="12">
        <f>$A58*'EPA land and ag calcs'!P42/10^6</f>
        <v>364000000.00000316</v>
      </c>
    </row>
    <row r="59" spans="1:65" x14ac:dyDescent="0.35">
      <c r="A59" s="32">
        <v>50</v>
      </c>
      <c r="B59" s="12">
        <f>$A59*'EPA land and ag calcs'!D43/10^6</f>
        <v>117999999.99999927</v>
      </c>
      <c r="C59" s="12">
        <f>$A59*'EPA land and ag calcs'!E43/10^6</f>
        <v>123999999.99999948</v>
      </c>
      <c r="D59" s="12">
        <f>$A59*'EPA land and ag calcs'!F43/10^6</f>
        <v>129999999.9999997</v>
      </c>
      <c r="E59" s="12">
        <f>$A59*'EPA land and ag calcs'!G43/10^6</f>
        <v>135999999.99999994</v>
      </c>
      <c r="F59" s="12">
        <f>$A59*'EPA land and ag calcs'!H43/10^6</f>
        <v>142000000.00000015</v>
      </c>
      <c r="G59" s="12">
        <f>$A59*'EPA land and ag calcs'!I43/10^6</f>
        <v>147999999.99999896</v>
      </c>
      <c r="H59" s="12">
        <f>$A59*'EPA land and ag calcs'!J43/10^6</f>
        <v>153999999.9999992</v>
      </c>
      <c r="I59" s="12">
        <f>$A59*'EPA land and ag calcs'!K43/10^6</f>
        <v>159999999.99999943</v>
      </c>
      <c r="J59" s="12">
        <f>$A59*'EPA land and ag calcs'!L43/10^6</f>
        <v>165999999.99999964</v>
      </c>
      <c r="K59" s="12">
        <f>$A59*'EPA land and ag calcs'!M43/10^6</f>
        <v>171999999.99999988</v>
      </c>
      <c r="L59" s="12">
        <f>$A59*'EPA land and ag calcs'!N43/10^6</f>
        <v>178000000.00000012</v>
      </c>
      <c r="M59" s="12">
        <f>$A59*'EPA land and ag calcs'!O43/10^6</f>
        <v>183999999.99999893</v>
      </c>
      <c r="N59" s="12">
        <f>$A59*'EPA land and ag calcs'!P43/10^6</f>
        <v>189999999.99999917</v>
      </c>
    </row>
    <row r="60" spans="1:65" x14ac:dyDescent="0.35">
      <c r="A60" s="32">
        <v>100</v>
      </c>
      <c r="B60" s="12">
        <f>$A60*'EPA land and ag calcs'!D44/10^6</f>
        <v>900000000</v>
      </c>
      <c r="C60" s="12">
        <f>$A60*'EPA land and ag calcs'!E44/10^6</f>
        <v>915000000.00000334</v>
      </c>
      <c r="D60" s="12">
        <f>$A60*'EPA land and ag calcs'!F44/10^6</f>
        <v>930000000.00000107</v>
      </c>
      <c r="E60" s="12">
        <f>$A60*'EPA land and ag calcs'!G44/10^6</f>
        <v>944999999.99999893</v>
      </c>
      <c r="F60" s="12">
        <f>$A60*'EPA land and ag calcs'!H44/10^6</f>
        <v>960000000.00000238</v>
      </c>
      <c r="G60" s="12">
        <f>$A60*'EPA land and ag calcs'!I44/10^6</f>
        <v>975000000</v>
      </c>
      <c r="H60" s="12">
        <f>$A60*'EPA land and ag calcs'!J44/10^6</f>
        <v>990000000.00000334</v>
      </c>
      <c r="I60" s="12">
        <f>$A60*'EPA land and ag calcs'!K44/10^6</f>
        <v>1005000000.0000011</v>
      </c>
      <c r="J60" s="12">
        <f>$A60*'EPA land and ag calcs'!L44/10^6</f>
        <v>1019999999.9999989</v>
      </c>
      <c r="K60" s="12">
        <f>$A60*'EPA land and ag calcs'!M44/10^6</f>
        <v>1035000000.0000024</v>
      </c>
      <c r="L60" s="12">
        <f>$A60*'EPA land and ag calcs'!N44/10^6</f>
        <v>1050000000</v>
      </c>
      <c r="M60" s="12">
        <f>$A60*'EPA land and ag calcs'!O44/10^6</f>
        <v>1064999999.9999976</v>
      </c>
      <c r="N60" s="12">
        <f>$A60*'EPA land and ag calcs'!P44/10^6</f>
        <v>1080000000.0000012</v>
      </c>
    </row>
    <row r="61" spans="1:65" x14ac:dyDescent="0.35">
      <c r="A61" s="32"/>
      <c r="B61" s="12"/>
      <c r="C61" s="12"/>
      <c r="D61" s="12"/>
      <c r="E61" s="12"/>
      <c r="F61" s="12"/>
      <c r="G61" s="12"/>
      <c r="H61" s="12"/>
      <c r="I61" s="12"/>
      <c r="J61" s="12"/>
      <c r="L61" s="12"/>
    </row>
    <row r="62" spans="1:65" x14ac:dyDescent="0.35">
      <c r="A62" s="31" t="s">
        <v>163</v>
      </c>
      <c r="B62" s="12">
        <v>2023</v>
      </c>
      <c r="C62" s="12">
        <v>2024</v>
      </c>
      <c r="D62" s="12">
        <v>2025</v>
      </c>
      <c r="E62" s="12">
        <v>2026</v>
      </c>
      <c r="F62" s="12">
        <v>2027</v>
      </c>
      <c r="G62" s="12">
        <v>2028</v>
      </c>
      <c r="H62" s="12">
        <v>2029</v>
      </c>
      <c r="I62" s="12">
        <v>2030</v>
      </c>
      <c r="J62" s="12">
        <v>2031</v>
      </c>
      <c r="K62" s="12">
        <v>2032</v>
      </c>
      <c r="L62" s="12">
        <v>2033</v>
      </c>
      <c r="M62" s="12">
        <v>2034</v>
      </c>
      <c r="N62" s="12">
        <v>2035</v>
      </c>
    </row>
    <row r="63" spans="1:65" x14ac:dyDescent="0.35">
      <c r="A63" s="32">
        <v>5</v>
      </c>
      <c r="B63" s="19">
        <f>IFERROR(IF(SUM(B$56:B56)&lt;B$51,1,B$51/B56),0)</f>
        <v>1</v>
      </c>
      <c r="C63" s="19">
        <f>IFERROR(IF(SUM(C$56:C56)&lt;C$51,1,C$51/C56),0)</f>
        <v>1</v>
      </c>
      <c r="D63" s="19">
        <f>IFERROR(IF(SUM(D$56:D56)&lt;D$51,1,D$51/D56),0)</f>
        <v>1</v>
      </c>
      <c r="E63" s="19">
        <f>IFERROR(IF(SUM(E$56:E56)&lt;E$51,1,E$51/E56),0)</f>
        <v>1</v>
      </c>
      <c r="F63" s="19">
        <f>IFERROR(IF(SUM(F$56:F56)&lt;F$51,1,F$51/F56),0)</f>
        <v>1</v>
      </c>
      <c r="G63" s="19">
        <f>IFERROR(IF(SUM(G$56:G56)&lt;G$51,1,G$51/G56),0)</f>
        <v>1</v>
      </c>
      <c r="H63" s="19">
        <f>IFERROR(IF(SUM(H$56:H56)&lt;H$51,1,H$51/H56),0)</f>
        <v>1</v>
      </c>
      <c r="I63" s="19">
        <f>IFERROR(IF(SUM(I$56:I56)&lt;I$51,1,I$51/I56),0)</f>
        <v>1</v>
      </c>
      <c r="J63" s="19">
        <f>IFERROR(IF(SUM(J$56:J56)&lt;J$51,1,J$51/J56),0)</f>
        <v>1</v>
      </c>
      <c r="K63" s="19">
        <f>IFERROR(IF(SUM(K$56:K56)&lt;K$51,1,K$51/K56),0)</f>
        <v>0.77655082010736198</v>
      </c>
      <c r="L63" s="19">
        <f>IFERROR(IF(SUM(L$56:L56)&lt;L$51,1,L$51/L56),0)</f>
        <v>0.48206174098451987</v>
      </c>
      <c r="M63" s="19">
        <f>IFERROR(IF(SUM(M$56:M56)&lt;M$51,1,M$51/M56),0)</f>
        <v>0.2255068483249611</v>
      </c>
      <c r="N63" s="19">
        <f>IFERROR(IF(SUM(N$56:N56)&lt;N$51,1,N$51/N56),0)</f>
        <v>0</v>
      </c>
    </row>
    <row r="64" spans="1:65" x14ac:dyDescent="0.35">
      <c r="A64" s="32">
        <v>20</v>
      </c>
      <c r="B64" s="19">
        <f>IF(SUM(B$56:B57)&lt;B$51,1,IF(B63&lt;1,0,(B$51-SUM(B$56:B56))/B57))</f>
        <v>0.24901870517543781</v>
      </c>
      <c r="C64" s="19">
        <f>IF(SUM(C$56:C57)&lt;C$51,1,IF(C63&lt;1,0,(C$51-SUM(C$56:C56))/C57))</f>
        <v>0.84138192658806787</v>
      </c>
      <c r="D64" s="19">
        <f>IF(SUM(D$56:D57)&lt;D$51,1,IF(D63&lt;1,0,(D$51-SUM(D$56:D56))/D57))</f>
        <v>0.98414834492643422</v>
      </c>
      <c r="E64" s="19">
        <f>IF(SUM(E$56:E57)&lt;E$51,1,IF(E63&lt;1,0,(E$51-SUM(E$56:E56))/E57))</f>
        <v>1</v>
      </c>
      <c r="F64" s="19">
        <f>IF(SUM(F$56:F57)&lt;F$51,1,IF(F63&lt;1,0,(F$51-SUM(F$56:F56))/F57))</f>
        <v>0.99144333621790215</v>
      </c>
      <c r="G64" s="19">
        <f>IF(SUM(G$56:G57)&lt;G$51,1,IF(G63&lt;1,0,(G$51-SUM(G$56:G56))/G57))</f>
        <v>0.74483098237775147</v>
      </c>
      <c r="H64" s="19">
        <f>IF(SUM(H$56:H57)&lt;H$51,1,IF(H63&lt;1,0,(H$51-SUM(H$56:H56))/H57))</f>
        <v>0.4466639809510714</v>
      </c>
      <c r="I64" s="19">
        <f>IF(SUM(I$56:I57)&lt;I$51,1,IF(I63&lt;1,0,(I$51-SUM(I$56:I56))/I57))</f>
        <v>0.26072241697083504</v>
      </c>
      <c r="J64" s="19">
        <f>IF(SUM(J$56:J57)&lt;J$51,1,IF(J63&lt;1,0,(J$51-SUM(J$56:J56))/J57))</f>
        <v>2.1312258057840421E-2</v>
      </c>
      <c r="K64" s="19">
        <f>IF(SUM(K$56:K57)&lt;K$51,1,IF(K63&lt;1,0,(K$51-SUM(K$56:K56))/K57))</f>
        <v>0</v>
      </c>
      <c r="L64" s="19">
        <f>IF(SUM(L$56:L57)&lt;L$51,1,IF(L63&lt;1,0,(L$51-SUM(L$56:L56))/L57))</f>
        <v>0</v>
      </c>
      <c r="M64" s="19">
        <f>IF(SUM(M$56:M57)&lt;M$51,1,IF(M63&lt;1,0,(M$51-SUM(M$56:M56))/M57))</f>
        <v>0</v>
      </c>
      <c r="N64" s="19">
        <f>IF(SUM(N$56:N57)&lt;N$51,1,IF(N63&lt;1,0,(N$51-SUM(N$56:N56))/N57))</f>
        <v>0</v>
      </c>
    </row>
    <row r="65" spans="1:64" x14ac:dyDescent="0.35">
      <c r="A65" s="32">
        <v>35</v>
      </c>
      <c r="B65" s="19">
        <f>IF(SUM(B$56:B58)&lt;B$51,1,IF(B64&lt;1,0,(B$51-SUM(B$56:B57))/B58))</f>
        <v>0</v>
      </c>
      <c r="C65" s="19">
        <f>IF(SUM(C$56:C58)&lt;C$51,1,IF(C64&lt;1,0,(C$51-SUM(C$56:C57))/C58))</f>
        <v>0</v>
      </c>
      <c r="D65" s="19">
        <f>IF(SUM(D$56:D58)&lt;D$51,1,IF(D64&lt;1,0,(D$51-SUM(D$56:D57))/D58))</f>
        <v>0</v>
      </c>
      <c r="E65" s="19">
        <f>IF(SUM(E$56:E58)&lt;E$51,1,IF(E64&lt;1,0,(E$51-SUM(E$56:E57))/E58))</f>
        <v>0.1229109708575281</v>
      </c>
      <c r="F65" s="19">
        <f>IF(SUM(F$56:F58)&lt;F$51,1,IF(F64&lt;1,0,(F$51-SUM(F$56:F57))/F58))</f>
        <v>0</v>
      </c>
      <c r="G65" s="19">
        <f>IF(SUM(G$56:G58)&lt;G$51,1,IF(G64&lt;1,0,(G$51-SUM(G$56:G57))/G58))</f>
        <v>0</v>
      </c>
      <c r="H65" s="19">
        <f>IF(SUM(H$56:H58)&lt;H$51,1,IF(H64&lt;1,0,(H$51-SUM(H$56:H57))/H58))</f>
        <v>0</v>
      </c>
      <c r="I65" s="19">
        <f>IF(SUM(I$56:I58)&lt;I$51,1,IF(I64&lt;1,0,(I$51-SUM(I$56:I57))/I58))</f>
        <v>0</v>
      </c>
      <c r="J65" s="19">
        <f>IF(SUM(J$56:J58)&lt;J$51,1,IF(J64&lt;1,0,(J$51-SUM(J$56:J57))/J58))</f>
        <v>0</v>
      </c>
      <c r="K65" s="19">
        <f>IF(SUM(K$56:K58)&lt;K$51,1,IF(K64&lt;1,0,(K$51-SUM(K$56:K57))/K58))</f>
        <v>0</v>
      </c>
      <c r="L65" s="19">
        <f>IF(SUM(L$56:L58)&lt;L$51,1,IF(L64&lt;1,0,(L$51-SUM(L$56:L57))/L58))</f>
        <v>0</v>
      </c>
      <c r="M65" s="19">
        <f>IF(SUM(M$56:M58)&lt;M$51,1,IF(M64&lt;1,0,(M$51-SUM(M$56:M57))/M58))</f>
        <v>0</v>
      </c>
      <c r="N65" s="19">
        <f>IF(SUM(N$56:N58)&lt;N$51,1,IF(N64&lt;1,0,(N$51-SUM(N$56:N57))/N58))</f>
        <v>0</v>
      </c>
    </row>
    <row r="66" spans="1:64" x14ac:dyDescent="0.35">
      <c r="A66" s="32">
        <v>50</v>
      </c>
      <c r="B66" s="19">
        <f>IF(SUM(B$56:B59)&lt;B$51,1,IF(B65&lt;1,0,(B$51-SUM(B$56:B58))/B59))</f>
        <v>0</v>
      </c>
      <c r="C66" s="19">
        <f>IF(SUM(C$56:C59)&lt;C$51,1,IF(C65&lt;1,0,(C$51-SUM(C$56:C58))/C59))</f>
        <v>0</v>
      </c>
      <c r="D66" s="19">
        <f>IF(SUM(D$56:D59)&lt;D$51,1,IF(D65&lt;1,0,(D$51-SUM(D$56:D58))/D59))</f>
        <v>0</v>
      </c>
      <c r="E66" s="19">
        <f>IF(SUM(E$56:E59)&lt;E$51,1,IF(E65&lt;1,0,(E$51-SUM(E$56:E58))/E59))</f>
        <v>0</v>
      </c>
      <c r="F66" s="19">
        <f>IF(SUM(F$56:F59)&lt;F$51,1,IF(F65&lt;1,0,(F$51-SUM(F$56:F58))/F59))</f>
        <v>0</v>
      </c>
      <c r="G66" s="19">
        <f>IF(SUM(G$56:G59)&lt;G$51,1,IF(G65&lt;1,0,(G$51-SUM(G$56:G58))/G59))</f>
        <v>0</v>
      </c>
      <c r="H66" s="19">
        <f>IF(SUM(H$56:H59)&lt;H$51,1,IF(H65&lt;1,0,(H$51-SUM(H$56:H58))/H59))</f>
        <v>0</v>
      </c>
      <c r="I66" s="19">
        <f>IF(SUM(I$56:I59)&lt;I$51,1,IF(I65&lt;1,0,(I$51-SUM(I$56:I58))/I59))</f>
        <v>0</v>
      </c>
      <c r="J66" s="19">
        <f>IF(SUM(J$56:J59)&lt;J$51,1,IF(J65&lt;1,0,(J$51-SUM(J$56:J58))/J59))</f>
        <v>0</v>
      </c>
      <c r="K66" s="19">
        <f>IF(SUM(K$56:K59)&lt;K$51,1,IF(K65&lt;1,0,(K$51-SUM(K$56:K58))/K59))</f>
        <v>0</v>
      </c>
      <c r="L66" s="19">
        <f>IF(SUM(L$56:L59)&lt;L$51,1,IF(L65&lt;1,0,(L$51-SUM(L$56:L58))/L59))</f>
        <v>0</v>
      </c>
      <c r="M66" s="19">
        <f>IF(SUM(M$56:M59)&lt;M$51,1,IF(M65&lt;1,0,(M$51-SUM(M$56:M58))/M59))</f>
        <v>0</v>
      </c>
      <c r="N66" s="19">
        <f>IF(SUM(N$56:N59)&lt;N$51,1,IF(N65&lt;1,0,(N$51-SUM(N$56:N58))/N59))</f>
        <v>0</v>
      </c>
    </row>
    <row r="67" spans="1:64" x14ac:dyDescent="0.35">
      <c r="A67" s="32">
        <v>100</v>
      </c>
      <c r="B67" s="19">
        <f>IF(SUM(B$56:B60)&lt;B$51,1,IF(B66&lt;1,0,(B$51-SUM(B$56:B59))/B60))</f>
        <v>0</v>
      </c>
      <c r="C67" s="19">
        <f>IF(SUM(C$56:C60)&lt;C$51,1,IF(C66&lt;1,0,(C$51-SUM(C$56:C59))/C60))</f>
        <v>0</v>
      </c>
      <c r="D67" s="19">
        <f>IF(SUM(D$56:D60)&lt;D$51,1,IF(D66&lt;1,0,(D$51-SUM(D$56:D59))/D60))</f>
        <v>0</v>
      </c>
      <c r="E67" s="19">
        <f>IF(SUM(E$56:E60)&lt;E$51,1,IF(E66&lt;1,0,(E$51-SUM(E$56:E59))/E60))</f>
        <v>0</v>
      </c>
      <c r="F67" s="19">
        <f>IF(SUM(F$56:F60)&lt;F$51,1,IF(F66&lt;1,0,(F$51-SUM(F$56:F59))/F60))</f>
        <v>0</v>
      </c>
      <c r="G67" s="19">
        <f>IF(SUM(G$56:G60)&lt;G$51,1,IF(G66&lt;1,0,(G$51-SUM(G$56:G59))/G60))</f>
        <v>0</v>
      </c>
      <c r="H67" s="19">
        <f>IF(SUM(H$56:H60)&lt;H$51,1,IF(H66&lt;1,0,(H$51-SUM(H$56:H59))/H60))</f>
        <v>0</v>
      </c>
      <c r="I67" s="19">
        <f>IF(SUM(I$56:I60)&lt;I$51,1,IF(I66&lt;1,0,(I$51-SUM(I$56:I59))/I60))</f>
        <v>0</v>
      </c>
      <c r="J67" s="19">
        <f>IF(SUM(J$56:J60)&lt;J$51,1,IF(J66&lt;1,0,(J$51-SUM(J$56:J59))/J60))</f>
        <v>0</v>
      </c>
      <c r="K67" s="19">
        <f>IF(SUM(K$56:K60)&lt;K$51,1,IF(K66&lt;1,0,(K$51-SUM(K$56:K59))/K60))</f>
        <v>0</v>
      </c>
      <c r="L67" s="19">
        <f>IF(SUM(L$56:L60)&lt;L$51,1,IF(L66&lt;1,0,(L$51-SUM(L$56:L59))/L60))</f>
        <v>0</v>
      </c>
      <c r="M67" s="19">
        <f>IF(SUM(M$56:M60)&lt;M$51,1,IF(M66&lt;1,0,(M$51-SUM(M$56:M59))/M60))</f>
        <v>0</v>
      </c>
      <c r="N67" s="19">
        <f>IF(SUM(N$56:N60)&lt;N$51,1,IF(N66&lt;1,0,(N$51-SUM(N$56:N59))/N60))</f>
        <v>0</v>
      </c>
    </row>
    <row r="68" spans="1:64" x14ac:dyDescent="0.35">
      <c r="A68" s="27"/>
      <c r="B68" s="12"/>
      <c r="C68" s="12"/>
      <c r="D68" s="12"/>
      <c r="E68" s="12"/>
      <c r="F68" s="12"/>
      <c r="G68" s="12"/>
      <c r="H68" s="12"/>
      <c r="I68" s="12"/>
      <c r="J68" s="12"/>
      <c r="K68" s="12"/>
      <c r="L68" s="12"/>
      <c r="M68" s="12"/>
      <c r="N68" s="12"/>
    </row>
    <row r="69" spans="1:64" x14ac:dyDescent="0.35">
      <c r="A69" s="31" t="s">
        <v>165</v>
      </c>
      <c r="B69" s="33">
        <f>SUMPRODUCT(B63:B67,'EPA land and ag calcs'!D40:D44)</f>
        <v>4957409381663.0781</v>
      </c>
      <c r="C69" s="33">
        <f>SUMPRODUCT(C63:C67,'EPA land and ag calcs'!E40:E44)</f>
        <v>8926839019189.7656</v>
      </c>
      <c r="D69" s="33">
        <f>SUMPRODUCT(D63:D67,'EPA land and ag calcs'!F40:F44)</f>
        <v>12203304904051.205</v>
      </c>
      <c r="E69" s="33">
        <f>SUMPRODUCT(E63:E67,'EPA land and ag calcs'!G40:G44)</f>
        <v>15384377094121.08</v>
      </c>
      <c r="F69" s="33">
        <f>SUMPRODUCT(F63:F67,'EPA land and ag calcs'!H40:H44)</f>
        <v>17578198294243</v>
      </c>
      <c r="G69" s="33">
        <f>SUMPRODUCT(G63:G67,'EPA land and ag calcs'!I40:I44)</f>
        <v>17459141791044.742</v>
      </c>
      <c r="H69" s="33">
        <f>SUMPRODUCT(H63:H67,'EPA land and ag calcs'!J40:J44)</f>
        <v>15815565031982.941</v>
      </c>
      <c r="I69" s="33">
        <f>SUMPRODUCT(I63:I67,'EPA land and ag calcs'!K40:K44)</f>
        <v>14795655650319.861</v>
      </c>
      <c r="J69" s="33">
        <f>SUMPRODUCT(J63:J67,'EPA land and ag calcs'!L40:L44)</f>
        <v>12251226012793.074</v>
      </c>
      <c r="K69" s="33">
        <f>SUMPRODUCT(K63:K67,'EPA land and ag calcs'!M40:M44)</f>
        <v>9978678038379.5293</v>
      </c>
      <c r="L69" s="33">
        <f>SUMPRODUCT(L63:L67,'EPA land and ag calcs'!N40:N44)</f>
        <v>6652452025586.3525</v>
      </c>
      <c r="M69" s="33">
        <f>SUMPRODUCT(M63:M67,'EPA land and ag calcs'!O40:O44)</f>
        <v>3326226012793.1763</v>
      </c>
      <c r="N69" s="33">
        <f>SUMPRODUCT(N63:N67,'EPA land and ag calcs'!P40:P44)</f>
        <v>0</v>
      </c>
    </row>
    <row r="70" spans="1:64" x14ac:dyDescent="0.35">
      <c r="A70" s="31" t="s">
        <v>164</v>
      </c>
      <c r="B70" s="12">
        <f>B69/10^12</f>
        <v>4.9574093816630782</v>
      </c>
      <c r="C70" s="12">
        <f t="shared" ref="C70:N70" si="5">C69/10^12</f>
        <v>8.9268390191897655</v>
      </c>
      <c r="D70" s="12">
        <f t="shared" si="5"/>
        <v>12.203304904051205</v>
      </c>
      <c r="E70" s="12">
        <f t="shared" si="5"/>
        <v>15.38437709412108</v>
      </c>
      <c r="F70" s="12">
        <f t="shared" si="5"/>
        <v>17.578198294242998</v>
      </c>
      <c r="G70" s="12">
        <f t="shared" si="5"/>
        <v>17.459141791044743</v>
      </c>
      <c r="H70" s="12">
        <f t="shared" si="5"/>
        <v>15.815565031982942</v>
      </c>
      <c r="I70" s="12">
        <f t="shared" si="5"/>
        <v>14.795655650319862</v>
      </c>
      <c r="J70" s="12">
        <f t="shared" si="5"/>
        <v>12.251226012793074</v>
      </c>
      <c r="K70" s="12">
        <f t="shared" si="5"/>
        <v>9.9786780383795293</v>
      </c>
      <c r="L70" s="12">
        <f t="shared" si="5"/>
        <v>6.6524520255863528</v>
      </c>
      <c r="M70" s="12">
        <f t="shared" si="5"/>
        <v>3.3262260127931764</v>
      </c>
      <c r="N70" s="12">
        <f t="shared" si="5"/>
        <v>0</v>
      </c>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row>
    <row r="71" spans="1:64" x14ac:dyDescent="0.35">
      <c r="A71" s="12"/>
      <c r="B71" s="12"/>
      <c r="C71" s="12"/>
      <c r="D71" s="17"/>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row>
    <row r="72" spans="1:64" x14ac:dyDescent="0.35">
      <c r="A72" s="31" t="s">
        <v>169</v>
      </c>
      <c r="B72" s="12">
        <v>2023</v>
      </c>
      <c r="C72" s="12">
        <v>2024</v>
      </c>
      <c r="D72" s="12">
        <v>2025</v>
      </c>
      <c r="E72" s="12">
        <v>2026</v>
      </c>
      <c r="F72" s="12">
        <v>2027</v>
      </c>
      <c r="G72" s="12">
        <v>2028</v>
      </c>
      <c r="H72" s="12">
        <v>2029</v>
      </c>
      <c r="I72" s="12">
        <v>2030</v>
      </c>
      <c r="J72" s="12">
        <v>2031</v>
      </c>
      <c r="K72" s="12">
        <v>2032</v>
      </c>
      <c r="L72" s="12">
        <v>2033</v>
      </c>
      <c r="M72" s="12">
        <v>2034</v>
      </c>
      <c r="N72" s="12">
        <v>2035</v>
      </c>
    </row>
    <row r="73" spans="1:64" x14ac:dyDescent="0.35">
      <c r="A73" s="32">
        <v>5</v>
      </c>
      <c r="B73" s="12">
        <f>$A73*'EPA land and ag calcs'!B56/10^6</f>
        <v>0</v>
      </c>
      <c r="C73" s="12">
        <f>$A73*'EPA land and ag calcs'!C56/10^6</f>
        <v>0</v>
      </c>
      <c r="D73" s="12">
        <f>$A73*'EPA land and ag calcs'!D56/10^6</f>
        <v>0</v>
      </c>
      <c r="E73" s="12">
        <f>$A73*'EPA land and ag calcs'!E56/10^6</f>
        <v>0</v>
      </c>
      <c r="F73" s="12">
        <f>$A73*'EPA land and ag calcs'!F56/10^6</f>
        <v>0</v>
      </c>
      <c r="G73" s="12">
        <f>$A73*'EPA land and ag calcs'!G56/10^6</f>
        <v>0</v>
      </c>
      <c r="H73" s="12">
        <f>$A73*'EPA land and ag calcs'!H56/10^6</f>
        <v>0</v>
      </c>
      <c r="I73" s="12">
        <f>$A73*'EPA land and ag calcs'!I56/10^6</f>
        <v>0</v>
      </c>
      <c r="J73" s="12">
        <f>$A73*'EPA land and ag calcs'!J56/10^6</f>
        <v>0</v>
      </c>
      <c r="K73" s="12">
        <f>$A73*'EPA land and ag calcs'!K56/10^6</f>
        <v>0</v>
      </c>
      <c r="L73" s="12">
        <f>$A73*'EPA land and ag calcs'!L56/10^6</f>
        <v>0</v>
      </c>
      <c r="M73" s="12">
        <f>$A73*'EPA land and ag calcs'!M56/10^6</f>
        <v>0</v>
      </c>
      <c r="N73" s="12">
        <f>$A73*'EPA land and ag calcs'!N56/10^6</f>
        <v>0</v>
      </c>
    </row>
    <row r="74" spans="1:64" x14ac:dyDescent="0.35">
      <c r="A74" s="32">
        <v>20</v>
      </c>
      <c r="B74" s="12">
        <f>$A74*'EPA land and ag calcs'!B57/10^6</f>
        <v>0</v>
      </c>
      <c r="C74" s="12">
        <f>$A74*'EPA land and ag calcs'!C57/10^6</f>
        <v>0</v>
      </c>
      <c r="D74" s="12">
        <f>$A74*'EPA land and ag calcs'!D57/10^6</f>
        <v>0</v>
      </c>
      <c r="E74" s="12">
        <f>$A74*'EPA land and ag calcs'!E57/10^6</f>
        <v>0</v>
      </c>
      <c r="F74" s="12">
        <f>$A74*'EPA land and ag calcs'!F57/10^6</f>
        <v>10000000.000018189</v>
      </c>
      <c r="G74" s="12">
        <f>$A74*'EPA land and ag calcs'!G57/10^6</f>
        <v>63400000.000019647</v>
      </c>
      <c r="H74" s="12">
        <f>$A74*'EPA land and ag calcs'!H57/10^6</f>
        <v>116800000.0000211</v>
      </c>
      <c r="I74" s="12">
        <f>$A74*'EPA land and ag calcs'!I57/10^6</f>
        <v>170200000.00002256</v>
      </c>
      <c r="J74" s="12">
        <f>$A74*'EPA land and ag calcs'!J57/10^6</f>
        <v>223600000.00002402</v>
      </c>
      <c r="K74" s="12">
        <f>$A74*'EPA land and ag calcs'!K57/10^6</f>
        <v>277000000.00000727</v>
      </c>
      <c r="L74" s="12">
        <f>$A74*'EPA land and ag calcs'!L57/10^6</f>
        <v>330400000.00000876</v>
      </c>
      <c r="M74" s="12">
        <f>$A74*'EPA land and ag calcs'!M57/10^6</f>
        <v>383800000.00001013</v>
      </c>
      <c r="N74" s="12">
        <f>$A74*'EPA land and ag calcs'!N57/10^6</f>
        <v>437200000.00001162</v>
      </c>
    </row>
    <row r="75" spans="1:64" x14ac:dyDescent="0.35">
      <c r="A75" s="32">
        <v>35</v>
      </c>
      <c r="B75" s="12">
        <f>$A75*'EPA land and ag calcs'!B58/10^6</f>
        <v>0</v>
      </c>
      <c r="C75" s="12">
        <f>$A75*'EPA land and ag calcs'!C58/10^6</f>
        <v>0</v>
      </c>
      <c r="D75" s="12">
        <f>$A75*'EPA land and ag calcs'!D58/10^6</f>
        <v>0</v>
      </c>
      <c r="E75" s="12">
        <f>$A75*'EPA land and ag calcs'!E58/10^6</f>
        <v>0</v>
      </c>
      <c r="F75" s="12">
        <f>$A75*'EPA land and ag calcs'!F58/10^6</f>
        <v>0</v>
      </c>
      <c r="G75" s="12">
        <f>$A75*'EPA land and ag calcs'!G58/10^6</f>
        <v>0</v>
      </c>
      <c r="H75" s="12">
        <f>$A75*'EPA land and ag calcs'!H58/10^6</f>
        <v>85400000.000017822</v>
      </c>
      <c r="I75" s="12">
        <f>$A75*'EPA land and ag calcs'!I58/10^6</f>
        <v>222600000.00002038</v>
      </c>
      <c r="J75" s="12">
        <f>$A75*'EPA land and ag calcs'!J58/10^6</f>
        <v>359800000.00002289</v>
      </c>
      <c r="K75" s="12">
        <f>$A75*'EPA land and ag calcs'!K58/10^6</f>
        <v>496999999.99999362</v>
      </c>
      <c r="L75" s="12">
        <f>$A75*'EPA land and ag calcs'!L58/10^6</f>
        <v>634199999.99999607</v>
      </c>
      <c r="M75" s="12">
        <f>$A75*'EPA land and ag calcs'!M58/10^6</f>
        <v>771399999.99999881</v>
      </c>
      <c r="N75" s="12">
        <f>$A75*'EPA land and ag calcs'!N58/10^6</f>
        <v>908600000.00000119</v>
      </c>
    </row>
    <row r="76" spans="1:64" x14ac:dyDescent="0.35">
      <c r="A76" s="32">
        <v>50</v>
      </c>
      <c r="B76" s="12">
        <f>$A76*'EPA land and ag calcs'!B59/10^6</f>
        <v>2406000000.0000062</v>
      </c>
      <c r="C76" s="12">
        <f>$A76*'EPA land and ag calcs'!C59/10^6</f>
        <v>2392000000.0000014</v>
      </c>
      <c r="D76" s="12">
        <f>$A76*'EPA land and ag calcs'!D59/10^6</f>
        <v>2378000000.0000029</v>
      </c>
      <c r="E76" s="12">
        <f>$A76*'EPA land and ag calcs'!E59/10^6</f>
        <v>2364000000.0000043</v>
      </c>
      <c r="F76" s="12">
        <f>$A76*'EPA land and ag calcs'!F59/10^6</f>
        <v>2350000000.0000062</v>
      </c>
      <c r="G76" s="12">
        <f>$A76*'EPA land and ag calcs'!G59/10^6</f>
        <v>2336000000.000001</v>
      </c>
      <c r="H76" s="12">
        <f>$A76*'EPA land and ag calcs'!H59/10^6</f>
        <v>2322000000.0000024</v>
      </c>
      <c r="I76" s="12">
        <f>$A76*'EPA land and ag calcs'!I59/10^6</f>
        <v>2308000000.0000038</v>
      </c>
      <c r="J76" s="12">
        <f>$A76*'EPA land and ag calcs'!J59/10^6</f>
        <v>2294000000.0000057</v>
      </c>
      <c r="K76" s="12">
        <f>$A76*'EPA land and ag calcs'!K59/10^6</f>
        <v>2280000000.000001</v>
      </c>
      <c r="L76" s="12">
        <f>$A76*'EPA land and ag calcs'!L59/10^6</f>
        <v>2266000000.0000024</v>
      </c>
      <c r="M76" s="12">
        <f>$A76*'EPA land and ag calcs'!M59/10^6</f>
        <v>2252000000.0000038</v>
      </c>
      <c r="N76" s="12">
        <f>$A76*'EPA land and ag calcs'!N59/10^6</f>
        <v>2238000000.0000048</v>
      </c>
    </row>
    <row r="77" spans="1:64" x14ac:dyDescent="0.35">
      <c r="A77" s="32">
        <v>100</v>
      </c>
      <c r="B77" s="12">
        <f>$A77*'EPA land and ag calcs'!B60/10^6</f>
        <v>0</v>
      </c>
      <c r="C77" s="12">
        <f>$A77*'EPA land and ag calcs'!C60/10^6</f>
        <v>0</v>
      </c>
      <c r="D77" s="12">
        <f>$A77*'EPA land and ag calcs'!D60/10^6</f>
        <v>0</v>
      </c>
      <c r="E77" s="12">
        <f>$A77*'EPA land and ag calcs'!E60/10^6</f>
        <v>92999999.999983624</v>
      </c>
      <c r="F77" s="12">
        <f>$A77*'EPA land and ag calcs'!F60/10^6</f>
        <v>259999999.99999091</v>
      </c>
      <c r="G77" s="12">
        <f>$A77*'EPA land and ag calcs'!G60/10^6</f>
        <v>426999999.99995267</v>
      </c>
      <c r="H77" s="12">
        <f>$A77*'EPA land and ag calcs'!H60/10^6</f>
        <v>593999999.99995995</v>
      </c>
      <c r="I77" s="12">
        <f>$A77*'EPA land and ag calcs'!I60/10^6</f>
        <v>760999999.99996722</v>
      </c>
      <c r="J77" s="12">
        <f>$A77*'EPA land and ag calcs'!J60/10^6</f>
        <v>927999999.99997461</v>
      </c>
      <c r="K77" s="12">
        <f>$A77*'EPA land and ag calcs'!K60/10^6</f>
        <v>1094999999.9999819</v>
      </c>
      <c r="L77" s="12">
        <f>$A77*'EPA land and ag calcs'!L60/10^6</f>
        <v>1261999999.999989</v>
      </c>
      <c r="M77" s="12">
        <f>$A77*'EPA land and ag calcs'!M60/10^6</f>
        <v>1428999999.9999962</v>
      </c>
      <c r="N77" s="12">
        <f>$A77*'EPA land and ag calcs'!N60/10^6</f>
        <v>1595999999.9999583</v>
      </c>
    </row>
    <row r="78" spans="1:64" x14ac:dyDescent="0.35">
      <c r="A78" s="32"/>
      <c r="B78" s="12"/>
      <c r="C78" s="12"/>
      <c r="D78" s="12"/>
      <c r="E78" s="12"/>
      <c r="F78" s="12"/>
      <c r="G78" s="12"/>
      <c r="H78" s="12"/>
      <c r="I78" s="12"/>
      <c r="J78" s="12"/>
      <c r="L78" s="12"/>
    </row>
    <row r="79" spans="1:64" x14ac:dyDescent="0.35">
      <c r="A79" s="31" t="s">
        <v>166</v>
      </c>
      <c r="B79" s="12">
        <v>2023</v>
      </c>
      <c r="C79" s="12">
        <v>2024</v>
      </c>
      <c r="D79" s="12">
        <v>2025</v>
      </c>
      <c r="E79" s="12">
        <v>2026</v>
      </c>
      <c r="F79" s="12">
        <v>2027</v>
      </c>
      <c r="G79" s="12">
        <v>2028</v>
      </c>
      <c r="H79" s="12">
        <v>2029</v>
      </c>
      <c r="I79" s="12">
        <v>2030</v>
      </c>
      <c r="J79" s="12">
        <v>2031</v>
      </c>
      <c r="K79" s="12">
        <v>2032</v>
      </c>
      <c r="L79" s="12">
        <v>2033</v>
      </c>
      <c r="M79" s="12">
        <v>2034</v>
      </c>
      <c r="N79" s="12">
        <v>2035</v>
      </c>
    </row>
    <row r="80" spans="1:64" x14ac:dyDescent="0.35">
      <c r="A80" s="32">
        <v>5</v>
      </c>
      <c r="B80" s="19">
        <f>IFERROR(IF(SUM(B$73:B73)&lt;B$52,1,B$52/B73),0)</f>
        <v>1</v>
      </c>
      <c r="C80" s="19">
        <f>IFERROR(IF(SUM(C$73:C73)&lt;C$52,1,C$52/C73),0)</f>
        <v>1</v>
      </c>
      <c r="D80" s="19">
        <f>IFERROR(IF(SUM(D$73:D73)&lt;D$52,1,D$52/D73),0)</f>
        <v>1</v>
      </c>
      <c r="E80" s="19">
        <f>IFERROR(IF(SUM(E$73:E73)&lt;E$52,1,E$52/E73),0)</f>
        <v>1</v>
      </c>
      <c r="F80" s="19">
        <f>IFERROR(IF(SUM(F$73:F73)&lt;F$52,1,F$52/F73),0)</f>
        <v>1</v>
      </c>
      <c r="G80" s="19">
        <f>IFERROR(IF(SUM(G$73:G73)&lt;G$52,1,G$52/G73),0)</f>
        <v>1</v>
      </c>
      <c r="H80" s="19">
        <f>IFERROR(IF(SUM(H$73:H73)&lt;H$52,1,H$52/H73),0)</f>
        <v>1</v>
      </c>
      <c r="I80" s="19">
        <f>IFERROR(IF(SUM(I$73:I73)&lt;I$52,1,I$52/I73),0)</f>
        <v>1</v>
      </c>
      <c r="J80" s="19">
        <f>IFERROR(IF(SUM(J$73:J73)&lt;J$52,1,J$52/J73),0)</f>
        <v>1</v>
      </c>
      <c r="K80" s="19">
        <f>IFERROR(IF(SUM(K$73:K73)&lt;K$52,1,K$52/K73),0)</f>
        <v>1</v>
      </c>
      <c r="L80" s="19">
        <f>IFERROR(IF(SUM(L$73:L73)&lt;L$52,1,L$52/L73),0)</f>
        <v>1</v>
      </c>
      <c r="M80" s="19">
        <f>IFERROR(IF(SUM(M$73:M73)&lt;M$52,1,M$52/M73),0)</f>
        <v>1</v>
      </c>
      <c r="N80" s="19">
        <f>IFERROR(IF(SUM(N$73:N73)&lt;N$52,1,N$52/N73),0)</f>
        <v>0</v>
      </c>
    </row>
    <row r="81" spans="1:64" x14ac:dyDescent="0.35">
      <c r="A81" s="32">
        <v>20</v>
      </c>
      <c r="B81" s="19">
        <f>IF(SUM(B$73:B74)&lt;B$52,1,IF(B80&lt;1,0,(B$52-SUM(B$73:B73))/B74))</f>
        <v>1</v>
      </c>
      <c r="C81" s="19">
        <f>IF(SUM(C$73:C74)&lt;C$52,1,IF(C80&lt;1,0,(C$52-SUM(C$73:C73))/C74))</f>
        <v>1</v>
      </c>
      <c r="D81" s="19">
        <f>IF(SUM(D$73:D74)&lt;D$52,1,IF(D80&lt;1,0,(D$52-SUM(D$73:D73))/D74))</f>
        <v>1</v>
      </c>
      <c r="E81" s="19">
        <f>IF(SUM(E$73:E74)&lt;E$52,1,IF(E80&lt;1,0,(E$52-SUM(E$73:E73))/E74))</f>
        <v>1</v>
      </c>
      <c r="F81" s="19">
        <f>IF(SUM(F$73:F74)&lt;F$52,1,IF(F80&lt;1,0,(F$52-SUM(F$73:F73))/F74))</f>
        <v>1</v>
      </c>
      <c r="G81" s="19">
        <f>IF(SUM(G$73:G74)&lt;G$52,1,IF(G80&lt;1,0,(G$52-SUM(G$73:G73))/G74))</f>
        <v>1</v>
      </c>
      <c r="H81" s="19">
        <f>IF(SUM(H$73:H74)&lt;H$52,1,IF(H80&lt;1,0,(H$52-SUM(H$73:H73))/H74))</f>
        <v>1</v>
      </c>
      <c r="I81" s="19">
        <f>IF(SUM(I$73:I74)&lt;I$52,1,IF(I80&lt;1,0,(I$52-SUM(I$73:I73))/I74))</f>
        <v>0.89259093152656932</v>
      </c>
      <c r="J81" s="19">
        <f>IF(SUM(J$73:J74)&lt;J$52,1,IF(J80&lt;1,0,(J$52-SUM(J$73:J73))/J74))</f>
        <v>0.3432873963939197</v>
      </c>
      <c r="K81" s="19">
        <f>IF(SUM(K$73:K74)&lt;K$52,1,IF(K80&lt;1,0,(K$52-SUM(K$73:K73))/K74))</f>
        <v>0.20783139485655239</v>
      </c>
      <c r="L81" s="19">
        <f>IF(SUM(L$73:L74)&lt;L$52,1,IF(L80&lt;1,0,(L$52-SUM(L$73:L73))/L74))</f>
        <v>0.11616080785969531</v>
      </c>
      <c r="M81" s="19">
        <f>IF(SUM(M$73:M74)&lt;M$52,1,IF(M80&lt;1,0,(M$52-SUM(M$73:M73))/M74))</f>
        <v>4.9999388896356606E-2</v>
      </c>
      <c r="N81" s="19">
        <f>IF(SUM(N$73:N74)&lt;N$52,1,IF(N80&lt;1,0,(N$52-SUM(N$73:N73))/N74))</f>
        <v>0</v>
      </c>
    </row>
    <row r="82" spans="1:64" x14ac:dyDescent="0.35">
      <c r="A82" s="32">
        <v>35</v>
      </c>
      <c r="B82" s="19">
        <f>IF(SUM(B$73:B75)&lt;B$52,1,IF(B81&lt;1,0,(B$52-SUM(B$73:B74))/B75))</f>
        <v>1</v>
      </c>
      <c r="C82" s="19">
        <f>IF(SUM(C$73:C75)&lt;C$52,1,IF(C81&lt;1,0,(C$52-SUM(C$73:C74))/C75))</f>
        <v>1</v>
      </c>
      <c r="D82" s="19">
        <f>IF(SUM(D$73:D75)&lt;D$52,1,IF(D81&lt;1,0,(D$52-SUM(D$73:D74))/D75))</f>
        <v>1</v>
      </c>
      <c r="E82" s="19">
        <f>IF(SUM(E$73:E75)&lt;E$52,1,IF(E81&lt;1,0,(E$52-SUM(E$73:E74))/E75))</f>
        <v>1</v>
      </c>
      <c r="F82" s="19">
        <f>IF(SUM(F$73:F75)&lt;F$52,1,IF(F81&lt;1,0,(F$52-SUM(F$73:F74))/F75))</f>
        <v>1</v>
      </c>
      <c r="G82" s="19">
        <f>IF(SUM(G$73:G75)&lt;G$52,1,IF(G81&lt;1,0,(G$52-SUM(G$73:G74))/G75))</f>
        <v>1</v>
      </c>
      <c r="H82" s="19">
        <f>IF(SUM(H$73:H75)&lt;H$52,1,IF(H81&lt;1,0,(H$52-SUM(H$73:H74))/H75))</f>
        <v>0.87936363681715435</v>
      </c>
      <c r="I82" s="19">
        <f>IF(SUM(I$73:I75)&lt;I$52,1,IF(I81&lt;1,0,(I$52-SUM(I$73:I74))/I75))</f>
        <v>0</v>
      </c>
      <c r="J82" s="19">
        <f>IF(SUM(J$73:J75)&lt;J$52,1,IF(J81&lt;1,0,(J$52-SUM(J$73:J74))/J75))</f>
        <v>0</v>
      </c>
      <c r="K82" s="19">
        <f>IF(SUM(K$73:K75)&lt;K$52,1,IF(K81&lt;1,0,(K$52-SUM(K$73:K74))/K75))</f>
        <v>0</v>
      </c>
      <c r="L82" s="19">
        <f>IF(SUM(L$73:L75)&lt;L$52,1,IF(L81&lt;1,0,(L$52-SUM(L$73:L74))/L75))</f>
        <v>0</v>
      </c>
      <c r="M82" s="19">
        <f>IF(SUM(M$73:M75)&lt;M$52,1,IF(M81&lt;1,0,(M$52-SUM(M$73:M74))/M75))</f>
        <v>0</v>
      </c>
      <c r="N82" s="19">
        <f>IF(SUM(N$73:N75)&lt;N$52,1,IF(N81&lt;1,0,(N$52-SUM(N$73:N74))/N75))</f>
        <v>0</v>
      </c>
    </row>
    <row r="83" spans="1:64" x14ac:dyDescent="0.35">
      <c r="A83" s="32">
        <v>50</v>
      </c>
      <c r="B83" s="19">
        <f>IF(SUM(B$73:B76)&lt;B$52,1,IF(B82&lt;1,0,(B$52-SUM(B$73:B75))/B76))</f>
        <v>1.6616241911213393E-2</v>
      </c>
      <c r="C83" s="19">
        <f>IF(SUM(C$73:C76)&lt;C$52,1,IF(C82&lt;1,0,(C$52-SUM(C$73:C75))/C76))</f>
        <v>4.8134863190022151E-2</v>
      </c>
      <c r="D83" s="19">
        <f>IF(SUM(D$73:D76)&lt;D$52,1,IF(D82&lt;1,0,(D$52-SUM(D$73:D75))/D76))</f>
        <v>7.329984703420292E-2</v>
      </c>
      <c r="E83" s="19">
        <f>IF(SUM(E$73:E76)&lt;E$52,1,IF(E82&lt;1,0,(E$52-SUM(E$73:E75))/E76))</f>
        <v>0.10079226781249645</v>
      </c>
      <c r="F83" s="19">
        <f>IF(SUM(F$73:F76)&lt;F$52,1,IF(F82&lt;1,0,(F$52-SUM(F$73:F75))/F76))</f>
        <v>0.10870571156375371</v>
      </c>
      <c r="G83" s="19">
        <f>IF(SUM(G$73:G76)&lt;G$52,1,IF(G82&lt;1,0,(G$52-SUM(G$73:G75))/G76))</f>
        <v>7.8282815375170456E-2</v>
      </c>
      <c r="H83" s="19">
        <f>IF(SUM(H$73:H76)&lt;H$52,1,IF(H82&lt;1,0,(H$52-SUM(H$73:H75))/H76))</f>
        <v>0</v>
      </c>
      <c r="I83" s="19">
        <f>IF(SUM(I$73:I76)&lt;I$52,1,IF(I82&lt;1,0,(I$52-SUM(I$73:I75))/I76))</f>
        <v>0</v>
      </c>
      <c r="J83" s="19">
        <f>IF(SUM(J$73:J76)&lt;J$52,1,IF(J82&lt;1,0,(J$52-SUM(J$73:J75))/J76))</f>
        <v>0</v>
      </c>
      <c r="K83" s="19">
        <f>IF(SUM(K$73:K76)&lt;K$52,1,IF(K82&lt;1,0,(K$52-SUM(K$73:K75))/K76))</f>
        <v>0</v>
      </c>
      <c r="L83" s="19">
        <f>IF(SUM(L$73:L76)&lt;L$52,1,IF(L82&lt;1,0,(L$52-SUM(L$73:L75))/L76))</f>
        <v>0</v>
      </c>
      <c r="M83" s="19">
        <f>IF(SUM(M$73:M76)&lt;M$52,1,IF(M82&lt;1,0,(M$52-SUM(M$73:M75))/M76))</f>
        <v>0</v>
      </c>
      <c r="N83" s="19">
        <f>IF(SUM(N$73:N76)&lt;N$52,1,IF(N82&lt;1,0,(N$52-SUM(N$73:N75))/N76))</f>
        <v>0</v>
      </c>
    </row>
    <row r="84" spans="1:64" x14ac:dyDescent="0.35">
      <c r="A84" s="32">
        <v>100</v>
      </c>
      <c r="B84" s="19">
        <f>IF(SUM(B$73:B77)&lt;B$52,1,IF(B83&lt;1,0,(B$52-SUM(B$73:B76))/B77))</f>
        <v>0</v>
      </c>
      <c r="C84" s="19">
        <f>IF(SUM(C$73:C77)&lt;C$52,1,IF(C83&lt;1,0,(C$52-SUM(C$73:C76))/C77))</f>
        <v>0</v>
      </c>
      <c r="D84" s="19">
        <f>IF(SUM(D$73:D77)&lt;D$52,1,IF(D83&lt;1,0,(D$52-SUM(D$73:D76))/D77))</f>
        <v>0</v>
      </c>
      <c r="E84" s="19">
        <f>IF(SUM(E$73:E77)&lt;E$52,1,IF(E83&lt;1,0,(E$52-SUM(E$73:E76))/E77))</f>
        <v>0</v>
      </c>
      <c r="F84" s="19">
        <f>IF(SUM(F$73:F77)&lt;F$52,1,IF(F83&lt;1,0,(F$52-SUM(F$73:F76))/F77))</f>
        <v>0</v>
      </c>
      <c r="G84" s="19">
        <f>IF(SUM(G$73:G77)&lt;G$52,1,IF(G83&lt;1,0,(G$52-SUM(G$73:G76))/G77))</f>
        <v>0</v>
      </c>
      <c r="H84" s="19">
        <f>IF(SUM(H$73:H77)&lt;H$52,1,IF(H83&lt;1,0,(H$52-SUM(H$73:H76))/H77))</f>
        <v>0</v>
      </c>
      <c r="I84" s="19">
        <f>IF(SUM(I$73:I77)&lt;I$52,1,IF(I83&lt;1,0,(I$52-SUM(I$73:I76))/I77))</f>
        <v>0</v>
      </c>
      <c r="J84" s="19">
        <f>IF(SUM(J$73:J77)&lt;J$52,1,IF(J83&lt;1,0,(J$52-SUM(J$73:J76))/J77))</f>
        <v>0</v>
      </c>
      <c r="K84" s="19">
        <f>IF(SUM(K$73:K77)&lt;K$52,1,IF(K83&lt;1,0,(K$52-SUM(K$73:K76))/K77))</f>
        <v>0</v>
      </c>
      <c r="L84" s="19">
        <f>IF(SUM(L$73:L77)&lt;L$52,1,IF(L83&lt;1,0,(L$52-SUM(L$73:L76))/L77))</f>
        <v>0</v>
      </c>
      <c r="M84" s="19">
        <f>IF(SUM(M$73:M77)&lt;M$52,1,IF(M83&lt;1,0,(M$52-SUM(M$73:M76))/M77))</f>
        <v>0</v>
      </c>
      <c r="N84" s="19">
        <f>IF(SUM(N$73:N77)&lt;N$52,1,IF(N83&lt;1,0,(N$52-SUM(N$73:N76))/N77))</f>
        <v>0</v>
      </c>
    </row>
    <row r="85" spans="1:64" x14ac:dyDescent="0.35">
      <c r="A85" s="27"/>
      <c r="B85" s="12"/>
      <c r="C85" s="12"/>
      <c r="D85" s="12"/>
      <c r="E85" s="12"/>
      <c r="F85" s="12"/>
      <c r="G85" s="12"/>
      <c r="H85" s="12"/>
      <c r="I85" s="12"/>
      <c r="J85" s="12"/>
      <c r="K85" s="12"/>
      <c r="L85" s="12"/>
      <c r="M85" s="12"/>
      <c r="N85" s="12"/>
    </row>
    <row r="86" spans="1:64" x14ac:dyDescent="0.35">
      <c r="A86" s="31" t="s">
        <v>167</v>
      </c>
      <c r="B86" s="33">
        <f>SUMPRODUCT(B80:B84,'EPA land and ag calcs'!D48:D52)</f>
        <v>-35669731534701.813</v>
      </c>
      <c r="C86" s="33">
        <f>SUMPRODUCT(C80:C84,'EPA land and ag calcs'!E48:E52)</f>
        <v>-26204183668374.859</v>
      </c>
      <c r="D86" s="33">
        <f>SUMPRODUCT(D80:D84,'EPA land and ag calcs'!F48:F52)</f>
        <v>-17054907189391.086</v>
      </c>
      <c r="E86" s="33">
        <f>SUMPRODUCT(E80:E84,'EPA land and ag calcs'!G48:G52)</f>
        <v>-7810985247798.7803</v>
      </c>
      <c r="F86" s="33">
        <f>SUMPRODUCT(F80:F84,'EPA land and ag calcs'!H48:H52)</f>
        <v>508293245022.12891</v>
      </c>
      <c r="G86" s="33">
        <f>SUMPRODUCT(G80:G84,'EPA land and ag calcs'!I48:I52)</f>
        <v>7053534757719.293</v>
      </c>
      <c r="H86" s="33">
        <f>SUMPRODUCT(H80:H84,'EPA land and ag calcs'!J48:J52)</f>
        <v>10179858186482.16</v>
      </c>
      <c r="I86" s="12">
        <f>H86</f>
        <v>10179858186482.16</v>
      </c>
      <c r="J86" s="12">
        <f t="shared" ref="J86:N86" si="6">I86</f>
        <v>10179858186482.16</v>
      </c>
      <c r="K86" s="12">
        <f t="shared" si="6"/>
        <v>10179858186482.16</v>
      </c>
      <c r="L86" s="12">
        <f t="shared" si="6"/>
        <v>10179858186482.16</v>
      </c>
      <c r="M86" s="12">
        <f t="shared" si="6"/>
        <v>10179858186482.16</v>
      </c>
      <c r="N86" s="12">
        <f t="shared" si="6"/>
        <v>10179858186482.16</v>
      </c>
    </row>
    <row r="87" spans="1:64" x14ac:dyDescent="0.35">
      <c r="A87" s="13"/>
      <c r="B87" s="12">
        <f>B86/10^12</f>
        <v>-35.66973153470181</v>
      </c>
      <c r="C87" s="12">
        <f t="shared" ref="C87:H87" si="7">C86/10^12</f>
        <v>-26.20418366837486</v>
      </c>
      <c r="D87" s="12">
        <f t="shared" si="7"/>
        <v>-17.054907189391084</v>
      </c>
      <c r="E87" s="12">
        <f t="shared" si="7"/>
        <v>-7.8109852477987802</v>
      </c>
      <c r="F87" s="12">
        <f t="shared" si="7"/>
        <v>0.50829324502212891</v>
      </c>
      <c r="G87" s="12">
        <f t="shared" si="7"/>
        <v>7.0535347577192926</v>
      </c>
      <c r="H87" s="12">
        <f t="shared" si="7"/>
        <v>10.179858186482161</v>
      </c>
      <c r="I87" s="12">
        <f>H87</f>
        <v>10.179858186482161</v>
      </c>
      <c r="J87" s="12">
        <f t="shared" ref="J87:N87" si="8">I87</f>
        <v>10.179858186482161</v>
      </c>
      <c r="K87" s="12">
        <f t="shared" si="8"/>
        <v>10.179858186482161</v>
      </c>
      <c r="L87" s="12">
        <f t="shared" si="8"/>
        <v>10.179858186482161</v>
      </c>
      <c r="M87" s="12">
        <f t="shared" si="8"/>
        <v>10.179858186482161</v>
      </c>
      <c r="N87" s="12">
        <f t="shared" si="8"/>
        <v>10.179858186482161</v>
      </c>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row>
    <row r="88" spans="1:64" x14ac:dyDescent="0.35">
      <c r="A88" s="13"/>
    </row>
    <row r="89" spans="1:64" x14ac:dyDescent="0.35">
      <c r="A89" s="13"/>
      <c r="B89" s="12">
        <v>2021</v>
      </c>
      <c r="C89" s="12">
        <v>2022</v>
      </c>
      <c r="D89">
        <v>2023</v>
      </c>
      <c r="E89">
        <v>2024</v>
      </c>
      <c r="F89">
        <v>2025</v>
      </c>
      <c r="G89">
        <v>2026</v>
      </c>
      <c r="H89">
        <v>2027</v>
      </c>
      <c r="I89">
        <v>2028</v>
      </c>
      <c r="J89">
        <v>2029</v>
      </c>
      <c r="K89">
        <v>2030</v>
      </c>
      <c r="L89">
        <v>2031</v>
      </c>
      <c r="M89">
        <v>2032</v>
      </c>
      <c r="N89">
        <v>2033</v>
      </c>
      <c r="O89">
        <v>2034</v>
      </c>
      <c r="P89">
        <v>2035</v>
      </c>
      <c r="Q89">
        <v>2036</v>
      </c>
      <c r="R89">
        <v>2037</v>
      </c>
      <c r="S89">
        <v>2038</v>
      </c>
      <c r="T89">
        <v>2039</v>
      </c>
      <c r="U89">
        <v>2040</v>
      </c>
      <c r="V89">
        <v>2041</v>
      </c>
      <c r="W89">
        <v>2042</v>
      </c>
      <c r="X89">
        <v>2043</v>
      </c>
      <c r="Y89">
        <v>2044</v>
      </c>
      <c r="Z89">
        <v>2045</v>
      </c>
      <c r="AA89">
        <v>2046</v>
      </c>
      <c r="AB89">
        <v>2047</v>
      </c>
      <c r="AC89">
        <v>2048</v>
      </c>
      <c r="AD89">
        <v>2049</v>
      </c>
      <c r="AE89">
        <v>2050</v>
      </c>
    </row>
    <row r="90" spans="1:64" x14ac:dyDescent="0.35">
      <c r="A90" s="1" t="s">
        <v>170</v>
      </c>
      <c r="B90">
        <v>0</v>
      </c>
      <c r="C90">
        <v>0</v>
      </c>
      <c r="D90" s="5">
        <f>MAX(B69+B86,0)</f>
        <v>0</v>
      </c>
      <c r="E90" s="5">
        <f t="shared" ref="E90:P90" si="9">MAX(C69+C86,0)</f>
        <v>0</v>
      </c>
      <c r="F90" s="5">
        <f t="shared" si="9"/>
        <v>0</v>
      </c>
      <c r="G90" s="5">
        <f t="shared" si="9"/>
        <v>7573391846322.2998</v>
      </c>
      <c r="H90" s="5">
        <f t="shared" si="9"/>
        <v>18086491539265.129</v>
      </c>
      <c r="I90" s="5">
        <f t="shared" si="9"/>
        <v>24512676548764.035</v>
      </c>
      <c r="J90" s="5">
        <f t="shared" si="9"/>
        <v>25995423218465.102</v>
      </c>
      <c r="K90" s="5">
        <f t="shared" si="9"/>
        <v>24975513836802.023</v>
      </c>
      <c r="L90" s="5">
        <f t="shared" si="9"/>
        <v>22431084199275.234</v>
      </c>
      <c r="M90" s="5">
        <f t="shared" si="9"/>
        <v>20158536224861.688</v>
      </c>
      <c r="N90" s="5">
        <f t="shared" si="9"/>
        <v>16832310212068.512</v>
      </c>
      <c r="O90" s="5">
        <f t="shared" si="9"/>
        <v>13506084199275.336</v>
      </c>
      <c r="P90" s="5">
        <f t="shared" si="9"/>
        <v>10179858186482.16</v>
      </c>
      <c r="Q90" s="3">
        <f>P90</f>
        <v>10179858186482.16</v>
      </c>
      <c r="R90" s="3">
        <f t="shared" ref="R90:AE90" si="10">Q90</f>
        <v>10179858186482.16</v>
      </c>
      <c r="S90" s="3">
        <f t="shared" si="10"/>
        <v>10179858186482.16</v>
      </c>
      <c r="T90" s="3">
        <f t="shared" si="10"/>
        <v>10179858186482.16</v>
      </c>
      <c r="U90" s="3">
        <f t="shared" si="10"/>
        <v>10179858186482.16</v>
      </c>
      <c r="V90" s="3">
        <f t="shared" si="10"/>
        <v>10179858186482.16</v>
      </c>
      <c r="W90" s="3">
        <f t="shared" si="10"/>
        <v>10179858186482.16</v>
      </c>
      <c r="X90" s="3">
        <f t="shared" si="10"/>
        <v>10179858186482.16</v>
      </c>
      <c r="Y90" s="3">
        <f t="shared" si="10"/>
        <v>10179858186482.16</v>
      </c>
      <c r="Z90" s="3">
        <f t="shared" si="10"/>
        <v>10179858186482.16</v>
      </c>
      <c r="AA90" s="3">
        <f t="shared" si="10"/>
        <v>10179858186482.16</v>
      </c>
      <c r="AB90" s="3">
        <f t="shared" si="10"/>
        <v>10179858186482.16</v>
      </c>
      <c r="AC90" s="3">
        <f t="shared" si="10"/>
        <v>10179858186482.16</v>
      </c>
      <c r="AD90" s="3">
        <f t="shared" si="10"/>
        <v>10179858186482.16</v>
      </c>
      <c r="AE90" s="3">
        <f t="shared" si="10"/>
        <v>10179858186482.16</v>
      </c>
      <c r="AF90" s="3"/>
      <c r="AG90" s="3"/>
      <c r="AH90" s="3"/>
    </row>
    <row r="91" spans="1:64" x14ac:dyDescent="0.35">
      <c r="A91" s="1" t="s">
        <v>171</v>
      </c>
      <c r="B91">
        <v>0</v>
      </c>
      <c r="C91">
        <v>0</v>
      </c>
      <c r="D91" s="38">
        <f>D90/10^12</f>
        <v>0</v>
      </c>
      <c r="E91" s="38">
        <f t="shared" ref="E91:P91" si="11">E90/10^12</f>
        <v>0</v>
      </c>
      <c r="F91" s="38">
        <f t="shared" si="11"/>
        <v>0</v>
      </c>
      <c r="G91" s="38">
        <f t="shared" si="11"/>
        <v>7.5733918463223002</v>
      </c>
      <c r="H91" s="38">
        <f t="shared" si="11"/>
        <v>18.086491539265129</v>
      </c>
      <c r="I91" s="38">
        <f t="shared" si="11"/>
        <v>24.512676548764034</v>
      </c>
      <c r="J91" s="38">
        <f t="shared" si="11"/>
        <v>25.995423218465103</v>
      </c>
      <c r="K91" s="38">
        <f t="shared" si="11"/>
        <v>24.975513836802023</v>
      </c>
      <c r="L91" s="38">
        <f t="shared" si="11"/>
        <v>22.431084199275233</v>
      </c>
      <c r="M91" s="38">
        <f t="shared" si="11"/>
        <v>20.158536224861688</v>
      </c>
      <c r="N91" s="38">
        <f t="shared" si="11"/>
        <v>16.83231021206851</v>
      </c>
      <c r="O91" s="38">
        <f t="shared" si="11"/>
        <v>13.506084199275335</v>
      </c>
      <c r="P91" s="38">
        <f t="shared" si="11"/>
        <v>10.179858186482161</v>
      </c>
      <c r="Q91" s="3">
        <f>P91</f>
        <v>10.179858186482161</v>
      </c>
      <c r="R91" s="3">
        <f t="shared" ref="R91:AE91" si="12">Q91</f>
        <v>10.179858186482161</v>
      </c>
      <c r="S91" s="3">
        <f t="shared" si="12"/>
        <v>10.179858186482161</v>
      </c>
      <c r="T91" s="3">
        <f t="shared" si="12"/>
        <v>10.179858186482161</v>
      </c>
      <c r="U91" s="3">
        <f t="shared" si="12"/>
        <v>10.179858186482161</v>
      </c>
      <c r="V91" s="3">
        <f t="shared" si="12"/>
        <v>10.179858186482161</v>
      </c>
      <c r="W91" s="3">
        <f t="shared" si="12"/>
        <v>10.179858186482161</v>
      </c>
      <c r="X91" s="3">
        <f t="shared" si="12"/>
        <v>10.179858186482161</v>
      </c>
      <c r="Y91" s="3">
        <f t="shared" si="12"/>
        <v>10.179858186482161</v>
      </c>
      <c r="Z91" s="3">
        <f t="shared" si="12"/>
        <v>10.179858186482161</v>
      </c>
      <c r="AA91" s="3">
        <f t="shared" si="12"/>
        <v>10.179858186482161</v>
      </c>
      <c r="AB91" s="3">
        <f t="shared" si="12"/>
        <v>10.179858186482161</v>
      </c>
      <c r="AC91" s="3">
        <f t="shared" si="12"/>
        <v>10.179858186482161</v>
      </c>
      <c r="AD91" s="3">
        <f t="shared" si="12"/>
        <v>10.179858186482161</v>
      </c>
      <c r="AE91" s="3">
        <f t="shared" si="12"/>
        <v>10.179858186482161</v>
      </c>
      <c r="AF91" s="18"/>
      <c r="AG91" s="18"/>
      <c r="AH91" s="18"/>
    </row>
    <row r="92" spans="1:64" x14ac:dyDescent="0.35">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row>
    <row r="93" spans="1:64" x14ac:dyDescent="0.35">
      <c r="A93" t="s">
        <v>172</v>
      </c>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row>
    <row r="252" spans="1:4" x14ac:dyDescent="0.35">
      <c r="A252" s="13" t="s">
        <v>92</v>
      </c>
      <c r="B252" s="12">
        <v>0.78500000000000003</v>
      </c>
    </row>
    <row r="253" spans="1:4" x14ac:dyDescent="0.35">
      <c r="A253" s="13"/>
    </row>
    <row r="254" spans="1:4" x14ac:dyDescent="0.35">
      <c r="A254" s="13" t="s">
        <v>79</v>
      </c>
    </row>
    <row r="255" spans="1:4" x14ac:dyDescent="0.35">
      <c r="A255" s="16" t="s">
        <v>80</v>
      </c>
      <c r="B255" s="14">
        <v>1.8</v>
      </c>
      <c r="C255" s="16"/>
      <c r="D255" s="16" t="s">
        <v>81</v>
      </c>
    </row>
    <row r="256" spans="1:4" x14ac:dyDescent="0.35">
      <c r="A256" s="16" t="s">
        <v>82</v>
      </c>
      <c r="B256" s="14">
        <v>0.2</v>
      </c>
      <c r="C256" s="16"/>
      <c r="D256" s="16" t="s">
        <v>81</v>
      </c>
    </row>
    <row r="257" spans="1:4" x14ac:dyDescent="0.35">
      <c r="A257" s="16" t="s">
        <v>83</v>
      </c>
      <c r="B257" s="14">
        <v>0.1</v>
      </c>
      <c r="C257" s="16"/>
      <c r="D257" s="16" t="s">
        <v>81</v>
      </c>
    </row>
    <row r="258" spans="1:4" x14ac:dyDescent="0.35">
      <c r="A258" s="16" t="s">
        <v>84</v>
      </c>
      <c r="B258" s="14">
        <v>0.05</v>
      </c>
      <c r="C258" s="16"/>
      <c r="D258" s="16" t="s">
        <v>85</v>
      </c>
    </row>
    <row r="259" spans="1:4" x14ac:dyDescent="0.35">
      <c r="A259" s="16" t="s">
        <v>86</v>
      </c>
      <c r="B259" s="14">
        <v>0.15</v>
      </c>
      <c r="C259" s="16"/>
      <c r="D259" s="16" t="s">
        <v>85</v>
      </c>
    </row>
    <row r="260" spans="1:4" x14ac:dyDescent="0.35">
      <c r="A260" s="16" t="s">
        <v>86</v>
      </c>
      <c r="B260" s="14">
        <v>0.15</v>
      </c>
      <c r="C260" s="16"/>
      <c r="D260" s="16" t="s">
        <v>85</v>
      </c>
    </row>
    <row r="261" spans="1:4" x14ac:dyDescent="0.35">
      <c r="A261" s="16" t="s">
        <v>86</v>
      </c>
      <c r="B261" s="14">
        <v>0.1</v>
      </c>
      <c r="C261" s="16"/>
      <c r="D261" s="16" t="s">
        <v>85</v>
      </c>
    </row>
    <row r="262" spans="1:4" x14ac:dyDescent="0.35">
      <c r="A262" s="16" t="s">
        <v>86</v>
      </c>
      <c r="B262" s="14">
        <v>0.05</v>
      </c>
      <c r="C262" s="16"/>
      <c r="D262" s="16" t="s">
        <v>85</v>
      </c>
    </row>
    <row r="263" spans="1:4" x14ac:dyDescent="0.35">
      <c r="A263" s="16" t="s">
        <v>87</v>
      </c>
      <c r="B263" s="14">
        <v>0.1</v>
      </c>
      <c r="C263" s="16"/>
      <c r="D263" s="16" t="s">
        <v>85</v>
      </c>
    </row>
    <row r="264" spans="1:4" x14ac:dyDescent="0.35">
      <c r="A264" s="16" t="s">
        <v>86</v>
      </c>
      <c r="B264" s="14">
        <v>0.7</v>
      </c>
      <c r="C264" s="16"/>
      <c r="D264" s="16" t="s">
        <v>85</v>
      </c>
    </row>
    <row r="265" spans="1:4" x14ac:dyDescent="0.35">
      <c r="A265" s="16" t="s">
        <v>88</v>
      </c>
      <c r="B265" s="14">
        <v>1.5</v>
      </c>
      <c r="C265" s="16"/>
      <c r="D265" s="16" t="s">
        <v>89</v>
      </c>
    </row>
    <row r="266" spans="1:4" x14ac:dyDescent="0.35">
      <c r="A266" s="16" t="s">
        <v>90</v>
      </c>
      <c r="B266" s="14">
        <v>0.1</v>
      </c>
      <c r="C266" s="16"/>
      <c r="D266" s="16" t="s">
        <v>81</v>
      </c>
    </row>
    <row r="268" spans="1:4" x14ac:dyDescent="0.35">
      <c r="A268" s="15" t="s">
        <v>144</v>
      </c>
      <c r="B268" s="14"/>
    </row>
    <row r="269" spans="1:4" x14ac:dyDescent="0.35">
      <c r="A269" s="16" t="s">
        <v>85</v>
      </c>
      <c r="B269" s="14">
        <f>SUM(B258:B264)*10^9/10*B252</f>
        <v>102049999.99999999</v>
      </c>
    </row>
    <row r="270" spans="1:4" x14ac:dyDescent="0.35">
      <c r="A270" s="16" t="s">
        <v>89</v>
      </c>
      <c r="B270" s="14">
        <f>B265*10^9/10*B252</f>
        <v>117750000</v>
      </c>
    </row>
    <row r="272" spans="1:4" x14ac:dyDescent="0.35">
      <c r="A272" s="1" t="s">
        <v>146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F13"/>
  <sheetViews>
    <sheetView tabSelected="1" workbookViewId="0">
      <selection activeCell="B15" sqref="B15"/>
    </sheetView>
  </sheetViews>
  <sheetFormatPr defaultRowHeight="14.5" x14ac:dyDescent="0.35"/>
  <cols>
    <col min="1" max="1" width="16.7265625" customWidth="1"/>
    <col min="2" max="17" width="11.36328125" bestFit="1" customWidth="1"/>
    <col min="18" max="32" width="10" bestFit="1" customWidth="1"/>
  </cols>
  <sheetData>
    <row r="1" spans="1:32" x14ac:dyDescent="0.35">
      <c r="A1" t="s">
        <v>102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8</v>
      </c>
      <c r="B2" s="40">
        <f>Calcs!B4*10^12</f>
        <v>-972800000000000</v>
      </c>
      <c r="C2" s="40">
        <f>Calcs!C4*10^12-'Inflation Reduction Act'!B90</f>
        <v>-983400000000000</v>
      </c>
      <c r="D2" s="40">
        <f>Calcs!D4*10^12-'Inflation Reduction Act'!C90</f>
        <v>-921800000000000</v>
      </c>
      <c r="E2" s="40">
        <f>Calcs!E4*10^12-'Inflation Reduction Act'!D90</f>
        <v>-956473333333333.38</v>
      </c>
      <c r="F2" s="40">
        <f>Calcs!F4*10^12-'Inflation Reduction Act'!E90</f>
        <v>-956384848484848.5</v>
      </c>
      <c r="G2" s="40">
        <f>Calcs!G4*10^12-'Inflation Reduction Act'!F90</f>
        <v>-956296363636363.63</v>
      </c>
      <c r="H2" s="40">
        <f>Calcs!H4*10^12-'Inflation Reduction Act'!G90</f>
        <v>-963781270634201.13</v>
      </c>
      <c r="I2" s="40">
        <f>Calcs!I4*10^12-'Inflation Reduction Act'!H90</f>
        <v>-974205885478659.13</v>
      </c>
      <c r="J2" s="40">
        <f>Calcs!J4*10^12-'Inflation Reduction Act'!I90</f>
        <v>-980543585639673.13</v>
      </c>
      <c r="K2" s="40">
        <f>Calcs!K4*10^12-'Inflation Reduction Act'!J90</f>
        <v>-981937847460889.38</v>
      </c>
      <c r="L2" s="40">
        <f>Calcs!L4*10^12-'Inflation Reduction Act'!K90</f>
        <v>-980829453230741.38</v>
      </c>
      <c r="M2" s="40">
        <f>Calcs!M4*10^12-'Inflation Reduction Act'!L90</f>
        <v>-978196538744729.75</v>
      </c>
      <c r="N2" s="40">
        <f>Calcs!N4*10^12-'Inflation Reduction Act'!M90</f>
        <v>-975835505921831.25</v>
      </c>
      <c r="O2" s="40">
        <f>Calcs!O4*10^12-'Inflation Reduction Act'!N90</f>
        <v>-972420795060553.25</v>
      </c>
      <c r="P2" s="40">
        <f>Calcs!P4*10^12-'Inflation Reduction Act'!O90</f>
        <v>-969006084199275.38</v>
      </c>
      <c r="Q2" s="40">
        <f>Calcs!Q4*10^12-'Inflation Reduction Act'!P90</f>
        <v>-965591373337997.25</v>
      </c>
      <c r="R2" s="40">
        <f>Calcs!R4*10^12-'Inflation Reduction Act'!Q90</f>
        <v>-965502888489512.38</v>
      </c>
      <c r="S2" s="40">
        <f>Calcs!S4*10^12-'Inflation Reduction Act'!R90</f>
        <v>-965414403641027.63</v>
      </c>
      <c r="T2" s="40">
        <f>Calcs!T4*10^12-'Inflation Reduction Act'!S90</f>
        <v>-965325918792542.75</v>
      </c>
      <c r="U2" s="40">
        <f>Calcs!U4*10^12-'Inflation Reduction Act'!T90</f>
        <v>-965237433944057.88</v>
      </c>
      <c r="V2" s="40">
        <f>Calcs!V4*10^12-'Inflation Reduction Act'!U90</f>
        <v>-965148949095573</v>
      </c>
      <c r="W2" s="40">
        <f>Calcs!W4*10^12-'Inflation Reduction Act'!V90</f>
        <v>-965060464247088.13</v>
      </c>
      <c r="X2" s="40">
        <f>Calcs!X4*10^12-'Inflation Reduction Act'!W90</f>
        <v>-964971979398603.25</v>
      </c>
      <c r="Y2" s="40">
        <f>Calcs!Y4*10^12-'Inflation Reduction Act'!X90</f>
        <v>-964883494550118.38</v>
      </c>
      <c r="Z2" s="40">
        <f>Calcs!Z4*10^12-'Inflation Reduction Act'!Y90</f>
        <v>-964795009701633.5</v>
      </c>
      <c r="AA2" s="40">
        <f>Calcs!AA4*10^12-'Inflation Reduction Act'!Z90</f>
        <v>-964706524853148.75</v>
      </c>
      <c r="AB2" s="40">
        <f>Calcs!AB4*10^12-'Inflation Reduction Act'!AA90</f>
        <v>-964618040004663.88</v>
      </c>
      <c r="AC2" s="40">
        <f>Calcs!AC4*10^12-'Inflation Reduction Act'!AB90</f>
        <v>-964529555156179</v>
      </c>
      <c r="AD2" s="40">
        <f>Calcs!AD4*10^12-'Inflation Reduction Act'!AC90</f>
        <v>-964441070307694.25</v>
      </c>
      <c r="AE2" s="40">
        <f>Calcs!AE4*10^12-'Inflation Reduction Act'!AD90</f>
        <v>-964352585459209.38</v>
      </c>
      <c r="AF2" s="40">
        <f>Calcs!AF4*10^12-'Inflation Reduction Act'!AE90</f>
        <v>-964264100610724.5</v>
      </c>
    </row>
    <row r="3" spans="1:32" x14ac:dyDescent="0.35">
      <c r="A3" t="s">
        <v>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12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13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5">
      <c r="A8" t="s">
        <v>14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5">
      <c r="A10" t="s">
        <v>16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5">
      <c r="A11" t="s">
        <v>17</v>
      </c>
      <c r="B11" s="40">
        <f>Calcs!B5*10^12/About!$B$17</f>
        <v>2117857142857.1428</v>
      </c>
      <c r="C11" s="40">
        <f>Calcs!C5*10^12/About!$B$17</f>
        <v>2217857142857.1431</v>
      </c>
      <c r="D11" s="40">
        <f>Calcs!D5*10^12/About!$B$17</f>
        <v>2085714285714.2856</v>
      </c>
      <c r="E11" s="40">
        <f>Calcs!E5*10^12/About!$B$17</f>
        <v>2121060606060.6055</v>
      </c>
      <c r="F11" s="40">
        <f>Calcs!F5*10^12/About!$B$17</f>
        <v>2136883116883.1184</v>
      </c>
      <c r="G11" s="40">
        <f>Calcs!G5*10^12/About!$B$17</f>
        <v>2152705627705.6309</v>
      </c>
      <c r="H11" s="40">
        <f>Calcs!H5*10^12/About!$B$17</f>
        <v>2168528138528.1394</v>
      </c>
      <c r="I11" s="40">
        <f>Calcs!I5*10^12/About!$B$17</f>
        <v>2184350649350.6523</v>
      </c>
      <c r="J11" s="40">
        <f>Calcs!J5*10^12/About!$B$17</f>
        <v>2200173160173.1606</v>
      </c>
      <c r="K11" s="40">
        <f>Calcs!K5*10^12/About!$B$17</f>
        <v>2215995670995.6733</v>
      </c>
      <c r="L11" s="40">
        <f>Calcs!L5*10^12/About!$B$17</f>
        <v>2231818181818.1821</v>
      </c>
      <c r="M11" s="40">
        <f>Calcs!M5*10^12/About!$B$17</f>
        <v>2247640692640.6948</v>
      </c>
      <c r="N11" s="40">
        <f>Calcs!N5*10^12/About!$B$17</f>
        <v>2263463203463.2036</v>
      </c>
      <c r="O11" s="40">
        <f>Calcs!O5*10^12/About!$B$17</f>
        <v>2279285714285.7158</v>
      </c>
      <c r="P11" s="40">
        <f>Calcs!P5*10^12/About!$B$17</f>
        <v>2295108225108.2246</v>
      </c>
      <c r="Q11" s="40">
        <f>Calcs!Q5*10^12/About!$B$17</f>
        <v>2310930735930.7373</v>
      </c>
      <c r="R11" s="40">
        <f>Calcs!R5*10^12/About!$B$17</f>
        <v>2326753246753.25</v>
      </c>
      <c r="S11" s="40">
        <f>Calcs!S5*10^12/About!$B$17</f>
        <v>2342575757575.7588</v>
      </c>
      <c r="T11" s="40">
        <f>Calcs!T5*10^12/About!$B$17</f>
        <v>2358398268398.271</v>
      </c>
      <c r="U11" s="40">
        <f>Calcs!U5*10^12/About!$B$17</f>
        <v>2374220779220.7798</v>
      </c>
      <c r="V11" s="40">
        <f>Calcs!V5*10^12/About!$B$17</f>
        <v>2390043290043.2925</v>
      </c>
      <c r="W11" s="40">
        <f>Calcs!W5*10^12/About!$B$17</f>
        <v>2405865800865.8013</v>
      </c>
      <c r="X11" s="40">
        <f>Calcs!X5*10^12/About!$B$17</f>
        <v>2421688311688.314</v>
      </c>
      <c r="Y11" s="40">
        <f>Calcs!Y5*10^12/About!$B$17</f>
        <v>2437510822510.8228</v>
      </c>
      <c r="Z11" s="40">
        <f>Calcs!Z5*10^12/About!$B$17</f>
        <v>2453333333333.335</v>
      </c>
      <c r="AA11" s="40">
        <f>Calcs!AA5*10^12/About!$B$17</f>
        <v>2469155844155.8438</v>
      </c>
      <c r="AB11" s="40">
        <f>Calcs!AB5*10^12/About!$B$17</f>
        <v>2484978354978.3564</v>
      </c>
      <c r="AC11" s="40">
        <f>Calcs!AC5*10^12/About!$B$17</f>
        <v>2500800865800.8647</v>
      </c>
      <c r="AD11" s="40">
        <f>Calcs!AD5*10^12/About!$B$17</f>
        <v>2516623376623.3779</v>
      </c>
      <c r="AE11" s="40">
        <f>Calcs!AE5*10^12/About!$B$17</f>
        <v>2532445887445.8906</v>
      </c>
      <c r="AF11" s="40">
        <f>Calcs!AF5*10^12/About!$B$17</f>
        <v>2548268398268.3989</v>
      </c>
    </row>
    <row r="12" spans="1:32" x14ac:dyDescent="0.35">
      <c r="A12" t="s">
        <v>18</v>
      </c>
      <c r="B12" s="40">
        <f>Calcs!B6*10^12/About!$B$18</f>
        <v>34339622641.509434</v>
      </c>
      <c r="C12" s="40">
        <f>Calcs!C6*10^12/About!$B$18</f>
        <v>40377358490.56604</v>
      </c>
      <c r="D12" s="40">
        <f>Calcs!D6*10^12/About!$B$18</f>
        <v>34339622641.509434</v>
      </c>
      <c r="E12" s="40">
        <f>Calcs!E6*10^12/About!$B$18</f>
        <v>34810748999.428329</v>
      </c>
      <c r="F12" s="40">
        <f>Calcs!F6*10^12/About!$B$18</f>
        <v>35684391080.617645</v>
      </c>
      <c r="G12" s="40">
        <f>Calcs!G6*10^12/About!$B$18</f>
        <v>36558033161.806961</v>
      </c>
      <c r="H12" s="40">
        <f>Calcs!H6*10^12/About!$B$18</f>
        <v>37431675242.996277</v>
      </c>
      <c r="I12" s="40">
        <f>Calcs!I6*10^12/About!$B$18</f>
        <v>38305317324.185379</v>
      </c>
      <c r="J12" s="40">
        <f>Calcs!J6*10^12/About!$B$18</f>
        <v>39178959405.374687</v>
      </c>
      <c r="K12" s="40">
        <f>Calcs!K6*10^12/About!$B$18</f>
        <v>40052601486.564003</v>
      </c>
      <c r="L12" s="40">
        <f>Calcs!L6*10^12/About!$B$18</f>
        <v>40926243567.753105</v>
      </c>
      <c r="M12" s="40">
        <f>Calcs!M6*10^12/About!$B$18</f>
        <v>41799885648.942413</v>
      </c>
      <c r="N12" s="40">
        <f>Calcs!N6*10^12/About!$B$18</f>
        <v>42673527730.131729</v>
      </c>
      <c r="O12" s="40">
        <f>Calcs!O6*10^12/About!$B$18</f>
        <v>43547169811.320831</v>
      </c>
      <c r="P12" s="40">
        <f>Calcs!P6*10^12/About!$B$18</f>
        <v>44420811892.510147</v>
      </c>
      <c r="Q12" s="40">
        <f>Calcs!Q6*10^12/About!$B$18</f>
        <v>45294453973.699463</v>
      </c>
      <c r="R12" s="40">
        <f>Calcs!R6*10^12/About!$B$18</f>
        <v>46168096054.888779</v>
      </c>
      <c r="S12" s="40">
        <f>Calcs!S6*10^12/About!$B$18</f>
        <v>47041738136.077873</v>
      </c>
      <c r="T12" s="40">
        <f>Calcs!T6*10^12/About!$B$18</f>
        <v>47915380217.267189</v>
      </c>
      <c r="U12" s="40">
        <f>Calcs!U6*10^12/About!$B$18</f>
        <v>48789022298.456497</v>
      </c>
      <c r="V12" s="40">
        <f>Calcs!V6*10^12/About!$B$18</f>
        <v>49662664379.645607</v>
      </c>
      <c r="W12" s="40">
        <f>Calcs!W6*10^12/About!$B$18</f>
        <v>50536306460.834923</v>
      </c>
      <c r="X12" s="40">
        <f>Calcs!X6*10^12/About!$B$18</f>
        <v>51409948542.024231</v>
      </c>
      <c r="Y12" s="40">
        <f>Calcs!Y6*10^12/About!$B$18</f>
        <v>52283590623.213333</v>
      </c>
      <c r="Z12" s="40">
        <f>Calcs!Z6*10^12/About!$B$18</f>
        <v>53157232704.402649</v>
      </c>
      <c r="AA12" s="40">
        <f>Calcs!AA6*10^12/About!$B$18</f>
        <v>54030874785.591957</v>
      </c>
      <c r="AB12" s="40">
        <f>Calcs!AB6*10^12/About!$B$18</f>
        <v>54904516866.781281</v>
      </c>
      <c r="AC12" s="40">
        <f>Calcs!AC6*10^12/About!$B$18</f>
        <v>55778158947.970375</v>
      </c>
      <c r="AD12" s="40">
        <f>Calcs!AD6*10^12/About!$B$18</f>
        <v>56651801029.159691</v>
      </c>
      <c r="AE12" s="40">
        <f>Calcs!AE6*10^12/About!$B$18</f>
        <v>57525443110.349007</v>
      </c>
      <c r="AF12" s="40">
        <f>Calcs!AF6*10^12/About!$B$18</f>
        <v>58399085191.538101</v>
      </c>
    </row>
    <row r="13" spans="1:32" x14ac:dyDescent="0.35">
      <c r="A13" t="s">
        <v>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Calcs</vt:lpstr>
      <vt:lpstr>EPA Table 6-1</vt:lpstr>
      <vt:lpstr>EPA land and ag potential</vt:lpstr>
      <vt:lpstr>EPA land and ag calcs</vt:lpstr>
      <vt:lpstr>Inflation Reduction Act</vt:lpstr>
      <vt:lpstr>BLAPE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2015-08-06T00:31:42Z</dcterms:created>
  <dcterms:modified xsi:type="dcterms:W3CDTF">2025-05-15T13:37:12Z</dcterms:modified>
</cp:coreProperties>
</file>