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Olivia Ashmoore\Documents\EPS_Models by Region\United States\us-eps\InputData\land\PLANAbPiaSY\"/>
    </mc:Choice>
  </mc:AlternateContent>
  <xr:revisionPtr revIDLastSave="0" documentId="13_ncr:1_{C891FB75-0F32-495E-81CB-E9AA727372B2}" xr6:coauthVersionLast="47" xr6:coauthVersionMax="47" xr10:uidLastSave="{00000000-0000-0000-0000-000000000000}"/>
  <bookViews>
    <workbookView xWindow="-90" yWindow="-90" windowWidth="19380" windowHeight="10260" activeTab="2" xr2:uid="{00000000-000D-0000-FFFF-FFFF00000000}"/>
  </bookViews>
  <sheets>
    <sheet name="About" sheetId="1" r:id="rId1"/>
    <sheet name="EPA land and ag potential" sheetId="19" r:id="rId2"/>
    <sheet name="EPA land and ag calcs" sheetId="20" r:id="rId3"/>
    <sheet name="CApULAbIFM" sheetId="21" r:id="rId4"/>
    <sheet name="TNC Data" sheetId="10" r:id="rId5"/>
    <sheet name="TNC_summary" sheetId="12" r:id="rId6"/>
    <sheet name="Peatland" sheetId="15" r:id="rId7"/>
    <sheet name="Inflation Reduction Act" sheetId="22" r:id="rId8"/>
    <sheet name="PLANAbPiaSY" sheetId="3" r:id="rId9"/>
  </sheets>
  <definedNames>
    <definedName name="_xlnm._FilterDatabase" localSheetId="1" hidden="1">'EPA land and ag potential'!$A$2:$I$602</definedName>
    <definedName name="_xlnm._FilterDatabase" localSheetId="4" hidden="1">'TNC Data'!$A$3:$EC$51</definedName>
    <definedName name="acres_per_hectare" localSheetId="4">#REF!</definedName>
    <definedName name="acres_per_hectare">#REF!</definedName>
    <definedName name="acres_per_million_hectares" localSheetId="4">#REF!</definedName>
    <definedName name="acres_per_million_hectares" localSheetId="5">#REF!</definedName>
    <definedName name="acres_per_million_hectares">#REF!</definedName>
    <definedName name="C_to_CO2">#REF!</definedName>
    <definedName name="CH4_Ar4_to_AR5" localSheetId="7">#REF!</definedName>
    <definedName name="CH4_Ar4_to_AR5">#REF!</definedName>
    <definedName name="CH4_to_CO2e">#REF!</definedName>
    <definedName name="dollars_2009_2012">#REF!</definedName>
    <definedName name="gal_per_barrel">#REF!</definedName>
    <definedName name="grams_per_ton" localSheetId="4">#REF!</definedName>
    <definedName name="grams_per_ton">#REF!</definedName>
    <definedName name="HHV_Adjus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to_CO2e">#REF!</definedName>
    <definedName name="unit_conv">#REF!</definedName>
  </definedNames>
  <calcPr calcId="191029"/>
  <pivotCaches>
    <pivotCache cacheId="12"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5" i="20" l="1"/>
  <c r="C50" i="20"/>
  <c r="D50" i="20"/>
  <c r="E50" i="20"/>
  <c r="F50" i="20"/>
  <c r="G50" i="20"/>
  <c r="H50" i="20"/>
  <c r="I50" i="20"/>
  <c r="J50" i="20"/>
  <c r="K50" i="20"/>
  <c r="L50" i="20"/>
  <c r="M50" i="20"/>
  <c r="N50" i="20"/>
  <c r="O50" i="20"/>
  <c r="P50" i="20"/>
  <c r="Q50" i="20"/>
  <c r="R50" i="20"/>
  <c r="S50" i="20"/>
  <c r="T50" i="20"/>
  <c r="U50" i="20"/>
  <c r="V50" i="20"/>
  <c r="W50" i="20"/>
  <c r="X50" i="20"/>
  <c r="Y50" i="20"/>
  <c r="Z50" i="20"/>
  <c r="AA50" i="20"/>
  <c r="AB50" i="20"/>
  <c r="AC50" i="20"/>
  <c r="AD50" i="20"/>
  <c r="AE50" i="20"/>
  <c r="C51" i="20"/>
  <c r="D51" i="20"/>
  <c r="E51" i="20"/>
  <c r="F51" i="20"/>
  <c r="G51" i="20"/>
  <c r="H51" i="20"/>
  <c r="I51" i="20"/>
  <c r="J51" i="20"/>
  <c r="K51" i="20"/>
  <c r="L51" i="20"/>
  <c r="M51" i="20"/>
  <c r="N51" i="20"/>
  <c r="O51" i="20"/>
  <c r="P51" i="20"/>
  <c r="Q51" i="20"/>
  <c r="R51" i="20"/>
  <c r="S51" i="20"/>
  <c r="T51" i="20"/>
  <c r="U51" i="20"/>
  <c r="V51" i="20"/>
  <c r="W51" i="20"/>
  <c r="X51" i="20"/>
  <c r="Y51" i="20"/>
  <c r="Z51" i="20"/>
  <c r="AA51" i="20"/>
  <c r="AB51" i="20"/>
  <c r="AC51" i="20"/>
  <c r="AD51" i="20"/>
  <c r="AE51" i="20"/>
  <c r="B51" i="20"/>
  <c r="B50" i="20"/>
  <c r="R41" i="20"/>
  <c r="S41" i="20" s="1"/>
  <c r="T41" i="20" s="1"/>
  <c r="U41" i="20" s="1"/>
  <c r="V41" i="20" s="1"/>
  <c r="W41" i="20" s="1"/>
  <c r="X41" i="20" s="1"/>
  <c r="Y41" i="20" s="1"/>
  <c r="Z41" i="20" s="1"/>
  <c r="AA41" i="20" s="1"/>
  <c r="AB41" i="20" s="1"/>
  <c r="AC41" i="20" s="1"/>
  <c r="AD41" i="20" s="1"/>
  <c r="AE41" i="20" s="1"/>
  <c r="Q41" i="20"/>
  <c r="B23" i="22"/>
  <c r="B22" i="22"/>
  <c r="B2" i="21"/>
  <c r="C22" i="12"/>
  <c r="C16" i="12"/>
  <c r="I60" i="20" l="1"/>
  <c r="E18" i="20"/>
  <c r="D18" i="20"/>
  <c r="C18" i="20"/>
  <c r="B18" i="20"/>
  <c r="K542" i="19"/>
  <c r="K541" i="19"/>
  <c r="K540" i="19"/>
  <c r="K539" i="19"/>
  <c r="K538" i="19"/>
  <c r="K528" i="19"/>
  <c r="K527" i="19"/>
  <c r="K526" i="19"/>
  <c r="K525" i="19"/>
  <c r="K518" i="19"/>
  <c r="K517" i="19"/>
  <c r="K516" i="19"/>
  <c r="K515" i="19"/>
  <c r="K508" i="19"/>
  <c r="K507" i="19"/>
  <c r="K506" i="19"/>
  <c r="K505" i="19"/>
  <c r="K498" i="19"/>
  <c r="K497" i="19"/>
  <c r="K496" i="19"/>
  <c r="K495" i="19"/>
  <c r="K488" i="19"/>
  <c r="K487" i="19"/>
  <c r="K486" i="19"/>
  <c r="K485" i="19"/>
  <c r="K478" i="19"/>
  <c r="K477" i="19"/>
  <c r="K476" i="19"/>
  <c r="K475" i="19"/>
  <c r="K468" i="19"/>
  <c r="K467" i="19"/>
  <c r="K466" i="19"/>
  <c r="K465" i="19"/>
  <c r="K458" i="19"/>
  <c r="K457" i="19"/>
  <c r="K456" i="19"/>
  <c r="K455" i="19"/>
  <c r="K392" i="19"/>
  <c r="K391" i="19"/>
  <c r="K390" i="19"/>
  <c r="K389" i="19"/>
  <c r="K388" i="19"/>
  <c r="K380" i="19"/>
  <c r="K379" i="19"/>
  <c r="K378" i="19"/>
  <c r="K377" i="19"/>
  <c r="K370" i="19"/>
  <c r="K369" i="19"/>
  <c r="K368" i="19"/>
  <c r="K367" i="19"/>
  <c r="K360" i="19"/>
  <c r="K359" i="19"/>
  <c r="K358" i="19"/>
  <c r="K357" i="19"/>
  <c r="K350" i="19"/>
  <c r="K349" i="19"/>
  <c r="K348" i="19"/>
  <c r="K347" i="19"/>
  <c r="K340" i="19"/>
  <c r="K339" i="19"/>
  <c r="K338" i="19"/>
  <c r="K337" i="19"/>
  <c r="K330" i="19"/>
  <c r="K329" i="19"/>
  <c r="K328" i="19"/>
  <c r="K327" i="19"/>
  <c r="K320" i="19"/>
  <c r="K319" i="19"/>
  <c r="K318" i="19"/>
  <c r="K317" i="19"/>
  <c r="K310" i="19"/>
  <c r="K309" i="19"/>
  <c r="K308" i="19"/>
  <c r="K307" i="19"/>
  <c r="K242" i="19"/>
  <c r="K241" i="19"/>
  <c r="K240" i="19"/>
  <c r="K239" i="19"/>
  <c r="K238" i="19"/>
  <c r="K232" i="19"/>
  <c r="K231" i="19"/>
  <c r="K230" i="19"/>
  <c r="K229" i="19"/>
  <c r="K224" i="19"/>
  <c r="K223" i="19"/>
  <c r="K222" i="19"/>
  <c r="K221" i="19"/>
  <c r="K220" i="19"/>
  <c r="K219" i="19"/>
  <c r="K214" i="19"/>
  <c r="K213" i="19"/>
  <c r="K212" i="19"/>
  <c r="K211" i="19"/>
  <c r="K210" i="19"/>
  <c r="K209" i="19"/>
  <c r="K204" i="19"/>
  <c r="K203" i="19"/>
  <c r="K202" i="19"/>
  <c r="K201" i="19"/>
  <c r="K200" i="19"/>
  <c r="K199" i="19"/>
  <c r="K194" i="19"/>
  <c r="K193" i="19"/>
  <c r="K192" i="19"/>
  <c r="K191" i="19"/>
  <c r="K190" i="19"/>
  <c r="K189" i="19"/>
  <c r="K184" i="19"/>
  <c r="K183" i="19"/>
  <c r="K182" i="19"/>
  <c r="K181" i="19"/>
  <c r="K180" i="19"/>
  <c r="K179" i="19"/>
  <c r="K174" i="19"/>
  <c r="K173" i="19"/>
  <c r="K172" i="19"/>
  <c r="K171" i="19"/>
  <c r="K170" i="19"/>
  <c r="K169" i="19"/>
  <c r="K164" i="19"/>
  <c r="K163" i="19"/>
  <c r="K162" i="19"/>
  <c r="K161" i="19"/>
  <c r="K160" i="19"/>
  <c r="K159" i="19"/>
  <c r="K154" i="19"/>
  <c r="K153" i="19"/>
  <c r="K92" i="19"/>
  <c r="K91" i="19"/>
  <c r="K90" i="19"/>
  <c r="K89" i="19"/>
  <c r="K88" i="19"/>
  <c r="K82" i="19"/>
  <c r="K81" i="19"/>
  <c r="K76" i="19"/>
  <c r="K75" i="19"/>
  <c r="K74" i="19"/>
  <c r="K73" i="19"/>
  <c r="K72" i="19"/>
  <c r="K71" i="19"/>
  <c r="K66" i="19"/>
  <c r="K65" i="19"/>
  <c r="K64" i="19"/>
  <c r="K63" i="19"/>
  <c r="K62" i="19"/>
  <c r="K61" i="19"/>
  <c r="K56" i="19"/>
  <c r="K55" i="19"/>
  <c r="K54" i="19"/>
  <c r="K53" i="19"/>
  <c r="K52" i="19"/>
  <c r="K51" i="19"/>
  <c r="K46" i="19"/>
  <c r="K45" i="19"/>
  <c r="K44" i="19"/>
  <c r="K43" i="19"/>
  <c r="K42" i="19"/>
  <c r="K41" i="19"/>
  <c r="K36" i="19"/>
  <c r="K35" i="19"/>
  <c r="K34" i="19"/>
  <c r="K33" i="19"/>
  <c r="K32" i="19"/>
  <c r="K31" i="19"/>
  <c r="K26" i="19"/>
  <c r="K25" i="19"/>
  <c r="K24" i="19"/>
  <c r="K23" i="19"/>
  <c r="K22" i="19"/>
  <c r="K21" i="19"/>
  <c r="K16" i="19"/>
  <c r="K15" i="19"/>
  <c r="K14" i="19"/>
  <c r="K13" i="19"/>
  <c r="K12" i="19"/>
  <c r="K11" i="19"/>
  <c r="K6" i="19"/>
  <c r="K5" i="19"/>
  <c r="K4" i="19"/>
  <c r="K3" i="19"/>
  <c r="E27" i="20" l="1"/>
  <c r="E34" i="20"/>
  <c r="B24" i="20"/>
  <c r="D36" i="20"/>
  <c r="D24" i="20"/>
  <c r="B26" i="20"/>
  <c r="D35" i="20"/>
  <c r="J32" i="20"/>
  <c r="V32" i="20" s="1"/>
  <c r="C26" i="20"/>
  <c r="D26" i="20"/>
  <c r="C24" i="20"/>
  <c r="K32" i="20"/>
  <c r="W32" i="20" s="1"/>
  <c r="B32" i="20"/>
  <c r="E23" i="20"/>
  <c r="D33" i="20"/>
  <c r="B33" i="20"/>
  <c r="D34" i="20"/>
  <c r="J35" i="20" s="1"/>
  <c r="B25" i="20"/>
  <c r="H25" i="20" s="1"/>
  <c r="C33" i="20"/>
  <c r="B27" i="20"/>
  <c r="E26" i="20"/>
  <c r="K27" i="20" s="1"/>
  <c r="D27" i="20"/>
  <c r="C25" i="20"/>
  <c r="D25" i="20"/>
  <c r="C27" i="20"/>
  <c r="H23" i="20"/>
  <c r="AE23" i="20" s="1"/>
  <c r="B36" i="20"/>
  <c r="C34" i="20"/>
  <c r="H32" i="20"/>
  <c r="AE32" i="20" s="1"/>
  <c r="E35" i="20"/>
  <c r="K35" i="20" s="1"/>
  <c r="B23" i="20"/>
  <c r="H24" i="20" s="1"/>
  <c r="E36" i="20"/>
  <c r="AD46" i="20" s="1" a="1"/>
  <c r="AD46" i="20" s="1"/>
  <c r="I32" i="20"/>
  <c r="C23" i="20"/>
  <c r="I24" i="20" s="1"/>
  <c r="C32" i="20"/>
  <c r="I23" i="20"/>
  <c r="AF23" i="20" s="1"/>
  <c r="E33" i="20"/>
  <c r="K34" i="20" s="1"/>
  <c r="E24" i="20"/>
  <c r="K24" i="20" s="1"/>
  <c r="C35" i="20"/>
  <c r="B34" i="20"/>
  <c r="D23" i="20"/>
  <c r="D32" i="20"/>
  <c r="K23" i="20"/>
  <c r="W23" i="20" s="1"/>
  <c r="E25" i="20"/>
  <c r="J23" i="20"/>
  <c r="V23" i="20" s="1"/>
  <c r="B35" i="20"/>
  <c r="C36" i="20"/>
  <c r="E32" i="20"/>
  <c r="J36" i="20" l="1"/>
  <c r="H26" i="20"/>
  <c r="J25" i="20"/>
  <c r="J24" i="20"/>
  <c r="AC46" i="20" a="1"/>
  <c r="AC46" i="20" s="1"/>
  <c r="L46" i="20" a="1"/>
  <c r="L46" i="20" s="1"/>
  <c r="M46" i="20" a="1"/>
  <c r="M46" i="20" s="1"/>
  <c r="C46" i="20" a="1"/>
  <c r="C46" i="20" s="1"/>
  <c r="C56" i="20" s="1"/>
  <c r="N46" i="20" a="1"/>
  <c r="N46" i="20" s="1"/>
  <c r="D46" i="20" a="1"/>
  <c r="D46" i="20" s="1"/>
  <c r="O46" i="20" a="1"/>
  <c r="O46" i="20" s="1"/>
  <c r="F46" i="20" a="1"/>
  <c r="F46" i="20" s="1"/>
  <c r="J46" i="20" a="1"/>
  <c r="J46" i="20" s="1"/>
  <c r="E46" i="20" a="1"/>
  <c r="E46" i="20" s="1"/>
  <c r="P46" i="20" a="1"/>
  <c r="P46" i="20" s="1"/>
  <c r="B46" i="20" a="1"/>
  <c r="B46" i="20" s="1"/>
  <c r="B56" i="20" s="1"/>
  <c r="B61" i="20" s="1"/>
  <c r="B3" i="3" s="1"/>
  <c r="G46" i="20" a="1"/>
  <c r="G46" i="20" s="1"/>
  <c r="H46" i="20" a="1"/>
  <c r="H46" i="20" s="1"/>
  <c r="I46" i="20" a="1"/>
  <c r="I46" i="20" s="1"/>
  <c r="K46" i="20" a="1"/>
  <c r="K46" i="20" s="1"/>
  <c r="J27" i="20"/>
  <c r="AE45" i="20" a="1"/>
  <c r="AE45" i="20" s="1"/>
  <c r="AA45" i="20" a="1"/>
  <c r="AA45" i="20" s="1"/>
  <c r="AB45" i="20" a="1"/>
  <c r="AB45" i="20" s="1"/>
  <c r="AC45" i="20" a="1"/>
  <c r="AC45" i="20" s="1"/>
  <c r="AD45" i="20" a="1"/>
  <c r="AD45" i="20" s="1"/>
  <c r="K36" i="20"/>
  <c r="AE46" i="20" a="1"/>
  <c r="AE46" i="20" s="1"/>
  <c r="H27" i="20"/>
  <c r="J45" i="20" a="1"/>
  <c r="J45" i="20" s="1"/>
  <c r="F45" i="20" a="1"/>
  <c r="F45" i="20" s="1"/>
  <c r="H45" i="20" a="1"/>
  <c r="H45" i="20" s="1"/>
  <c r="K45" i="20" a="1"/>
  <c r="K45" i="20" s="1"/>
  <c r="L45" i="20" a="1"/>
  <c r="L45" i="20" s="1"/>
  <c r="B45" i="20" a="1"/>
  <c r="B45" i="20" s="1"/>
  <c r="B55" i="20" s="1"/>
  <c r="B60" i="20" s="1"/>
  <c r="B4" i="3" s="1"/>
  <c r="N45" i="20" a="1"/>
  <c r="N45" i="20" s="1"/>
  <c r="C45" i="20" a="1"/>
  <c r="C45" i="20" s="1"/>
  <c r="C55" i="20" s="1"/>
  <c r="C60" i="20" s="1"/>
  <c r="C4" i="3" s="1"/>
  <c r="M45" i="20" a="1"/>
  <c r="M45" i="20" s="1"/>
  <c r="D45" i="20" a="1"/>
  <c r="D45" i="20" s="1"/>
  <c r="E45" i="20" a="1"/>
  <c r="E45" i="20" s="1"/>
  <c r="O45" i="20" a="1"/>
  <c r="O45" i="20" s="1"/>
  <c r="P45" i="20" a="1"/>
  <c r="P45" i="20" s="1"/>
  <c r="G45" i="20" a="1"/>
  <c r="G45" i="20" s="1"/>
  <c r="I45" i="20" a="1"/>
  <c r="I45" i="20" s="1"/>
  <c r="Z46" i="20" a="1"/>
  <c r="Z46" i="20" s="1"/>
  <c r="Q46" i="20" a="1"/>
  <c r="Q46" i="20" s="1"/>
  <c r="T46" i="20" a="1"/>
  <c r="T46" i="20" s="1"/>
  <c r="U46" i="20" a="1"/>
  <c r="U46" i="20" s="1"/>
  <c r="V46" i="20" a="1"/>
  <c r="V46" i="20" s="1"/>
  <c r="X46" i="20" a="1"/>
  <c r="X46" i="20" s="1"/>
  <c r="S46" i="20" a="1"/>
  <c r="S46" i="20" s="1"/>
  <c r="W46" i="20" a="1"/>
  <c r="W46" i="20" s="1"/>
  <c r="Y46" i="20" a="1"/>
  <c r="Y46" i="20" s="1"/>
  <c r="R46" i="20" a="1"/>
  <c r="R46" i="20" s="1"/>
  <c r="I27" i="20"/>
  <c r="V45" i="20" a="1"/>
  <c r="V45" i="20" s="1"/>
  <c r="W45" i="20" a="1"/>
  <c r="W45" i="20" s="1"/>
  <c r="Y45" i="20" a="1"/>
  <c r="Y45" i="20" s="1"/>
  <c r="R45" i="20" a="1"/>
  <c r="R45" i="20" s="1"/>
  <c r="T45" i="20" a="1"/>
  <c r="T45" i="20" s="1"/>
  <c r="X45" i="20" a="1"/>
  <c r="X45" i="20" s="1"/>
  <c r="Z45" i="20" a="1"/>
  <c r="Z45" i="20" s="1"/>
  <c r="Q45" i="20" a="1"/>
  <c r="Q45" i="20" s="1"/>
  <c r="S45" i="20" a="1"/>
  <c r="S45" i="20" s="1"/>
  <c r="U45" i="20" a="1"/>
  <c r="U45" i="20" s="1"/>
  <c r="J34" i="20"/>
  <c r="AA46" i="20" a="1"/>
  <c r="AA46" i="20" s="1"/>
  <c r="I25" i="20"/>
  <c r="AB46" i="20" a="1"/>
  <c r="AB46" i="20" s="1"/>
  <c r="H33" i="20"/>
  <c r="J33" i="20"/>
  <c r="V33" i="20" s="1"/>
  <c r="I34" i="20"/>
  <c r="H34" i="20"/>
  <c r="AE34" i="20" s="1"/>
  <c r="I35" i="20"/>
  <c r="H36" i="20"/>
  <c r="I33" i="20"/>
  <c r="I26" i="20"/>
  <c r="V34" i="20"/>
  <c r="V35" i="20" s="1"/>
  <c r="V36" i="20" s="1"/>
  <c r="K26" i="20"/>
  <c r="I36" i="20"/>
  <c r="AF36" i="20" s="1"/>
  <c r="T32" i="20"/>
  <c r="Y32" i="20" s="1"/>
  <c r="T23" i="20"/>
  <c r="Y23" i="20" s="1"/>
  <c r="J26" i="20"/>
  <c r="V24" i="20"/>
  <c r="V25" i="20" s="1"/>
  <c r="K33" i="20"/>
  <c r="W33" i="20" s="1"/>
  <c r="W34" i="20" s="1"/>
  <c r="W35" i="20" s="1"/>
  <c r="K25" i="20"/>
  <c r="H35" i="20"/>
  <c r="U32" i="20"/>
  <c r="AF32" i="20"/>
  <c r="W24" i="20"/>
  <c r="U23" i="20"/>
  <c r="C61" i="20" l="1"/>
  <c r="C3" i="3" s="1"/>
  <c r="AF35" i="20"/>
  <c r="AE33" i="20"/>
  <c r="W36" i="20"/>
  <c r="AE36" i="20"/>
  <c r="V26" i="20"/>
  <c r="V27" i="20" s="1"/>
  <c r="AF34" i="20"/>
  <c r="T33" i="20"/>
  <c r="W25" i="20"/>
  <c r="W26" i="20" s="1"/>
  <c r="W27" i="20" s="1"/>
  <c r="AB24" i="20"/>
  <c r="AE24" i="20" s="1"/>
  <c r="AE28" i="20" s="1"/>
  <c r="T24" i="20"/>
  <c r="T25" i="20" s="1"/>
  <c r="T26" i="20" s="1"/>
  <c r="T27" i="20" s="1"/>
  <c r="T34" i="20"/>
  <c r="Y33" i="20"/>
  <c r="AC33" i="20"/>
  <c r="AF33" i="20" s="1"/>
  <c r="AF37" i="20" s="1"/>
  <c r="Z32" i="20"/>
  <c r="U33" i="20"/>
  <c r="Z23" i="20"/>
  <c r="U24" i="20"/>
  <c r="Y24" i="20" l="1"/>
  <c r="U34" i="20"/>
  <c r="Z33" i="20"/>
  <c r="AC24" i="20"/>
  <c r="Z24" i="20"/>
  <c r="U25" i="20"/>
  <c r="U26" i="20" s="1"/>
  <c r="U27" i="20" s="1"/>
  <c r="AB35" i="20"/>
  <c r="AE35" i="20" s="1"/>
  <c r="AE37" i="20" s="1"/>
  <c r="Y34" i="20"/>
  <c r="T35" i="20"/>
  <c r="AF24" i="20" l="1"/>
  <c r="AF28" i="20" s="1"/>
  <c r="T36" i="20"/>
  <c r="Y35" i="20"/>
  <c r="H56" i="20"/>
  <c r="G56" i="20"/>
  <c r="I56" i="20"/>
  <c r="F56" i="20"/>
  <c r="E56" i="20"/>
  <c r="D56" i="20"/>
  <c r="D61" i="20" s="1"/>
  <c r="D3" i="3" s="1"/>
  <c r="K56" i="20"/>
  <c r="J56" i="20"/>
  <c r="L56" i="20"/>
  <c r="Z34" i="20"/>
  <c r="U35" i="20"/>
  <c r="J61" i="20" l="1"/>
  <c r="J3" i="3" s="1"/>
  <c r="H61" i="20"/>
  <c r="H3" i="3" s="1"/>
  <c r="K61" i="20"/>
  <c r="K3" i="3" s="1"/>
  <c r="E61" i="20"/>
  <c r="E3" i="3" s="1"/>
  <c r="I61" i="20"/>
  <c r="I3" i="3" s="1"/>
  <c r="L61" i="20"/>
  <c r="L3" i="3" s="1"/>
  <c r="F61" i="20"/>
  <c r="F3" i="3" s="1"/>
  <c r="G61" i="20"/>
  <c r="G3" i="3" s="1"/>
  <c r="M56" i="20"/>
  <c r="M61" i="20" s="1"/>
  <c r="M3" i="3" s="1"/>
  <c r="K55" i="20"/>
  <c r="K60" i="20" s="1"/>
  <c r="K4" i="3" s="1"/>
  <c r="D55" i="20"/>
  <c r="D60" i="20" s="1"/>
  <c r="D4" i="3" s="1"/>
  <c r="F55" i="20"/>
  <c r="F60" i="20" s="1"/>
  <c r="F4" i="3" s="1"/>
  <c r="E55" i="20"/>
  <c r="E60" i="20" s="1"/>
  <c r="E4" i="3" s="1"/>
  <c r="H55" i="20"/>
  <c r="H60" i="20" s="1"/>
  <c r="H4" i="3" s="1"/>
  <c r="L55" i="20"/>
  <c r="L60" i="20" s="1"/>
  <c r="L4" i="3" s="1"/>
  <c r="G55" i="20"/>
  <c r="G60" i="20" s="1"/>
  <c r="G4" i="3" s="1"/>
  <c r="J55" i="20"/>
  <c r="J60" i="20" s="1"/>
  <c r="J4" i="3" s="1"/>
  <c r="I4" i="3"/>
  <c r="Z35" i="20"/>
  <c r="U36" i="20"/>
  <c r="N55" i="20" l="1"/>
  <c r="N60" i="20" s="1"/>
  <c r="N4" i="3" s="1"/>
  <c r="M55" i="20"/>
  <c r="M60" i="20" s="1"/>
  <c r="M4" i="3" s="1"/>
  <c r="N56" i="20"/>
  <c r="N61" i="20" s="1"/>
  <c r="N3" i="3" s="1"/>
  <c r="O55" i="20"/>
  <c r="O60" i="20" s="1"/>
  <c r="O4" i="3" s="1"/>
  <c r="O56" i="20" l="1"/>
  <c r="O61" i="20" s="1"/>
  <c r="O3" i="3" s="1"/>
  <c r="P55" i="20"/>
  <c r="P60" i="20" s="1"/>
  <c r="P4" i="3" s="1"/>
  <c r="P56" i="20" l="1"/>
  <c r="P61" i="20" s="1"/>
  <c r="P3" i="3" s="1"/>
  <c r="Q55" i="20"/>
  <c r="Q60" i="20" s="1"/>
  <c r="Q4" i="3" s="1"/>
  <c r="Q56" i="20" l="1"/>
  <c r="Q61" i="20" s="1"/>
  <c r="Q3" i="3" s="1"/>
  <c r="R55" i="20"/>
  <c r="R60" i="20" s="1"/>
  <c r="R4" i="3" s="1"/>
  <c r="R56" i="20" l="1"/>
  <c r="R61" i="20" s="1"/>
  <c r="R3" i="3" s="1"/>
  <c r="S55" i="20"/>
  <c r="S60" i="20" s="1"/>
  <c r="S4" i="3" s="1"/>
  <c r="S56" i="20" l="1"/>
  <c r="S61" i="20" s="1"/>
  <c r="S3" i="3" s="1"/>
  <c r="T55" i="20"/>
  <c r="T60" i="20" s="1"/>
  <c r="T4" i="3" s="1"/>
  <c r="T56" i="20" l="1"/>
  <c r="T61" i="20" s="1"/>
  <c r="T3" i="3" s="1"/>
  <c r="U55" i="20"/>
  <c r="U60" i="20" s="1"/>
  <c r="U4" i="3" s="1"/>
  <c r="U56" i="20" l="1"/>
  <c r="U61" i="20" s="1"/>
  <c r="U3" i="3" s="1"/>
  <c r="V55" i="20"/>
  <c r="V60" i="20" s="1"/>
  <c r="V4" i="3" s="1"/>
  <c r="V56" i="20" l="1"/>
  <c r="V61" i="20" s="1"/>
  <c r="V3" i="3" s="1"/>
  <c r="W55" i="20"/>
  <c r="W60" i="20" s="1"/>
  <c r="W4" i="3" s="1"/>
  <c r="W56" i="20" l="1"/>
  <c r="W61" i="20" s="1"/>
  <c r="W3" i="3" s="1"/>
  <c r="X55" i="20"/>
  <c r="X60" i="20" s="1"/>
  <c r="X4" i="3" s="1"/>
  <c r="X56" i="20" l="1"/>
  <c r="X61" i="20" s="1"/>
  <c r="X3" i="3" s="1"/>
  <c r="Y55" i="20"/>
  <c r="Y60" i="20" s="1"/>
  <c r="Y4" i="3" s="1"/>
  <c r="Y56" i="20" l="1"/>
  <c r="Y61" i="20" s="1"/>
  <c r="Y3" i="3" s="1"/>
  <c r="Z55" i="20"/>
  <c r="Z60" i="20" s="1"/>
  <c r="Z4" i="3" s="1"/>
  <c r="Z56" i="20" l="1"/>
  <c r="Z61" i="20" s="1"/>
  <c r="Z3" i="3" s="1"/>
  <c r="AA55" i="20"/>
  <c r="AA60" i="20" s="1"/>
  <c r="AA4" i="3" s="1"/>
  <c r="AA56" i="20" l="1"/>
  <c r="AA61" i="20" s="1"/>
  <c r="AA3" i="3" s="1"/>
  <c r="AB55" i="20"/>
  <c r="AB60" i="20" s="1"/>
  <c r="AB4" i="3" s="1"/>
  <c r="AB56" i="20" l="1"/>
  <c r="AB61" i="20" s="1"/>
  <c r="AB3" i="3" s="1"/>
  <c r="AC55" i="20"/>
  <c r="AC60" i="20" s="1"/>
  <c r="AC4" i="3" s="1"/>
  <c r="AC56" i="20" l="1"/>
  <c r="AC61" i="20" s="1"/>
  <c r="AC3" i="3" s="1"/>
  <c r="AD55" i="20"/>
  <c r="AD60" i="20" s="1"/>
  <c r="AD4" i="3" s="1"/>
  <c r="AE56" i="20" l="1"/>
  <c r="AD56" i="20"/>
  <c r="AD61" i="20" s="1"/>
  <c r="AD3" i="3" s="1"/>
  <c r="AE55" i="20"/>
  <c r="AE60" i="20" s="1"/>
  <c r="AE4" i="3" s="1"/>
  <c r="AE61" i="20" l="1"/>
  <c r="AE3" i="3" s="1"/>
  <c r="C19" i="12"/>
  <c r="CZ52" i="10"/>
  <c r="CM52" i="10"/>
  <c r="C20" i="12"/>
  <c r="C21" i="12" s="1"/>
  <c r="DE52" i="10"/>
  <c r="CR52" i="10"/>
  <c r="DG5" i="10"/>
  <c r="DH5" i="10"/>
  <c r="DI5" i="10"/>
  <c r="DG6" i="10"/>
  <c r="DH6" i="10"/>
  <c r="DI6" i="10"/>
  <c r="DG7" i="10"/>
  <c r="DH7" i="10"/>
  <c r="DI7" i="10"/>
  <c r="DG8" i="10"/>
  <c r="DH8" i="10"/>
  <c r="DI8" i="10"/>
  <c r="DG9" i="10"/>
  <c r="DH9" i="10"/>
  <c r="DI9" i="10"/>
  <c r="DG10" i="10"/>
  <c r="DH10" i="10"/>
  <c r="DI10" i="10"/>
  <c r="DG11" i="10"/>
  <c r="DH11" i="10"/>
  <c r="DI11" i="10"/>
  <c r="DG12" i="10"/>
  <c r="DH12" i="10"/>
  <c r="DI12" i="10"/>
  <c r="DG13" i="10"/>
  <c r="DH13" i="10"/>
  <c r="DI13" i="10"/>
  <c r="DG14" i="10"/>
  <c r="DH14" i="10"/>
  <c r="DI14" i="10"/>
  <c r="DG15" i="10"/>
  <c r="DH15" i="10"/>
  <c r="DI15" i="10"/>
  <c r="DG16" i="10"/>
  <c r="DH16" i="10"/>
  <c r="DI16" i="10"/>
  <c r="DG17" i="10"/>
  <c r="DH17" i="10"/>
  <c r="DI17" i="10"/>
  <c r="DG18" i="10"/>
  <c r="DH18" i="10"/>
  <c r="DI18" i="10"/>
  <c r="DG19" i="10"/>
  <c r="DH19" i="10"/>
  <c r="DI19" i="10"/>
  <c r="DG20" i="10"/>
  <c r="DH20" i="10"/>
  <c r="DI20" i="10"/>
  <c r="DG21" i="10"/>
  <c r="DH21" i="10"/>
  <c r="DI21" i="10"/>
  <c r="DG22" i="10"/>
  <c r="DH22" i="10"/>
  <c r="DI22" i="10"/>
  <c r="DG23" i="10"/>
  <c r="DH23" i="10"/>
  <c r="DI23" i="10"/>
  <c r="DG24" i="10"/>
  <c r="DH24" i="10"/>
  <c r="DI24" i="10"/>
  <c r="DG25" i="10"/>
  <c r="DH25" i="10"/>
  <c r="DI25" i="10"/>
  <c r="DG26" i="10"/>
  <c r="DH26" i="10"/>
  <c r="DI26" i="10"/>
  <c r="DG27" i="10"/>
  <c r="DH27" i="10"/>
  <c r="DI27" i="10"/>
  <c r="DG28" i="10"/>
  <c r="DH28" i="10"/>
  <c r="DI28" i="10"/>
  <c r="DG29" i="10"/>
  <c r="DH29" i="10"/>
  <c r="DI29" i="10"/>
  <c r="DG30" i="10"/>
  <c r="DH30" i="10"/>
  <c r="DI30" i="10"/>
  <c r="DG31" i="10"/>
  <c r="DH31" i="10"/>
  <c r="DI31" i="10"/>
  <c r="DG32" i="10"/>
  <c r="DH32" i="10"/>
  <c r="DI32" i="10"/>
  <c r="DG33" i="10"/>
  <c r="DH33" i="10"/>
  <c r="DI33" i="10"/>
  <c r="DG34" i="10"/>
  <c r="DH34" i="10"/>
  <c r="DI34" i="10"/>
  <c r="DG35" i="10"/>
  <c r="DH35" i="10"/>
  <c r="DI35" i="10"/>
  <c r="DG36" i="10"/>
  <c r="DH36" i="10"/>
  <c r="DI36" i="10"/>
  <c r="DG37" i="10"/>
  <c r="DH37" i="10"/>
  <c r="DI37" i="10"/>
  <c r="DG38" i="10"/>
  <c r="DH38" i="10"/>
  <c r="DI38" i="10"/>
  <c r="DG39" i="10"/>
  <c r="DH39" i="10"/>
  <c r="DI39" i="10"/>
  <c r="DG40" i="10"/>
  <c r="DH40" i="10"/>
  <c r="DI40" i="10"/>
  <c r="DG41" i="10"/>
  <c r="DH41" i="10"/>
  <c r="DI41" i="10"/>
  <c r="DG42" i="10"/>
  <c r="DH42" i="10"/>
  <c r="DI42" i="10"/>
  <c r="DG43" i="10"/>
  <c r="DH43" i="10"/>
  <c r="DI43" i="10"/>
  <c r="DG44" i="10"/>
  <c r="DH44" i="10"/>
  <c r="DI44" i="10"/>
  <c r="DG45" i="10"/>
  <c r="DH45" i="10"/>
  <c r="DI45" i="10"/>
  <c r="DG46" i="10"/>
  <c r="DH46" i="10"/>
  <c r="DI46" i="10"/>
  <c r="DG47" i="10"/>
  <c r="DH47" i="10"/>
  <c r="DI47" i="10"/>
  <c r="DG48" i="10"/>
  <c r="DH48" i="10"/>
  <c r="DI48" i="10"/>
  <c r="DG49" i="10"/>
  <c r="DH49" i="10"/>
  <c r="DI49" i="10"/>
  <c r="DG50" i="10"/>
  <c r="DH50" i="10"/>
  <c r="DI50" i="10"/>
  <c r="DG51" i="10"/>
  <c r="DH51" i="10"/>
  <c r="DI51" i="10"/>
  <c r="DI4" i="10"/>
  <c r="DH4" i="10"/>
  <c r="DG4" i="10"/>
  <c r="CT5" i="10"/>
  <c r="CU5" i="10"/>
  <c r="CV5" i="10"/>
  <c r="CT6" i="10"/>
  <c r="CU6" i="10"/>
  <c r="CV6" i="10"/>
  <c r="CT7" i="10"/>
  <c r="CU7" i="10"/>
  <c r="CV7" i="10"/>
  <c r="CT8" i="10"/>
  <c r="CU8" i="10"/>
  <c r="CV8" i="10"/>
  <c r="CT9" i="10"/>
  <c r="CU9" i="10"/>
  <c r="CV9" i="10"/>
  <c r="CT10" i="10"/>
  <c r="CU10" i="10"/>
  <c r="CV10" i="10"/>
  <c r="CT11" i="10"/>
  <c r="CU11" i="10"/>
  <c r="CV11" i="10"/>
  <c r="CT12" i="10"/>
  <c r="CU12" i="10"/>
  <c r="CV12" i="10"/>
  <c r="CT13" i="10"/>
  <c r="CU13" i="10"/>
  <c r="CV13" i="10"/>
  <c r="CT14" i="10"/>
  <c r="CU14" i="10"/>
  <c r="CV14" i="10"/>
  <c r="CT15" i="10"/>
  <c r="CU15" i="10"/>
  <c r="CV15" i="10"/>
  <c r="CT16" i="10"/>
  <c r="CU16" i="10"/>
  <c r="CV16" i="10"/>
  <c r="CT17" i="10"/>
  <c r="CU17" i="10"/>
  <c r="CV17" i="10"/>
  <c r="CT18" i="10"/>
  <c r="CU18" i="10"/>
  <c r="CV18" i="10"/>
  <c r="CT19" i="10"/>
  <c r="CU19" i="10"/>
  <c r="CV19" i="10"/>
  <c r="CT20" i="10"/>
  <c r="CU20" i="10"/>
  <c r="CV20" i="10"/>
  <c r="CT21" i="10"/>
  <c r="CU21" i="10"/>
  <c r="CV21" i="10"/>
  <c r="CT22" i="10"/>
  <c r="CU22" i="10"/>
  <c r="CV22" i="10"/>
  <c r="CT23" i="10"/>
  <c r="CU23" i="10"/>
  <c r="CV23" i="10"/>
  <c r="CT24" i="10"/>
  <c r="CU24" i="10"/>
  <c r="CV24" i="10"/>
  <c r="CT25" i="10"/>
  <c r="CU25" i="10"/>
  <c r="CV25" i="10"/>
  <c r="CT26" i="10"/>
  <c r="CU26" i="10"/>
  <c r="CV26" i="10"/>
  <c r="CT27" i="10"/>
  <c r="CU27" i="10"/>
  <c r="CV27" i="10"/>
  <c r="CT28" i="10"/>
  <c r="CU28" i="10"/>
  <c r="CV28" i="10"/>
  <c r="CT29" i="10"/>
  <c r="CU29" i="10"/>
  <c r="CV29" i="10"/>
  <c r="CT30" i="10"/>
  <c r="CU30" i="10"/>
  <c r="CV30" i="10"/>
  <c r="CT31" i="10"/>
  <c r="CU31" i="10"/>
  <c r="CV31" i="10"/>
  <c r="CT32" i="10"/>
  <c r="CU32" i="10"/>
  <c r="CV32" i="10"/>
  <c r="CT33" i="10"/>
  <c r="CU33" i="10"/>
  <c r="CV33" i="10"/>
  <c r="CT34" i="10"/>
  <c r="CU34" i="10"/>
  <c r="CV34" i="10"/>
  <c r="CT35" i="10"/>
  <c r="CU35" i="10"/>
  <c r="CV35" i="10"/>
  <c r="CT36" i="10"/>
  <c r="CU36" i="10"/>
  <c r="CV36" i="10"/>
  <c r="CT37" i="10"/>
  <c r="CU37" i="10"/>
  <c r="CV37" i="10"/>
  <c r="CT38" i="10"/>
  <c r="CU38" i="10"/>
  <c r="CV38" i="10"/>
  <c r="CT39" i="10"/>
  <c r="CU39" i="10"/>
  <c r="CV39" i="10"/>
  <c r="CT40" i="10"/>
  <c r="CU40" i="10"/>
  <c r="CV40" i="10"/>
  <c r="CT41" i="10"/>
  <c r="CU41" i="10"/>
  <c r="CV41" i="10"/>
  <c r="CT42" i="10"/>
  <c r="CU42" i="10"/>
  <c r="CV42" i="10"/>
  <c r="CT43" i="10"/>
  <c r="CU43" i="10"/>
  <c r="CV43" i="10"/>
  <c r="CT44" i="10"/>
  <c r="CU44" i="10"/>
  <c r="CV44" i="10"/>
  <c r="CT45" i="10"/>
  <c r="CU45" i="10"/>
  <c r="CV45" i="10"/>
  <c r="CT46" i="10"/>
  <c r="CU46" i="10"/>
  <c r="CV46" i="10"/>
  <c r="CT47" i="10"/>
  <c r="CU47" i="10"/>
  <c r="CV47" i="10"/>
  <c r="CT48" i="10"/>
  <c r="CU48" i="10"/>
  <c r="CV48" i="10"/>
  <c r="CT49" i="10"/>
  <c r="CU49" i="10"/>
  <c r="CV49" i="10"/>
  <c r="CT50" i="10"/>
  <c r="CU50" i="10"/>
  <c r="CV50" i="10"/>
  <c r="CT51" i="10"/>
  <c r="CU51" i="10"/>
  <c r="CV51" i="10"/>
  <c r="CV4" i="10"/>
  <c r="BE4" i="10"/>
  <c r="CU4" i="10"/>
  <c r="BC4" i="10"/>
  <c r="CT4" i="10"/>
  <c r="D6" i="3"/>
  <c r="E6" i="3"/>
  <c r="F6" i="3"/>
  <c r="G6" i="3"/>
  <c r="H6" i="3"/>
  <c r="I6" i="3"/>
  <c r="J6" i="3"/>
  <c r="K6" i="3"/>
  <c r="L6" i="3"/>
  <c r="M6" i="3"/>
  <c r="N6" i="3"/>
  <c r="O6" i="3"/>
  <c r="P6" i="3"/>
  <c r="Q6" i="3"/>
  <c r="R6" i="3"/>
  <c r="S6" i="3"/>
  <c r="T6" i="3"/>
  <c r="U6" i="3"/>
  <c r="V6" i="3"/>
  <c r="W6" i="3"/>
  <c r="X6" i="3"/>
  <c r="Y6" i="3"/>
  <c r="Z6" i="3"/>
  <c r="AA6" i="3"/>
  <c r="AB6" i="3"/>
  <c r="AC6" i="3"/>
  <c r="AD6" i="3"/>
  <c r="AE6" i="3"/>
  <c r="C6" i="3"/>
  <c r="B8" i="15"/>
  <c r="B6" i="15"/>
  <c r="B4" i="15"/>
  <c r="B7" i="3" l="1"/>
  <c r="V7" i="3"/>
  <c r="AA7" i="3"/>
  <c r="AC7" i="3"/>
  <c r="C7" i="3"/>
  <c r="W7" i="3"/>
  <c r="G7" i="3"/>
  <c r="AE7" i="3"/>
  <c r="Q7" i="3"/>
  <c r="D7" i="3"/>
  <c r="X7" i="3"/>
  <c r="H7" i="3"/>
  <c r="AD7" i="3"/>
  <c r="N7" i="3"/>
  <c r="P7" i="3"/>
  <c r="R7" i="3"/>
  <c r="E7" i="3"/>
  <c r="Y7" i="3"/>
  <c r="I7" i="3"/>
  <c r="K7" i="3"/>
  <c r="M7" i="3"/>
  <c r="F7" i="3"/>
  <c r="Z7" i="3"/>
  <c r="AB7" i="3"/>
  <c r="J7" i="3"/>
  <c r="L7" i="3"/>
  <c r="O7" i="3"/>
  <c r="T7" i="3"/>
  <c r="U7" i="3"/>
  <c r="S7" i="3"/>
  <c r="AA52" i="10"/>
  <c r="C14" i="12" s="1"/>
  <c r="C15" i="12" s="1"/>
  <c r="Z52" i="10"/>
  <c r="Y52" i="10"/>
  <c r="X52" i="10"/>
  <c r="W52" i="10"/>
  <c r="V52" i="10"/>
  <c r="C13" i="12" s="1"/>
  <c r="U52" i="10"/>
  <c r="T52" i="10"/>
  <c r="S52" i="10"/>
  <c r="N52" i="10"/>
  <c r="C8" i="12" s="1"/>
  <c r="C9" i="12" s="1"/>
  <c r="M52" i="10"/>
  <c r="L52" i="10"/>
  <c r="K52" i="10"/>
  <c r="J52" i="10"/>
  <c r="I52" i="10"/>
  <c r="C7" i="12" s="1"/>
  <c r="C10" i="12" s="1"/>
  <c r="BE51" i="10"/>
  <c r="BD51" i="10"/>
  <c r="BC51" i="10"/>
  <c r="AR51" i="10"/>
  <c r="AQ51" i="10"/>
  <c r="AP51" i="10"/>
  <c r="AE51" i="10"/>
  <c r="AD51" i="10"/>
  <c r="AC51" i="10"/>
  <c r="R51" i="10"/>
  <c r="Q51" i="10"/>
  <c r="P51" i="10"/>
  <c r="BE50" i="10"/>
  <c r="BD50" i="10"/>
  <c r="BC50" i="10"/>
  <c r="AR50" i="10"/>
  <c r="AQ50" i="10"/>
  <c r="AP50" i="10"/>
  <c r="AE50" i="10"/>
  <c r="AD50" i="10"/>
  <c r="AC50" i="10"/>
  <c r="R50" i="10"/>
  <c r="Q50" i="10"/>
  <c r="P50" i="10"/>
  <c r="BE49" i="10"/>
  <c r="BD49" i="10"/>
  <c r="BC49" i="10"/>
  <c r="AR49" i="10"/>
  <c r="AQ49" i="10"/>
  <c r="AP49" i="10"/>
  <c r="AE49" i="10"/>
  <c r="AD49" i="10"/>
  <c r="AC49" i="10"/>
  <c r="R49" i="10"/>
  <c r="Q49" i="10"/>
  <c r="P49" i="10"/>
  <c r="BE48" i="10"/>
  <c r="BD48" i="10"/>
  <c r="BC48" i="10"/>
  <c r="AR48" i="10"/>
  <c r="AQ48" i="10"/>
  <c r="AP48" i="10"/>
  <c r="AE48" i="10"/>
  <c r="AD48" i="10"/>
  <c r="AC48" i="10"/>
  <c r="R48" i="10"/>
  <c r="Q48" i="10"/>
  <c r="P48" i="10"/>
  <c r="BE47" i="10"/>
  <c r="BD47" i="10"/>
  <c r="BC47" i="10"/>
  <c r="AR47" i="10"/>
  <c r="AQ47" i="10"/>
  <c r="AP47" i="10"/>
  <c r="AE47" i="10"/>
  <c r="AD47" i="10"/>
  <c r="AC47" i="10"/>
  <c r="R47" i="10"/>
  <c r="Q47" i="10"/>
  <c r="P47" i="10"/>
  <c r="BE46" i="10"/>
  <c r="BD46" i="10"/>
  <c r="BC46" i="10"/>
  <c r="AR46" i="10"/>
  <c r="AQ46" i="10"/>
  <c r="AP46" i="10"/>
  <c r="AE46" i="10"/>
  <c r="AD46" i="10"/>
  <c r="AC46" i="10"/>
  <c r="R46" i="10"/>
  <c r="Q46" i="10"/>
  <c r="P46" i="10"/>
  <c r="BE45" i="10"/>
  <c r="BD45" i="10"/>
  <c r="BC45" i="10"/>
  <c r="AR45" i="10"/>
  <c r="AQ45" i="10"/>
  <c r="AP45" i="10"/>
  <c r="AE45" i="10"/>
  <c r="AD45" i="10"/>
  <c r="AC45" i="10"/>
  <c r="R45" i="10"/>
  <c r="Q45" i="10"/>
  <c r="P45" i="10"/>
  <c r="BE44" i="10"/>
  <c r="BD44" i="10"/>
  <c r="BC44" i="10"/>
  <c r="AR44" i="10"/>
  <c r="AQ44" i="10"/>
  <c r="AP44" i="10"/>
  <c r="AE44" i="10"/>
  <c r="AD44" i="10"/>
  <c r="AC44" i="10"/>
  <c r="R44" i="10"/>
  <c r="Q44" i="10"/>
  <c r="P44" i="10"/>
  <c r="BE43" i="10"/>
  <c r="BD43" i="10"/>
  <c r="BC43" i="10"/>
  <c r="AR43" i="10"/>
  <c r="AQ43" i="10"/>
  <c r="AP43" i="10"/>
  <c r="AE43" i="10"/>
  <c r="AD43" i="10"/>
  <c r="AC43" i="10"/>
  <c r="R43" i="10"/>
  <c r="Q43" i="10"/>
  <c r="P43" i="10"/>
  <c r="BE42" i="10"/>
  <c r="BD42" i="10"/>
  <c r="BC42" i="10"/>
  <c r="AR42" i="10"/>
  <c r="AQ42" i="10"/>
  <c r="AP42" i="10"/>
  <c r="AE42" i="10"/>
  <c r="AD42" i="10"/>
  <c r="AC42" i="10"/>
  <c r="R42" i="10"/>
  <c r="Q42" i="10"/>
  <c r="P42" i="10"/>
  <c r="BE41" i="10"/>
  <c r="BD41" i="10"/>
  <c r="BC41" i="10"/>
  <c r="AR41" i="10"/>
  <c r="AQ41" i="10"/>
  <c r="AP41" i="10"/>
  <c r="AE41" i="10"/>
  <c r="AD41" i="10"/>
  <c r="AC41" i="10"/>
  <c r="R41" i="10"/>
  <c r="Q41" i="10"/>
  <c r="P41" i="10"/>
  <c r="BE40" i="10"/>
  <c r="BD40" i="10"/>
  <c r="BC40" i="10"/>
  <c r="AR40" i="10"/>
  <c r="AQ40" i="10"/>
  <c r="AP40" i="10"/>
  <c r="AE40" i="10"/>
  <c r="AD40" i="10"/>
  <c r="AC40" i="10"/>
  <c r="R40" i="10"/>
  <c r="Q40" i="10"/>
  <c r="P40" i="10"/>
  <c r="BE39" i="10"/>
  <c r="BD39" i="10"/>
  <c r="BC39" i="10"/>
  <c r="AR39" i="10"/>
  <c r="AQ39" i="10"/>
  <c r="AP39" i="10"/>
  <c r="AE39" i="10"/>
  <c r="AD39" i="10"/>
  <c r="AC39" i="10"/>
  <c r="R39" i="10"/>
  <c r="Q39" i="10"/>
  <c r="P39" i="10"/>
  <c r="BE38" i="10"/>
  <c r="BD38" i="10"/>
  <c r="BC38" i="10"/>
  <c r="AR38" i="10"/>
  <c r="AQ38" i="10"/>
  <c r="AP38" i="10"/>
  <c r="AE38" i="10"/>
  <c r="AD38" i="10"/>
  <c r="AC38" i="10"/>
  <c r="R38" i="10"/>
  <c r="Q38" i="10"/>
  <c r="P38" i="10"/>
  <c r="BE37" i="10"/>
  <c r="BD37" i="10"/>
  <c r="BC37" i="10"/>
  <c r="AR37" i="10"/>
  <c r="AQ37" i="10"/>
  <c r="AP37" i="10"/>
  <c r="AE37" i="10"/>
  <c r="AD37" i="10"/>
  <c r="AC37" i="10"/>
  <c r="R37" i="10"/>
  <c r="Q37" i="10"/>
  <c r="P37" i="10"/>
  <c r="BE36" i="10"/>
  <c r="BD36" i="10"/>
  <c r="BC36" i="10"/>
  <c r="AR36" i="10"/>
  <c r="AQ36" i="10"/>
  <c r="AP36" i="10"/>
  <c r="AE36" i="10"/>
  <c r="AD36" i="10"/>
  <c r="AC36" i="10"/>
  <c r="R36" i="10"/>
  <c r="Q36" i="10"/>
  <c r="P36" i="10"/>
  <c r="BE35" i="10"/>
  <c r="BD35" i="10"/>
  <c r="BC35" i="10"/>
  <c r="AR35" i="10"/>
  <c r="AQ35" i="10"/>
  <c r="AP35" i="10"/>
  <c r="AE35" i="10"/>
  <c r="AD35" i="10"/>
  <c r="AC35" i="10"/>
  <c r="R35" i="10"/>
  <c r="Q35" i="10"/>
  <c r="P35" i="10"/>
  <c r="BE34" i="10"/>
  <c r="BD34" i="10"/>
  <c r="BC34" i="10"/>
  <c r="AR34" i="10"/>
  <c r="AQ34" i="10"/>
  <c r="AP34" i="10"/>
  <c r="AE34" i="10"/>
  <c r="AD34" i="10"/>
  <c r="AC34" i="10"/>
  <c r="R34" i="10"/>
  <c r="Q34" i="10"/>
  <c r="P34" i="10"/>
  <c r="BE33" i="10"/>
  <c r="BD33" i="10"/>
  <c r="BC33" i="10"/>
  <c r="AR33" i="10"/>
  <c r="AQ33" i="10"/>
  <c r="AP33" i="10"/>
  <c r="AE33" i="10"/>
  <c r="AD33" i="10"/>
  <c r="AC33" i="10"/>
  <c r="R33" i="10"/>
  <c r="Q33" i="10"/>
  <c r="P33" i="10"/>
  <c r="BE32" i="10"/>
  <c r="BD32" i="10"/>
  <c r="BC32" i="10"/>
  <c r="AR32" i="10"/>
  <c r="AQ32" i="10"/>
  <c r="AP32" i="10"/>
  <c r="AE32" i="10"/>
  <c r="AD32" i="10"/>
  <c r="AC32" i="10"/>
  <c r="R32" i="10"/>
  <c r="Q32" i="10"/>
  <c r="P32" i="10"/>
  <c r="BE31" i="10"/>
  <c r="BD31" i="10"/>
  <c r="BC31" i="10"/>
  <c r="AR31" i="10"/>
  <c r="AQ31" i="10"/>
  <c r="AP31" i="10"/>
  <c r="AE31" i="10"/>
  <c r="AD31" i="10"/>
  <c r="AC31" i="10"/>
  <c r="R31" i="10"/>
  <c r="Q31" i="10"/>
  <c r="P31" i="10"/>
  <c r="BE30" i="10"/>
  <c r="BD30" i="10"/>
  <c r="BC30" i="10"/>
  <c r="AR30" i="10"/>
  <c r="AQ30" i="10"/>
  <c r="AP30" i="10"/>
  <c r="AE30" i="10"/>
  <c r="AD30" i="10"/>
  <c r="AC30" i="10"/>
  <c r="R30" i="10"/>
  <c r="Q30" i="10"/>
  <c r="P30" i="10"/>
  <c r="BE29" i="10"/>
  <c r="BD29" i="10"/>
  <c r="BC29" i="10"/>
  <c r="AR29" i="10"/>
  <c r="AQ29" i="10"/>
  <c r="AP29" i="10"/>
  <c r="AE29" i="10"/>
  <c r="AD29" i="10"/>
  <c r="AC29" i="10"/>
  <c r="R29" i="10"/>
  <c r="Q29" i="10"/>
  <c r="P29" i="10"/>
  <c r="BE28" i="10"/>
  <c r="BD28" i="10"/>
  <c r="BC28" i="10"/>
  <c r="AR28" i="10"/>
  <c r="AQ28" i="10"/>
  <c r="AP28" i="10"/>
  <c r="AE28" i="10"/>
  <c r="AD28" i="10"/>
  <c r="AC28" i="10"/>
  <c r="R28" i="10"/>
  <c r="Q28" i="10"/>
  <c r="P28" i="10"/>
  <c r="BE27" i="10"/>
  <c r="BD27" i="10"/>
  <c r="BC27" i="10"/>
  <c r="AR27" i="10"/>
  <c r="AQ27" i="10"/>
  <c r="AP27" i="10"/>
  <c r="AE27" i="10"/>
  <c r="AD27" i="10"/>
  <c r="AC27" i="10"/>
  <c r="R27" i="10"/>
  <c r="Q27" i="10"/>
  <c r="P27" i="10"/>
  <c r="BE26" i="10"/>
  <c r="BD26" i="10"/>
  <c r="BC26" i="10"/>
  <c r="AR26" i="10"/>
  <c r="AQ26" i="10"/>
  <c r="AP26" i="10"/>
  <c r="AE26" i="10"/>
  <c r="AD26" i="10"/>
  <c r="AC26" i="10"/>
  <c r="R26" i="10"/>
  <c r="Q26" i="10"/>
  <c r="P26" i="10"/>
  <c r="BE25" i="10"/>
  <c r="BD25" i="10"/>
  <c r="BC25" i="10"/>
  <c r="AR25" i="10"/>
  <c r="AQ25" i="10"/>
  <c r="AP25" i="10"/>
  <c r="AE25" i="10"/>
  <c r="AD25" i="10"/>
  <c r="AC25" i="10"/>
  <c r="R25" i="10"/>
  <c r="Q25" i="10"/>
  <c r="P25" i="10"/>
  <c r="BE24" i="10"/>
  <c r="BD24" i="10"/>
  <c r="BC24" i="10"/>
  <c r="AR24" i="10"/>
  <c r="AQ24" i="10"/>
  <c r="AP24" i="10"/>
  <c r="AE24" i="10"/>
  <c r="AD24" i="10"/>
  <c r="AC24" i="10"/>
  <c r="R24" i="10"/>
  <c r="Q24" i="10"/>
  <c r="P24" i="10"/>
  <c r="BE23" i="10"/>
  <c r="BD23" i="10"/>
  <c r="BC23" i="10"/>
  <c r="AR23" i="10"/>
  <c r="AQ23" i="10"/>
  <c r="AP23" i="10"/>
  <c r="AE23" i="10"/>
  <c r="AD23" i="10"/>
  <c r="AC23" i="10"/>
  <c r="R23" i="10"/>
  <c r="Q23" i="10"/>
  <c r="P23" i="10"/>
  <c r="BE22" i="10"/>
  <c r="BD22" i="10"/>
  <c r="BC22" i="10"/>
  <c r="AR22" i="10"/>
  <c r="AQ22" i="10"/>
  <c r="AP22" i="10"/>
  <c r="AE22" i="10"/>
  <c r="AD22" i="10"/>
  <c r="AC22" i="10"/>
  <c r="R22" i="10"/>
  <c r="Q22" i="10"/>
  <c r="P22" i="10"/>
  <c r="BE21" i="10"/>
  <c r="BD21" i="10"/>
  <c r="BC21" i="10"/>
  <c r="AR21" i="10"/>
  <c r="AQ21" i="10"/>
  <c r="AP21" i="10"/>
  <c r="AE21" i="10"/>
  <c r="AD21" i="10"/>
  <c r="AC21" i="10"/>
  <c r="R21" i="10"/>
  <c r="Q21" i="10"/>
  <c r="P21" i="10"/>
  <c r="BE20" i="10"/>
  <c r="BD20" i="10"/>
  <c r="BC20" i="10"/>
  <c r="AR20" i="10"/>
  <c r="AQ20" i="10"/>
  <c r="AP20" i="10"/>
  <c r="AE20" i="10"/>
  <c r="AD20" i="10"/>
  <c r="AC20" i="10"/>
  <c r="R20" i="10"/>
  <c r="Q20" i="10"/>
  <c r="P20" i="10"/>
  <c r="BE19" i="10"/>
  <c r="BD19" i="10"/>
  <c r="BC19" i="10"/>
  <c r="AR19" i="10"/>
  <c r="AQ19" i="10"/>
  <c r="AP19" i="10"/>
  <c r="AE19" i="10"/>
  <c r="AD19" i="10"/>
  <c r="AC19" i="10"/>
  <c r="R19" i="10"/>
  <c r="Q19" i="10"/>
  <c r="P19" i="10"/>
  <c r="BE18" i="10"/>
  <c r="BD18" i="10"/>
  <c r="BC18" i="10"/>
  <c r="AR18" i="10"/>
  <c r="AQ18" i="10"/>
  <c r="AP18" i="10"/>
  <c r="AE18" i="10"/>
  <c r="AD18" i="10"/>
  <c r="AC18" i="10"/>
  <c r="R18" i="10"/>
  <c r="Q18" i="10"/>
  <c r="P18" i="10"/>
  <c r="BE17" i="10"/>
  <c r="BD17" i="10"/>
  <c r="BC17" i="10"/>
  <c r="AR17" i="10"/>
  <c r="AQ17" i="10"/>
  <c r="AP17" i="10"/>
  <c r="AE17" i="10"/>
  <c r="AD17" i="10"/>
  <c r="AC17" i="10"/>
  <c r="R17" i="10"/>
  <c r="Q17" i="10"/>
  <c r="P17" i="10"/>
  <c r="BE16" i="10"/>
  <c r="BD16" i="10"/>
  <c r="BC16" i="10"/>
  <c r="AR16" i="10"/>
  <c r="AQ16" i="10"/>
  <c r="AP16" i="10"/>
  <c r="AE16" i="10"/>
  <c r="AD16" i="10"/>
  <c r="AC16" i="10"/>
  <c r="R16" i="10"/>
  <c r="Q16" i="10"/>
  <c r="P16" i="10"/>
  <c r="BE15" i="10"/>
  <c r="BD15" i="10"/>
  <c r="BC15" i="10"/>
  <c r="AR15" i="10"/>
  <c r="AQ15" i="10"/>
  <c r="AP15" i="10"/>
  <c r="AE15" i="10"/>
  <c r="AD15" i="10"/>
  <c r="AC15" i="10"/>
  <c r="R15" i="10"/>
  <c r="Q15" i="10"/>
  <c r="P15" i="10"/>
  <c r="BE14" i="10"/>
  <c r="BD14" i="10"/>
  <c r="BC14" i="10"/>
  <c r="AR14" i="10"/>
  <c r="AQ14" i="10"/>
  <c r="AP14" i="10"/>
  <c r="AE14" i="10"/>
  <c r="AD14" i="10"/>
  <c r="AC14" i="10"/>
  <c r="R14" i="10"/>
  <c r="Q14" i="10"/>
  <c r="P14" i="10"/>
  <c r="BE13" i="10"/>
  <c r="BD13" i="10"/>
  <c r="BC13" i="10"/>
  <c r="AR13" i="10"/>
  <c r="AQ13" i="10"/>
  <c r="AP13" i="10"/>
  <c r="AE13" i="10"/>
  <c r="AD13" i="10"/>
  <c r="AC13" i="10"/>
  <c r="R13" i="10"/>
  <c r="Q13" i="10"/>
  <c r="P13" i="10"/>
  <c r="BE12" i="10"/>
  <c r="BD12" i="10"/>
  <c r="BC12" i="10"/>
  <c r="AR12" i="10"/>
  <c r="AQ12" i="10"/>
  <c r="AP12" i="10"/>
  <c r="AE12" i="10"/>
  <c r="AD12" i="10"/>
  <c r="AC12" i="10"/>
  <c r="R12" i="10"/>
  <c r="Q12" i="10"/>
  <c r="P12" i="10"/>
  <c r="BE11" i="10"/>
  <c r="BD11" i="10"/>
  <c r="BC11" i="10"/>
  <c r="AR11" i="10"/>
  <c r="AQ11" i="10"/>
  <c r="AP11" i="10"/>
  <c r="AE11" i="10"/>
  <c r="AD11" i="10"/>
  <c r="AC11" i="10"/>
  <c r="R11" i="10"/>
  <c r="Q11" i="10"/>
  <c r="P11" i="10"/>
  <c r="BE10" i="10"/>
  <c r="BD10" i="10"/>
  <c r="BC10" i="10"/>
  <c r="AR10" i="10"/>
  <c r="AQ10" i="10"/>
  <c r="AP10" i="10"/>
  <c r="AE10" i="10"/>
  <c r="AD10" i="10"/>
  <c r="AC10" i="10"/>
  <c r="R10" i="10"/>
  <c r="Q10" i="10"/>
  <c r="P10" i="10"/>
  <c r="BE9" i="10"/>
  <c r="BD9" i="10"/>
  <c r="BC9" i="10"/>
  <c r="AR9" i="10"/>
  <c r="AQ9" i="10"/>
  <c r="AP9" i="10"/>
  <c r="AE9" i="10"/>
  <c r="AD9" i="10"/>
  <c r="AC9" i="10"/>
  <c r="R9" i="10"/>
  <c r="Q9" i="10"/>
  <c r="P9" i="10"/>
  <c r="BE8" i="10"/>
  <c r="BD8" i="10"/>
  <c r="BC8" i="10"/>
  <c r="AR8" i="10"/>
  <c r="AQ8" i="10"/>
  <c r="AP8" i="10"/>
  <c r="AE8" i="10"/>
  <c r="AD8" i="10"/>
  <c r="AC8" i="10"/>
  <c r="R8" i="10"/>
  <c r="Q8" i="10"/>
  <c r="P8" i="10"/>
  <c r="BE7" i="10"/>
  <c r="BD7" i="10"/>
  <c r="BC7" i="10"/>
  <c r="AR7" i="10"/>
  <c r="AQ7" i="10"/>
  <c r="AP7" i="10"/>
  <c r="AE7" i="10"/>
  <c r="AD7" i="10"/>
  <c r="AC7" i="10"/>
  <c r="R7" i="10"/>
  <c r="Q7" i="10"/>
  <c r="P7" i="10"/>
  <c r="BE6" i="10"/>
  <c r="BD6" i="10"/>
  <c r="BC6" i="10"/>
  <c r="AR6" i="10"/>
  <c r="AQ6" i="10"/>
  <c r="AP6" i="10"/>
  <c r="AE6" i="10"/>
  <c r="AD6" i="10"/>
  <c r="AC6" i="10"/>
  <c r="R6" i="10"/>
  <c r="Q6" i="10"/>
  <c r="P6" i="10"/>
  <c r="BE5" i="10"/>
  <c r="BD5" i="10"/>
  <c r="BC5" i="10"/>
  <c r="AR5" i="10"/>
  <c r="AQ5" i="10"/>
  <c r="AP5" i="10"/>
  <c r="AE5" i="10"/>
  <c r="AD5" i="10"/>
  <c r="AC5" i="10"/>
  <c r="R5" i="10"/>
  <c r="Q5" i="10"/>
  <c r="P5" i="10"/>
  <c r="BD4" i="10"/>
  <c r="AR4" i="10"/>
  <c r="AQ4" i="10"/>
  <c r="AP4" i="10"/>
  <c r="AE4" i="10"/>
  <c r="AD4" i="10"/>
  <c r="AC4" i="10"/>
  <c r="R4" i="10"/>
  <c r="Q4" i="10"/>
  <c r="P4"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<sst xmlns="http://schemas.openxmlformats.org/spreadsheetml/2006/main" count="4632" uniqueCount="356">
  <si>
    <t>PLANAbPiaSY Potential Land Area Newly Affected by Policy in a Single Year</t>
  </si>
  <si>
    <t>Sources:</t>
  </si>
  <si>
    <t>forest set asides</t>
  </si>
  <si>
    <t>afforestation and reforestation</t>
  </si>
  <si>
    <t>improved forest management</t>
  </si>
  <si>
    <t>avoid deforestation</t>
  </si>
  <si>
    <t>peatland restoration</t>
  </si>
  <si>
    <t>forest restoration</t>
  </si>
  <si>
    <t>acres</t>
  </si>
  <si>
    <t>Connecticut</t>
  </si>
  <si>
    <t>Alabama</t>
  </si>
  <si>
    <t>Arkansas</t>
  </si>
  <si>
    <t>Arizona</t>
  </si>
  <si>
    <t>Delaware</t>
  </si>
  <si>
    <t>Florida</t>
  </si>
  <si>
    <t>California</t>
  </si>
  <si>
    <t>Iowa</t>
  </si>
  <si>
    <t>Georgia</t>
  </si>
  <si>
    <t>Colorado</t>
  </si>
  <si>
    <t>Illinois</t>
  </si>
  <si>
    <t>Kentucky</t>
  </si>
  <si>
    <t>Indiana</t>
  </si>
  <si>
    <t>Louisiana</t>
  </si>
  <si>
    <t>Massachusetts</t>
  </si>
  <si>
    <t>Mississippi</t>
  </si>
  <si>
    <t>Idaho</t>
  </si>
  <si>
    <t>Maryland</t>
  </si>
  <si>
    <t>North Carolina</t>
  </si>
  <si>
    <t>Kansas</t>
  </si>
  <si>
    <t>Maine</t>
  </si>
  <si>
    <t>Oklahoma</t>
  </si>
  <si>
    <t>Montana</t>
  </si>
  <si>
    <t>Michigan</t>
  </si>
  <si>
    <t>North Dakota</t>
  </si>
  <si>
    <t>Minnesota</t>
  </si>
  <si>
    <t>South Carolina</t>
  </si>
  <si>
    <t>Nebraska</t>
  </si>
  <si>
    <t>Missouri</t>
  </si>
  <si>
    <t>Tennessee</t>
  </si>
  <si>
    <t>Nevada</t>
  </si>
  <si>
    <t>New Hampshire</t>
  </si>
  <si>
    <t>Texas</t>
  </si>
  <si>
    <t>New Mexico</t>
  </si>
  <si>
    <t>New Jersey</t>
  </si>
  <si>
    <t>Virginia</t>
  </si>
  <si>
    <t>Oregon</t>
  </si>
  <si>
    <t>New York</t>
  </si>
  <si>
    <t>South Dakota</t>
  </si>
  <si>
    <t>Ohio</t>
  </si>
  <si>
    <t>Utah</t>
  </si>
  <si>
    <t>Pennsylvania</t>
  </si>
  <si>
    <t>Washington</t>
  </si>
  <si>
    <t>Rhode Island</t>
  </si>
  <si>
    <t>Wyoming</t>
  </si>
  <si>
    <t>Vermont</t>
  </si>
  <si>
    <t>Wisconsin</t>
  </si>
  <si>
    <t>West Virginia</t>
  </si>
  <si>
    <t>Notes</t>
  </si>
  <si>
    <t>Potential Land Area (acres/year)</t>
  </si>
  <si>
    <t>0-10 $/ton</t>
  </si>
  <si>
    <t>0-50 $/ton</t>
  </si>
  <si>
    <t>0-100 $/ton</t>
  </si>
  <si>
    <t>max $ton</t>
  </si>
  <si>
    <t>IGNORE - zero</t>
  </si>
  <si>
    <t>IGNORE-max</t>
  </si>
  <si>
    <t>REFORESTATION</t>
  </si>
  <si>
    <t>Average CO2/Acre</t>
  </si>
  <si>
    <t>Total acres</t>
  </si>
  <si>
    <t>Avoided forest conversion</t>
  </si>
  <si>
    <t>RICE</t>
  </si>
  <si>
    <t>FIRE</t>
  </si>
  <si>
    <t>state_name</t>
  </si>
  <si>
    <t>State_abv</t>
  </si>
  <si>
    <t>state_fips</t>
  </si>
  <si>
    <t>emis_tot</t>
  </si>
  <si>
    <t>emis_xlulc</t>
  </si>
  <si>
    <t>refor_0</t>
  </si>
  <si>
    <t>refor_1</t>
  </si>
  <si>
    <t>refor_2</t>
  </si>
  <si>
    <t>refor_3</t>
  </si>
  <si>
    <t>refor_4</t>
  </si>
  <si>
    <t>refor_area_0</t>
  </si>
  <si>
    <t>refor_area_1</t>
  </si>
  <si>
    <t>refor_area_2</t>
  </si>
  <si>
    <t>refor_area_3</t>
  </si>
  <si>
    <t>refor_area_4</t>
  </si>
  <si>
    <t>$/ton/yr</t>
  </si>
  <si>
    <t>tons/acre</t>
  </si>
  <si>
    <t>acres (0-100)</t>
  </si>
  <si>
    <t>defor_0</t>
  </si>
  <si>
    <t>defor_1</t>
  </si>
  <si>
    <t>defor_2</t>
  </si>
  <si>
    <t>defor_3</t>
  </si>
  <si>
    <t>defor_4</t>
  </si>
  <si>
    <t>defor_area_0</t>
  </si>
  <si>
    <t>defor_area_1</t>
  </si>
  <si>
    <t>defor_area_2</t>
  </si>
  <si>
    <t>defor_area_3</t>
  </si>
  <si>
    <t>defor_area_4</t>
  </si>
  <si>
    <t>average $/MTCO2/yr</t>
  </si>
  <si>
    <t>MTCO2/million acres</t>
  </si>
  <si>
    <t>rice_0</t>
  </si>
  <si>
    <t>rice_1</t>
  </si>
  <si>
    <t>rice_2</t>
  </si>
  <si>
    <t>rice_3</t>
  </si>
  <si>
    <t>rice_4</t>
  </si>
  <si>
    <t>rice_area_0</t>
  </si>
  <si>
    <t>rice_area_1</t>
  </si>
  <si>
    <t>rice_area_2</t>
  </si>
  <si>
    <t>rice_area_3</t>
  </si>
  <si>
    <t>rice_area_4</t>
  </si>
  <si>
    <t>fire_0</t>
  </si>
  <si>
    <t>fire_1</t>
  </si>
  <si>
    <t>fire_2</t>
  </si>
  <si>
    <t>fire_3</t>
  </si>
  <si>
    <t>fire_4</t>
  </si>
  <si>
    <t>fire_area_0</t>
  </si>
  <si>
    <t>fire_area_1</t>
  </si>
  <si>
    <t>fire_area_2</t>
  </si>
  <si>
    <t>fire_area_3</t>
  </si>
  <si>
    <t>fire_area_4</t>
  </si>
  <si>
    <t>urban_0</t>
  </si>
  <si>
    <t>urban_1</t>
  </si>
  <si>
    <t>urban_2</t>
  </si>
  <si>
    <t>urban_3</t>
  </si>
  <si>
    <t>urban_4</t>
  </si>
  <si>
    <t>urban_area_0</t>
  </si>
  <si>
    <t>urban_area_1</t>
  </si>
  <si>
    <t>urban_area_2</t>
  </si>
  <si>
    <t>urban_area_3</t>
  </si>
  <si>
    <t>urban_area_4</t>
  </si>
  <si>
    <t>cov_crop_0</t>
  </si>
  <si>
    <t>cov_crop_1</t>
  </si>
  <si>
    <t>cov_crop_2</t>
  </si>
  <si>
    <t>cov_crop_3</t>
  </si>
  <si>
    <t>cov_crop_4</t>
  </si>
  <si>
    <t>cov_crop_area_0</t>
  </si>
  <si>
    <t>cov_crop_area_1</t>
  </si>
  <si>
    <t>cov_crop_area_2</t>
  </si>
  <si>
    <t>cov_crop_area_3</t>
  </si>
  <si>
    <t>cov_crop_area_4</t>
  </si>
  <si>
    <t>aly_crop_0</t>
  </si>
  <si>
    <t>aly_crop_1</t>
  </si>
  <si>
    <t>aly_crop_2</t>
  </si>
  <si>
    <t>aly_crop_3</t>
  </si>
  <si>
    <t>aly_crop_4</t>
  </si>
  <si>
    <t>aly_crop_area_0</t>
  </si>
  <si>
    <t>aly_crop_area_1</t>
  </si>
  <si>
    <t>aly_crop_area_2</t>
  </si>
  <si>
    <t>aly_crop_area_3</t>
  </si>
  <si>
    <t>aly_crop_area_4</t>
  </si>
  <si>
    <t>grass_con_0</t>
  </si>
  <si>
    <t>grass_con_1</t>
  </si>
  <si>
    <t>grass_con_2</t>
  </si>
  <si>
    <t>grass_con_3</t>
  </si>
  <si>
    <t>grass_con_4</t>
  </si>
  <si>
    <t>grass_con_area_0</t>
  </si>
  <si>
    <t>grass_con_area_1</t>
  </si>
  <si>
    <t>grass_con_area_2</t>
  </si>
  <si>
    <t>grass_con_area_3</t>
  </si>
  <si>
    <t>grass_con_area_4</t>
  </si>
  <si>
    <t>grass_res_0</t>
  </si>
  <si>
    <t>grass_res_1</t>
  </si>
  <si>
    <t>grass_res_2</t>
  </si>
  <si>
    <t>grass_res_3</t>
  </si>
  <si>
    <t>grass_res_4</t>
  </si>
  <si>
    <t>grass_res_area_0</t>
  </si>
  <si>
    <t>grass_res_area_1</t>
  </si>
  <si>
    <t>grass_res_area_2</t>
  </si>
  <si>
    <t>grass_res_area_3</t>
  </si>
  <si>
    <t>grass_res_area_4</t>
  </si>
  <si>
    <t>nut_mgt_0</t>
  </si>
  <si>
    <t>nut_mgt_1</t>
  </si>
  <si>
    <t>nut_mgt_2</t>
  </si>
  <si>
    <t>nut_mgt_3</t>
  </si>
  <si>
    <t>nut_mgt_4</t>
  </si>
  <si>
    <t>nut_mgt_area_0</t>
  </si>
  <si>
    <t>nut_mgt_area_1</t>
  </si>
  <si>
    <t>nut_mgt_area_2</t>
  </si>
  <si>
    <t>nut_mgt_area_3</t>
  </si>
  <si>
    <t>nut_mgt_area_4</t>
  </si>
  <si>
    <t>manure_0</t>
  </si>
  <si>
    <t>manure_1</t>
  </si>
  <si>
    <t>manure_2</t>
  </si>
  <si>
    <t>manure_3</t>
  </si>
  <si>
    <t>manure_4</t>
  </si>
  <si>
    <t>manure_area_0</t>
  </si>
  <si>
    <t>manure_area_1</t>
  </si>
  <si>
    <t>manure_area_2</t>
  </si>
  <si>
    <t>manure_area_3</t>
  </si>
  <si>
    <t>manure_area_4</t>
  </si>
  <si>
    <t>AL</t>
  </si>
  <si>
    <t>AR</t>
  </si>
  <si>
    <t>AZ</t>
  </si>
  <si>
    <t>CA</t>
  </si>
  <si>
    <t>CO</t>
  </si>
  <si>
    <t>CT</t>
  </si>
  <si>
    <t>DE</t>
  </si>
  <si>
    <t>FL</t>
  </si>
  <si>
    <t>GA</t>
  </si>
  <si>
    <t>ID</t>
  </si>
  <si>
    <t>IL</t>
  </si>
  <si>
    <t>IN</t>
  </si>
  <si>
    <t>IA</t>
  </si>
  <si>
    <t>KS</t>
  </si>
  <si>
    <t xml:space="preserve">KY </t>
  </si>
  <si>
    <t>LA</t>
  </si>
  <si>
    <t>ME</t>
  </si>
  <si>
    <t>MD</t>
  </si>
  <si>
    <t>MA</t>
  </si>
  <si>
    <t>MI</t>
  </si>
  <si>
    <t>MN</t>
  </si>
  <si>
    <t>MS</t>
  </si>
  <si>
    <t>MO</t>
  </si>
  <si>
    <t>MT</t>
  </si>
  <si>
    <t>NE</t>
  </si>
  <si>
    <t>NV</t>
  </si>
  <si>
    <t>NH</t>
  </si>
  <si>
    <t>NJ</t>
  </si>
  <si>
    <t>NM</t>
  </si>
  <si>
    <t>NY</t>
  </si>
  <si>
    <t>NC</t>
  </si>
  <si>
    <t>ND</t>
  </si>
  <si>
    <t>OH</t>
  </si>
  <si>
    <t>OK</t>
  </si>
  <si>
    <t>OR</t>
  </si>
  <si>
    <t>PA</t>
  </si>
  <si>
    <t>RI</t>
  </si>
  <si>
    <t>SC</t>
  </si>
  <si>
    <t>SD</t>
  </si>
  <si>
    <t xml:space="preserve">TN </t>
  </si>
  <si>
    <t>TX</t>
  </si>
  <si>
    <t>UT</t>
  </si>
  <si>
    <t>VT</t>
  </si>
  <si>
    <t>VA</t>
  </si>
  <si>
    <t>WA</t>
  </si>
  <si>
    <t>WV</t>
  </si>
  <si>
    <t>WI</t>
  </si>
  <si>
    <t>WY</t>
  </si>
  <si>
    <t>TOTAL US</t>
  </si>
  <si>
    <t>Nature4Climate</t>
  </si>
  <si>
    <t>US Carbon Mapper</t>
  </si>
  <si>
    <t>https://nature4climate.org/u-s-carbon-mapper/</t>
  </si>
  <si>
    <t>Data underlying the online mapper send by Joe Fargione upon request September 22, 2021</t>
  </si>
  <si>
    <r>
      <rPr>
        <b/>
        <i/>
        <sz val="11"/>
        <color theme="1"/>
        <rFont val="Calibri"/>
        <family val="2"/>
        <scheme val="minor"/>
      </rPr>
      <t xml:space="preserve">TNC Data: </t>
    </r>
    <r>
      <rPr>
        <i/>
        <sz val="11"/>
        <color theme="1"/>
        <rFont val="Calibri"/>
        <family val="2"/>
        <scheme val="minor"/>
      </rPr>
      <t>based on guidance from TNC Staff at Nature4Climate, we are using bucket 3 which includes abatement potential that costs 0-100$ per ton. Bucket 4 includes abatement potential that could be infinitely expensive</t>
    </r>
  </si>
  <si>
    <r>
      <rPr>
        <b/>
        <sz val="11"/>
        <color theme="1"/>
        <rFont val="Calibri"/>
        <family val="2"/>
        <scheme val="minor"/>
      </rPr>
      <t xml:space="preserve">EPS calculations: </t>
    </r>
    <r>
      <rPr>
        <sz val="11"/>
        <color theme="1"/>
        <rFont val="Calibri"/>
        <family val="2"/>
        <scheme val="minor"/>
      </rPr>
      <t>To estimate average US gCO2/acre/year, we use total available abatement potential from reforestation and deforestation bucket 3 and total acreage bucket 3 to calculate tons/acre</t>
    </r>
  </si>
  <si>
    <t>Note that values are in CO2e</t>
  </si>
  <si>
    <t>Units</t>
  </si>
  <si>
    <t>Reforestation</t>
  </si>
  <si>
    <t>tons/year</t>
  </si>
  <si>
    <t>Total abatement potential:  0-100</t>
  </si>
  <si>
    <t>Total acreage:  0-100</t>
  </si>
  <si>
    <t>Avoided deforestation</t>
  </si>
  <si>
    <t>Acres per year (potential spread over 36 years based on guidance from TNC)</t>
  </si>
  <si>
    <t>ICF Report Summary</t>
  </si>
  <si>
    <t>Restoring Wetlands</t>
  </si>
  <si>
    <t>Measure</t>
  </si>
  <si>
    <t>Acres Covered</t>
  </si>
  <si>
    <t>Restoring Riparian Forest Buffers</t>
  </si>
  <si>
    <t>Total</t>
  </si>
  <si>
    <t>Total Divided Over 29 Years</t>
  </si>
  <si>
    <t>Avoided Grassland Conversion</t>
  </si>
  <si>
    <t>Grassland Restoration</t>
  </si>
  <si>
    <t>Grasslands</t>
  </si>
  <si>
    <t>ICF International</t>
  </si>
  <si>
    <t>Managing Agricultural Land for Greenhouse Gas Mitigation within the United States</t>
  </si>
  <si>
    <t>https://www.usda.gov/sites/default/files/documents/White_Paper_WEB71816.pdf</t>
  </si>
  <si>
    <t>Peatland Restoration</t>
  </si>
  <si>
    <t>pages 36-37</t>
  </si>
  <si>
    <t>Methodology:</t>
  </si>
  <si>
    <t xml:space="preserve">We sum IRA forestry funding that aligns with the scope of the Energy Policy Simulator's LULUCF sector, then assign it to either the model's 'forest management' or 'afforestation and reforestation' levers. We then find the policy setting that matches total government spend over the period of 2023-2031. For Section 23001, we only include the protection of old-growth forests funding and exclude hazardous fuels reduction and vegetation management, which are outside the scope of the model.
The EPS assumes forest management practices need to be consistently implemented in every year in order to maintain emissions reductions. To be conservative, we phase out forest management practices incentivized by the IRA over a period of 4 years rather than assume permanent reductions. </t>
  </si>
  <si>
    <t>Calculations:</t>
  </si>
  <si>
    <t>2022 to 2012 USD</t>
  </si>
  <si>
    <t>Forestry Funding in Inflation Reduction Act of 2022 (Billion USD)</t>
  </si>
  <si>
    <t>hazardous fuels reduction</t>
  </si>
  <si>
    <t>N/A</t>
  </si>
  <si>
    <t>vegetation management</t>
  </si>
  <si>
    <t>environmental reviews</t>
  </si>
  <si>
    <t>protection of old-growth forests</t>
  </si>
  <si>
    <t>forest management</t>
  </si>
  <si>
    <t>competitive grants for climate mitigation</t>
  </si>
  <si>
    <t>wood innovation grant program</t>
  </si>
  <si>
    <t>tree planting</t>
  </si>
  <si>
    <t>admin costs</t>
  </si>
  <si>
    <t>We also adjust this variable to remove the potential implemented as part of Inflation Reduction Act</t>
  </si>
  <si>
    <t xml:space="preserve">Average annual change in GHG flux in the land sector from the baseline across scenarios and models by GHG category. Results are presented in MtCO2e yr-1 from 2025 to 2050. Baseline GHG emissions from the land sector by GHG category are presented in Figure 31. GHG categories are described in Figure 23. FASOMGHG includes all GHG categories, while GLOBIOM does not include forest products, forest soils, or cropland CO2. As the results are presented in atmospheric accounting terms, negative values equal more mitigation than the Baseline. GTM is not included because it does not explicitly model emissions from agriculture. Initial values differ between models because they measure the change from baseline values and models respond differently to different GHG prices. See Box 2 for further discussion on movement of soil carbon across land use categories when LUC land use change occurs in FASOMGHG. </t>
  </si>
  <si>
    <t>Figure</t>
  </si>
  <si>
    <t>Position</t>
  </si>
  <si>
    <t>Year</t>
  </si>
  <si>
    <t>Model</t>
  </si>
  <si>
    <t>Group</t>
  </si>
  <si>
    <t>Growth.Rate</t>
  </si>
  <si>
    <t>Starting.Price</t>
  </si>
  <si>
    <t>Value</t>
  </si>
  <si>
    <t>EPS Map</t>
  </si>
  <si>
    <t>Fig_3.8</t>
  </si>
  <si>
    <t>Bar</t>
  </si>
  <si>
    <t>FASOMGHG</t>
  </si>
  <si>
    <t>Ag Soils</t>
  </si>
  <si>
    <t>3% Growth</t>
  </si>
  <si>
    <t>$50</t>
  </si>
  <si>
    <t>MtCO2e/yr</t>
  </si>
  <si>
    <t>1% Growth</t>
  </si>
  <si>
    <t>$5</t>
  </si>
  <si>
    <t>Cropland Non-CO2</t>
  </si>
  <si>
    <t>Cropland CO2</t>
  </si>
  <si>
    <t>Forest (Existing forests)</t>
  </si>
  <si>
    <t>Forest (New forests)</t>
  </si>
  <si>
    <t>Forest Products</t>
  </si>
  <si>
    <t>Forest Soils</t>
  </si>
  <si>
    <t>Livestock Non-CO2</t>
  </si>
  <si>
    <t>Line</t>
  </si>
  <si>
    <t>$100</t>
  </si>
  <si>
    <t>$20</t>
  </si>
  <si>
    <t>$35</t>
  </si>
  <si>
    <t>GLOBIOM</t>
  </si>
  <si>
    <t>Sum of Value</t>
  </si>
  <si>
    <t>Column Labels</t>
  </si>
  <si>
    <t>Row Labels</t>
  </si>
  <si>
    <t>Grand Total</t>
  </si>
  <si>
    <t>*handled in agriculture files</t>
  </si>
  <si>
    <t>Check on Total</t>
  </si>
  <si>
    <t>cumulative</t>
  </si>
  <si>
    <t>broken out</t>
  </si>
  <si>
    <t>amount spent</t>
  </si>
  <si>
    <t>cumulative amount spent</t>
  </si>
  <si>
    <t>annual target</t>
  </si>
  <si>
    <t>used in IRA scenario</t>
  </si>
  <si>
    <t>total (g)</t>
  </si>
  <si>
    <t>potential remaining in IRA scenario</t>
  </si>
  <si>
    <t>interpolated total potential before IRA</t>
  </si>
  <si>
    <t>interpolated potential after IRA</t>
  </si>
  <si>
    <t>grams/acre/year</t>
  </si>
  <si>
    <t>potential cumulative acreage</t>
  </si>
  <si>
    <t>Per Acre</t>
  </si>
  <si>
    <t>CO2 Abated (g)</t>
  </si>
  <si>
    <t>Source:</t>
  </si>
  <si>
    <t>consultation with American Forest Foundation</t>
  </si>
  <si>
    <t>see file land/CApULAbIFM</t>
  </si>
  <si>
    <t>potential annual acreage</t>
  </si>
  <si>
    <t>CO2 per land unit: reforestation and grasslands</t>
  </si>
  <si>
    <t>EPA</t>
  </si>
  <si>
    <t>Forestry and Agriculture Sector Mitigation Analysis</t>
  </si>
  <si>
    <t>https://www.epa.gov/climate-change/climate-economic-analysis#Forestry%20and%20Agriculture%20Mitigation</t>
  </si>
  <si>
    <t>Figure 3-8</t>
  </si>
  <si>
    <t>Forest management and afforestation/reforestation potential CO2 abatement</t>
  </si>
  <si>
    <t>Our main data source is EPA's 2024 report which compiles an integrated abatement potential</t>
  </si>
  <si>
    <t xml:space="preserve">across the agriculture and forestry sectors. We map their abatement activities to the forest </t>
  </si>
  <si>
    <t>management and afforestation/reforestation levers. We do not use the forest set aside or</t>
  </si>
  <si>
    <t>deforestation levers. The EPA does not cover grasslands or wetlands, so we use separate TNC</t>
  </si>
  <si>
    <t>and ICF data for those ecosystems.</t>
  </si>
  <si>
    <t>Total Target Spend by EPS Policy, by year</t>
  </si>
  <si>
    <t>see EPA land and ag calcs for further calculations using EPA data</t>
  </si>
  <si>
    <t>interpolated potential achieved in IRA (see land/BLAPE)</t>
  </si>
  <si>
    <t>other: see file CApULAbIFM for forest management CO2 per acre and BLAPE for IRA impacts</t>
  </si>
  <si>
    <t>calculations (see file land/BLAPE for methodology).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</si>
</sst>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0.0%"/>
  </numFmts>
  <fonts count="17"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i/>
      <sz val="11"/>
      <color theme="1"/>
      <name val="Calibri"/>
      <family val="2"/>
      <scheme val="minor"/>
    </font>
    <font>
      <sz val="12"/>
      <color theme="1"/>
      <name val="Calibri"/>
      <family val="2"/>
      <scheme val="minor"/>
    </font>
    <font>
      <sz val="12"/>
      <color theme="1"/>
      <name val="Calibri Light"/>
      <family val="2"/>
    </font>
    <font>
      <b/>
      <sz val="11"/>
      <color theme="1"/>
      <name val="Calibri Light"/>
      <family val="2"/>
    </font>
    <font>
      <sz val="11"/>
      <color theme="1"/>
      <name val="Calibri Light"/>
      <family val="2"/>
    </font>
    <font>
      <b/>
      <sz val="12"/>
      <color theme="1"/>
      <name val="Calibri Light"/>
      <family val="2"/>
    </font>
    <font>
      <b/>
      <i/>
      <sz val="11"/>
      <color theme="1"/>
      <name val="Calibri"/>
      <family val="2"/>
      <scheme val="minor"/>
    </font>
    <font>
      <b/>
      <sz val="11"/>
      <color rgb="FF000000"/>
      <name val="Calibri"/>
      <family val="2"/>
    </font>
    <font>
      <sz val="11"/>
      <color rgb="FF000000"/>
      <name val="Calibri"/>
      <family val="2"/>
    </font>
    <font>
      <sz val="10"/>
      <color theme="1"/>
      <name val="Calibri"/>
      <family val="2"/>
      <scheme val="minor"/>
    </font>
    <font>
      <b/>
      <sz val="10"/>
      <color theme="1"/>
      <name val="Calibri"/>
      <family val="2"/>
      <scheme val="minor"/>
    </font>
    <font>
      <sz val="11"/>
      <color rgb="FF000000"/>
      <name val="Calibri"/>
      <family val="2"/>
      <scheme val="minor"/>
    </font>
    <font>
      <b/>
      <sz val="11"/>
      <color rgb="FF000000"/>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rgb="FFCFE2F3"/>
        <bgColor rgb="FFCFE2F3"/>
      </patternFill>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8">
    <xf numFmtId="0" fontId="0" fillId="0" borderId="0"/>
    <xf numFmtId="0" fontId="3" fillId="0" borderId="0" applyNumberFormat="0" applyFill="0" applyBorder="0" applyAlignment="0" applyProtection="0"/>
    <xf numFmtId="43" fontId="2" fillId="0" borderId="0" applyFont="0" applyFill="0" applyBorder="0" applyAlignment="0" applyProtection="0"/>
    <xf numFmtId="0" fontId="5" fillId="0" borderId="0"/>
    <xf numFmtId="43" fontId="5" fillId="0" borderId="0" applyFont="0" applyFill="0" applyBorder="0" applyAlignment="0" applyProtection="0"/>
    <xf numFmtId="9" fontId="2" fillId="0" borderId="0" applyFont="0" applyFill="0" applyBorder="0" applyAlignment="0" applyProtection="0"/>
    <xf numFmtId="0" fontId="15" fillId="0" borderId="0"/>
    <xf numFmtId="44" fontId="2" fillId="0" borderId="0" applyFont="0" applyFill="0" applyBorder="0" applyAlignment="0" applyProtection="0"/>
  </cellStyleXfs>
  <cellXfs count="68">
    <xf numFmtId="0" fontId="0" fillId="0" borderId="0" xfId="0"/>
    <xf numFmtId="0" fontId="1" fillId="0" borderId="0" xfId="0" applyFont="1"/>
    <xf numFmtId="0" fontId="0" fillId="0" borderId="0" xfId="0" applyAlignment="1">
      <alignment horizontal="right"/>
    </xf>
    <xf numFmtId="1" fontId="0" fillId="0" borderId="0" xfId="0" applyNumberFormat="1"/>
    <xf numFmtId="0" fontId="1" fillId="2" borderId="0" xfId="0" applyFont="1" applyFill="1"/>
    <xf numFmtId="0" fontId="0" fillId="0" borderId="0" xfId="0" applyAlignment="1">
      <alignment horizontal="left"/>
    </xf>
    <xf numFmtId="11" fontId="0" fillId="0" borderId="0" xfId="0" applyNumberFormat="1"/>
    <xf numFmtId="0" fontId="3" fillId="0" borderId="0" xfId="1"/>
    <xf numFmtId="0" fontId="4" fillId="0" borderId="0" xfId="0" applyFont="1"/>
    <xf numFmtId="0" fontId="0" fillId="0" borderId="0" xfId="0" applyAlignment="1">
      <alignment horizontal="left" indent="1"/>
    </xf>
    <xf numFmtId="0" fontId="6" fillId="0" borderId="0" xfId="3" applyFont="1"/>
    <xf numFmtId="164" fontId="7" fillId="0" borderId="0" xfId="4" applyNumberFormat="1" applyFont="1"/>
    <xf numFmtId="164" fontId="8" fillId="0" borderId="0" xfId="4" applyNumberFormat="1" applyFont="1"/>
    <xf numFmtId="0" fontId="6" fillId="3" borderId="0" xfId="3" applyFont="1" applyFill="1"/>
    <xf numFmtId="164" fontId="7" fillId="3" borderId="0" xfId="4" applyNumberFormat="1" applyFont="1" applyFill="1"/>
    <xf numFmtId="0" fontId="6" fillId="4" borderId="0" xfId="3" applyFont="1" applyFill="1"/>
    <xf numFmtId="0" fontId="9" fillId="0" borderId="0" xfId="3" applyFont="1"/>
    <xf numFmtId="0" fontId="9" fillId="3" borderId="0" xfId="3" applyFont="1" applyFill="1"/>
    <xf numFmtId="0" fontId="6" fillId="5" borderId="0" xfId="3" applyFont="1" applyFill="1"/>
    <xf numFmtId="164" fontId="8" fillId="4" borderId="0" xfId="4" applyNumberFormat="1" applyFont="1" applyFill="1"/>
    <xf numFmtId="43" fontId="6" fillId="4" borderId="0" xfId="4" applyFont="1" applyFill="1"/>
    <xf numFmtId="164" fontId="6" fillId="4" borderId="0" xfId="4" applyNumberFormat="1" applyFont="1" applyFill="1"/>
    <xf numFmtId="11" fontId="6" fillId="4" borderId="0" xfId="4" applyNumberFormat="1" applyFont="1" applyFill="1"/>
    <xf numFmtId="43" fontId="8" fillId="4" borderId="0" xfId="4" applyFont="1" applyFill="1"/>
    <xf numFmtId="164" fontId="6" fillId="0" borderId="0" xfId="4" applyNumberFormat="1" applyFont="1"/>
    <xf numFmtId="164" fontId="9" fillId="0" borderId="0" xfId="4" applyNumberFormat="1" applyFont="1"/>
    <xf numFmtId="164" fontId="6" fillId="3" borderId="0" xfId="4" applyNumberFormat="1" applyFont="1" applyFill="1"/>
    <xf numFmtId="164" fontId="9" fillId="3" borderId="0" xfId="4" applyNumberFormat="1" applyFont="1" applyFill="1"/>
    <xf numFmtId="164" fontId="6" fillId="5" borderId="0" xfId="4" applyNumberFormat="1" applyFont="1" applyFill="1"/>
    <xf numFmtId="0" fontId="9" fillId="6" borderId="0" xfId="3" applyFont="1" applyFill="1"/>
    <xf numFmtId="0" fontId="6" fillId="6" borderId="0" xfId="3" applyFont="1" applyFill="1"/>
    <xf numFmtId="43" fontId="6" fillId="6" borderId="0" xfId="3" applyNumberFormat="1" applyFont="1" applyFill="1"/>
    <xf numFmtId="164" fontId="7" fillId="6" borderId="0" xfId="4" applyNumberFormat="1" applyFont="1" applyFill="1"/>
    <xf numFmtId="43" fontId="6" fillId="6" borderId="0" xfId="4" applyFont="1" applyFill="1"/>
    <xf numFmtId="11" fontId="6" fillId="6" borderId="0" xfId="4" applyNumberFormat="1" applyFont="1" applyFill="1"/>
    <xf numFmtId="164" fontId="6" fillId="6" borderId="0" xfId="4" applyNumberFormat="1" applyFont="1" applyFill="1"/>
    <xf numFmtId="43" fontId="8" fillId="6" borderId="0" xfId="4" applyFont="1" applyFill="1"/>
    <xf numFmtId="164" fontId="9" fillId="0" borderId="0" xfId="4" applyNumberFormat="1" applyFont="1" applyFill="1"/>
    <xf numFmtId="164" fontId="8" fillId="0" borderId="0" xfId="4" applyNumberFormat="1" applyFont="1" applyFill="1"/>
    <xf numFmtId="0" fontId="4" fillId="7" borderId="0" xfId="0" applyFont="1" applyFill="1"/>
    <xf numFmtId="0" fontId="0" fillId="7" borderId="0" xfId="0" applyFill="1"/>
    <xf numFmtId="0" fontId="1" fillId="4" borderId="0" xfId="0" applyFont="1" applyFill="1"/>
    <xf numFmtId="164" fontId="0" fillId="0" borderId="0" xfId="2" applyNumberFormat="1" applyFont="1"/>
    <xf numFmtId="164" fontId="0" fillId="0" borderId="0" xfId="0" applyNumberFormat="1"/>
    <xf numFmtId="0" fontId="0" fillId="0" borderId="0" xfId="0" applyAlignment="1">
      <alignment wrapText="1"/>
    </xf>
    <xf numFmtId="0" fontId="11" fillId="8" borderId="0" xfId="0" applyFont="1" applyFill="1"/>
    <xf numFmtId="0" fontId="12" fillId="8" borderId="0" xfId="0" applyFont="1" applyFill="1" applyAlignment="1">
      <alignment horizontal="right"/>
    </xf>
    <xf numFmtId="0" fontId="11" fillId="0" borderId="0" xfId="0" applyFont="1" applyAlignment="1">
      <alignment horizontal="right"/>
    </xf>
    <xf numFmtId="0" fontId="13" fillId="0" borderId="0" xfId="0" applyFont="1" applyAlignment="1">
      <alignment wrapText="1"/>
    </xf>
    <xf numFmtId="0" fontId="13" fillId="0" borderId="0" xfId="0" applyFont="1"/>
    <xf numFmtId="0" fontId="14" fillId="0" borderId="0" xfId="0" applyFont="1"/>
    <xf numFmtId="0" fontId="12" fillId="0" borderId="0" xfId="0" applyFont="1" applyAlignment="1">
      <alignment horizontal="right"/>
    </xf>
    <xf numFmtId="0" fontId="11" fillId="0" borderId="0" xfId="0" applyFont="1"/>
    <xf numFmtId="0" fontId="12" fillId="0" borderId="0" xfId="0" applyFont="1"/>
    <xf numFmtId="4" fontId="13" fillId="0" borderId="0" xfId="0" applyNumberFormat="1" applyFont="1"/>
    <xf numFmtId="11" fontId="13" fillId="0" borderId="0" xfId="0" applyNumberFormat="1" applyFont="1"/>
    <xf numFmtId="165" fontId="13" fillId="0" borderId="0" xfId="5" applyNumberFormat="1" applyFont="1"/>
    <xf numFmtId="9" fontId="13" fillId="0" borderId="0" xfId="5" applyFont="1"/>
    <xf numFmtId="0" fontId="0" fillId="9" borderId="0" xfId="0" applyFill="1"/>
    <xf numFmtId="0" fontId="15" fillId="0" borderId="0" xfId="6"/>
    <xf numFmtId="0" fontId="15" fillId="0" borderId="0" xfId="6" applyAlignment="1">
      <alignment horizontal="left"/>
    </xf>
    <xf numFmtId="0" fontId="16" fillId="0" borderId="0" xfId="6" applyFont="1"/>
    <xf numFmtId="44" fontId="15" fillId="0" borderId="0" xfId="7" applyFont="1"/>
    <xf numFmtId="9" fontId="15" fillId="0" borderId="0" xfId="5" applyFont="1"/>
    <xf numFmtId="10" fontId="15" fillId="0" borderId="0" xfId="5" applyNumberFormat="1" applyFont="1"/>
    <xf numFmtId="164" fontId="0" fillId="10" borderId="0" xfId="2" applyNumberFormat="1" applyFont="1" applyFill="1"/>
    <xf numFmtId="11" fontId="15" fillId="0" borderId="0" xfId="6" applyNumberFormat="1"/>
    <xf numFmtId="0" fontId="15" fillId="0" borderId="0" xfId="6" applyAlignment="1">
      <alignment horizontal="left" vertical="center" wrapText="1"/>
    </xf>
  </cellXfs>
  <cellStyles count="8">
    <cellStyle name="Comma" xfId="2" builtinId="3"/>
    <cellStyle name="Comma 2" xfId="4" xr:uid="{DE5C1F08-8D32-485A-AE57-A6B901E59438}"/>
    <cellStyle name="Currency" xfId="7" builtinId="4"/>
    <cellStyle name="Hyperlink" xfId="1" builtinId="8"/>
    <cellStyle name="Normal" xfId="0" builtinId="0"/>
    <cellStyle name="Normal 2" xfId="3" xr:uid="{C8E16585-9EA0-4D3E-9EA1-6CBA1D704237}"/>
    <cellStyle name="Normal 6" xfId="6" xr:uid="{2225C46C-1616-4E6D-87AE-F8D0A518A8BF}"/>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MeganMahajan/AppData/Local/Microsoft/Windows/INetCache/Content.Outlook/IT62WC5S/2024_forestry_and_agriculture_mitigation_data_annex_430-r-24-002%20(0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426.442328935183" createdVersion="8" refreshedVersion="8" minRefreshableVersion="3" recordCount="601" xr:uid="{66A1E33A-EB36-4BB3-9261-C0C47C745D8D}">
  <cacheSource type="worksheet">
    <worksheetSource ref="A2:I603" sheet="Fig_3.8" r:id="rId2"/>
  </cacheSource>
  <cacheFields count="9">
    <cacheField name="Figure" numFmtId="0">
      <sharedItems containsBlank="1"/>
    </cacheField>
    <cacheField name="Position" numFmtId="0">
      <sharedItems containsBlank="1"/>
    </cacheField>
    <cacheField name="Year" numFmtId="0">
      <sharedItems containsString="0" containsBlank="1" containsNumber="1" containsInteger="1" minValue="2025" maxValue="2055" count="5">
        <n v="2025"/>
        <n v="2035"/>
        <n v="2045"/>
        <n v="2055"/>
        <m/>
      </sharedItems>
    </cacheField>
    <cacheField name="Model" numFmtId="0">
      <sharedItems containsBlank="1" count="3">
        <s v="FASOMGHG"/>
        <s v="GLOBIOM"/>
        <m/>
      </sharedItems>
    </cacheField>
    <cacheField name="Group" numFmtId="0">
      <sharedItems containsBlank="1" count="10">
        <s v="Ag Soils"/>
        <s v="Cropland Non-CO2"/>
        <s v="Cropland CO2"/>
        <s v="Forest (Existing forests)"/>
        <s v="Forest (New forests)"/>
        <s v="Forest Products"/>
        <s v="Forest Soils"/>
        <s v="Livestock Non-CO2"/>
        <s v="Total"/>
        <m/>
      </sharedItems>
    </cacheField>
    <cacheField name="Growth.Rate" numFmtId="0">
      <sharedItems containsBlank="1" count="3">
        <s v="3% Growth"/>
        <s v="1% Growth"/>
        <m/>
      </sharedItems>
    </cacheField>
    <cacheField name="Starting.Price" numFmtId="0">
      <sharedItems containsBlank="1" count="6">
        <s v="$50"/>
        <s v="$5"/>
        <s v="$100"/>
        <s v="$20"/>
        <s v="$35"/>
        <m/>
      </sharedItems>
    </cacheField>
    <cacheField name="Value" numFmtId="0">
      <sharedItems containsString="0" containsBlank="1" containsNumber="1" minValue="-375" maxValue="126.9"/>
    </cacheField>
    <cacheField name="Uni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s v="Fig_3.8"/>
    <s v="Bar"/>
    <x v="0"/>
    <x v="0"/>
    <x v="0"/>
    <x v="0"/>
    <x v="0"/>
    <n v="126.9"/>
    <s v="MtCO2e/yr"/>
  </r>
  <r>
    <s v="Fig_3.8"/>
    <s v="Bar"/>
    <x v="1"/>
    <x v="0"/>
    <x v="0"/>
    <x v="0"/>
    <x v="0"/>
    <n v="116.2"/>
    <s v="MtCO2e/yr"/>
  </r>
  <r>
    <s v="Fig_3.8"/>
    <s v="Bar"/>
    <x v="2"/>
    <x v="0"/>
    <x v="0"/>
    <x v="0"/>
    <x v="0"/>
    <n v="78.599999999999994"/>
    <s v="MtCO2e/yr"/>
  </r>
  <r>
    <s v="Fig_3.8"/>
    <s v="Bar"/>
    <x v="3"/>
    <x v="0"/>
    <x v="0"/>
    <x v="0"/>
    <x v="0"/>
    <n v="49.6"/>
    <s v="MtCO2e/yr"/>
  </r>
  <r>
    <s v="Fig_3.8"/>
    <s v="Bar"/>
    <x v="0"/>
    <x v="0"/>
    <x v="0"/>
    <x v="1"/>
    <x v="0"/>
    <n v="39.4"/>
    <s v="MtCO2e/yr"/>
  </r>
  <r>
    <s v="Fig_3.8"/>
    <s v="Bar"/>
    <x v="1"/>
    <x v="0"/>
    <x v="0"/>
    <x v="1"/>
    <x v="0"/>
    <n v="17.100000000000001"/>
    <s v="MtCO2e/yr"/>
  </r>
  <r>
    <s v="Fig_3.8"/>
    <s v="Bar"/>
    <x v="2"/>
    <x v="0"/>
    <x v="0"/>
    <x v="1"/>
    <x v="0"/>
    <n v="8.9"/>
    <s v="MtCO2e/yr"/>
  </r>
  <r>
    <s v="Fig_3.8"/>
    <s v="Bar"/>
    <x v="3"/>
    <x v="0"/>
    <x v="0"/>
    <x v="1"/>
    <x v="0"/>
    <n v="4.2"/>
    <s v="MtCO2e/yr"/>
  </r>
  <r>
    <s v="Fig_3.8"/>
    <s v="Bar"/>
    <x v="0"/>
    <x v="0"/>
    <x v="0"/>
    <x v="0"/>
    <x v="1"/>
    <n v="24"/>
    <s v="MtCO2e/yr"/>
  </r>
  <r>
    <s v="Fig_3.8"/>
    <s v="Bar"/>
    <x v="1"/>
    <x v="0"/>
    <x v="0"/>
    <x v="0"/>
    <x v="1"/>
    <n v="38.799999999999997"/>
    <s v="MtCO2e/yr"/>
  </r>
  <r>
    <s v="Fig_3.8"/>
    <s v="Bar"/>
    <x v="0"/>
    <x v="0"/>
    <x v="1"/>
    <x v="0"/>
    <x v="0"/>
    <n v="-2.9"/>
    <s v="MtCO2e/yr"/>
  </r>
  <r>
    <s v="Fig_3.8"/>
    <s v="Bar"/>
    <x v="1"/>
    <x v="0"/>
    <x v="1"/>
    <x v="0"/>
    <x v="0"/>
    <n v="-6.6"/>
    <s v="MtCO2e/yr"/>
  </r>
  <r>
    <s v="Fig_3.8"/>
    <s v="Bar"/>
    <x v="2"/>
    <x v="0"/>
    <x v="1"/>
    <x v="0"/>
    <x v="0"/>
    <n v="-9.1999999999999993"/>
    <s v="MtCO2e/yr"/>
  </r>
  <r>
    <s v="Fig_3.8"/>
    <s v="Bar"/>
    <x v="3"/>
    <x v="0"/>
    <x v="1"/>
    <x v="0"/>
    <x v="0"/>
    <n v="-11.1"/>
    <s v="MtCO2e/yr"/>
  </r>
  <r>
    <s v="Fig_3.8"/>
    <s v="Bar"/>
    <x v="0"/>
    <x v="0"/>
    <x v="1"/>
    <x v="1"/>
    <x v="0"/>
    <n v="-4.5"/>
    <s v="MtCO2e/yr"/>
  </r>
  <r>
    <s v="Fig_3.8"/>
    <s v="Bar"/>
    <x v="1"/>
    <x v="0"/>
    <x v="1"/>
    <x v="1"/>
    <x v="0"/>
    <n v="-7.4"/>
    <s v="MtCO2e/yr"/>
  </r>
  <r>
    <s v="Fig_3.8"/>
    <s v="Bar"/>
    <x v="2"/>
    <x v="0"/>
    <x v="1"/>
    <x v="1"/>
    <x v="0"/>
    <n v="-9.6999999999999993"/>
    <s v="MtCO2e/yr"/>
  </r>
  <r>
    <s v="Fig_3.8"/>
    <s v="Bar"/>
    <x v="3"/>
    <x v="0"/>
    <x v="1"/>
    <x v="1"/>
    <x v="0"/>
    <n v="-11.2"/>
    <s v="MtCO2e/yr"/>
  </r>
  <r>
    <s v="Fig_3.8"/>
    <s v="Bar"/>
    <x v="0"/>
    <x v="0"/>
    <x v="1"/>
    <x v="0"/>
    <x v="1"/>
    <n v="-0.2"/>
    <s v="MtCO2e/yr"/>
  </r>
  <r>
    <s v="Fig_3.8"/>
    <s v="Bar"/>
    <x v="1"/>
    <x v="0"/>
    <x v="1"/>
    <x v="0"/>
    <x v="1"/>
    <n v="-0.9"/>
    <s v="MtCO2e/yr"/>
  </r>
  <r>
    <s v="Fig_3.8"/>
    <s v="Bar"/>
    <x v="0"/>
    <x v="0"/>
    <x v="2"/>
    <x v="0"/>
    <x v="0"/>
    <n v="-0.9"/>
    <s v="MtCO2e/yr"/>
  </r>
  <r>
    <s v="Fig_3.8"/>
    <s v="Bar"/>
    <x v="1"/>
    <x v="0"/>
    <x v="2"/>
    <x v="0"/>
    <x v="0"/>
    <n v="-4.8"/>
    <s v="MtCO2e/yr"/>
  </r>
  <r>
    <s v="Fig_3.8"/>
    <s v="Bar"/>
    <x v="2"/>
    <x v="0"/>
    <x v="2"/>
    <x v="0"/>
    <x v="0"/>
    <n v="-9.3000000000000007"/>
    <s v="MtCO2e/yr"/>
  </r>
  <r>
    <s v="Fig_3.8"/>
    <s v="Bar"/>
    <x v="3"/>
    <x v="0"/>
    <x v="2"/>
    <x v="0"/>
    <x v="0"/>
    <n v="-12.5"/>
    <s v="MtCO2e/yr"/>
  </r>
  <r>
    <s v="Fig_3.8"/>
    <s v="Bar"/>
    <x v="0"/>
    <x v="0"/>
    <x v="2"/>
    <x v="1"/>
    <x v="0"/>
    <n v="-3.5"/>
    <s v="MtCO2e/yr"/>
  </r>
  <r>
    <s v="Fig_3.8"/>
    <s v="Bar"/>
    <x v="1"/>
    <x v="0"/>
    <x v="2"/>
    <x v="1"/>
    <x v="0"/>
    <n v="-6"/>
    <s v="MtCO2e/yr"/>
  </r>
  <r>
    <s v="Fig_3.8"/>
    <s v="Bar"/>
    <x v="2"/>
    <x v="0"/>
    <x v="2"/>
    <x v="1"/>
    <x v="0"/>
    <n v="-9.3000000000000007"/>
    <s v="MtCO2e/yr"/>
  </r>
  <r>
    <s v="Fig_3.8"/>
    <s v="Bar"/>
    <x v="3"/>
    <x v="0"/>
    <x v="2"/>
    <x v="1"/>
    <x v="0"/>
    <n v="-11.9"/>
    <s v="MtCO2e/yr"/>
  </r>
  <r>
    <s v="Fig_3.8"/>
    <s v="Bar"/>
    <x v="0"/>
    <x v="0"/>
    <x v="2"/>
    <x v="0"/>
    <x v="1"/>
    <n v="-0.4"/>
    <s v="MtCO2e/yr"/>
  </r>
  <r>
    <s v="Fig_3.8"/>
    <s v="Bar"/>
    <x v="1"/>
    <x v="0"/>
    <x v="2"/>
    <x v="0"/>
    <x v="1"/>
    <n v="-0.6"/>
    <s v="MtCO2e/yr"/>
  </r>
  <r>
    <s v="Fig_3.8"/>
    <s v="Bar"/>
    <x v="0"/>
    <x v="0"/>
    <x v="3"/>
    <x v="0"/>
    <x v="0"/>
    <n v="-19"/>
    <s v="MtCO2e/yr"/>
  </r>
  <r>
    <s v="Fig_3.8"/>
    <s v="Bar"/>
    <x v="1"/>
    <x v="0"/>
    <x v="3"/>
    <x v="0"/>
    <x v="0"/>
    <n v="-54.9"/>
    <s v="MtCO2e/yr"/>
  </r>
  <r>
    <s v="Fig_3.8"/>
    <s v="Bar"/>
    <x v="2"/>
    <x v="0"/>
    <x v="3"/>
    <x v="0"/>
    <x v="0"/>
    <n v="-65.7"/>
    <s v="MtCO2e/yr"/>
  </r>
  <r>
    <s v="Fig_3.8"/>
    <s v="Bar"/>
    <x v="3"/>
    <x v="0"/>
    <x v="3"/>
    <x v="0"/>
    <x v="0"/>
    <n v="-78"/>
    <s v="MtCO2e/yr"/>
  </r>
  <r>
    <s v="Fig_3.8"/>
    <s v="Bar"/>
    <x v="0"/>
    <x v="0"/>
    <x v="3"/>
    <x v="1"/>
    <x v="0"/>
    <n v="-36.5"/>
    <s v="MtCO2e/yr"/>
  </r>
  <r>
    <s v="Fig_3.8"/>
    <s v="Bar"/>
    <x v="1"/>
    <x v="0"/>
    <x v="3"/>
    <x v="1"/>
    <x v="0"/>
    <n v="-61.2"/>
    <s v="MtCO2e/yr"/>
  </r>
  <r>
    <s v="Fig_3.8"/>
    <s v="Bar"/>
    <x v="2"/>
    <x v="0"/>
    <x v="3"/>
    <x v="1"/>
    <x v="0"/>
    <n v="-62.5"/>
    <s v="MtCO2e/yr"/>
  </r>
  <r>
    <s v="Fig_3.8"/>
    <s v="Bar"/>
    <x v="3"/>
    <x v="0"/>
    <x v="3"/>
    <x v="1"/>
    <x v="0"/>
    <n v="-61.3"/>
    <s v="MtCO2e/yr"/>
  </r>
  <r>
    <s v="Fig_3.8"/>
    <s v="Bar"/>
    <x v="0"/>
    <x v="0"/>
    <x v="3"/>
    <x v="0"/>
    <x v="1"/>
    <n v="-6.9"/>
    <s v="MtCO2e/yr"/>
  </r>
  <r>
    <s v="Fig_3.8"/>
    <s v="Bar"/>
    <x v="1"/>
    <x v="0"/>
    <x v="3"/>
    <x v="0"/>
    <x v="1"/>
    <n v="-16"/>
    <s v="MtCO2e/yr"/>
  </r>
  <r>
    <s v="Fig_3.8"/>
    <s v="Bar"/>
    <x v="0"/>
    <x v="0"/>
    <x v="4"/>
    <x v="0"/>
    <x v="0"/>
    <m/>
    <s v="MtCO2e/yr"/>
  </r>
  <r>
    <s v="Fig_3.8"/>
    <s v="Bar"/>
    <x v="1"/>
    <x v="0"/>
    <x v="4"/>
    <x v="0"/>
    <x v="0"/>
    <n v="-57.5"/>
    <s v="MtCO2e/yr"/>
  </r>
  <r>
    <s v="Fig_3.8"/>
    <s v="Bar"/>
    <x v="2"/>
    <x v="0"/>
    <x v="4"/>
    <x v="0"/>
    <x v="0"/>
    <n v="-75.7"/>
    <s v="MtCO2e/yr"/>
  </r>
  <r>
    <s v="Fig_3.8"/>
    <s v="Bar"/>
    <x v="3"/>
    <x v="0"/>
    <x v="4"/>
    <x v="0"/>
    <x v="0"/>
    <n v="-92.6"/>
    <s v="MtCO2e/yr"/>
  </r>
  <r>
    <s v="Fig_3.8"/>
    <s v="Bar"/>
    <x v="0"/>
    <x v="0"/>
    <x v="4"/>
    <x v="1"/>
    <x v="0"/>
    <m/>
    <s v="MtCO2e/yr"/>
  </r>
  <r>
    <s v="Fig_3.8"/>
    <s v="Bar"/>
    <x v="1"/>
    <x v="0"/>
    <x v="4"/>
    <x v="1"/>
    <x v="0"/>
    <n v="-60.2"/>
    <s v="MtCO2e/yr"/>
  </r>
  <r>
    <s v="Fig_3.8"/>
    <s v="Bar"/>
    <x v="2"/>
    <x v="0"/>
    <x v="4"/>
    <x v="1"/>
    <x v="0"/>
    <n v="-86.8"/>
    <s v="MtCO2e/yr"/>
  </r>
  <r>
    <s v="Fig_3.8"/>
    <s v="Bar"/>
    <x v="3"/>
    <x v="0"/>
    <x v="4"/>
    <x v="1"/>
    <x v="0"/>
    <n v="-111"/>
    <s v="MtCO2e/yr"/>
  </r>
  <r>
    <s v="Fig_3.8"/>
    <s v="Bar"/>
    <x v="0"/>
    <x v="0"/>
    <x v="4"/>
    <x v="0"/>
    <x v="1"/>
    <m/>
    <s v="MtCO2e/yr"/>
  </r>
  <r>
    <s v="Fig_3.8"/>
    <s v="Bar"/>
    <x v="1"/>
    <x v="0"/>
    <x v="4"/>
    <x v="0"/>
    <x v="1"/>
    <n v="-3.4"/>
    <s v="MtCO2e/yr"/>
  </r>
  <r>
    <s v="Fig_3.8"/>
    <s v="Bar"/>
    <x v="0"/>
    <x v="0"/>
    <x v="5"/>
    <x v="0"/>
    <x v="0"/>
    <n v="1.6"/>
    <s v="MtCO2e/yr"/>
  </r>
  <r>
    <s v="Fig_3.8"/>
    <s v="Bar"/>
    <x v="1"/>
    <x v="0"/>
    <x v="5"/>
    <x v="0"/>
    <x v="0"/>
    <n v="1.6"/>
    <s v="MtCO2e/yr"/>
  </r>
  <r>
    <s v="Fig_3.8"/>
    <s v="Bar"/>
    <x v="2"/>
    <x v="0"/>
    <x v="5"/>
    <x v="0"/>
    <x v="0"/>
    <n v="1.6"/>
    <s v="MtCO2e/yr"/>
  </r>
  <r>
    <s v="Fig_3.8"/>
    <s v="Bar"/>
    <x v="3"/>
    <x v="0"/>
    <x v="5"/>
    <x v="0"/>
    <x v="0"/>
    <n v="1.3"/>
    <s v="MtCO2e/yr"/>
  </r>
  <r>
    <s v="Fig_3.8"/>
    <s v="Bar"/>
    <x v="0"/>
    <x v="0"/>
    <x v="5"/>
    <x v="1"/>
    <x v="0"/>
    <n v="4.0999999999999996"/>
    <s v="MtCO2e/yr"/>
  </r>
  <r>
    <s v="Fig_3.8"/>
    <s v="Bar"/>
    <x v="1"/>
    <x v="0"/>
    <x v="5"/>
    <x v="1"/>
    <x v="0"/>
    <n v="3.1"/>
    <s v="MtCO2e/yr"/>
  </r>
  <r>
    <s v="Fig_3.8"/>
    <s v="Bar"/>
    <x v="2"/>
    <x v="0"/>
    <x v="5"/>
    <x v="1"/>
    <x v="0"/>
    <n v="2.9"/>
    <s v="MtCO2e/yr"/>
  </r>
  <r>
    <s v="Fig_3.8"/>
    <s v="Bar"/>
    <x v="3"/>
    <x v="0"/>
    <x v="5"/>
    <x v="1"/>
    <x v="0"/>
    <n v="2.6"/>
    <s v="MtCO2e/yr"/>
  </r>
  <r>
    <s v="Fig_3.8"/>
    <s v="Bar"/>
    <x v="0"/>
    <x v="0"/>
    <x v="5"/>
    <x v="0"/>
    <x v="1"/>
    <n v="0.7"/>
    <s v="MtCO2e/yr"/>
  </r>
  <r>
    <s v="Fig_3.8"/>
    <s v="Bar"/>
    <x v="1"/>
    <x v="0"/>
    <x v="5"/>
    <x v="0"/>
    <x v="1"/>
    <n v="0.3"/>
    <s v="MtCO2e/yr"/>
  </r>
  <r>
    <s v="Fig_3.8"/>
    <s v="Bar"/>
    <x v="0"/>
    <x v="0"/>
    <x v="6"/>
    <x v="0"/>
    <x v="0"/>
    <n v="-153.4"/>
    <s v="MtCO2e/yr"/>
  </r>
  <r>
    <s v="Fig_3.8"/>
    <s v="Bar"/>
    <x v="1"/>
    <x v="0"/>
    <x v="6"/>
    <x v="0"/>
    <x v="0"/>
    <n v="-162.19999999999999"/>
    <s v="MtCO2e/yr"/>
  </r>
  <r>
    <s v="Fig_3.8"/>
    <s v="Bar"/>
    <x v="2"/>
    <x v="0"/>
    <x v="6"/>
    <x v="0"/>
    <x v="0"/>
    <n v="-144.80000000000001"/>
    <s v="MtCO2e/yr"/>
  </r>
  <r>
    <s v="Fig_3.8"/>
    <s v="Bar"/>
    <x v="3"/>
    <x v="0"/>
    <x v="6"/>
    <x v="0"/>
    <x v="0"/>
    <n v="-125.4"/>
    <s v="MtCO2e/yr"/>
  </r>
  <r>
    <s v="Fig_3.8"/>
    <s v="Bar"/>
    <x v="0"/>
    <x v="0"/>
    <x v="6"/>
    <x v="1"/>
    <x v="0"/>
    <n v="-153.30000000000001"/>
    <s v="MtCO2e/yr"/>
  </r>
  <r>
    <s v="Fig_3.8"/>
    <s v="Bar"/>
    <x v="1"/>
    <x v="0"/>
    <x v="6"/>
    <x v="1"/>
    <x v="0"/>
    <n v="-122.9"/>
    <s v="MtCO2e/yr"/>
  </r>
  <r>
    <s v="Fig_3.8"/>
    <s v="Bar"/>
    <x v="2"/>
    <x v="0"/>
    <x v="6"/>
    <x v="1"/>
    <x v="0"/>
    <n v="-100.8"/>
    <s v="MtCO2e/yr"/>
  </r>
  <r>
    <s v="Fig_3.8"/>
    <s v="Bar"/>
    <x v="3"/>
    <x v="0"/>
    <x v="6"/>
    <x v="1"/>
    <x v="0"/>
    <n v="-92.3"/>
    <s v="MtCO2e/yr"/>
  </r>
  <r>
    <s v="Fig_3.8"/>
    <s v="Bar"/>
    <x v="0"/>
    <x v="0"/>
    <x v="6"/>
    <x v="0"/>
    <x v="1"/>
    <n v="-8.4"/>
    <s v="MtCO2e/yr"/>
  </r>
  <r>
    <s v="Fig_3.8"/>
    <s v="Bar"/>
    <x v="1"/>
    <x v="0"/>
    <x v="6"/>
    <x v="0"/>
    <x v="1"/>
    <n v="-33.700000000000003"/>
    <s v="MtCO2e/yr"/>
  </r>
  <r>
    <s v="Fig_3.8"/>
    <s v="Bar"/>
    <x v="0"/>
    <x v="0"/>
    <x v="7"/>
    <x v="0"/>
    <x v="0"/>
    <n v="-15.2"/>
    <s v="MtCO2e/yr"/>
  </r>
  <r>
    <s v="Fig_3.8"/>
    <s v="Bar"/>
    <x v="1"/>
    <x v="0"/>
    <x v="7"/>
    <x v="0"/>
    <x v="0"/>
    <n v="-28.6"/>
    <s v="MtCO2e/yr"/>
  </r>
  <r>
    <s v="Fig_3.8"/>
    <s v="Bar"/>
    <x v="2"/>
    <x v="0"/>
    <x v="7"/>
    <x v="0"/>
    <x v="0"/>
    <n v="-36.299999999999997"/>
    <s v="MtCO2e/yr"/>
  </r>
  <r>
    <s v="Fig_3.8"/>
    <s v="Bar"/>
    <x v="3"/>
    <x v="0"/>
    <x v="7"/>
    <x v="0"/>
    <x v="0"/>
    <n v="-45.2"/>
    <s v="MtCO2e/yr"/>
  </r>
  <r>
    <s v="Fig_3.8"/>
    <s v="Bar"/>
    <x v="0"/>
    <x v="0"/>
    <x v="7"/>
    <x v="1"/>
    <x v="0"/>
    <n v="-15.5"/>
    <s v="MtCO2e/yr"/>
  </r>
  <r>
    <s v="Fig_3.8"/>
    <s v="Bar"/>
    <x v="1"/>
    <x v="0"/>
    <x v="7"/>
    <x v="1"/>
    <x v="0"/>
    <n v="-21.9"/>
    <s v="MtCO2e/yr"/>
  </r>
  <r>
    <s v="Fig_3.8"/>
    <s v="Bar"/>
    <x v="2"/>
    <x v="0"/>
    <x v="7"/>
    <x v="1"/>
    <x v="0"/>
    <n v="-29.7"/>
    <s v="MtCO2e/yr"/>
  </r>
  <r>
    <s v="Fig_3.8"/>
    <s v="Bar"/>
    <x v="3"/>
    <x v="0"/>
    <x v="7"/>
    <x v="1"/>
    <x v="0"/>
    <n v="-33.799999999999997"/>
    <s v="MtCO2e/yr"/>
  </r>
  <r>
    <s v="Fig_3.8"/>
    <s v="Bar"/>
    <x v="0"/>
    <x v="0"/>
    <x v="7"/>
    <x v="0"/>
    <x v="1"/>
    <n v="-0.5"/>
    <s v="MtCO2e/yr"/>
  </r>
  <r>
    <s v="Fig_3.8"/>
    <s v="Bar"/>
    <x v="1"/>
    <x v="0"/>
    <x v="7"/>
    <x v="0"/>
    <x v="1"/>
    <n v="-1"/>
    <s v="MtCO2e/yr"/>
  </r>
  <r>
    <s v="Fig_3.8"/>
    <s v="Line"/>
    <x v="0"/>
    <x v="0"/>
    <x v="8"/>
    <x v="1"/>
    <x v="2"/>
    <n v="-232.1"/>
    <s v="MtCO2e/yr"/>
  </r>
  <r>
    <s v="Fig_3.8"/>
    <s v="Line"/>
    <x v="0"/>
    <x v="0"/>
    <x v="8"/>
    <x v="1"/>
    <x v="3"/>
    <n v="-77.8"/>
    <s v="MtCO2e/yr"/>
  </r>
  <r>
    <s v="Fig_3.8"/>
    <s v="Line"/>
    <x v="0"/>
    <x v="0"/>
    <x v="8"/>
    <x v="1"/>
    <x v="4"/>
    <n v="-114.7"/>
    <s v="MtCO2e/yr"/>
  </r>
  <r>
    <s v="Fig_3.8"/>
    <s v="Line"/>
    <x v="0"/>
    <x v="0"/>
    <x v="8"/>
    <x v="1"/>
    <x v="1"/>
    <n v="-30.5"/>
    <s v="MtCO2e/yr"/>
  </r>
  <r>
    <s v="Fig_3.8"/>
    <s v="Line"/>
    <x v="0"/>
    <x v="0"/>
    <x v="8"/>
    <x v="1"/>
    <x v="0"/>
    <n v="-169.8"/>
    <s v="MtCO2e/yr"/>
  </r>
  <r>
    <s v="Fig_3.8"/>
    <s v="Line"/>
    <x v="0"/>
    <x v="0"/>
    <x v="8"/>
    <x v="0"/>
    <x v="2"/>
    <n v="-96.9"/>
    <s v="MtCO2e/yr"/>
  </r>
  <r>
    <s v="Fig_3.8"/>
    <s v="Line"/>
    <x v="0"/>
    <x v="0"/>
    <x v="8"/>
    <x v="0"/>
    <x v="3"/>
    <n v="-5.7"/>
    <s v="MtCO2e/yr"/>
  </r>
  <r>
    <s v="Fig_3.8"/>
    <s v="Line"/>
    <x v="0"/>
    <x v="0"/>
    <x v="8"/>
    <x v="0"/>
    <x v="4"/>
    <n v="-6.6"/>
    <s v="MtCO2e/yr"/>
  </r>
  <r>
    <s v="Fig_3.8"/>
    <s v="Line"/>
    <x v="0"/>
    <x v="0"/>
    <x v="8"/>
    <x v="0"/>
    <x v="1"/>
    <n v="8.3000000000000007"/>
    <s v="MtCO2e/yr"/>
  </r>
  <r>
    <s v="Fig_3.8"/>
    <s v="Line"/>
    <x v="0"/>
    <x v="0"/>
    <x v="8"/>
    <x v="0"/>
    <x v="0"/>
    <n v="-62.9"/>
    <s v="MtCO2e/yr"/>
  </r>
  <r>
    <s v="Fig_3.8"/>
    <s v="Bar"/>
    <x v="0"/>
    <x v="1"/>
    <x v="0"/>
    <x v="0"/>
    <x v="0"/>
    <n v="-12.7"/>
    <s v="MtCO2e/yr"/>
  </r>
  <r>
    <s v="Fig_3.8"/>
    <s v="Bar"/>
    <x v="1"/>
    <x v="1"/>
    <x v="0"/>
    <x v="0"/>
    <x v="0"/>
    <n v="-8.8000000000000007"/>
    <s v="MtCO2e/yr"/>
  </r>
  <r>
    <s v="Fig_3.8"/>
    <s v="Bar"/>
    <x v="2"/>
    <x v="1"/>
    <x v="0"/>
    <x v="0"/>
    <x v="0"/>
    <n v="-7.7"/>
    <s v="MtCO2e/yr"/>
  </r>
  <r>
    <s v="Fig_3.8"/>
    <s v="Bar"/>
    <x v="3"/>
    <x v="1"/>
    <x v="0"/>
    <x v="0"/>
    <x v="0"/>
    <n v="-7.2"/>
    <s v="MtCO2e/yr"/>
  </r>
  <r>
    <s v="Fig_3.8"/>
    <s v="Bar"/>
    <x v="0"/>
    <x v="1"/>
    <x v="0"/>
    <x v="1"/>
    <x v="0"/>
    <n v="-12.7"/>
    <s v="MtCO2e/yr"/>
  </r>
  <r>
    <s v="Fig_3.8"/>
    <s v="Bar"/>
    <x v="1"/>
    <x v="1"/>
    <x v="0"/>
    <x v="1"/>
    <x v="0"/>
    <n v="-8.6999999999999993"/>
    <s v="MtCO2e/yr"/>
  </r>
  <r>
    <s v="Fig_3.8"/>
    <s v="Bar"/>
    <x v="2"/>
    <x v="1"/>
    <x v="0"/>
    <x v="1"/>
    <x v="0"/>
    <n v="-7.7"/>
    <s v="MtCO2e/yr"/>
  </r>
  <r>
    <s v="Fig_3.8"/>
    <s v="Bar"/>
    <x v="3"/>
    <x v="1"/>
    <x v="0"/>
    <x v="1"/>
    <x v="0"/>
    <n v="-7.1"/>
    <s v="MtCO2e/yr"/>
  </r>
  <r>
    <s v="Fig_3.8"/>
    <s v="Bar"/>
    <x v="0"/>
    <x v="1"/>
    <x v="0"/>
    <x v="0"/>
    <x v="1"/>
    <n v="-11"/>
    <s v="MtCO2e/yr"/>
  </r>
  <r>
    <s v="Fig_3.8"/>
    <s v="Bar"/>
    <x v="1"/>
    <x v="1"/>
    <x v="0"/>
    <x v="0"/>
    <x v="1"/>
    <n v="-7.3"/>
    <s v="MtCO2e/yr"/>
  </r>
  <r>
    <s v="Fig_3.8"/>
    <s v="Bar"/>
    <x v="2"/>
    <x v="1"/>
    <x v="0"/>
    <x v="0"/>
    <x v="1"/>
    <n v="-6.2"/>
    <s v="MtCO2e/yr"/>
  </r>
  <r>
    <s v="Fig_3.8"/>
    <s v="Bar"/>
    <x v="3"/>
    <x v="1"/>
    <x v="0"/>
    <x v="0"/>
    <x v="1"/>
    <n v="-5.8"/>
    <s v="MtCO2e/yr"/>
  </r>
  <r>
    <s v="Fig_3.8"/>
    <s v="Bar"/>
    <x v="0"/>
    <x v="1"/>
    <x v="0"/>
    <x v="1"/>
    <x v="1"/>
    <n v="-11"/>
    <s v="MtCO2e/yr"/>
  </r>
  <r>
    <s v="Fig_3.8"/>
    <s v="Bar"/>
    <x v="1"/>
    <x v="1"/>
    <x v="0"/>
    <x v="1"/>
    <x v="1"/>
    <n v="-7.3"/>
    <s v="MtCO2e/yr"/>
  </r>
  <r>
    <s v="Fig_3.8"/>
    <s v="Bar"/>
    <x v="2"/>
    <x v="1"/>
    <x v="0"/>
    <x v="1"/>
    <x v="1"/>
    <n v="-5.9"/>
    <s v="MtCO2e/yr"/>
  </r>
  <r>
    <s v="Fig_3.8"/>
    <s v="Bar"/>
    <x v="3"/>
    <x v="1"/>
    <x v="0"/>
    <x v="1"/>
    <x v="1"/>
    <n v="-5.3"/>
    <s v="MtCO2e/yr"/>
  </r>
  <r>
    <s v="Fig_3.8"/>
    <s v="Bar"/>
    <x v="0"/>
    <x v="1"/>
    <x v="0"/>
    <x v="0"/>
    <x v="4"/>
    <n v="-12.1"/>
    <s v="MtCO2e/yr"/>
  </r>
  <r>
    <s v="Fig_3.8"/>
    <s v="Bar"/>
    <x v="1"/>
    <x v="1"/>
    <x v="0"/>
    <x v="0"/>
    <x v="4"/>
    <n v="-8.3000000000000007"/>
    <s v="MtCO2e/yr"/>
  </r>
  <r>
    <s v="Fig_3.8"/>
    <s v="Bar"/>
    <x v="2"/>
    <x v="1"/>
    <x v="0"/>
    <x v="0"/>
    <x v="4"/>
    <n v="-7.2"/>
    <s v="MtCO2e/yr"/>
  </r>
  <r>
    <s v="Fig_3.8"/>
    <s v="Bar"/>
    <x v="3"/>
    <x v="1"/>
    <x v="0"/>
    <x v="0"/>
    <x v="4"/>
    <n v="-6.8"/>
    <s v="MtCO2e/yr"/>
  </r>
  <r>
    <s v="Fig_3.8"/>
    <s v="Bar"/>
    <x v="0"/>
    <x v="1"/>
    <x v="0"/>
    <x v="1"/>
    <x v="4"/>
    <n v="-12.1"/>
    <s v="MtCO2e/yr"/>
  </r>
  <r>
    <s v="Fig_3.8"/>
    <s v="Bar"/>
    <x v="1"/>
    <x v="1"/>
    <x v="0"/>
    <x v="1"/>
    <x v="4"/>
    <n v="-8"/>
    <s v="MtCO2e/yr"/>
  </r>
  <r>
    <s v="Fig_3.8"/>
    <s v="Bar"/>
    <x v="2"/>
    <x v="1"/>
    <x v="0"/>
    <x v="1"/>
    <x v="4"/>
    <n v="-7"/>
    <s v="MtCO2e/yr"/>
  </r>
  <r>
    <s v="Fig_3.8"/>
    <s v="Bar"/>
    <x v="3"/>
    <x v="1"/>
    <x v="0"/>
    <x v="1"/>
    <x v="4"/>
    <n v="-6.5"/>
    <s v="MtCO2e/yr"/>
  </r>
  <r>
    <s v="Fig_3.8"/>
    <s v="Bar"/>
    <x v="0"/>
    <x v="1"/>
    <x v="0"/>
    <x v="0"/>
    <x v="3"/>
    <n v="-12"/>
    <s v="MtCO2e/yr"/>
  </r>
  <r>
    <s v="Fig_3.8"/>
    <s v="Bar"/>
    <x v="1"/>
    <x v="1"/>
    <x v="0"/>
    <x v="0"/>
    <x v="3"/>
    <n v="-8"/>
    <s v="MtCO2e/yr"/>
  </r>
  <r>
    <s v="Fig_3.8"/>
    <s v="Bar"/>
    <x v="2"/>
    <x v="1"/>
    <x v="0"/>
    <x v="0"/>
    <x v="3"/>
    <n v="-7"/>
    <s v="MtCO2e/yr"/>
  </r>
  <r>
    <s v="Fig_3.8"/>
    <s v="Bar"/>
    <x v="3"/>
    <x v="1"/>
    <x v="0"/>
    <x v="0"/>
    <x v="3"/>
    <n v="-6.7"/>
    <s v="MtCO2e/yr"/>
  </r>
  <r>
    <s v="Fig_3.8"/>
    <s v="Bar"/>
    <x v="0"/>
    <x v="1"/>
    <x v="0"/>
    <x v="1"/>
    <x v="3"/>
    <n v="-12"/>
    <s v="MtCO2e/yr"/>
  </r>
  <r>
    <s v="Fig_3.8"/>
    <s v="Bar"/>
    <x v="1"/>
    <x v="1"/>
    <x v="0"/>
    <x v="1"/>
    <x v="3"/>
    <n v="-8"/>
    <s v="MtCO2e/yr"/>
  </r>
  <r>
    <s v="Fig_3.8"/>
    <s v="Bar"/>
    <x v="2"/>
    <x v="1"/>
    <x v="0"/>
    <x v="1"/>
    <x v="3"/>
    <n v="-6.8"/>
    <s v="MtCO2e/yr"/>
  </r>
  <r>
    <s v="Fig_3.8"/>
    <s v="Bar"/>
    <x v="3"/>
    <x v="1"/>
    <x v="0"/>
    <x v="1"/>
    <x v="3"/>
    <n v="-6.4"/>
    <s v="MtCO2e/yr"/>
  </r>
  <r>
    <s v="Fig_3.8"/>
    <s v="Bar"/>
    <x v="0"/>
    <x v="1"/>
    <x v="0"/>
    <x v="0"/>
    <x v="2"/>
    <n v="-13.3"/>
    <s v="MtCO2e/yr"/>
  </r>
  <r>
    <s v="Fig_3.8"/>
    <s v="Bar"/>
    <x v="1"/>
    <x v="1"/>
    <x v="0"/>
    <x v="0"/>
    <x v="2"/>
    <n v="-9.3000000000000007"/>
    <s v="MtCO2e/yr"/>
  </r>
  <r>
    <s v="Fig_3.8"/>
    <s v="Bar"/>
    <x v="2"/>
    <x v="1"/>
    <x v="0"/>
    <x v="0"/>
    <x v="2"/>
    <n v="-7.9"/>
    <s v="MtCO2e/yr"/>
  </r>
  <r>
    <s v="Fig_3.8"/>
    <s v="Bar"/>
    <x v="3"/>
    <x v="1"/>
    <x v="0"/>
    <x v="0"/>
    <x v="2"/>
    <n v="-7.3"/>
    <s v="MtCO2e/yr"/>
  </r>
  <r>
    <s v="Fig_3.8"/>
    <s v="Bar"/>
    <x v="0"/>
    <x v="1"/>
    <x v="0"/>
    <x v="1"/>
    <x v="2"/>
    <n v="-13.3"/>
    <s v="MtCO2e/yr"/>
  </r>
  <r>
    <s v="Fig_3.8"/>
    <s v="Bar"/>
    <x v="1"/>
    <x v="1"/>
    <x v="0"/>
    <x v="1"/>
    <x v="2"/>
    <n v="-9.1"/>
    <s v="MtCO2e/yr"/>
  </r>
  <r>
    <s v="Fig_3.8"/>
    <s v="Bar"/>
    <x v="2"/>
    <x v="1"/>
    <x v="0"/>
    <x v="1"/>
    <x v="2"/>
    <n v="-7.7"/>
    <s v="MtCO2e/yr"/>
  </r>
  <r>
    <s v="Fig_3.8"/>
    <s v="Bar"/>
    <x v="3"/>
    <x v="1"/>
    <x v="0"/>
    <x v="1"/>
    <x v="2"/>
    <n v="-7.1"/>
    <s v="MtCO2e/yr"/>
  </r>
  <r>
    <s v="Fig_3.8"/>
    <s v="Bar"/>
    <x v="0"/>
    <x v="1"/>
    <x v="1"/>
    <x v="0"/>
    <x v="0"/>
    <n v="-17.2"/>
    <s v="MtCO2e/yr"/>
  </r>
  <r>
    <s v="Fig_3.8"/>
    <s v="Bar"/>
    <x v="1"/>
    <x v="1"/>
    <x v="1"/>
    <x v="0"/>
    <x v="0"/>
    <n v="-21.7"/>
    <s v="MtCO2e/yr"/>
  </r>
  <r>
    <s v="Fig_3.8"/>
    <s v="Bar"/>
    <x v="2"/>
    <x v="1"/>
    <x v="1"/>
    <x v="0"/>
    <x v="0"/>
    <n v="-28.7"/>
    <s v="MtCO2e/yr"/>
  </r>
  <r>
    <s v="Fig_3.8"/>
    <s v="Bar"/>
    <x v="3"/>
    <x v="1"/>
    <x v="1"/>
    <x v="0"/>
    <x v="0"/>
    <n v="-37.700000000000003"/>
    <s v="MtCO2e/yr"/>
  </r>
  <r>
    <s v="Fig_3.8"/>
    <s v="Bar"/>
    <x v="0"/>
    <x v="1"/>
    <x v="1"/>
    <x v="1"/>
    <x v="0"/>
    <n v="-17.2"/>
    <s v="MtCO2e/yr"/>
  </r>
  <r>
    <s v="Fig_3.8"/>
    <s v="Bar"/>
    <x v="1"/>
    <x v="1"/>
    <x v="1"/>
    <x v="1"/>
    <x v="0"/>
    <n v="-21.2"/>
    <s v="MtCO2e/yr"/>
  </r>
  <r>
    <s v="Fig_3.8"/>
    <s v="Bar"/>
    <x v="2"/>
    <x v="1"/>
    <x v="1"/>
    <x v="1"/>
    <x v="0"/>
    <n v="-25.6"/>
    <s v="MtCO2e/yr"/>
  </r>
  <r>
    <s v="Fig_3.8"/>
    <s v="Bar"/>
    <x v="3"/>
    <x v="1"/>
    <x v="1"/>
    <x v="1"/>
    <x v="0"/>
    <n v="-30.8"/>
    <s v="MtCO2e/yr"/>
  </r>
  <r>
    <s v="Fig_3.8"/>
    <s v="Bar"/>
    <x v="0"/>
    <x v="1"/>
    <x v="1"/>
    <x v="0"/>
    <x v="1"/>
    <n v="-8.8000000000000007"/>
    <s v="MtCO2e/yr"/>
  </r>
  <r>
    <s v="Fig_3.8"/>
    <s v="Bar"/>
    <x v="1"/>
    <x v="1"/>
    <x v="1"/>
    <x v="0"/>
    <x v="1"/>
    <n v="-10.7"/>
    <s v="MtCO2e/yr"/>
  </r>
  <r>
    <s v="Fig_3.8"/>
    <s v="Line"/>
    <x v="0"/>
    <x v="1"/>
    <x v="8"/>
    <x v="0"/>
    <x v="2"/>
    <n v="-85.6"/>
    <s v="MtCO2e/yr"/>
  </r>
  <r>
    <s v="Fig_3.8"/>
    <s v="Line"/>
    <x v="0"/>
    <x v="1"/>
    <x v="8"/>
    <x v="1"/>
    <x v="3"/>
    <n v="-46"/>
    <s v="MtCO2e/yr"/>
  </r>
  <r>
    <s v="Fig_3.8"/>
    <s v="Line"/>
    <x v="0"/>
    <x v="1"/>
    <x v="8"/>
    <x v="1"/>
    <x v="4"/>
    <n v="-53.7"/>
    <s v="MtCO2e/yr"/>
  </r>
  <r>
    <s v="Fig_3.8"/>
    <s v="Line"/>
    <x v="0"/>
    <x v="1"/>
    <x v="8"/>
    <x v="1"/>
    <x v="1"/>
    <n v="-22.7"/>
    <s v="MtCO2e/yr"/>
  </r>
  <r>
    <s v="Fig_3.8"/>
    <s v="Line"/>
    <x v="0"/>
    <x v="1"/>
    <x v="8"/>
    <x v="1"/>
    <x v="0"/>
    <n v="-65.8"/>
    <s v="MtCO2e/yr"/>
  </r>
  <r>
    <s v="Fig_3.8"/>
    <s v="Line"/>
    <x v="1"/>
    <x v="1"/>
    <x v="8"/>
    <x v="0"/>
    <x v="2"/>
    <n v="-207.9"/>
    <s v="MtCO2e/yr"/>
  </r>
  <r>
    <s v="Fig_3.8"/>
    <s v="Line"/>
    <x v="0"/>
    <x v="1"/>
    <x v="8"/>
    <x v="0"/>
    <x v="3"/>
    <n v="-46"/>
    <s v="MtCO2e/yr"/>
  </r>
  <r>
    <s v="Fig_3.8"/>
    <s v="Line"/>
    <x v="0"/>
    <x v="1"/>
    <x v="8"/>
    <x v="0"/>
    <x v="4"/>
    <n v="-53.7"/>
    <s v="MtCO2e/yr"/>
  </r>
  <r>
    <s v="Fig_3.8"/>
    <s v="Line"/>
    <x v="0"/>
    <x v="1"/>
    <x v="8"/>
    <x v="0"/>
    <x v="1"/>
    <n v="-22.7"/>
    <s v="MtCO2e/yr"/>
  </r>
  <r>
    <s v="Fig_3.8"/>
    <s v="Line"/>
    <x v="0"/>
    <x v="1"/>
    <x v="8"/>
    <x v="0"/>
    <x v="0"/>
    <n v="-65.8"/>
    <s v="MtCO2e/yr"/>
  </r>
  <r>
    <s v="Fig_3.8"/>
    <s v="Bar"/>
    <x v="2"/>
    <x v="0"/>
    <x v="0"/>
    <x v="0"/>
    <x v="1"/>
    <n v="32.5"/>
    <s v="MtCO2e/yr"/>
  </r>
  <r>
    <s v="Fig_3.8"/>
    <s v="Bar"/>
    <x v="3"/>
    <x v="0"/>
    <x v="0"/>
    <x v="0"/>
    <x v="1"/>
    <n v="21.9"/>
    <s v="MtCO2e/yr"/>
  </r>
  <r>
    <s v="Fig_3.8"/>
    <s v="Bar"/>
    <x v="0"/>
    <x v="0"/>
    <x v="0"/>
    <x v="1"/>
    <x v="1"/>
    <n v="-4.7"/>
    <s v="MtCO2e/yr"/>
  </r>
  <r>
    <s v="Fig_3.8"/>
    <s v="Bar"/>
    <x v="1"/>
    <x v="0"/>
    <x v="0"/>
    <x v="1"/>
    <x v="1"/>
    <n v="-6.9"/>
    <s v="MtCO2e/yr"/>
  </r>
  <r>
    <s v="Fig_3.8"/>
    <s v="Bar"/>
    <x v="2"/>
    <x v="0"/>
    <x v="0"/>
    <x v="1"/>
    <x v="1"/>
    <n v="-6.8"/>
    <s v="MtCO2e/yr"/>
  </r>
  <r>
    <s v="Fig_3.8"/>
    <s v="Bar"/>
    <x v="3"/>
    <x v="0"/>
    <x v="0"/>
    <x v="1"/>
    <x v="1"/>
    <n v="-4.9000000000000004"/>
    <s v="MtCO2e/yr"/>
  </r>
  <r>
    <s v="Fig_3.8"/>
    <s v="Bar"/>
    <x v="0"/>
    <x v="0"/>
    <x v="0"/>
    <x v="0"/>
    <x v="4"/>
    <n v="121.7"/>
    <s v="MtCO2e/yr"/>
  </r>
  <r>
    <s v="Fig_3.8"/>
    <s v="Bar"/>
    <x v="1"/>
    <x v="0"/>
    <x v="0"/>
    <x v="0"/>
    <x v="4"/>
    <n v="113.6"/>
    <s v="MtCO2e/yr"/>
  </r>
  <r>
    <s v="Fig_3.8"/>
    <s v="Bar"/>
    <x v="2"/>
    <x v="0"/>
    <x v="0"/>
    <x v="0"/>
    <x v="4"/>
    <n v="80.3"/>
    <s v="MtCO2e/yr"/>
  </r>
  <r>
    <s v="Fig_3.8"/>
    <s v="Bar"/>
    <x v="3"/>
    <x v="0"/>
    <x v="0"/>
    <x v="0"/>
    <x v="4"/>
    <n v="54.4"/>
    <s v="MtCO2e/yr"/>
  </r>
  <r>
    <s v="Fig_3.8"/>
    <s v="Bar"/>
    <x v="2"/>
    <x v="0"/>
    <x v="1"/>
    <x v="0"/>
    <x v="1"/>
    <n v="-1.9"/>
    <s v="MtCO2e/yr"/>
  </r>
  <r>
    <s v="Fig_3.8"/>
    <s v="Bar"/>
    <x v="3"/>
    <x v="0"/>
    <x v="1"/>
    <x v="0"/>
    <x v="1"/>
    <n v="-2.7"/>
    <s v="MtCO2e/yr"/>
  </r>
  <r>
    <s v="Fig_3.8"/>
    <s v="Bar"/>
    <x v="0"/>
    <x v="0"/>
    <x v="1"/>
    <x v="1"/>
    <x v="1"/>
    <n v="-0.2"/>
    <s v="MtCO2e/yr"/>
  </r>
  <r>
    <s v="Fig_3.8"/>
    <s v="Bar"/>
    <x v="1"/>
    <x v="0"/>
    <x v="1"/>
    <x v="1"/>
    <x v="1"/>
    <n v="-0.2"/>
    <s v="MtCO2e/yr"/>
  </r>
  <r>
    <s v="Fig_3.8"/>
    <s v="Bar"/>
    <x v="2"/>
    <x v="0"/>
    <x v="1"/>
    <x v="1"/>
    <x v="1"/>
    <n v="-0.8"/>
    <s v="MtCO2e/yr"/>
  </r>
  <r>
    <s v="Fig_3.8"/>
    <s v="Bar"/>
    <x v="3"/>
    <x v="0"/>
    <x v="1"/>
    <x v="1"/>
    <x v="1"/>
    <n v="-1"/>
    <s v="MtCO2e/yr"/>
  </r>
  <r>
    <s v="Fig_3.8"/>
    <s v="Bar"/>
    <x v="0"/>
    <x v="0"/>
    <x v="1"/>
    <x v="0"/>
    <x v="4"/>
    <n v="-2.6"/>
    <s v="MtCO2e/yr"/>
  </r>
  <r>
    <s v="Fig_3.8"/>
    <s v="Bar"/>
    <x v="1"/>
    <x v="0"/>
    <x v="1"/>
    <x v="0"/>
    <x v="4"/>
    <n v="-5.5"/>
    <s v="MtCO2e/yr"/>
  </r>
  <r>
    <s v="Fig_3.8"/>
    <s v="Bar"/>
    <x v="2"/>
    <x v="0"/>
    <x v="1"/>
    <x v="0"/>
    <x v="4"/>
    <n v="-7.5"/>
    <s v="MtCO2e/yr"/>
  </r>
  <r>
    <s v="Fig_3.8"/>
    <s v="Bar"/>
    <x v="3"/>
    <x v="0"/>
    <x v="1"/>
    <x v="0"/>
    <x v="4"/>
    <n v="-9.1"/>
    <s v="MtCO2e/yr"/>
  </r>
  <r>
    <s v="Fig_3.8"/>
    <s v="Bar"/>
    <x v="2"/>
    <x v="0"/>
    <x v="2"/>
    <x v="0"/>
    <x v="1"/>
    <n v="-0.8"/>
    <s v="MtCO2e/yr"/>
  </r>
  <r>
    <s v="Fig_3.8"/>
    <s v="Bar"/>
    <x v="3"/>
    <x v="0"/>
    <x v="2"/>
    <x v="0"/>
    <x v="1"/>
    <n v="-0.8"/>
    <s v="MtCO2e/yr"/>
  </r>
  <r>
    <s v="Fig_3.8"/>
    <s v="Bar"/>
    <x v="0"/>
    <x v="0"/>
    <x v="2"/>
    <x v="1"/>
    <x v="1"/>
    <n v="-0.3"/>
    <s v="MtCO2e/yr"/>
  </r>
  <r>
    <s v="Fig_3.8"/>
    <s v="Bar"/>
    <x v="1"/>
    <x v="0"/>
    <x v="2"/>
    <x v="1"/>
    <x v="1"/>
    <n v="-0.5"/>
    <s v="MtCO2e/yr"/>
  </r>
  <r>
    <s v="Fig_3.8"/>
    <s v="Bar"/>
    <x v="2"/>
    <x v="0"/>
    <x v="2"/>
    <x v="1"/>
    <x v="1"/>
    <n v="-0.5"/>
    <s v="MtCO2e/yr"/>
  </r>
  <r>
    <s v="Fig_3.8"/>
    <s v="Bar"/>
    <x v="3"/>
    <x v="0"/>
    <x v="2"/>
    <x v="1"/>
    <x v="1"/>
    <n v="-0.5"/>
    <s v="MtCO2e/yr"/>
  </r>
  <r>
    <s v="Fig_3.8"/>
    <s v="Bar"/>
    <x v="0"/>
    <x v="0"/>
    <x v="2"/>
    <x v="0"/>
    <x v="4"/>
    <n v="0.3"/>
    <s v="MtCO2e/yr"/>
  </r>
  <r>
    <s v="Fig_3.8"/>
    <s v="Bar"/>
    <x v="1"/>
    <x v="0"/>
    <x v="2"/>
    <x v="0"/>
    <x v="4"/>
    <n v="-2.2000000000000002"/>
    <s v="MtCO2e/yr"/>
  </r>
  <r>
    <s v="Fig_3.8"/>
    <s v="Bar"/>
    <x v="2"/>
    <x v="0"/>
    <x v="2"/>
    <x v="0"/>
    <x v="4"/>
    <n v="-5.3"/>
    <s v="MtCO2e/yr"/>
  </r>
  <r>
    <s v="Fig_3.8"/>
    <s v="Bar"/>
    <x v="3"/>
    <x v="0"/>
    <x v="2"/>
    <x v="0"/>
    <x v="4"/>
    <n v="-8.1"/>
    <s v="MtCO2e/yr"/>
  </r>
  <r>
    <s v="Fig_3.8"/>
    <s v="Bar"/>
    <x v="2"/>
    <x v="0"/>
    <x v="3"/>
    <x v="0"/>
    <x v="1"/>
    <n v="-22"/>
    <s v="MtCO2e/yr"/>
  </r>
  <r>
    <s v="Fig_3.8"/>
    <s v="Bar"/>
    <x v="3"/>
    <x v="0"/>
    <x v="3"/>
    <x v="0"/>
    <x v="1"/>
    <n v="-28.1"/>
    <s v="MtCO2e/yr"/>
  </r>
  <r>
    <s v="Fig_3.8"/>
    <s v="Bar"/>
    <x v="0"/>
    <x v="0"/>
    <x v="3"/>
    <x v="1"/>
    <x v="1"/>
    <n v="-8.3000000000000007"/>
    <s v="MtCO2e/yr"/>
  </r>
  <r>
    <s v="Fig_3.8"/>
    <s v="Bar"/>
    <x v="1"/>
    <x v="0"/>
    <x v="3"/>
    <x v="1"/>
    <x v="1"/>
    <n v="-8.8000000000000007"/>
    <s v="MtCO2e/yr"/>
  </r>
  <r>
    <s v="Fig_3.8"/>
    <s v="Bar"/>
    <x v="2"/>
    <x v="0"/>
    <x v="3"/>
    <x v="1"/>
    <x v="1"/>
    <n v="-4.5999999999999996"/>
    <s v="MtCO2e/yr"/>
  </r>
  <r>
    <s v="Fig_3.8"/>
    <s v="Bar"/>
    <x v="3"/>
    <x v="0"/>
    <x v="3"/>
    <x v="1"/>
    <x v="1"/>
    <n v="-0.9"/>
    <s v="MtCO2e/yr"/>
  </r>
  <r>
    <s v="Fig_3.8"/>
    <s v="Bar"/>
    <x v="0"/>
    <x v="0"/>
    <x v="3"/>
    <x v="0"/>
    <x v="4"/>
    <n v="-16.2"/>
    <s v="MtCO2e/yr"/>
  </r>
  <r>
    <s v="Fig_3.8"/>
    <s v="Bar"/>
    <x v="1"/>
    <x v="0"/>
    <x v="3"/>
    <x v="0"/>
    <x v="4"/>
    <n v="-50.8"/>
    <s v="MtCO2e/yr"/>
  </r>
  <r>
    <s v="Fig_3.8"/>
    <s v="Bar"/>
    <x v="2"/>
    <x v="0"/>
    <x v="3"/>
    <x v="0"/>
    <x v="4"/>
    <n v="-61.2"/>
    <s v="MtCO2e/yr"/>
  </r>
  <r>
    <s v="Fig_3.8"/>
    <s v="Bar"/>
    <x v="3"/>
    <x v="0"/>
    <x v="3"/>
    <x v="0"/>
    <x v="4"/>
    <n v="-73.2"/>
    <s v="MtCO2e/yr"/>
  </r>
  <r>
    <s v="Fig_3.8"/>
    <s v="Bar"/>
    <x v="2"/>
    <x v="0"/>
    <x v="4"/>
    <x v="0"/>
    <x v="1"/>
    <n v="-0.7"/>
    <s v="MtCO2e/yr"/>
  </r>
  <r>
    <s v="Fig_3.8"/>
    <s v="Bar"/>
    <x v="3"/>
    <x v="0"/>
    <x v="4"/>
    <x v="0"/>
    <x v="1"/>
    <n v="4.8"/>
    <s v="MtCO2e/yr"/>
  </r>
  <r>
    <s v="Fig_3.8"/>
    <s v="Bar"/>
    <x v="0"/>
    <x v="0"/>
    <x v="4"/>
    <x v="1"/>
    <x v="1"/>
    <m/>
    <s v="MtCO2e/yr"/>
  </r>
  <r>
    <s v="Fig_3.8"/>
    <s v="Bar"/>
    <x v="1"/>
    <x v="0"/>
    <x v="4"/>
    <x v="1"/>
    <x v="1"/>
    <n v="-11.1"/>
    <s v="MtCO2e/yr"/>
  </r>
  <r>
    <s v="Fig_3.8"/>
    <s v="Bar"/>
    <x v="2"/>
    <x v="0"/>
    <x v="4"/>
    <x v="1"/>
    <x v="1"/>
    <n v="-19.8"/>
    <s v="MtCO2e/yr"/>
  </r>
  <r>
    <s v="Fig_3.8"/>
    <s v="Bar"/>
    <x v="3"/>
    <x v="0"/>
    <x v="4"/>
    <x v="1"/>
    <x v="1"/>
    <n v="-24.7"/>
    <s v="MtCO2e/yr"/>
  </r>
  <r>
    <s v="Fig_3.8"/>
    <s v="Bar"/>
    <x v="0"/>
    <x v="0"/>
    <x v="4"/>
    <x v="0"/>
    <x v="4"/>
    <m/>
    <s v="MtCO2e/yr"/>
  </r>
  <r>
    <s v="Fig_3.8"/>
    <s v="Bar"/>
    <x v="1"/>
    <x v="0"/>
    <x v="4"/>
    <x v="0"/>
    <x v="4"/>
    <n v="-41.8"/>
    <s v="MtCO2e/yr"/>
  </r>
  <r>
    <s v="Fig_3.8"/>
    <s v="Bar"/>
    <x v="2"/>
    <x v="0"/>
    <x v="4"/>
    <x v="0"/>
    <x v="4"/>
    <n v="-54.8"/>
    <s v="MtCO2e/yr"/>
  </r>
  <r>
    <s v="Fig_3.8"/>
    <s v="Bar"/>
    <x v="3"/>
    <x v="0"/>
    <x v="4"/>
    <x v="0"/>
    <x v="4"/>
    <n v="-66.2"/>
    <s v="MtCO2e/yr"/>
  </r>
  <r>
    <s v="Fig_3.8"/>
    <s v="Bar"/>
    <x v="2"/>
    <x v="0"/>
    <x v="5"/>
    <x v="0"/>
    <x v="1"/>
    <n v="0.1"/>
    <s v="MtCO2e/yr"/>
  </r>
  <r>
    <s v="Fig_3.8"/>
    <s v="Bar"/>
    <x v="3"/>
    <x v="0"/>
    <x v="5"/>
    <x v="0"/>
    <x v="1"/>
    <n v="0.2"/>
    <s v="MtCO2e/yr"/>
  </r>
  <r>
    <s v="Fig_3.8"/>
    <s v="Bar"/>
    <x v="0"/>
    <x v="0"/>
    <x v="5"/>
    <x v="1"/>
    <x v="1"/>
    <n v="0.7"/>
    <s v="MtCO2e/yr"/>
  </r>
  <r>
    <s v="Fig_3.8"/>
    <s v="Bar"/>
    <x v="1"/>
    <x v="0"/>
    <x v="5"/>
    <x v="1"/>
    <x v="1"/>
    <n v="0.4"/>
    <s v="MtCO2e/yr"/>
  </r>
  <r>
    <s v="Fig_3.8"/>
    <s v="Bar"/>
    <x v="2"/>
    <x v="0"/>
    <x v="5"/>
    <x v="1"/>
    <x v="1"/>
    <n v="0.1"/>
    <s v="MtCO2e/yr"/>
  </r>
  <r>
    <s v="Fig_3.8"/>
    <s v="Bar"/>
    <x v="3"/>
    <x v="0"/>
    <x v="5"/>
    <x v="1"/>
    <x v="1"/>
    <n v="0"/>
    <s v="MtCO2e/yr"/>
  </r>
  <r>
    <s v="Fig_3.8"/>
    <s v="Bar"/>
    <x v="0"/>
    <x v="0"/>
    <x v="5"/>
    <x v="0"/>
    <x v="4"/>
    <n v="1.4"/>
    <s v="MtCO2e/yr"/>
  </r>
  <r>
    <s v="Fig_3.8"/>
    <s v="Bar"/>
    <x v="1"/>
    <x v="0"/>
    <x v="5"/>
    <x v="0"/>
    <x v="4"/>
    <n v="1.3"/>
    <s v="MtCO2e/yr"/>
  </r>
  <r>
    <s v="Fig_3.8"/>
    <s v="Bar"/>
    <x v="2"/>
    <x v="0"/>
    <x v="5"/>
    <x v="0"/>
    <x v="4"/>
    <n v="1.3"/>
    <s v="MtCO2e/yr"/>
  </r>
  <r>
    <s v="Fig_3.8"/>
    <s v="Bar"/>
    <x v="3"/>
    <x v="0"/>
    <x v="5"/>
    <x v="0"/>
    <x v="4"/>
    <n v="1.2"/>
    <s v="MtCO2e/yr"/>
  </r>
  <r>
    <s v="Fig_3.8"/>
    <s v="Bar"/>
    <x v="2"/>
    <x v="0"/>
    <x v="6"/>
    <x v="0"/>
    <x v="1"/>
    <n v="-33.299999999999997"/>
    <s v="MtCO2e/yr"/>
  </r>
  <r>
    <s v="Fig_3.8"/>
    <s v="Bar"/>
    <x v="3"/>
    <x v="0"/>
    <x v="6"/>
    <x v="0"/>
    <x v="1"/>
    <n v="-27.3"/>
    <s v="MtCO2e/yr"/>
  </r>
  <r>
    <s v="Fig_3.8"/>
    <s v="Bar"/>
    <x v="0"/>
    <x v="0"/>
    <x v="6"/>
    <x v="1"/>
    <x v="1"/>
    <n v="-17.600000000000001"/>
    <s v="MtCO2e/yr"/>
  </r>
  <r>
    <s v="Fig_3.8"/>
    <s v="Bar"/>
    <x v="1"/>
    <x v="0"/>
    <x v="6"/>
    <x v="1"/>
    <x v="1"/>
    <n v="-13.2"/>
    <s v="MtCO2e/yr"/>
  </r>
  <r>
    <s v="Fig_3.8"/>
    <s v="Bar"/>
    <x v="2"/>
    <x v="0"/>
    <x v="6"/>
    <x v="1"/>
    <x v="1"/>
    <n v="-6.1"/>
    <s v="MtCO2e/yr"/>
  </r>
  <r>
    <s v="Fig_3.8"/>
    <s v="Bar"/>
    <x v="3"/>
    <x v="0"/>
    <x v="6"/>
    <x v="1"/>
    <x v="1"/>
    <n v="-7.9"/>
    <s v="MtCO2e/yr"/>
  </r>
  <r>
    <s v="Fig_3.8"/>
    <s v="Bar"/>
    <x v="0"/>
    <x v="0"/>
    <x v="6"/>
    <x v="0"/>
    <x v="4"/>
    <n v="-101.2"/>
    <s v="MtCO2e/yr"/>
  </r>
  <r>
    <s v="Fig_3.8"/>
    <s v="Bar"/>
    <x v="1"/>
    <x v="0"/>
    <x v="6"/>
    <x v="0"/>
    <x v="4"/>
    <n v="-131.1"/>
    <s v="MtCO2e/yr"/>
  </r>
  <r>
    <s v="Fig_3.8"/>
    <s v="Bar"/>
    <x v="2"/>
    <x v="0"/>
    <x v="6"/>
    <x v="0"/>
    <x v="4"/>
    <n v="-124.7"/>
    <s v="MtCO2e/yr"/>
  </r>
  <r>
    <s v="Fig_3.8"/>
    <s v="Bar"/>
    <x v="3"/>
    <x v="0"/>
    <x v="6"/>
    <x v="0"/>
    <x v="4"/>
    <n v="-112.3"/>
    <s v="MtCO2e/yr"/>
  </r>
  <r>
    <s v="Fig_3.8"/>
    <s v="Bar"/>
    <x v="2"/>
    <x v="0"/>
    <x v="7"/>
    <x v="0"/>
    <x v="1"/>
    <n v="-2.1"/>
    <s v="MtCO2e/yr"/>
  </r>
  <r>
    <s v="Fig_3.8"/>
    <s v="Bar"/>
    <x v="3"/>
    <x v="0"/>
    <x v="7"/>
    <x v="0"/>
    <x v="1"/>
    <n v="-4.5"/>
    <s v="MtCO2e/yr"/>
  </r>
  <r>
    <s v="Fig_3.8"/>
    <s v="Bar"/>
    <x v="0"/>
    <x v="0"/>
    <x v="7"/>
    <x v="1"/>
    <x v="1"/>
    <n v="-0.1"/>
    <s v="MtCO2e/yr"/>
  </r>
  <r>
    <s v="Fig_3.8"/>
    <s v="Bar"/>
    <x v="1"/>
    <x v="0"/>
    <x v="7"/>
    <x v="1"/>
    <x v="1"/>
    <n v="-0.2"/>
    <s v="MtCO2e/yr"/>
  </r>
  <r>
    <s v="Fig_3.8"/>
    <s v="Bar"/>
    <x v="2"/>
    <x v="0"/>
    <x v="7"/>
    <x v="1"/>
    <x v="1"/>
    <n v="-0.5"/>
    <s v="MtCO2e/yr"/>
  </r>
  <r>
    <s v="Fig_3.8"/>
    <s v="Bar"/>
    <x v="3"/>
    <x v="0"/>
    <x v="7"/>
    <x v="1"/>
    <x v="1"/>
    <n v="-2.4"/>
    <s v="MtCO2e/yr"/>
  </r>
  <r>
    <s v="Fig_3.8"/>
    <s v="Bar"/>
    <x v="0"/>
    <x v="0"/>
    <x v="7"/>
    <x v="0"/>
    <x v="4"/>
    <n v="-10"/>
    <s v="MtCO2e/yr"/>
  </r>
  <r>
    <s v="Fig_3.8"/>
    <s v="Bar"/>
    <x v="1"/>
    <x v="0"/>
    <x v="7"/>
    <x v="0"/>
    <x v="4"/>
    <n v="-15"/>
    <s v="MtCO2e/yr"/>
  </r>
  <r>
    <s v="Fig_3.8"/>
    <s v="Bar"/>
    <x v="2"/>
    <x v="0"/>
    <x v="7"/>
    <x v="0"/>
    <x v="4"/>
    <n v="-28.5"/>
    <s v="MtCO2e/yr"/>
  </r>
  <r>
    <s v="Fig_3.8"/>
    <s v="Bar"/>
    <x v="3"/>
    <x v="0"/>
    <x v="7"/>
    <x v="0"/>
    <x v="4"/>
    <n v="-35.5"/>
    <s v="MtCO2e/yr"/>
  </r>
  <r>
    <s v="Fig_3.8"/>
    <s v="Line"/>
    <x v="1"/>
    <x v="0"/>
    <x v="8"/>
    <x v="1"/>
    <x v="2"/>
    <n v="-328.3"/>
    <s v="MtCO2e/yr"/>
  </r>
  <r>
    <s v="Fig_3.8"/>
    <s v="Line"/>
    <x v="1"/>
    <x v="0"/>
    <x v="8"/>
    <x v="1"/>
    <x v="3"/>
    <n v="-104.5"/>
    <s v="MtCO2e/yr"/>
  </r>
  <r>
    <s v="Fig_3.8"/>
    <s v="Line"/>
    <x v="1"/>
    <x v="0"/>
    <x v="8"/>
    <x v="1"/>
    <x v="4"/>
    <n v="-198.2"/>
    <s v="MtCO2e/yr"/>
  </r>
  <r>
    <s v="Fig_3.8"/>
    <s v="Line"/>
    <x v="1"/>
    <x v="0"/>
    <x v="8"/>
    <x v="1"/>
    <x v="1"/>
    <n v="-40.5"/>
    <s v="MtCO2e/yr"/>
  </r>
  <r>
    <s v="Fig_3.8"/>
    <s v="Line"/>
    <x v="1"/>
    <x v="0"/>
    <x v="8"/>
    <x v="1"/>
    <x v="0"/>
    <n v="-259.39999999999998"/>
    <s v="MtCO2e/yr"/>
  </r>
  <r>
    <s v="Fig_3.8"/>
    <s v="Line"/>
    <x v="1"/>
    <x v="0"/>
    <x v="8"/>
    <x v="0"/>
    <x v="2"/>
    <n v="-247.6"/>
    <s v="MtCO2e/yr"/>
  </r>
  <r>
    <s v="Fig_3.8"/>
    <s v="Line"/>
    <x v="1"/>
    <x v="0"/>
    <x v="8"/>
    <x v="0"/>
    <x v="3"/>
    <n v="-78.2"/>
    <s v="MtCO2e/yr"/>
  </r>
  <r>
    <s v="Fig_3.8"/>
    <s v="Line"/>
    <x v="1"/>
    <x v="0"/>
    <x v="8"/>
    <x v="0"/>
    <x v="4"/>
    <n v="-131.5"/>
    <s v="MtCO2e/yr"/>
  </r>
  <r>
    <s v="Fig_3.8"/>
    <s v="Line"/>
    <x v="1"/>
    <x v="0"/>
    <x v="8"/>
    <x v="0"/>
    <x v="1"/>
    <n v="-16.5"/>
    <s v="MtCO2e/yr"/>
  </r>
  <r>
    <s v="Fig_3.8"/>
    <s v="Line"/>
    <x v="1"/>
    <x v="0"/>
    <x v="8"/>
    <x v="0"/>
    <x v="0"/>
    <n v="-196.8"/>
    <s v="MtCO2e/yr"/>
  </r>
  <r>
    <s v="Fig_3.8"/>
    <s v="Line"/>
    <x v="1"/>
    <x v="1"/>
    <x v="8"/>
    <x v="0"/>
    <x v="0"/>
    <n v="-183.1"/>
    <s v="MtCO2e/yr"/>
  </r>
  <r>
    <s v="Fig_3.8"/>
    <s v="Line"/>
    <x v="1"/>
    <x v="1"/>
    <x v="8"/>
    <x v="1"/>
    <x v="0"/>
    <n v="-180.4"/>
    <s v="MtCO2e/yr"/>
  </r>
  <r>
    <s v="Fig_3.8"/>
    <s v="Line"/>
    <x v="1"/>
    <x v="1"/>
    <x v="8"/>
    <x v="0"/>
    <x v="1"/>
    <n v="-111.3"/>
    <s v="MtCO2e/yr"/>
  </r>
  <r>
    <s v="Fig_3.8"/>
    <s v="Line"/>
    <x v="1"/>
    <x v="1"/>
    <x v="8"/>
    <x v="1"/>
    <x v="1"/>
    <n v="-110.7"/>
    <s v="MtCO2e/yr"/>
  </r>
  <r>
    <s v="Fig_3.8"/>
    <s v="Line"/>
    <x v="1"/>
    <x v="1"/>
    <x v="8"/>
    <x v="0"/>
    <x v="4"/>
    <n v="-171.9"/>
    <s v="MtCO2e/yr"/>
  </r>
  <r>
    <s v="Fig_3.8"/>
    <s v="Line"/>
    <x v="1"/>
    <x v="1"/>
    <x v="8"/>
    <x v="1"/>
    <x v="4"/>
    <n v="-168"/>
    <s v="MtCO2e/yr"/>
  </r>
  <r>
    <s v="Fig_3.8"/>
    <s v="Line"/>
    <x v="1"/>
    <x v="1"/>
    <x v="8"/>
    <x v="0"/>
    <x v="3"/>
    <n v="-148.5"/>
    <s v="MtCO2e/yr"/>
  </r>
  <r>
    <s v="Fig_3.8"/>
    <s v="Line"/>
    <x v="1"/>
    <x v="1"/>
    <x v="8"/>
    <x v="1"/>
    <x v="3"/>
    <n v="-142"/>
    <s v="MtCO2e/yr"/>
  </r>
  <r>
    <s v="Fig_3.8"/>
    <s v="Line"/>
    <x v="2"/>
    <x v="1"/>
    <x v="8"/>
    <x v="0"/>
    <x v="2"/>
    <n v="-279.2"/>
    <s v="MtCO2e/yr"/>
  </r>
  <r>
    <s v="Fig_3.8"/>
    <s v="Line"/>
    <x v="3"/>
    <x v="1"/>
    <x v="8"/>
    <x v="0"/>
    <x v="2"/>
    <n v="-339.4"/>
    <s v="MtCO2e/yr"/>
  </r>
  <r>
    <s v="Fig_3.8"/>
    <s v="Bar"/>
    <x v="2"/>
    <x v="1"/>
    <x v="1"/>
    <x v="0"/>
    <x v="1"/>
    <n v="-14.4"/>
    <s v="MtCO2e/yr"/>
  </r>
  <r>
    <s v="Fig_3.8"/>
    <s v="Bar"/>
    <x v="3"/>
    <x v="1"/>
    <x v="1"/>
    <x v="0"/>
    <x v="1"/>
    <n v="-17.899999999999999"/>
    <s v="MtCO2e/yr"/>
  </r>
  <r>
    <s v="Fig_3.8"/>
    <s v="Bar"/>
    <x v="0"/>
    <x v="1"/>
    <x v="1"/>
    <x v="1"/>
    <x v="1"/>
    <n v="-8.8000000000000007"/>
    <s v="MtCO2e/yr"/>
  </r>
  <r>
    <s v="Fig_3.8"/>
    <s v="Bar"/>
    <x v="1"/>
    <x v="1"/>
    <x v="1"/>
    <x v="1"/>
    <x v="1"/>
    <n v="-10.5"/>
    <s v="MtCO2e/yr"/>
  </r>
  <r>
    <s v="Fig_3.8"/>
    <s v="Bar"/>
    <x v="2"/>
    <x v="1"/>
    <x v="1"/>
    <x v="1"/>
    <x v="1"/>
    <n v="-13.7"/>
    <s v="MtCO2e/yr"/>
  </r>
  <r>
    <s v="Fig_3.8"/>
    <s v="Bar"/>
    <x v="3"/>
    <x v="1"/>
    <x v="1"/>
    <x v="1"/>
    <x v="1"/>
    <n v="-16.3"/>
    <s v="MtCO2e/yr"/>
  </r>
  <r>
    <s v="Fig_3.8"/>
    <s v="Bar"/>
    <x v="0"/>
    <x v="1"/>
    <x v="1"/>
    <x v="0"/>
    <x v="4"/>
    <n v="-13.3"/>
    <s v="MtCO2e/yr"/>
  </r>
  <r>
    <s v="Fig_3.8"/>
    <s v="Bar"/>
    <x v="1"/>
    <x v="1"/>
    <x v="1"/>
    <x v="0"/>
    <x v="4"/>
    <n v="-18.8"/>
    <s v="MtCO2e/yr"/>
  </r>
  <r>
    <s v="Fig_3.8"/>
    <s v="Bar"/>
    <x v="2"/>
    <x v="1"/>
    <x v="1"/>
    <x v="0"/>
    <x v="4"/>
    <n v="-23.9"/>
    <s v="MtCO2e/yr"/>
  </r>
  <r>
    <s v="Fig_3.8"/>
    <s v="Bar"/>
    <x v="3"/>
    <x v="1"/>
    <x v="1"/>
    <x v="0"/>
    <x v="4"/>
    <n v="-29.8"/>
    <s v="MtCO2e/yr"/>
  </r>
  <r>
    <s v="Fig_3.8"/>
    <s v="Bar"/>
    <x v="0"/>
    <x v="1"/>
    <x v="1"/>
    <x v="1"/>
    <x v="4"/>
    <n v="-13.3"/>
    <s v="MtCO2e/yr"/>
  </r>
  <r>
    <s v="Fig_3.8"/>
    <s v="Bar"/>
    <x v="1"/>
    <x v="1"/>
    <x v="1"/>
    <x v="1"/>
    <x v="4"/>
    <n v="-18.399999999999999"/>
    <s v="MtCO2e/yr"/>
  </r>
  <r>
    <s v="Fig_3.8"/>
    <s v="Bar"/>
    <x v="2"/>
    <x v="1"/>
    <x v="1"/>
    <x v="1"/>
    <x v="4"/>
    <n v="-22.8"/>
    <s v="MtCO2e/yr"/>
  </r>
  <r>
    <s v="Fig_3.8"/>
    <s v="Bar"/>
    <x v="3"/>
    <x v="1"/>
    <x v="1"/>
    <x v="1"/>
    <x v="4"/>
    <n v="-26.6"/>
    <s v="MtCO2e/yr"/>
  </r>
  <r>
    <s v="Fig_3.8"/>
    <s v="Bar"/>
    <x v="0"/>
    <x v="1"/>
    <x v="1"/>
    <x v="0"/>
    <x v="3"/>
    <n v="-11.4"/>
    <s v="MtCO2e/yr"/>
  </r>
  <r>
    <s v="Fig_3.8"/>
    <s v="Bar"/>
    <x v="1"/>
    <x v="1"/>
    <x v="1"/>
    <x v="0"/>
    <x v="3"/>
    <n v="-15.2"/>
    <s v="MtCO2e/yr"/>
  </r>
  <r>
    <s v="Fig_3.8"/>
    <s v="Bar"/>
    <x v="2"/>
    <x v="1"/>
    <x v="1"/>
    <x v="0"/>
    <x v="3"/>
    <n v="-20.2"/>
    <s v="MtCO2e/yr"/>
  </r>
  <r>
    <s v="Fig_3.8"/>
    <s v="Bar"/>
    <x v="3"/>
    <x v="1"/>
    <x v="1"/>
    <x v="0"/>
    <x v="3"/>
    <n v="-24.5"/>
    <s v="MtCO2e/yr"/>
  </r>
  <r>
    <s v="Fig_3.8"/>
    <s v="Bar"/>
    <x v="0"/>
    <x v="1"/>
    <x v="1"/>
    <x v="1"/>
    <x v="3"/>
    <n v="-11.4"/>
    <s v="MtCO2e/yr"/>
  </r>
  <r>
    <s v="Fig_3.8"/>
    <s v="Bar"/>
    <x v="1"/>
    <x v="1"/>
    <x v="1"/>
    <x v="1"/>
    <x v="3"/>
    <n v="-14.3"/>
    <s v="MtCO2e/yr"/>
  </r>
  <r>
    <s v="Fig_3.8"/>
    <s v="Bar"/>
    <x v="2"/>
    <x v="1"/>
    <x v="1"/>
    <x v="1"/>
    <x v="3"/>
    <n v="-18"/>
    <s v="MtCO2e/yr"/>
  </r>
  <r>
    <s v="Fig_3.8"/>
    <s v="Bar"/>
    <x v="3"/>
    <x v="1"/>
    <x v="1"/>
    <x v="1"/>
    <x v="3"/>
    <n v="-22"/>
    <s v="MtCO2e/yr"/>
  </r>
  <r>
    <s v="Fig_3.8"/>
    <s v="Bar"/>
    <x v="0"/>
    <x v="1"/>
    <x v="1"/>
    <x v="0"/>
    <x v="2"/>
    <n v="-25.9"/>
    <s v="MtCO2e/yr"/>
  </r>
  <r>
    <s v="Fig_3.8"/>
    <s v="Bar"/>
    <x v="1"/>
    <x v="1"/>
    <x v="1"/>
    <x v="0"/>
    <x v="2"/>
    <n v="-33.700000000000003"/>
    <s v="MtCO2e/yr"/>
  </r>
  <r>
    <s v="Fig_3.8"/>
    <s v="Bar"/>
    <x v="2"/>
    <x v="1"/>
    <x v="1"/>
    <x v="0"/>
    <x v="2"/>
    <n v="-43.4"/>
    <s v="MtCO2e/yr"/>
  </r>
  <r>
    <s v="Fig_3.8"/>
    <s v="Bar"/>
    <x v="3"/>
    <x v="1"/>
    <x v="1"/>
    <x v="0"/>
    <x v="2"/>
    <n v="-51.3"/>
    <s v="MtCO2e/yr"/>
  </r>
  <r>
    <s v="Fig_3.8"/>
    <s v="Bar"/>
    <x v="0"/>
    <x v="1"/>
    <x v="1"/>
    <x v="1"/>
    <x v="2"/>
    <n v="-25.9"/>
    <s v="MtCO2e/yr"/>
  </r>
  <r>
    <s v="Fig_3.8"/>
    <s v="Bar"/>
    <x v="1"/>
    <x v="1"/>
    <x v="1"/>
    <x v="1"/>
    <x v="2"/>
    <n v="-31.4"/>
    <s v="MtCO2e/yr"/>
  </r>
  <r>
    <s v="Fig_3.8"/>
    <s v="Bar"/>
    <x v="2"/>
    <x v="1"/>
    <x v="1"/>
    <x v="1"/>
    <x v="2"/>
    <n v="-38.799999999999997"/>
    <s v="MtCO2e/yr"/>
  </r>
  <r>
    <s v="Fig_3.8"/>
    <s v="Bar"/>
    <x v="3"/>
    <x v="1"/>
    <x v="1"/>
    <x v="1"/>
    <x v="2"/>
    <n v="-46.3"/>
    <s v="MtCO2e/yr"/>
  </r>
  <r>
    <s v="Fig_3.8"/>
    <s v="Bar"/>
    <x v="0"/>
    <x v="1"/>
    <x v="3"/>
    <x v="0"/>
    <x v="0"/>
    <n v="-0.1"/>
    <s v="MtCO2e/yr"/>
  </r>
  <r>
    <s v="Fig_3.8"/>
    <s v="Bar"/>
    <x v="1"/>
    <x v="1"/>
    <x v="3"/>
    <x v="0"/>
    <x v="0"/>
    <n v="-106.9"/>
    <s v="MtCO2e/yr"/>
  </r>
  <r>
    <s v="Fig_3.8"/>
    <s v="Bar"/>
    <x v="2"/>
    <x v="1"/>
    <x v="3"/>
    <x v="0"/>
    <x v="0"/>
    <n v="-147.9"/>
    <s v="MtCO2e/yr"/>
  </r>
  <r>
    <s v="Fig_3.8"/>
    <s v="Bar"/>
    <x v="3"/>
    <x v="1"/>
    <x v="3"/>
    <x v="0"/>
    <x v="0"/>
    <n v="-168.2"/>
    <s v="MtCO2e/yr"/>
  </r>
  <r>
    <s v="Fig_3.8"/>
    <s v="Bar"/>
    <x v="0"/>
    <x v="1"/>
    <x v="3"/>
    <x v="1"/>
    <x v="0"/>
    <n v="-0.1"/>
    <s v="MtCO2e/yr"/>
  </r>
  <r>
    <s v="Fig_3.8"/>
    <s v="Bar"/>
    <x v="1"/>
    <x v="1"/>
    <x v="3"/>
    <x v="1"/>
    <x v="0"/>
    <n v="-106.7"/>
    <s v="MtCO2e/yr"/>
  </r>
  <r>
    <s v="Fig_3.8"/>
    <s v="Bar"/>
    <x v="2"/>
    <x v="1"/>
    <x v="3"/>
    <x v="1"/>
    <x v="0"/>
    <n v="-147"/>
    <s v="MtCO2e/yr"/>
  </r>
  <r>
    <s v="Fig_3.8"/>
    <s v="Bar"/>
    <x v="3"/>
    <x v="1"/>
    <x v="3"/>
    <x v="1"/>
    <x v="0"/>
    <n v="-165.4"/>
    <s v="MtCO2e/yr"/>
  </r>
  <r>
    <s v="Fig_3.8"/>
    <s v="Bar"/>
    <x v="0"/>
    <x v="1"/>
    <x v="3"/>
    <x v="0"/>
    <x v="1"/>
    <n v="-0.1"/>
    <s v="MtCO2e/yr"/>
  </r>
  <r>
    <s v="Fig_3.8"/>
    <s v="Bar"/>
    <x v="1"/>
    <x v="1"/>
    <x v="3"/>
    <x v="0"/>
    <x v="1"/>
    <n v="-88.4"/>
    <s v="MtCO2e/yr"/>
  </r>
  <r>
    <s v="Fig_3.8"/>
    <s v="Bar"/>
    <x v="2"/>
    <x v="1"/>
    <x v="3"/>
    <x v="0"/>
    <x v="1"/>
    <n v="-125.1"/>
    <s v="MtCO2e/yr"/>
  </r>
  <r>
    <s v="Fig_3.8"/>
    <s v="Bar"/>
    <x v="3"/>
    <x v="1"/>
    <x v="3"/>
    <x v="0"/>
    <x v="1"/>
    <n v="-143.5"/>
    <s v="MtCO2e/yr"/>
  </r>
  <r>
    <s v="Fig_3.8"/>
    <s v="Bar"/>
    <x v="0"/>
    <x v="1"/>
    <x v="3"/>
    <x v="1"/>
    <x v="1"/>
    <n v="-0.1"/>
    <s v="MtCO2e/yr"/>
  </r>
  <r>
    <s v="Fig_3.8"/>
    <s v="Bar"/>
    <x v="1"/>
    <x v="1"/>
    <x v="3"/>
    <x v="1"/>
    <x v="1"/>
    <n v="-87.7"/>
    <s v="MtCO2e/yr"/>
  </r>
  <r>
    <s v="Fig_3.8"/>
    <s v="Bar"/>
    <x v="2"/>
    <x v="1"/>
    <x v="3"/>
    <x v="1"/>
    <x v="1"/>
    <n v="-124.1"/>
    <s v="MtCO2e/yr"/>
  </r>
  <r>
    <s v="Fig_3.8"/>
    <s v="Bar"/>
    <x v="3"/>
    <x v="1"/>
    <x v="3"/>
    <x v="1"/>
    <x v="1"/>
    <n v="-142.1"/>
    <s v="MtCO2e/yr"/>
  </r>
  <r>
    <s v="Fig_3.8"/>
    <s v="Bar"/>
    <x v="0"/>
    <x v="1"/>
    <x v="3"/>
    <x v="0"/>
    <x v="4"/>
    <n v="-0.6"/>
    <s v="MtCO2e/yr"/>
  </r>
  <r>
    <s v="Fig_3.8"/>
    <s v="Bar"/>
    <x v="1"/>
    <x v="1"/>
    <x v="3"/>
    <x v="0"/>
    <x v="4"/>
    <n v="-106.4"/>
    <s v="MtCO2e/yr"/>
  </r>
  <r>
    <s v="Fig_3.8"/>
    <s v="Bar"/>
    <x v="2"/>
    <x v="1"/>
    <x v="3"/>
    <x v="0"/>
    <x v="4"/>
    <n v="-148.19999999999999"/>
    <s v="MtCO2e/yr"/>
  </r>
  <r>
    <s v="Fig_3.8"/>
    <s v="Bar"/>
    <x v="3"/>
    <x v="1"/>
    <x v="3"/>
    <x v="0"/>
    <x v="4"/>
    <n v="-169.1"/>
    <s v="MtCO2e/yr"/>
  </r>
  <r>
    <s v="Fig_3.8"/>
    <s v="Bar"/>
    <x v="0"/>
    <x v="0"/>
    <x v="0"/>
    <x v="1"/>
    <x v="4"/>
    <n v="50.6"/>
    <s v="MtCO2e/yr"/>
  </r>
  <r>
    <s v="Fig_3.8"/>
    <s v="Bar"/>
    <x v="1"/>
    <x v="0"/>
    <x v="0"/>
    <x v="1"/>
    <x v="4"/>
    <n v="30.7"/>
    <s v="MtCO2e/yr"/>
  </r>
  <r>
    <s v="Fig_3.8"/>
    <s v="Bar"/>
    <x v="2"/>
    <x v="0"/>
    <x v="0"/>
    <x v="1"/>
    <x v="4"/>
    <n v="14.2"/>
    <s v="MtCO2e/yr"/>
  </r>
  <r>
    <s v="Fig_3.8"/>
    <s v="Bar"/>
    <x v="3"/>
    <x v="0"/>
    <x v="0"/>
    <x v="1"/>
    <x v="4"/>
    <n v="5.9"/>
    <s v="MtCO2e/yr"/>
  </r>
  <r>
    <s v="Fig_3.8"/>
    <s v="Bar"/>
    <x v="0"/>
    <x v="0"/>
    <x v="0"/>
    <x v="0"/>
    <x v="3"/>
    <n v="72.8"/>
    <s v="MtCO2e/yr"/>
  </r>
  <r>
    <s v="Fig_3.8"/>
    <s v="Bar"/>
    <x v="1"/>
    <x v="0"/>
    <x v="0"/>
    <x v="0"/>
    <x v="3"/>
    <n v="95.6"/>
    <s v="MtCO2e/yr"/>
  </r>
  <r>
    <s v="Fig_3.8"/>
    <s v="Bar"/>
    <x v="2"/>
    <x v="0"/>
    <x v="0"/>
    <x v="0"/>
    <x v="3"/>
    <n v="71.7"/>
    <s v="MtCO2e/yr"/>
  </r>
  <r>
    <s v="Fig_3.8"/>
    <s v="Bar"/>
    <x v="3"/>
    <x v="0"/>
    <x v="0"/>
    <x v="0"/>
    <x v="3"/>
    <n v="49.8"/>
    <s v="MtCO2e/yr"/>
  </r>
  <r>
    <s v="Fig_3.8"/>
    <s v="Bar"/>
    <x v="0"/>
    <x v="0"/>
    <x v="0"/>
    <x v="1"/>
    <x v="3"/>
    <n v="42.4"/>
    <s v="MtCO2e/yr"/>
  </r>
  <r>
    <s v="Fig_3.8"/>
    <s v="Bar"/>
    <x v="1"/>
    <x v="0"/>
    <x v="0"/>
    <x v="1"/>
    <x v="3"/>
    <n v="23.1"/>
    <s v="MtCO2e/yr"/>
  </r>
  <r>
    <s v="Fig_3.8"/>
    <s v="Bar"/>
    <x v="0"/>
    <x v="0"/>
    <x v="1"/>
    <x v="1"/>
    <x v="4"/>
    <n v="-3.6"/>
    <s v="MtCO2e/yr"/>
  </r>
  <r>
    <s v="Fig_3.8"/>
    <s v="Bar"/>
    <x v="1"/>
    <x v="0"/>
    <x v="1"/>
    <x v="1"/>
    <x v="4"/>
    <n v="-6.1"/>
    <s v="MtCO2e/yr"/>
  </r>
  <r>
    <s v="Fig_3.8"/>
    <s v="Bar"/>
    <x v="2"/>
    <x v="0"/>
    <x v="1"/>
    <x v="1"/>
    <x v="4"/>
    <n v="-8.1999999999999993"/>
    <s v="MtCO2e/yr"/>
  </r>
  <r>
    <s v="Fig_3.8"/>
    <s v="Bar"/>
    <x v="3"/>
    <x v="0"/>
    <x v="1"/>
    <x v="1"/>
    <x v="4"/>
    <n v="-9.8000000000000007"/>
    <s v="MtCO2e/yr"/>
  </r>
  <r>
    <s v="Fig_3.8"/>
    <s v="Bar"/>
    <x v="0"/>
    <x v="0"/>
    <x v="1"/>
    <x v="0"/>
    <x v="3"/>
    <n v="-3.3"/>
    <s v="MtCO2e/yr"/>
  </r>
  <r>
    <s v="Fig_3.8"/>
    <s v="Bar"/>
    <x v="1"/>
    <x v="0"/>
    <x v="1"/>
    <x v="0"/>
    <x v="3"/>
    <n v="-5.5"/>
    <s v="MtCO2e/yr"/>
  </r>
  <r>
    <s v="Fig_3.8"/>
    <s v="Bar"/>
    <x v="2"/>
    <x v="0"/>
    <x v="1"/>
    <x v="0"/>
    <x v="3"/>
    <n v="-6.4"/>
    <s v="MtCO2e/yr"/>
  </r>
  <r>
    <s v="Fig_3.8"/>
    <s v="Bar"/>
    <x v="3"/>
    <x v="0"/>
    <x v="1"/>
    <x v="0"/>
    <x v="3"/>
    <n v="-7.7"/>
    <s v="MtCO2e/yr"/>
  </r>
  <r>
    <s v="Fig_3.8"/>
    <s v="Bar"/>
    <x v="0"/>
    <x v="0"/>
    <x v="1"/>
    <x v="1"/>
    <x v="3"/>
    <n v="-3.2"/>
    <s v="MtCO2e/yr"/>
  </r>
  <r>
    <s v="Fig_3.8"/>
    <s v="Bar"/>
    <x v="1"/>
    <x v="0"/>
    <x v="1"/>
    <x v="1"/>
    <x v="3"/>
    <n v="-5"/>
    <s v="MtCO2e/yr"/>
  </r>
  <r>
    <s v="Fig_3.8"/>
    <s v="Bar"/>
    <x v="0"/>
    <x v="0"/>
    <x v="2"/>
    <x v="1"/>
    <x v="4"/>
    <n v="-1.7"/>
    <s v="MtCO2e/yr"/>
  </r>
  <r>
    <s v="Fig_3.8"/>
    <s v="Bar"/>
    <x v="1"/>
    <x v="0"/>
    <x v="2"/>
    <x v="1"/>
    <x v="4"/>
    <n v="-3.4"/>
    <s v="MtCO2e/yr"/>
  </r>
  <r>
    <s v="Fig_3.8"/>
    <s v="Bar"/>
    <x v="2"/>
    <x v="0"/>
    <x v="2"/>
    <x v="1"/>
    <x v="4"/>
    <n v="-6.6"/>
    <s v="MtCO2e/yr"/>
  </r>
  <r>
    <s v="Fig_3.8"/>
    <s v="Bar"/>
    <x v="3"/>
    <x v="0"/>
    <x v="2"/>
    <x v="1"/>
    <x v="4"/>
    <n v="-8.9"/>
    <s v="MtCO2e/yr"/>
  </r>
  <r>
    <s v="Fig_3.8"/>
    <s v="Bar"/>
    <x v="0"/>
    <x v="0"/>
    <x v="2"/>
    <x v="0"/>
    <x v="3"/>
    <n v="-0.7"/>
    <s v="MtCO2e/yr"/>
  </r>
  <r>
    <s v="Fig_3.8"/>
    <s v="Bar"/>
    <x v="1"/>
    <x v="0"/>
    <x v="2"/>
    <x v="0"/>
    <x v="3"/>
    <n v="-1.8"/>
    <s v="MtCO2e/yr"/>
  </r>
  <r>
    <s v="Fig_3.8"/>
    <s v="Bar"/>
    <x v="2"/>
    <x v="0"/>
    <x v="2"/>
    <x v="0"/>
    <x v="3"/>
    <n v="-3"/>
    <s v="MtCO2e/yr"/>
  </r>
  <r>
    <s v="Fig_3.8"/>
    <s v="Bar"/>
    <x v="3"/>
    <x v="0"/>
    <x v="2"/>
    <x v="0"/>
    <x v="3"/>
    <n v="-4.7"/>
    <s v="MtCO2e/yr"/>
  </r>
  <r>
    <s v="Fig_3.8"/>
    <s v="Bar"/>
    <x v="0"/>
    <x v="0"/>
    <x v="2"/>
    <x v="1"/>
    <x v="3"/>
    <n v="-0.7"/>
    <s v="MtCO2e/yr"/>
  </r>
  <r>
    <s v="Fig_3.8"/>
    <s v="Bar"/>
    <x v="1"/>
    <x v="0"/>
    <x v="2"/>
    <x v="1"/>
    <x v="3"/>
    <n v="-1"/>
    <s v="MtCO2e/yr"/>
  </r>
  <r>
    <s v="Fig_3.8"/>
    <s v="Bar"/>
    <x v="0"/>
    <x v="0"/>
    <x v="3"/>
    <x v="1"/>
    <x v="4"/>
    <n v="-27.5"/>
    <s v="MtCO2e/yr"/>
  </r>
  <r>
    <s v="Fig_3.8"/>
    <s v="Bar"/>
    <x v="1"/>
    <x v="0"/>
    <x v="3"/>
    <x v="1"/>
    <x v="4"/>
    <n v="-50.7"/>
    <s v="MtCO2e/yr"/>
  </r>
  <r>
    <s v="Fig_3.8"/>
    <s v="Bar"/>
    <x v="2"/>
    <x v="0"/>
    <x v="3"/>
    <x v="1"/>
    <x v="4"/>
    <n v="-49.4"/>
    <s v="MtCO2e/yr"/>
  </r>
  <r>
    <s v="Fig_3.8"/>
    <s v="Bar"/>
    <x v="3"/>
    <x v="0"/>
    <x v="3"/>
    <x v="1"/>
    <x v="4"/>
    <n v="-50.5"/>
    <s v="MtCO2e/yr"/>
  </r>
  <r>
    <s v="Fig_3.8"/>
    <s v="Bar"/>
    <x v="0"/>
    <x v="0"/>
    <x v="3"/>
    <x v="0"/>
    <x v="3"/>
    <n v="-13.6"/>
    <s v="MtCO2e/yr"/>
  </r>
  <r>
    <s v="Fig_3.8"/>
    <s v="Bar"/>
    <x v="1"/>
    <x v="0"/>
    <x v="3"/>
    <x v="0"/>
    <x v="3"/>
    <n v="-39.700000000000003"/>
    <s v="MtCO2e/yr"/>
  </r>
  <r>
    <s v="Fig_3.8"/>
    <s v="Bar"/>
    <x v="2"/>
    <x v="0"/>
    <x v="3"/>
    <x v="0"/>
    <x v="3"/>
    <n v="-48.7"/>
    <s v="MtCO2e/yr"/>
  </r>
  <r>
    <s v="Fig_3.8"/>
    <s v="Bar"/>
    <x v="3"/>
    <x v="0"/>
    <x v="3"/>
    <x v="0"/>
    <x v="3"/>
    <n v="-59"/>
    <s v="MtCO2e/yr"/>
  </r>
  <r>
    <s v="Fig_3.8"/>
    <s v="Bar"/>
    <x v="0"/>
    <x v="0"/>
    <x v="3"/>
    <x v="1"/>
    <x v="3"/>
    <n v="-16.7"/>
    <s v="MtCO2e/yr"/>
  </r>
  <r>
    <s v="Fig_3.8"/>
    <s v="Bar"/>
    <x v="1"/>
    <x v="0"/>
    <x v="3"/>
    <x v="1"/>
    <x v="3"/>
    <n v="-32.4"/>
    <s v="MtCO2e/yr"/>
  </r>
  <r>
    <s v="Fig_3.8"/>
    <s v="Bar"/>
    <x v="0"/>
    <x v="0"/>
    <x v="4"/>
    <x v="1"/>
    <x v="4"/>
    <m/>
    <s v="MtCO2e/yr"/>
  </r>
  <r>
    <s v="Fig_3.8"/>
    <s v="Bar"/>
    <x v="1"/>
    <x v="0"/>
    <x v="4"/>
    <x v="1"/>
    <x v="4"/>
    <n v="-51.2"/>
    <s v="MtCO2e/yr"/>
  </r>
  <r>
    <s v="Fig_3.8"/>
    <s v="Bar"/>
    <x v="2"/>
    <x v="0"/>
    <x v="4"/>
    <x v="1"/>
    <x v="4"/>
    <n v="-75.7"/>
    <s v="MtCO2e/yr"/>
  </r>
  <r>
    <s v="Fig_3.8"/>
    <s v="Bar"/>
    <x v="3"/>
    <x v="0"/>
    <x v="4"/>
    <x v="1"/>
    <x v="4"/>
    <n v="-94.3"/>
    <s v="MtCO2e/yr"/>
  </r>
  <r>
    <s v="Fig_3.8"/>
    <s v="Bar"/>
    <x v="0"/>
    <x v="0"/>
    <x v="4"/>
    <x v="0"/>
    <x v="3"/>
    <m/>
    <s v="MtCO2e/yr"/>
  </r>
  <r>
    <s v="Fig_3.8"/>
    <s v="Bar"/>
    <x v="1"/>
    <x v="0"/>
    <x v="4"/>
    <x v="0"/>
    <x v="3"/>
    <n v="-27.8"/>
    <s v="MtCO2e/yr"/>
  </r>
  <r>
    <s v="Fig_3.8"/>
    <s v="Bar"/>
    <x v="2"/>
    <x v="0"/>
    <x v="4"/>
    <x v="0"/>
    <x v="3"/>
    <n v="-30.7"/>
    <s v="MtCO2e/yr"/>
  </r>
  <r>
    <s v="Fig_3.8"/>
    <s v="Bar"/>
    <x v="3"/>
    <x v="0"/>
    <x v="4"/>
    <x v="0"/>
    <x v="3"/>
    <n v="-30.8"/>
    <s v="MtCO2e/yr"/>
  </r>
  <r>
    <s v="Fig_3.8"/>
    <s v="Bar"/>
    <x v="0"/>
    <x v="0"/>
    <x v="4"/>
    <x v="1"/>
    <x v="3"/>
    <m/>
    <s v="MtCO2e/yr"/>
  </r>
  <r>
    <s v="Fig_3.8"/>
    <s v="Bar"/>
    <x v="1"/>
    <x v="0"/>
    <x v="4"/>
    <x v="1"/>
    <x v="3"/>
    <n v="-35"/>
    <s v="MtCO2e/yr"/>
  </r>
  <r>
    <s v="Fig_3.8"/>
    <s v="Bar"/>
    <x v="0"/>
    <x v="0"/>
    <x v="5"/>
    <x v="1"/>
    <x v="4"/>
    <n v="3.3"/>
    <s v="MtCO2e/yr"/>
  </r>
  <r>
    <s v="Fig_3.8"/>
    <s v="Bar"/>
    <x v="1"/>
    <x v="0"/>
    <x v="5"/>
    <x v="1"/>
    <x v="4"/>
    <n v="2.6"/>
    <s v="MtCO2e/yr"/>
  </r>
  <r>
    <s v="Fig_3.8"/>
    <s v="Bar"/>
    <x v="2"/>
    <x v="0"/>
    <x v="5"/>
    <x v="1"/>
    <x v="4"/>
    <n v="2.2000000000000002"/>
    <s v="MtCO2e/yr"/>
  </r>
  <r>
    <s v="Fig_3.8"/>
    <s v="Bar"/>
    <x v="3"/>
    <x v="0"/>
    <x v="5"/>
    <x v="1"/>
    <x v="4"/>
    <n v="2"/>
    <s v="MtCO2e/yr"/>
  </r>
  <r>
    <s v="Fig_3.8"/>
    <s v="Bar"/>
    <x v="0"/>
    <x v="0"/>
    <x v="5"/>
    <x v="0"/>
    <x v="3"/>
    <n v="1.3"/>
    <s v="MtCO2e/yr"/>
  </r>
  <r>
    <s v="Fig_3.8"/>
    <s v="Bar"/>
    <x v="1"/>
    <x v="0"/>
    <x v="5"/>
    <x v="0"/>
    <x v="3"/>
    <n v="0.6"/>
    <s v="MtCO2e/yr"/>
  </r>
  <r>
    <s v="Fig_3.8"/>
    <s v="Bar"/>
    <x v="2"/>
    <x v="0"/>
    <x v="5"/>
    <x v="0"/>
    <x v="3"/>
    <n v="0.6"/>
    <s v="MtCO2e/yr"/>
  </r>
  <r>
    <s v="Fig_3.8"/>
    <s v="Bar"/>
    <x v="3"/>
    <x v="0"/>
    <x v="5"/>
    <x v="0"/>
    <x v="3"/>
    <n v="0.7"/>
    <s v="MtCO2e/yr"/>
  </r>
  <r>
    <s v="Fig_3.8"/>
    <s v="Bar"/>
    <x v="0"/>
    <x v="0"/>
    <x v="5"/>
    <x v="1"/>
    <x v="3"/>
    <n v="1.4"/>
    <s v="MtCO2e/yr"/>
  </r>
  <r>
    <s v="Fig_3.8"/>
    <s v="Bar"/>
    <x v="1"/>
    <x v="0"/>
    <x v="5"/>
    <x v="1"/>
    <x v="3"/>
    <n v="1.4"/>
    <s v="MtCO2e/yr"/>
  </r>
  <r>
    <s v="Fig_3.8"/>
    <s v="Bar"/>
    <x v="0"/>
    <x v="0"/>
    <x v="6"/>
    <x v="1"/>
    <x v="4"/>
    <n v="-125.6"/>
    <s v="MtCO2e/yr"/>
  </r>
  <r>
    <s v="Fig_3.8"/>
    <s v="Bar"/>
    <x v="1"/>
    <x v="0"/>
    <x v="6"/>
    <x v="1"/>
    <x v="4"/>
    <n v="-106.7"/>
    <s v="MtCO2e/yr"/>
  </r>
  <r>
    <s v="Fig_3.8"/>
    <s v="Bar"/>
    <x v="2"/>
    <x v="0"/>
    <x v="6"/>
    <x v="1"/>
    <x v="4"/>
    <n v="-84.3"/>
    <s v="MtCO2e/yr"/>
  </r>
  <r>
    <s v="Fig_3.8"/>
    <s v="Bar"/>
    <x v="3"/>
    <x v="0"/>
    <x v="6"/>
    <x v="1"/>
    <x v="4"/>
    <n v="-80.7"/>
    <s v="MtCO2e/yr"/>
  </r>
  <r>
    <s v="Fig_3.8"/>
    <s v="Bar"/>
    <x v="0"/>
    <x v="0"/>
    <x v="6"/>
    <x v="0"/>
    <x v="3"/>
    <n v="-57.7"/>
    <s v="MtCO2e/yr"/>
  </r>
  <r>
    <s v="Fig_3.8"/>
    <s v="Bar"/>
    <x v="1"/>
    <x v="0"/>
    <x v="6"/>
    <x v="0"/>
    <x v="3"/>
    <n v="-93.3"/>
    <s v="MtCO2e/yr"/>
  </r>
  <r>
    <s v="Fig_3.8"/>
    <s v="Bar"/>
    <x v="2"/>
    <x v="0"/>
    <x v="6"/>
    <x v="0"/>
    <x v="3"/>
    <n v="-81.099999999999994"/>
    <s v="MtCO2e/yr"/>
  </r>
  <r>
    <s v="Fig_3.8"/>
    <s v="Bar"/>
    <x v="3"/>
    <x v="0"/>
    <x v="6"/>
    <x v="0"/>
    <x v="3"/>
    <n v="-81.5"/>
    <s v="MtCO2e/yr"/>
  </r>
  <r>
    <s v="Fig_3.8"/>
    <s v="Bar"/>
    <x v="0"/>
    <x v="0"/>
    <x v="6"/>
    <x v="1"/>
    <x v="3"/>
    <n v="-96.9"/>
    <s v="MtCO2e/yr"/>
  </r>
  <r>
    <s v="Fig_3.8"/>
    <s v="Bar"/>
    <x v="1"/>
    <x v="0"/>
    <x v="6"/>
    <x v="1"/>
    <x v="3"/>
    <n v="-50.6"/>
    <s v="MtCO2e/yr"/>
  </r>
  <r>
    <s v="Fig_3.8"/>
    <s v="Bar"/>
    <x v="0"/>
    <x v="0"/>
    <x v="7"/>
    <x v="1"/>
    <x v="4"/>
    <n v="-10.199999999999999"/>
    <s v="MtCO2e/yr"/>
  </r>
  <r>
    <s v="Fig_3.8"/>
    <s v="Bar"/>
    <x v="1"/>
    <x v="0"/>
    <x v="7"/>
    <x v="1"/>
    <x v="4"/>
    <n v="-13.4"/>
    <s v="MtCO2e/yr"/>
  </r>
  <r>
    <s v="Fig_3.8"/>
    <s v="Bar"/>
    <x v="2"/>
    <x v="0"/>
    <x v="7"/>
    <x v="1"/>
    <x v="4"/>
    <n v="-15.3"/>
    <s v="MtCO2e/yr"/>
  </r>
  <r>
    <s v="Fig_3.8"/>
    <s v="Bar"/>
    <x v="3"/>
    <x v="0"/>
    <x v="7"/>
    <x v="1"/>
    <x v="4"/>
    <n v="-18.899999999999999"/>
    <s v="MtCO2e/yr"/>
  </r>
  <r>
    <s v="Fig_3.8"/>
    <s v="Bar"/>
    <x v="0"/>
    <x v="0"/>
    <x v="7"/>
    <x v="0"/>
    <x v="3"/>
    <n v="-4.5"/>
    <s v="MtCO2e/yr"/>
  </r>
  <r>
    <s v="Fig_3.8"/>
    <s v="Bar"/>
    <x v="1"/>
    <x v="0"/>
    <x v="7"/>
    <x v="0"/>
    <x v="3"/>
    <n v="-6.3"/>
    <s v="MtCO2e/yr"/>
  </r>
  <r>
    <s v="Fig_3.8"/>
    <s v="Bar"/>
    <x v="2"/>
    <x v="0"/>
    <x v="7"/>
    <x v="0"/>
    <x v="3"/>
    <n v="-13.4"/>
    <s v="MtCO2e/yr"/>
  </r>
  <r>
    <s v="Fig_3.8"/>
    <s v="Bar"/>
    <x v="3"/>
    <x v="0"/>
    <x v="7"/>
    <x v="0"/>
    <x v="3"/>
    <n v="-19.899999999999999"/>
    <s v="MtCO2e/yr"/>
  </r>
  <r>
    <s v="Fig_3.8"/>
    <s v="Bar"/>
    <x v="0"/>
    <x v="0"/>
    <x v="7"/>
    <x v="1"/>
    <x v="3"/>
    <n v="-4.0999999999999996"/>
    <s v="MtCO2e/yr"/>
  </r>
  <r>
    <s v="Fig_3.8"/>
    <s v="Bar"/>
    <x v="1"/>
    <x v="0"/>
    <x v="7"/>
    <x v="1"/>
    <x v="3"/>
    <n v="-5"/>
    <s v="MtCO2e/yr"/>
  </r>
  <r>
    <s v="Fig_3.8"/>
    <s v="Line"/>
    <x v="2"/>
    <x v="0"/>
    <x v="8"/>
    <x v="1"/>
    <x v="2"/>
    <n v="-353"/>
    <s v="MtCO2e/yr"/>
  </r>
  <r>
    <s v="Fig_3.8"/>
    <s v="Line"/>
    <x v="2"/>
    <x v="0"/>
    <x v="8"/>
    <x v="1"/>
    <x v="3"/>
    <n v="-109"/>
    <s v="MtCO2e/yr"/>
  </r>
  <r>
    <s v="Fig_3.8"/>
    <s v="Line"/>
    <x v="2"/>
    <x v="0"/>
    <x v="8"/>
    <x v="1"/>
    <x v="4"/>
    <n v="-223.1"/>
    <s v="MtCO2e/yr"/>
  </r>
  <r>
    <s v="Fig_3.8"/>
    <s v="Line"/>
    <x v="2"/>
    <x v="0"/>
    <x v="8"/>
    <x v="1"/>
    <x v="1"/>
    <n v="-39"/>
    <s v="MtCO2e/yr"/>
  </r>
  <r>
    <s v="Fig_3.8"/>
    <s v="Line"/>
    <x v="2"/>
    <x v="0"/>
    <x v="8"/>
    <x v="1"/>
    <x v="0"/>
    <n v="-287"/>
    <s v="MtCO2e/yr"/>
  </r>
  <r>
    <s v="Fig_3.8"/>
    <s v="Line"/>
    <x v="2"/>
    <x v="0"/>
    <x v="8"/>
    <x v="0"/>
    <x v="2"/>
    <n v="-307.8"/>
    <s v="MtCO2e/yr"/>
  </r>
  <r>
    <s v="Fig_3.8"/>
    <s v="Line"/>
    <x v="2"/>
    <x v="0"/>
    <x v="8"/>
    <x v="0"/>
    <x v="3"/>
    <n v="-111"/>
    <s v="MtCO2e/yr"/>
  </r>
  <r>
    <s v="Fig_3.8"/>
    <s v="Line"/>
    <x v="2"/>
    <x v="0"/>
    <x v="8"/>
    <x v="0"/>
    <x v="4"/>
    <n v="-200.4"/>
    <s v="MtCO2e/yr"/>
  </r>
  <r>
    <s v="Fig_3.8"/>
    <s v="Line"/>
    <x v="2"/>
    <x v="0"/>
    <x v="8"/>
    <x v="0"/>
    <x v="1"/>
    <n v="-28.2"/>
    <s v="MtCO2e/yr"/>
  </r>
  <r>
    <s v="Fig_3.8"/>
    <s v="Line"/>
    <x v="2"/>
    <x v="0"/>
    <x v="8"/>
    <x v="0"/>
    <x v="0"/>
    <n v="-260.8"/>
    <s v="MtCO2e/yr"/>
  </r>
  <r>
    <s v="Fig_3.8"/>
    <s v="Bar"/>
    <x v="0"/>
    <x v="1"/>
    <x v="3"/>
    <x v="1"/>
    <x v="4"/>
    <n v="-0.6"/>
    <s v="MtCO2e/yr"/>
  </r>
  <r>
    <s v="Fig_3.8"/>
    <s v="Bar"/>
    <x v="1"/>
    <x v="1"/>
    <x v="3"/>
    <x v="1"/>
    <x v="4"/>
    <n v="-105.4"/>
    <s v="MtCO2e/yr"/>
  </r>
  <r>
    <s v="Fig_3.8"/>
    <s v="Bar"/>
    <x v="2"/>
    <x v="1"/>
    <x v="3"/>
    <x v="1"/>
    <x v="4"/>
    <n v="-146.80000000000001"/>
    <s v="MtCO2e/yr"/>
  </r>
  <r>
    <s v="Fig_3.8"/>
    <s v="Bar"/>
    <x v="3"/>
    <x v="1"/>
    <x v="3"/>
    <x v="1"/>
    <x v="4"/>
    <n v="-166.4"/>
    <s v="MtCO2e/yr"/>
  </r>
  <r>
    <s v="Fig_3.8"/>
    <s v="Bar"/>
    <x v="0"/>
    <x v="1"/>
    <x v="3"/>
    <x v="0"/>
    <x v="3"/>
    <n v="-0.1"/>
    <s v="MtCO2e/yr"/>
  </r>
  <r>
    <s v="Fig_3.8"/>
    <s v="Bar"/>
    <x v="1"/>
    <x v="1"/>
    <x v="3"/>
    <x v="0"/>
    <x v="3"/>
    <n v="-97.3"/>
    <s v="MtCO2e/yr"/>
  </r>
  <r>
    <s v="Fig_3.8"/>
    <s v="Bar"/>
    <x v="2"/>
    <x v="1"/>
    <x v="3"/>
    <x v="0"/>
    <x v="3"/>
    <n v="-140.4"/>
    <s v="MtCO2e/yr"/>
  </r>
  <r>
    <s v="Fig_3.8"/>
    <s v="Bar"/>
    <x v="3"/>
    <x v="1"/>
    <x v="3"/>
    <x v="0"/>
    <x v="3"/>
    <n v="-162.9"/>
    <s v="MtCO2e/yr"/>
  </r>
  <r>
    <s v="Fig_3.8"/>
    <s v="Bar"/>
    <x v="0"/>
    <x v="1"/>
    <x v="3"/>
    <x v="1"/>
    <x v="3"/>
    <n v="-0.1"/>
    <s v="MtCO2e/yr"/>
  </r>
  <r>
    <s v="Fig_3.8"/>
    <s v="Bar"/>
    <x v="1"/>
    <x v="1"/>
    <x v="3"/>
    <x v="1"/>
    <x v="3"/>
    <n v="-93.6"/>
    <s v="MtCO2e/yr"/>
  </r>
  <r>
    <s v="Fig_3.8"/>
    <s v="Bar"/>
    <x v="2"/>
    <x v="1"/>
    <x v="3"/>
    <x v="1"/>
    <x v="3"/>
    <n v="-133.30000000000001"/>
    <s v="MtCO2e/yr"/>
  </r>
  <r>
    <s v="Fig_3.8"/>
    <s v="Bar"/>
    <x v="3"/>
    <x v="1"/>
    <x v="3"/>
    <x v="1"/>
    <x v="3"/>
    <n v="-153.30000000000001"/>
    <s v="MtCO2e/yr"/>
  </r>
  <r>
    <s v="Fig_3.8"/>
    <s v="Bar"/>
    <x v="0"/>
    <x v="1"/>
    <x v="3"/>
    <x v="0"/>
    <x v="2"/>
    <n v="-0.6"/>
    <s v="MtCO2e/yr"/>
  </r>
  <r>
    <s v="Fig_3.8"/>
    <s v="Bar"/>
    <x v="1"/>
    <x v="1"/>
    <x v="3"/>
    <x v="0"/>
    <x v="2"/>
    <n v="-108.4"/>
    <s v="MtCO2e/yr"/>
  </r>
  <r>
    <s v="Fig_3.8"/>
    <s v="Bar"/>
    <x v="2"/>
    <x v="1"/>
    <x v="3"/>
    <x v="0"/>
    <x v="2"/>
    <n v="-149.80000000000001"/>
    <s v="MtCO2e/yr"/>
  </r>
  <r>
    <s v="Fig_3.8"/>
    <s v="Bar"/>
    <x v="3"/>
    <x v="1"/>
    <x v="3"/>
    <x v="0"/>
    <x v="2"/>
    <n v="-172.8"/>
    <s v="MtCO2e/yr"/>
  </r>
  <r>
    <s v="Fig_3.8"/>
    <s v="Bar"/>
    <x v="0"/>
    <x v="1"/>
    <x v="3"/>
    <x v="1"/>
    <x v="2"/>
    <n v="-0.6"/>
    <s v="MtCO2e/yr"/>
  </r>
  <r>
    <s v="Fig_3.8"/>
    <s v="Bar"/>
    <x v="1"/>
    <x v="1"/>
    <x v="3"/>
    <x v="1"/>
    <x v="2"/>
    <n v="-108"/>
    <s v="MtCO2e/yr"/>
  </r>
  <r>
    <s v="Fig_3.8"/>
    <s v="Bar"/>
    <x v="2"/>
    <x v="1"/>
    <x v="3"/>
    <x v="1"/>
    <x v="2"/>
    <n v="-148.80000000000001"/>
    <s v="MtCO2e/yr"/>
  </r>
  <r>
    <s v="Fig_3.8"/>
    <s v="Bar"/>
    <x v="3"/>
    <x v="1"/>
    <x v="3"/>
    <x v="1"/>
    <x v="2"/>
    <n v="-169.5"/>
    <s v="MtCO2e/yr"/>
  </r>
  <r>
    <s v="Fig_3.8"/>
    <s v="Bar"/>
    <x v="0"/>
    <x v="1"/>
    <x v="4"/>
    <x v="0"/>
    <x v="0"/>
    <n v="0.1"/>
    <s v="MtCO2e/yr"/>
  </r>
  <r>
    <s v="Fig_3.8"/>
    <s v="Bar"/>
    <x v="1"/>
    <x v="1"/>
    <x v="4"/>
    <x v="0"/>
    <x v="0"/>
    <n v="-3.6"/>
    <s v="MtCO2e/yr"/>
  </r>
  <r>
    <s v="Fig_3.8"/>
    <s v="Bar"/>
    <x v="2"/>
    <x v="1"/>
    <x v="4"/>
    <x v="0"/>
    <x v="0"/>
    <n v="-15.6"/>
    <s v="MtCO2e/yr"/>
  </r>
  <r>
    <s v="Fig_3.8"/>
    <s v="Bar"/>
    <x v="3"/>
    <x v="1"/>
    <x v="4"/>
    <x v="0"/>
    <x v="0"/>
    <n v="-35.700000000000003"/>
    <s v="MtCO2e/yr"/>
  </r>
  <r>
    <s v="Fig_3.8"/>
    <s v="Bar"/>
    <x v="0"/>
    <x v="1"/>
    <x v="4"/>
    <x v="1"/>
    <x v="0"/>
    <n v="0.1"/>
    <s v="MtCO2e/yr"/>
  </r>
  <r>
    <s v="Fig_3.8"/>
    <s v="Bar"/>
    <x v="1"/>
    <x v="1"/>
    <x v="4"/>
    <x v="1"/>
    <x v="0"/>
    <n v="-3"/>
    <s v="MtCO2e/yr"/>
  </r>
  <r>
    <s v="Fig_3.8"/>
    <s v="Bar"/>
    <x v="2"/>
    <x v="1"/>
    <x v="4"/>
    <x v="1"/>
    <x v="0"/>
    <n v="-13.3"/>
    <s v="MtCO2e/yr"/>
  </r>
  <r>
    <s v="Fig_3.8"/>
    <s v="Bar"/>
    <x v="3"/>
    <x v="1"/>
    <x v="4"/>
    <x v="1"/>
    <x v="0"/>
    <n v="-30.3"/>
    <s v="MtCO2e/yr"/>
  </r>
  <r>
    <s v="Fig_3.8"/>
    <s v="Bar"/>
    <x v="0"/>
    <x v="1"/>
    <x v="4"/>
    <x v="0"/>
    <x v="1"/>
    <n v="0.1"/>
    <s v="MtCO2e/yr"/>
  </r>
  <r>
    <s v="Fig_3.8"/>
    <s v="Bar"/>
    <x v="1"/>
    <x v="1"/>
    <x v="4"/>
    <x v="0"/>
    <x v="1"/>
    <n v="0.3"/>
    <s v="MtCO2e/yr"/>
  </r>
  <r>
    <s v="Fig_3.8"/>
    <s v="Bar"/>
    <x v="2"/>
    <x v="1"/>
    <x v="4"/>
    <x v="0"/>
    <x v="1"/>
    <n v="0.2"/>
    <s v="MtCO2e/yr"/>
  </r>
  <r>
    <s v="Fig_3.8"/>
    <s v="Bar"/>
    <x v="3"/>
    <x v="1"/>
    <x v="4"/>
    <x v="0"/>
    <x v="1"/>
    <n v="-1.2"/>
    <s v="MtCO2e/yr"/>
  </r>
  <r>
    <s v="Fig_3.8"/>
    <s v="Bar"/>
    <x v="0"/>
    <x v="1"/>
    <x v="4"/>
    <x v="1"/>
    <x v="1"/>
    <n v="0.1"/>
    <s v="MtCO2e/yr"/>
  </r>
  <r>
    <s v="Fig_3.8"/>
    <s v="Bar"/>
    <x v="1"/>
    <x v="1"/>
    <x v="4"/>
    <x v="1"/>
    <x v="1"/>
    <n v="0.3"/>
    <s v="MtCO2e/yr"/>
  </r>
  <r>
    <s v="Fig_3.8"/>
    <s v="Bar"/>
    <x v="2"/>
    <x v="1"/>
    <x v="4"/>
    <x v="1"/>
    <x v="1"/>
    <n v="0.4"/>
    <s v="MtCO2e/yr"/>
  </r>
  <r>
    <s v="Fig_3.8"/>
    <s v="Bar"/>
    <x v="3"/>
    <x v="1"/>
    <x v="4"/>
    <x v="1"/>
    <x v="1"/>
    <n v="-0.2"/>
    <s v="MtCO2e/yr"/>
  </r>
  <r>
    <s v="Fig_3.8"/>
    <s v="Bar"/>
    <x v="0"/>
    <x v="1"/>
    <x v="4"/>
    <x v="0"/>
    <x v="4"/>
    <n v="0.1"/>
    <s v="MtCO2e/yr"/>
  </r>
  <r>
    <s v="Fig_3.8"/>
    <s v="Bar"/>
    <x v="1"/>
    <x v="1"/>
    <x v="4"/>
    <x v="0"/>
    <x v="4"/>
    <n v="-2.1"/>
    <s v="MtCO2e/yr"/>
  </r>
  <r>
    <s v="Fig_3.8"/>
    <s v="Bar"/>
    <x v="2"/>
    <x v="1"/>
    <x v="4"/>
    <x v="0"/>
    <x v="4"/>
    <n v="-10.5"/>
    <s v="MtCO2e/yr"/>
  </r>
  <r>
    <s v="Fig_3.8"/>
    <s v="Bar"/>
    <x v="3"/>
    <x v="1"/>
    <x v="4"/>
    <x v="0"/>
    <x v="4"/>
    <n v="-26.1"/>
    <s v="MtCO2e/yr"/>
  </r>
  <r>
    <s v="Fig_3.8"/>
    <s v="Bar"/>
    <x v="0"/>
    <x v="1"/>
    <x v="4"/>
    <x v="1"/>
    <x v="4"/>
    <n v="0.1"/>
    <s v="MtCO2e/yr"/>
  </r>
  <r>
    <s v="Fig_3.8"/>
    <s v="Bar"/>
    <x v="1"/>
    <x v="1"/>
    <x v="4"/>
    <x v="1"/>
    <x v="4"/>
    <n v="-1.7"/>
    <s v="MtCO2e/yr"/>
  </r>
  <r>
    <s v="Fig_3.8"/>
    <s v="Bar"/>
    <x v="2"/>
    <x v="1"/>
    <x v="4"/>
    <x v="1"/>
    <x v="4"/>
    <n v="-8.1"/>
    <s v="MtCO2e/yr"/>
  </r>
  <r>
    <s v="Fig_3.8"/>
    <s v="Bar"/>
    <x v="3"/>
    <x v="1"/>
    <x v="4"/>
    <x v="1"/>
    <x v="4"/>
    <n v="-19.7"/>
    <s v="MtCO2e/yr"/>
  </r>
  <r>
    <s v="Fig_3.8"/>
    <s v="Bar"/>
    <x v="0"/>
    <x v="1"/>
    <x v="4"/>
    <x v="0"/>
    <x v="3"/>
    <n v="0.1"/>
    <s v="MtCO2e/yr"/>
  </r>
  <r>
    <s v="Fig_3.8"/>
    <s v="Bar"/>
    <x v="1"/>
    <x v="1"/>
    <x v="4"/>
    <x v="0"/>
    <x v="3"/>
    <n v="-0.5"/>
    <s v="MtCO2e/yr"/>
  </r>
  <r>
    <s v="Fig_3.8"/>
    <s v="Bar"/>
    <x v="2"/>
    <x v="1"/>
    <x v="4"/>
    <x v="0"/>
    <x v="3"/>
    <n v="-4.2"/>
    <s v="MtCO2e/yr"/>
  </r>
  <r>
    <s v="Fig_3.8"/>
    <s v="Bar"/>
    <x v="3"/>
    <x v="1"/>
    <x v="4"/>
    <x v="0"/>
    <x v="3"/>
    <n v="-12.6"/>
    <s v="MtCO2e/yr"/>
  </r>
  <r>
    <s v="Fig_3.8"/>
    <s v="Bar"/>
    <x v="0"/>
    <x v="1"/>
    <x v="4"/>
    <x v="1"/>
    <x v="3"/>
    <n v="0.1"/>
    <s v="MtCO2e/yr"/>
  </r>
  <r>
    <s v="Fig_3.8"/>
    <s v="Bar"/>
    <x v="1"/>
    <x v="1"/>
    <x v="4"/>
    <x v="1"/>
    <x v="3"/>
    <n v="-0.2"/>
    <s v="MtCO2e/yr"/>
  </r>
  <r>
    <s v="Fig_3.8"/>
    <s v="Line"/>
    <x v="0"/>
    <x v="1"/>
    <x v="8"/>
    <x v="1"/>
    <x v="2"/>
    <n v="-85.6"/>
    <s v="MtCO2e/yr"/>
  </r>
  <r>
    <s v="Fig_3.8"/>
    <s v="Line"/>
    <x v="2"/>
    <x v="1"/>
    <x v="8"/>
    <x v="1"/>
    <x v="3"/>
    <n v="-193.3"/>
    <s v="MtCO2e/yr"/>
  </r>
  <r>
    <s v="Fig_3.8"/>
    <s v="Line"/>
    <x v="2"/>
    <x v="1"/>
    <x v="8"/>
    <x v="1"/>
    <x v="4"/>
    <n v="-225.8"/>
    <s v="MtCO2e/yr"/>
  </r>
  <r>
    <s v="Fig_3.8"/>
    <s v="Line"/>
    <x v="2"/>
    <x v="1"/>
    <x v="8"/>
    <x v="1"/>
    <x v="1"/>
    <n v="-152"/>
    <s v="MtCO2e/yr"/>
  </r>
  <r>
    <s v="Fig_3.8"/>
    <s v="Line"/>
    <x v="2"/>
    <x v="1"/>
    <x v="8"/>
    <x v="1"/>
    <x v="0"/>
    <n v="-240.4"/>
    <s v="MtCO2e/yr"/>
  </r>
  <r>
    <s v="Fig_3.8"/>
    <s v="Line"/>
    <x v="1"/>
    <x v="1"/>
    <x v="8"/>
    <x v="1"/>
    <x v="2"/>
    <n v="-204.1"/>
    <s v="MtCO2e/yr"/>
  </r>
  <r>
    <s v="Fig_3.8"/>
    <s v="Line"/>
    <x v="2"/>
    <x v="1"/>
    <x v="8"/>
    <x v="0"/>
    <x v="3"/>
    <n v="-208"/>
    <s v="MtCO2e/yr"/>
  </r>
  <r>
    <s v="Fig_3.8"/>
    <s v="Line"/>
    <x v="2"/>
    <x v="1"/>
    <x v="8"/>
    <x v="0"/>
    <x v="4"/>
    <n v="-234.1"/>
    <s v="MtCO2e/yr"/>
  </r>
  <r>
    <s v="Fig_3.8"/>
    <s v="Line"/>
    <x v="2"/>
    <x v="1"/>
    <x v="8"/>
    <x v="0"/>
    <x v="1"/>
    <n v="-154.1"/>
    <s v="MtCO2e/yr"/>
  </r>
  <r>
    <s v="Fig_3.8"/>
    <s v="Line"/>
    <x v="2"/>
    <x v="1"/>
    <x v="8"/>
    <x v="0"/>
    <x v="0"/>
    <n v="-248.7"/>
    <s v="MtCO2e/yr"/>
  </r>
  <r>
    <s v="Fig_3.8"/>
    <s v="Bar"/>
    <x v="2"/>
    <x v="0"/>
    <x v="0"/>
    <x v="1"/>
    <x v="3"/>
    <n v="13.7"/>
    <s v="MtCO2e/yr"/>
  </r>
  <r>
    <s v="Fig_3.8"/>
    <s v="Bar"/>
    <x v="3"/>
    <x v="0"/>
    <x v="0"/>
    <x v="1"/>
    <x v="3"/>
    <n v="7.7"/>
    <s v="MtCO2e/yr"/>
  </r>
  <r>
    <s v="Fig_3.8"/>
    <s v="Bar"/>
    <x v="0"/>
    <x v="0"/>
    <x v="0"/>
    <x v="0"/>
    <x v="2"/>
    <n v="124.1"/>
    <s v="MtCO2e/yr"/>
  </r>
  <r>
    <s v="Fig_3.8"/>
    <s v="Bar"/>
    <x v="1"/>
    <x v="0"/>
    <x v="0"/>
    <x v="0"/>
    <x v="2"/>
    <n v="109.7"/>
    <s v="MtCO2e/yr"/>
  </r>
  <r>
    <s v="Fig_3.8"/>
    <s v="Bar"/>
    <x v="2"/>
    <x v="0"/>
    <x v="0"/>
    <x v="0"/>
    <x v="2"/>
    <n v="73.5"/>
    <s v="MtCO2e/yr"/>
  </r>
  <r>
    <s v="Fig_3.8"/>
    <s v="Bar"/>
    <x v="3"/>
    <x v="0"/>
    <x v="0"/>
    <x v="0"/>
    <x v="2"/>
    <n v="45.3"/>
    <s v="MtCO2e/yr"/>
  </r>
  <r>
    <s v="Fig_3.8"/>
    <s v="Bar"/>
    <x v="0"/>
    <x v="0"/>
    <x v="0"/>
    <x v="1"/>
    <x v="2"/>
    <n v="15.7"/>
    <s v="MtCO2e/yr"/>
  </r>
  <r>
    <s v="Fig_3.8"/>
    <s v="Bar"/>
    <x v="1"/>
    <x v="0"/>
    <x v="0"/>
    <x v="1"/>
    <x v="2"/>
    <n v="19.7"/>
    <s v="MtCO2e/yr"/>
  </r>
  <r>
    <s v="Fig_3.8"/>
    <s v="Bar"/>
    <x v="2"/>
    <x v="0"/>
    <x v="0"/>
    <x v="1"/>
    <x v="2"/>
    <n v="9"/>
    <s v="MtCO2e/yr"/>
  </r>
  <r>
    <s v="Fig_3.8"/>
    <s v="Bar"/>
    <x v="3"/>
    <x v="0"/>
    <x v="0"/>
    <x v="1"/>
    <x v="2"/>
    <n v="5.0999999999999996"/>
    <s v="MtCO2e/yr"/>
  </r>
  <r>
    <s v="Fig_3.8"/>
    <s v="Bar"/>
    <x v="2"/>
    <x v="0"/>
    <x v="1"/>
    <x v="1"/>
    <x v="3"/>
    <n v="-6.1"/>
    <s v="MtCO2e/yr"/>
  </r>
  <r>
    <s v="Fig_3.8"/>
    <s v="Bar"/>
    <x v="3"/>
    <x v="0"/>
    <x v="1"/>
    <x v="1"/>
    <x v="3"/>
    <n v="-6.9"/>
    <s v="MtCO2e/yr"/>
  </r>
  <r>
    <s v="Fig_3.8"/>
    <s v="Bar"/>
    <x v="0"/>
    <x v="0"/>
    <x v="1"/>
    <x v="0"/>
    <x v="2"/>
    <n v="-3.8"/>
    <s v="MtCO2e/yr"/>
  </r>
  <r>
    <s v="Fig_3.8"/>
    <s v="Bar"/>
    <x v="1"/>
    <x v="0"/>
    <x v="1"/>
    <x v="0"/>
    <x v="2"/>
    <n v="-7.6"/>
    <s v="MtCO2e/yr"/>
  </r>
  <r>
    <s v="Fig_3.8"/>
    <s v="Bar"/>
    <x v="2"/>
    <x v="0"/>
    <x v="1"/>
    <x v="0"/>
    <x v="2"/>
    <n v="-10.199999999999999"/>
    <s v="MtCO2e/yr"/>
  </r>
  <r>
    <s v="Fig_3.8"/>
    <s v="Bar"/>
    <x v="3"/>
    <x v="0"/>
    <x v="1"/>
    <x v="0"/>
    <x v="2"/>
    <n v="-12"/>
    <s v="MtCO2e/yr"/>
  </r>
  <r>
    <s v="Fig_3.8"/>
    <s v="Bar"/>
    <x v="0"/>
    <x v="0"/>
    <x v="1"/>
    <x v="1"/>
    <x v="2"/>
    <n v="-5.7"/>
    <s v="MtCO2e/yr"/>
  </r>
  <r>
    <s v="Fig_3.8"/>
    <s v="Bar"/>
    <x v="1"/>
    <x v="0"/>
    <x v="1"/>
    <x v="1"/>
    <x v="2"/>
    <n v="-9.1"/>
    <s v="MtCO2e/yr"/>
  </r>
  <r>
    <s v="Fig_3.8"/>
    <s v="Bar"/>
    <x v="2"/>
    <x v="0"/>
    <x v="1"/>
    <x v="1"/>
    <x v="2"/>
    <n v="-11.3"/>
    <s v="MtCO2e/yr"/>
  </r>
  <r>
    <s v="Fig_3.8"/>
    <s v="Bar"/>
    <x v="3"/>
    <x v="0"/>
    <x v="1"/>
    <x v="1"/>
    <x v="2"/>
    <n v="-12.9"/>
    <s v="MtCO2e/yr"/>
  </r>
  <r>
    <s v="Fig_3.8"/>
    <s v="Bar"/>
    <x v="2"/>
    <x v="0"/>
    <x v="2"/>
    <x v="1"/>
    <x v="3"/>
    <n v="-1.9"/>
    <s v="MtCO2e/yr"/>
  </r>
  <r>
    <s v="Fig_3.8"/>
    <s v="Bar"/>
    <x v="3"/>
    <x v="0"/>
    <x v="2"/>
    <x v="1"/>
    <x v="3"/>
    <n v="-2.9"/>
    <s v="MtCO2e/yr"/>
  </r>
  <r>
    <s v="Fig_3.8"/>
    <s v="Bar"/>
    <x v="0"/>
    <x v="0"/>
    <x v="2"/>
    <x v="0"/>
    <x v="2"/>
    <n v="-4"/>
    <s v="MtCO2e/yr"/>
  </r>
  <r>
    <s v="Fig_3.8"/>
    <s v="Bar"/>
    <x v="1"/>
    <x v="0"/>
    <x v="2"/>
    <x v="0"/>
    <x v="2"/>
    <n v="-8.8000000000000007"/>
    <s v="MtCO2e/yr"/>
  </r>
  <r>
    <s v="Fig_3.8"/>
    <s v="Bar"/>
    <x v="2"/>
    <x v="0"/>
    <x v="2"/>
    <x v="0"/>
    <x v="2"/>
    <n v="-13"/>
    <s v="MtCO2e/yr"/>
  </r>
  <r>
    <s v="Fig_3.8"/>
    <s v="Bar"/>
    <x v="3"/>
    <x v="0"/>
    <x v="2"/>
    <x v="0"/>
    <x v="2"/>
    <n v="-15.8"/>
    <s v="MtCO2e/yr"/>
  </r>
  <r>
    <s v="Fig_3.8"/>
    <s v="Bar"/>
    <x v="0"/>
    <x v="0"/>
    <x v="2"/>
    <x v="1"/>
    <x v="2"/>
    <n v="-7"/>
    <s v="MtCO2e/yr"/>
  </r>
  <r>
    <s v="Fig_3.8"/>
    <s v="Bar"/>
    <x v="1"/>
    <x v="0"/>
    <x v="2"/>
    <x v="1"/>
    <x v="2"/>
    <n v="-10.7"/>
    <s v="MtCO2e/yr"/>
  </r>
  <r>
    <s v="Fig_3.8"/>
    <s v="Bar"/>
    <x v="2"/>
    <x v="0"/>
    <x v="2"/>
    <x v="1"/>
    <x v="2"/>
    <n v="-14.2"/>
    <s v="MtCO2e/yr"/>
  </r>
  <r>
    <s v="Fig_3.8"/>
    <s v="Bar"/>
    <x v="3"/>
    <x v="0"/>
    <x v="2"/>
    <x v="1"/>
    <x v="2"/>
    <n v="-16.7"/>
    <s v="MtCO2e/yr"/>
  </r>
  <r>
    <s v="Fig_3.8"/>
    <s v="Bar"/>
    <x v="2"/>
    <x v="0"/>
    <x v="3"/>
    <x v="1"/>
    <x v="3"/>
    <n v="-31.3"/>
    <s v="MtCO2e/yr"/>
  </r>
  <r>
    <s v="Fig_3.8"/>
    <s v="Bar"/>
    <x v="3"/>
    <x v="0"/>
    <x v="3"/>
    <x v="1"/>
    <x v="3"/>
    <n v="-32.700000000000003"/>
    <s v="MtCO2e/yr"/>
  </r>
  <r>
    <s v="Fig_3.8"/>
    <s v="Bar"/>
    <x v="0"/>
    <x v="0"/>
    <x v="3"/>
    <x v="0"/>
    <x v="2"/>
    <n v="-30.3"/>
    <s v="MtCO2e/yr"/>
  </r>
  <r>
    <s v="Fig_3.8"/>
    <s v="Bar"/>
    <x v="1"/>
    <x v="0"/>
    <x v="3"/>
    <x v="0"/>
    <x v="2"/>
    <n v="-67.099999999999994"/>
    <s v="MtCO2e/yr"/>
  </r>
  <r>
    <s v="Fig_3.8"/>
    <s v="Bar"/>
    <x v="2"/>
    <x v="0"/>
    <x v="3"/>
    <x v="0"/>
    <x v="2"/>
    <n v="-77.8"/>
    <s v="MtCO2e/yr"/>
  </r>
  <r>
    <s v="Fig_3.8"/>
    <s v="Bar"/>
    <x v="3"/>
    <x v="0"/>
    <x v="3"/>
    <x v="0"/>
    <x v="2"/>
    <n v="-91.9"/>
    <s v="MtCO2e/yr"/>
  </r>
  <r>
    <s v="Fig_3.8"/>
    <s v="Bar"/>
    <x v="0"/>
    <x v="0"/>
    <x v="3"/>
    <x v="1"/>
    <x v="2"/>
    <n v="-54.7"/>
    <s v="MtCO2e/yr"/>
  </r>
  <r>
    <s v="Fig_3.8"/>
    <s v="Bar"/>
    <x v="1"/>
    <x v="0"/>
    <x v="3"/>
    <x v="1"/>
    <x v="2"/>
    <n v="-91.1"/>
    <s v="MtCO2e/yr"/>
  </r>
  <r>
    <s v="Fig_3.8"/>
    <s v="Bar"/>
    <x v="2"/>
    <x v="0"/>
    <x v="3"/>
    <x v="1"/>
    <x v="2"/>
    <n v="-93.6"/>
    <s v="MtCO2e/yr"/>
  </r>
  <r>
    <s v="Fig_3.8"/>
    <s v="Bar"/>
    <x v="3"/>
    <x v="0"/>
    <x v="3"/>
    <x v="1"/>
    <x v="2"/>
    <n v="-89.6"/>
    <s v="MtCO2e/yr"/>
  </r>
  <r>
    <s v="Fig_3.8"/>
    <s v="Bar"/>
    <x v="2"/>
    <x v="0"/>
    <x v="4"/>
    <x v="1"/>
    <x v="3"/>
    <n v="-42.6"/>
    <s v="MtCO2e/yr"/>
  </r>
  <r>
    <s v="Fig_3.8"/>
    <s v="Bar"/>
    <x v="3"/>
    <x v="0"/>
    <x v="4"/>
    <x v="1"/>
    <x v="3"/>
    <n v="-47.6"/>
    <s v="MtCO2e/yr"/>
  </r>
  <r>
    <s v="Fig_3.8"/>
    <s v="Bar"/>
    <x v="0"/>
    <x v="0"/>
    <x v="4"/>
    <x v="0"/>
    <x v="2"/>
    <m/>
    <s v="MtCO2e/yr"/>
  </r>
  <r>
    <s v="Fig_3.8"/>
    <s v="Bar"/>
    <x v="1"/>
    <x v="0"/>
    <x v="4"/>
    <x v="0"/>
    <x v="2"/>
    <n v="-59"/>
    <s v="MtCO2e/yr"/>
  </r>
  <r>
    <s v="Fig_3.8"/>
    <s v="Bar"/>
    <x v="2"/>
    <x v="0"/>
    <x v="4"/>
    <x v="0"/>
    <x v="2"/>
    <n v="-77.599999999999994"/>
    <s v="MtCO2e/yr"/>
  </r>
  <r>
    <s v="Fig_3.8"/>
    <s v="Bar"/>
    <x v="3"/>
    <x v="0"/>
    <x v="4"/>
    <x v="0"/>
    <x v="2"/>
    <n v="-107"/>
    <s v="MtCO2e/yr"/>
  </r>
  <r>
    <s v="Fig_3.8"/>
    <s v="Bar"/>
    <x v="0"/>
    <x v="0"/>
    <x v="4"/>
    <x v="1"/>
    <x v="2"/>
    <m/>
    <s v="MtCO2e/yr"/>
  </r>
  <r>
    <s v="Fig_3.8"/>
    <s v="Bar"/>
    <x v="1"/>
    <x v="0"/>
    <x v="4"/>
    <x v="1"/>
    <x v="2"/>
    <n v="-60.3"/>
    <s v="MtCO2e/yr"/>
  </r>
  <r>
    <s v="Fig_3.8"/>
    <s v="Bar"/>
    <x v="2"/>
    <x v="0"/>
    <x v="4"/>
    <x v="1"/>
    <x v="2"/>
    <n v="-87.8"/>
    <s v="MtCO2e/yr"/>
  </r>
  <r>
    <s v="Fig_3.8"/>
    <s v="Bar"/>
    <x v="3"/>
    <x v="0"/>
    <x v="4"/>
    <x v="1"/>
    <x v="2"/>
    <n v="-115.7"/>
    <s v="MtCO2e/yr"/>
  </r>
  <r>
    <s v="Fig_3.8"/>
    <s v="Bar"/>
    <x v="2"/>
    <x v="0"/>
    <x v="5"/>
    <x v="1"/>
    <x v="3"/>
    <n v="1.1000000000000001"/>
    <s v="MtCO2e/yr"/>
  </r>
  <r>
    <s v="Fig_3.8"/>
    <s v="Bar"/>
    <x v="3"/>
    <x v="0"/>
    <x v="5"/>
    <x v="1"/>
    <x v="3"/>
    <n v="1"/>
    <s v="MtCO2e/yr"/>
  </r>
  <r>
    <s v="Fig_3.8"/>
    <s v="Bar"/>
    <x v="0"/>
    <x v="0"/>
    <x v="5"/>
    <x v="0"/>
    <x v="2"/>
    <n v="3.6"/>
    <s v="MtCO2e/yr"/>
  </r>
  <r>
    <s v="Fig_3.8"/>
    <s v="Bar"/>
    <x v="1"/>
    <x v="0"/>
    <x v="5"/>
    <x v="0"/>
    <x v="2"/>
    <n v="3"/>
    <s v="MtCO2e/yr"/>
  </r>
  <r>
    <s v="Fig_3.8"/>
    <s v="Bar"/>
    <x v="2"/>
    <x v="0"/>
    <x v="5"/>
    <x v="0"/>
    <x v="2"/>
    <n v="2.6"/>
    <s v="MtCO2e/yr"/>
  </r>
  <r>
    <s v="Fig_3.8"/>
    <s v="Bar"/>
    <x v="3"/>
    <x v="0"/>
    <x v="5"/>
    <x v="0"/>
    <x v="2"/>
    <n v="2.4"/>
    <s v="MtCO2e/yr"/>
  </r>
  <r>
    <s v="Fig_3.8"/>
    <s v="Bar"/>
    <x v="0"/>
    <x v="0"/>
    <x v="5"/>
    <x v="1"/>
    <x v="2"/>
    <n v="6.9"/>
    <s v="MtCO2e/yr"/>
  </r>
  <r>
    <s v="Fig_3.8"/>
    <s v="Bar"/>
    <x v="1"/>
    <x v="0"/>
    <x v="5"/>
    <x v="1"/>
    <x v="2"/>
    <n v="5.4"/>
    <s v="MtCO2e/yr"/>
  </r>
  <r>
    <s v="Fig_3.8"/>
    <s v="Bar"/>
    <x v="2"/>
    <x v="0"/>
    <x v="5"/>
    <x v="1"/>
    <x v="2"/>
    <n v="5"/>
    <s v="MtCO2e/yr"/>
  </r>
  <r>
    <s v="Fig_3.8"/>
    <s v="Bar"/>
    <x v="3"/>
    <x v="0"/>
    <x v="5"/>
    <x v="1"/>
    <x v="2"/>
    <n v="4.5999999999999996"/>
    <s v="MtCO2e/yr"/>
  </r>
  <r>
    <s v="Fig_3.8"/>
    <s v="Bar"/>
    <x v="2"/>
    <x v="0"/>
    <x v="6"/>
    <x v="1"/>
    <x v="3"/>
    <n v="-36.4"/>
    <s v="MtCO2e/yr"/>
  </r>
  <r>
    <s v="Fig_3.8"/>
    <s v="Bar"/>
    <x v="3"/>
    <x v="0"/>
    <x v="6"/>
    <x v="1"/>
    <x v="3"/>
    <n v="-33.9"/>
    <s v="MtCO2e/yr"/>
  </r>
  <r>
    <s v="Fig_3.8"/>
    <s v="Bar"/>
    <x v="0"/>
    <x v="0"/>
    <x v="6"/>
    <x v="0"/>
    <x v="2"/>
    <n v="-153.19999999999999"/>
    <s v="MtCO2e/yr"/>
  </r>
  <r>
    <s v="Fig_3.8"/>
    <s v="Bar"/>
    <x v="1"/>
    <x v="0"/>
    <x v="6"/>
    <x v="0"/>
    <x v="2"/>
    <n v="-173.5"/>
    <s v="MtCO2e/yr"/>
  </r>
  <r>
    <s v="Fig_3.8"/>
    <s v="Bar"/>
    <x v="2"/>
    <x v="0"/>
    <x v="6"/>
    <x v="0"/>
    <x v="2"/>
    <n v="-154.1"/>
    <s v="MtCO2e/yr"/>
  </r>
  <r>
    <s v="Fig_3.8"/>
    <s v="Bar"/>
    <x v="3"/>
    <x v="0"/>
    <x v="6"/>
    <x v="0"/>
    <x v="2"/>
    <n v="-130.19999999999999"/>
    <s v="MtCO2e/yr"/>
  </r>
  <r>
    <s v="Fig_3.8"/>
    <s v="Bar"/>
    <x v="0"/>
    <x v="0"/>
    <x v="6"/>
    <x v="1"/>
    <x v="2"/>
    <n v="-153.1"/>
    <s v="MtCO2e/yr"/>
  </r>
  <r>
    <s v="Fig_3.8"/>
    <s v="Bar"/>
    <x v="1"/>
    <x v="0"/>
    <x v="6"/>
    <x v="1"/>
    <x v="2"/>
    <n v="-138.6"/>
    <s v="MtCO2e/yr"/>
  </r>
  <r>
    <s v="Fig_3.8"/>
    <s v="Bar"/>
    <x v="2"/>
    <x v="0"/>
    <x v="6"/>
    <x v="1"/>
    <x v="2"/>
    <n v="-112.8"/>
    <s v="MtCO2e/yr"/>
  </r>
  <r>
    <s v="Fig_3.8"/>
    <s v="Bar"/>
    <x v="3"/>
    <x v="0"/>
    <x v="6"/>
    <x v="1"/>
    <x v="2"/>
    <n v="-97.8"/>
    <s v="MtCO2e/yr"/>
  </r>
  <r>
    <s v="Fig_3.8"/>
    <s v="Bar"/>
    <x v="2"/>
    <x v="0"/>
    <x v="7"/>
    <x v="1"/>
    <x v="3"/>
    <n v="-5.5"/>
    <s v="MtCO2e/yr"/>
  </r>
  <r>
    <s v="Fig_3.8"/>
    <s v="Bar"/>
    <x v="3"/>
    <x v="0"/>
    <x v="7"/>
    <x v="1"/>
    <x v="3"/>
    <n v="-8"/>
    <s v="MtCO2e/yr"/>
  </r>
  <r>
    <s v="Fig_3.8"/>
    <s v="Bar"/>
    <x v="0"/>
    <x v="0"/>
    <x v="7"/>
    <x v="0"/>
    <x v="2"/>
    <n v="-33.299999999999997"/>
    <s v="MtCO2e/yr"/>
  </r>
  <r>
    <s v="Fig_3.8"/>
    <s v="Bar"/>
    <x v="1"/>
    <x v="0"/>
    <x v="7"/>
    <x v="0"/>
    <x v="2"/>
    <n v="-44.3"/>
    <s v="MtCO2e/yr"/>
  </r>
  <r>
    <s v="Fig_3.8"/>
    <s v="Bar"/>
    <x v="2"/>
    <x v="0"/>
    <x v="7"/>
    <x v="0"/>
    <x v="2"/>
    <n v="-51.2"/>
    <s v="MtCO2e/yr"/>
  </r>
  <r>
    <s v="Fig_3.8"/>
    <s v="Bar"/>
    <x v="3"/>
    <x v="0"/>
    <x v="7"/>
    <x v="0"/>
    <x v="2"/>
    <n v="-59.2"/>
    <s v="MtCO2e/yr"/>
  </r>
  <r>
    <s v="Fig_3.8"/>
    <s v="Bar"/>
    <x v="0"/>
    <x v="0"/>
    <x v="7"/>
    <x v="1"/>
    <x v="2"/>
    <n v="-34.200000000000003"/>
    <s v="MtCO2e/yr"/>
  </r>
  <r>
    <s v="Fig_3.8"/>
    <s v="Bar"/>
    <x v="1"/>
    <x v="0"/>
    <x v="7"/>
    <x v="1"/>
    <x v="2"/>
    <n v="-43.6"/>
    <s v="MtCO2e/yr"/>
  </r>
  <r>
    <s v="Fig_3.8"/>
    <s v="Bar"/>
    <x v="2"/>
    <x v="0"/>
    <x v="7"/>
    <x v="1"/>
    <x v="2"/>
    <n v="-47.3"/>
    <s v="MtCO2e/yr"/>
  </r>
  <r>
    <s v="Fig_3.8"/>
    <s v="Bar"/>
    <x v="3"/>
    <x v="0"/>
    <x v="7"/>
    <x v="1"/>
    <x v="2"/>
    <n v="-52"/>
    <s v="MtCO2e/yr"/>
  </r>
  <r>
    <s v="Fig_3.8"/>
    <s v="Line"/>
    <x v="3"/>
    <x v="0"/>
    <x v="8"/>
    <x v="1"/>
    <x v="2"/>
    <n v="-375"/>
    <s v="MtCO2e/yr"/>
  </r>
  <r>
    <s v="Fig_3.8"/>
    <s v="Line"/>
    <x v="3"/>
    <x v="0"/>
    <x v="8"/>
    <x v="1"/>
    <x v="3"/>
    <n v="-123.3"/>
    <s v="MtCO2e/yr"/>
  </r>
  <r>
    <s v="Fig_3.8"/>
    <s v="Line"/>
    <x v="3"/>
    <x v="0"/>
    <x v="8"/>
    <x v="1"/>
    <x v="4"/>
    <n v="-255.2"/>
    <s v="MtCO2e/yr"/>
  </r>
  <r>
    <s v="Fig_3.8"/>
    <s v="Line"/>
    <x v="3"/>
    <x v="0"/>
    <x v="8"/>
    <x v="1"/>
    <x v="1"/>
    <n v="-42.3"/>
    <s v="MtCO2e/yr"/>
  </r>
  <r>
    <s v="Fig_3.8"/>
    <s v="Line"/>
    <x v="3"/>
    <x v="0"/>
    <x v="8"/>
    <x v="1"/>
    <x v="0"/>
    <n v="-314.7"/>
    <s v="MtCO2e/yr"/>
  </r>
  <r>
    <s v="Fig_3.8"/>
    <s v="Line"/>
    <x v="3"/>
    <x v="0"/>
    <x v="8"/>
    <x v="0"/>
    <x v="2"/>
    <n v="-368.4"/>
    <s v="MtCO2e/yr"/>
  </r>
  <r>
    <s v="Fig_3.8"/>
    <s v="Line"/>
    <x v="3"/>
    <x v="0"/>
    <x v="8"/>
    <x v="0"/>
    <x v="3"/>
    <n v="-153.1"/>
    <s v="MtCO2e/yr"/>
  </r>
  <r>
    <s v="Fig_3.8"/>
    <s v="Line"/>
    <x v="3"/>
    <x v="0"/>
    <x v="8"/>
    <x v="0"/>
    <x v="4"/>
    <n v="-248.8"/>
    <s v="MtCO2e/yr"/>
  </r>
  <r>
    <s v="Fig_3.8"/>
    <s v="Line"/>
    <x v="3"/>
    <x v="0"/>
    <x v="8"/>
    <x v="0"/>
    <x v="1"/>
    <n v="-36.5"/>
    <s v="MtCO2e/yr"/>
  </r>
  <r>
    <s v="Fig_3.8"/>
    <s v="Line"/>
    <x v="3"/>
    <x v="0"/>
    <x v="8"/>
    <x v="0"/>
    <x v="0"/>
    <n v="-313.89999999999998"/>
    <s v="MtCO2e/yr"/>
  </r>
  <r>
    <s v="Fig_3.8"/>
    <s v="Bar"/>
    <x v="2"/>
    <x v="1"/>
    <x v="4"/>
    <x v="1"/>
    <x v="3"/>
    <n v="-2.5"/>
    <s v="MtCO2e/yr"/>
  </r>
  <r>
    <s v="Fig_3.8"/>
    <s v="Bar"/>
    <x v="3"/>
    <x v="1"/>
    <x v="4"/>
    <x v="1"/>
    <x v="3"/>
    <n v="-7.6"/>
    <s v="MtCO2e/yr"/>
  </r>
  <r>
    <s v="Fig_3.8"/>
    <s v="Bar"/>
    <x v="0"/>
    <x v="1"/>
    <x v="4"/>
    <x v="0"/>
    <x v="2"/>
    <n v="0"/>
    <s v="MtCO2e/yr"/>
  </r>
  <r>
    <s v="Fig_3.8"/>
    <s v="Bar"/>
    <x v="1"/>
    <x v="1"/>
    <x v="4"/>
    <x v="0"/>
    <x v="2"/>
    <n v="-5.8"/>
    <s v="MtCO2e/yr"/>
  </r>
  <r>
    <s v="Fig_3.8"/>
    <s v="Bar"/>
    <x v="2"/>
    <x v="1"/>
    <x v="4"/>
    <x v="0"/>
    <x v="2"/>
    <n v="-22.5"/>
    <s v="MtCO2e/yr"/>
  </r>
  <r>
    <s v="Fig_3.8"/>
    <s v="Bar"/>
    <x v="3"/>
    <x v="1"/>
    <x v="4"/>
    <x v="0"/>
    <x v="2"/>
    <n v="-48.3"/>
    <s v="MtCO2e/yr"/>
  </r>
  <r>
    <s v="Fig_3.8"/>
    <s v="Bar"/>
    <x v="0"/>
    <x v="1"/>
    <x v="4"/>
    <x v="1"/>
    <x v="2"/>
    <n v="0"/>
    <s v="MtCO2e/yr"/>
  </r>
  <r>
    <s v="Fig_3.8"/>
    <s v="Bar"/>
    <x v="1"/>
    <x v="1"/>
    <x v="4"/>
    <x v="1"/>
    <x v="2"/>
    <n v="-5.5"/>
    <s v="MtCO2e/yr"/>
  </r>
  <r>
    <s v="Fig_3.8"/>
    <s v="Bar"/>
    <x v="2"/>
    <x v="1"/>
    <x v="4"/>
    <x v="1"/>
    <x v="2"/>
    <n v="-21.5"/>
    <s v="MtCO2e/yr"/>
  </r>
  <r>
    <s v="Fig_3.8"/>
    <s v="Bar"/>
    <x v="3"/>
    <x v="1"/>
    <x v="4"/>
    <x v="1"/>
    <x v="2"/>
    <n v="-45.9"/>
    <s v="MtCO2e/yr"/>
  </r>
  <r>
    <s v="Fig_3.8"/>
    <s v="Bar"/>
    <x v="0"/>
    <x v="1"/>
    <x v="7"/>
    <x v="0"/>
    <x v="0"/>
    <n v="-35.799999999999997"/>
    <s v="MtCO2e/yr"/>
  </r>
  <r>
    <s v="Fig_3.8"/>
    <s v="Bar"/>
    <x v="1"/>
    <x v="1"/>
    <x v="7"/>
    <x v="0"/>
    <x v="0"/>
    <n v="-42.1"/>
    <s v="MtCO2e/yr"/>
  </r>
  <r>
    <s v="Fig_3.8"/>
    <s v="Bar"/>
    <x v="2"/>
    <x v="1"/>
    <x v="7"/>
    <x v="0"/>
    <x v="0"/>
    <n v="-48.7"/>
    <s v="MtCO2e/yr"/>
  </r>
  <r>
    <s v="Fig_3.8"/>
    <s v="Bar"/>
    <x v="3"/>
    <x v="1"/>
    <x v="7"/>
    <x v="0"/>
    <x v="0"/>
    <n v="-53.5"/>
    <s v="MtCO2e/yr"/>
  </r>
  <r>
    <s v="Fig_3.8"/>
    <s v="Bar"/>
    <x v="0"/>
    <x v="1"/>
    <x v="7"/>
    <x v="1"/>
    <x v="0"/>
    <n v="-35.799999999999997"/>
    <s v="MtCO2e/yr"/>
  </r>
  <r>
    <s v="Fig_3.8"/>
    <s v="Bar"/>
    <x v="1"/>
    <x v="1"/>
    <x v="7"/>
    <x v="1"/>
    <x v="0"/>
    <n v="-40.700000000000003"/>
    <s v="MtCO2e/yr"/>
  </r>
  <r>
    <s v="Fig_3.8"/>
    <s v="Bar"/>
    <x v="2"/>
    <x v="1"/>
    <x v="7"/>
    <x v="1"/>
    <x v="0"/>
    <n v="-46.8"/>
    <s v="MtCO2e/yr"/>
  </r>
  <r>
    <s v="Fig_3.8"/>
    <s v="Bar"/>
    <x v="3"/>
    <x v="1"/>
    <x v="7"/>
    <x v="1"/>
    <x v="0"/>
    <n v="-51.6"/>
    <s v="MtCO2e/yr"/>
  </r>
  <r>
    <s v="Fig_3.8"/>
    <s v="Bar"/>
    <x v="0"/>
    <x v="1"/>
    <x v="7"/>
    <x v="0"/>
    <x v="1"/>
    <n v="-3"/>
    <s v="MtCO2e/yr"/>
  </r>
  <r>
    <s v="Fig_3.8"/>
    <s v="Bar"/>
    <x v="1"/>
    <x v="1"/>
    <x v="7"/>
    <x v="0"/>
    <x v="1"/>
    <n v="-5.3"/>
    <s v="MtCO2e/yr"/>
  </r>
  <r>
    <s v="Fig_3.8"/>
    <s v="Bar"/>
    <x v="2"/>
    <x v="1"/>
    <x v="7"/>
    <x v="0"/>
    <x v="1"/>
    <n v="-8.6999999999999993"/>
    <s v="MtCO2e/yr"/>
  </r>
  <r>
    <s v="Fig_3.8"/>
    <s v="Bar"/>
    <x v="3"/>
    <x v="1"/>
    <x v="7"/>
    <x v="0"/>
    <x v="1"/>
    <n v="-17"/>
    <s v="MtCO2e/yr"/>
  </r>
  <r>
    <s v="Fig_3.8"/>
    <s v="Bar"/>
    <x v="0"/>
    <x v="1"/>
    <x v="7"/>
    <x v="1"/>
    <x v="1"/>
    <n v="-3"/>
    <s v="MtCO2e/yr"/>
  </r>
  <r>
    <s v="Fig_3.8"/>
    <s v="Bar"/>
    <x v="1"/>
    <x v="1"/>
    <x v="7"/>
    <x v="1"/>
    <x v="1"/>
    <n v="-5.5"/>
    <s v="MtCO2e/yr"/>
  </r>
  <r>
    <s v="Fig_3.8"/>
    <s v="Bar"/>
    <x v="2"/>
    <x v="1"/>
    <x v="7"/>
    <x v="1"/>
    <x v="1"/>
    <n v="-8.6999999999999993"/>
    <s v="MtCO2e/yr"/>
  </r>
  <r>
    <s v="Fig_3.8"/>
    <s v="Bar"/>
    <x v="3"/>
    <x v="1"/>
    <x v="7"/>
    <x v="1"/>
    <x v="1"/>
    <n v="-10.8"/>
    <s v="MtCO2e/yr"/>
  </r>
  <r>
    <s v="Fig_3.8"/>
    <s v="Bar"/>
    <x v="0"/>
    <x v="1"/>
    <x v="7"/>
    <x v="0"/>
    <x v="4"/>
    <n v="-27.8"/>
    <s v="MtCO2e/yr"/>
  </r>
  <r>
    <s v="Fig_3.8"/>
    <s v="Bar"/>
    <x v="1"/>
    <x v="1"/>
    <x v="7"/>
    <x v="0"/>
    <x v="4"/>
    <n v="-36.299999999999997"/>
    <s v="MtCO2e/yr"/>
  </r>
  <r>
    <s v="Fig_3.8"/>
    <s v="Bar"/>
    <x v="2"/>
    <x v="1"/>
    <x v="7"/>
    <x v="0"/>
    <x v="4"/>
    <n v="-44.3"/>
    <s v="MtCO2e/yr"/>
  </r>
  <r>
    <s v="Fig_3.8"/>
    <s v="Bar"/>
    <x v="3"/>
    <x v="1"/>
    <x v="7"/>
    <x v="0"/>
    <x v="4"/>
    <n v="-49.8"/>
    <s v="MtCO2e/yr"/>
  </r>
  <r>
    <s v="Fig_3.8"/>
    <s v="Bar"/>
    <x v="0"/>
    <x v="1"/>
    <x v="7"/>
    <x v="1"/>
    <x v="4"/>
    <n v="-27.8"/>
    <s v="MtCO2e/yr"/>
  </r>
  <r>
    <s v="Fig_3.8"/>
    <s v="Bar"/>
    <x v="1"/>
    <x v="1"/>
    <x v="7"/>
    <x v="1"/>
    <x v="4"/>
    <n v="-34.5"/>
    <s v="MtCO2e/yr"/>
  </r>
  <r>
    <s v="Fig_3.8"/>
    <s v="Bar"/>
    <x v="2"/>
    <x v="1"/>
    <x v="7"/>
    <x v="1"/>
    <x v="4"/>
    <n v="-41.1"/>
    <s v="MtCO2e/yr"/>
  </r>
  <r>
    <s v="Fig_3.8"/>
    <s v="Bar"/>
    <x v="3"/>
    <x v="1"/>
    <x v="7"/>
    <x v="1"/>
    <x v="4"/>
    <n v="-45.8"/>
    <s v="MtCO2e/yr"/>
  </r>
  <r>
    <s v="Fig_3.8"/>
    <s v="Bar"/>
    <x v="0"/>
    <x v="1"/>
    <x v="7"/>
    <x v="0"/>
    <x v="3"/>
    <n v="-22.7"/>
    <s v="MtCO2e/yr"/>
  </r>
  <r>
    <s v="Fig_3.8"/>
    <s v="Bar"/>
    <x v="1"/>
    <x v="1"/>
    <x v="7"/>
    <x v="0"/>
    <x v="3"/>
    <n v="-27.5"/>
    <s v="MtCO2e/yr"/>
  </r>
  <r>
    <s v="Fig_3.8"/>
    <s v="Bar"/>
    <x v="2"/>
    <x v="1"/>
    <x v="7"/>
    <x v="0"/>
    <x v="3"/>
    <n v="-36.200000000000003"/>
    <s v="MtCO2e/yr"/>
  </r>
  <r>
    <s v="Fig_3.8"/>
    <s v="Bar"/>
    <x v="3"/>
    <x v="1"/>
    <x v="7"/>
    <x v="0"/>
    <x v="3"/>
    <n v="-42.5"/>
    <s v="MtCO2e/yr"/>
  </r>
  <r>
    <s v="Fig_3.8"/>
    <s v="Bar"/>
    <x v="0"/>
    <x v="1"/>
    <x v="7"/>
    <x v="1"/>
    <x v="3"/>
    <n v="-22.7"/>
    <s v="MtCO2e/yr"/>
  </r>
  <r>
    <s v="Fig_3.8"/>
    <s v="Bar"/>
    <x v="1"/>
    <x v="1"/>
    <x v="7"/>
    <x v="1"/>
    <x v="3"/>
    <n v="-25.8"/>
    <s v="MtCO2e/yr"/>
  </r>
  <r>
    <s v="Fig_3.8"/>
    <s v="Bar"/>
    <x v="2"/>
    <x v="1"/>
    <x v="7"/>
    <x v="1"/>
    <x v="3"/>
    <n v="-32.6"/>
    <s v="MtCO2e/yr"/>
  </r>
  <r>
    <s v="Fig_3.8"/>
    <s v="Bar"/>
    <x v="3"/>
    <x v="1"/>
    <x v="7"/>
    <x v="1"/>
    <x v="3"/>
    <n v="-38.9"/>
    <s v="MtCO2e/yr"/>
  </r>
  <r>
    <s v="Fig_3.8"/>
    <s v="Bar"/>
    <x v="0"/>
    <x v="1"/>
    <x v="7"/>
    <x v="0"/>
    <x v="2"/>
    <n v="-45.9"/>
    <s v="MtCO2e/yr"/>
  </r>
  <r>
    <s v="Fig_3.8"/>
    <s v="Bar"/>
    <x v="1"/>
    <x v="1"/>
    <x v="7"/>
    <x v="0"/>
    <x v="2"/>
    <n v="-50.8"/>
    <s v="MtCO2e/yr"/>
  </r>
  <r>
    <s v="Fig_3.8"/>
    <s v="Bar"/>
    <x v="2"/>
    <x v="1"/>
    <x v="7"/>
    <x v="0"/>
    <x v="2"/>
    <n v="-55.7"/>
    <s v="MtCO2e/yr"/>
  </r>
  <r>
    <s v="Fig_3.8"/>
    <s v="Bar"/>
    <x v="3"/>
    <x v="1"/>
    <x v="7"/>
    <x v="0"/>
    <x v="2"/>
    <n v="-59.7"/>
    <s v="MtCO2e/yr"/>
  </r>
  <r>
    <s v="Fig_3.8"/>
    <s v="Bar"/>
    <x v="0"/>
    <x v="1"/>
    <x v="7"/>
    <x v="1"/>
    <x v="2"/>
    <n v="-45.9"/>
    <s v="MtCO2e/yr"/>
  </r>
  <r>
    <s v="Fig_3.8"/>
    <s v="Bar"/>
    <x v="1"/>
    <x v="1"/>
    <x v="7"/>
    <x v="1"/>
    <x v="2"/>
    <n v="-50.2"/>
    <s v="MtCO2e/yr"/>
  </r>
  <r>
    <s v="Fig_3.8"/>
    <s v="Bar"/>
    <x v="2"/>
    <x v="1"/>
    <x v="7"/>
    <x v="1"/>
    <x v="2"/>
    <n v="-54.5"/>
    <s v="MtCO2e/yr"/>
  </r>
  <r>
    <s v="Fig_3.8"/>
    <s v="Bar"/>
    <x v="3"/>
    <x v="1"/>
    <x v="7"/>
    <x v="1"/>
    <x v="2"/>
    <n v="-57.9"/>
    <s v="MtCO2e/yr"/>
  </r>
  <r>
    <s v="Fig_3.8"/>
    <s v="Line"/>
    <x v="2"/>
    <x v="1"/>
    <x v="8"/>
    <x v="1"/>
    <x v="2"/>
    <n v="-271.3"/>
    <s v="MtCO2e/yr"/>
  </r>
  <r>
    <s v="Fig_3.8"/>
    <s v="Line"/>
    <x v="3"/>
    <x v="1"/>
    <x v="8"/>
    <x v="1"/>
    <x v="3"/>
    <n v="-228.2"/>
    <s v="MtCO2e/yr"/>
  </r>
  <r>
    <s v="Fig_3.8"/>
    <s v="Line"/>
    <x v="3"/>
    <x v="1"/>
    <x v="8"/>
    <x v="1"/>
    <x v="4"/>
    <n v="-265"/>
    <s v="MtCO2e/yr"/>
  </r>
  <r>
    <s v="Fig_3.8"/>
    <s v="Line"/>
    <x v="3"/>
    <x v="1"/>
    <x v="8"/>
    <x v="1"/>
    <x v="1"/>
    <n v="-174.7"/>
    <s v="MtCO2e/yr"/>
  </r>
  <r>
    <s v="Fig_3.8"/>
    <s v="Line"/>
    <x v="3"/>
    <x v="1"/>
    <x v="8"/>
    <x v="1"/>
    <x v="0"/>
    <n v="-285.2"/>
    <s v="MtCO2e/yr"/>
  </r>
  <r>
    <s v="Fig_3.8"/>
    <s v="Line"/>
    <x v="3"/>
    <x v="1"/>
    <x v="8"/>
    <x v="1"/>
    <x v="2"/>
    <n v="-326.7"/>
    <s v="MtCO2e/yr"/>
  </r>
  <r>
    <s v="Fig_3.8"/>
    <s v="Line"/>
    <x v="3"/>
    <x v="1"/>
    <x v="8"/>
    <x v="0"/>
    <x v="3"/>
    <n v="-249.2"/>
    <s v="MtCO2e/yr"/>
  </r>
  <r>
    <s v="Fig_3.8"/>
    <s v="Line"/>
    <x v="3"/>
    <x v="1"/>
    <x v="8"/>
    <x v="0"/>
    <x v="4"/>
    <n v="-281.60000000000002"/>
    <s v="MtCO2e/yr"/>
  </r>
  <r>
    <s v="Fig_3.8"/>
    <s v="Line"/>
    <x v="3"/>
    <x v="1"/>
    <x v="8"/>
    <x v="0"/>
    <x v="1"/>
    <n v="-185.4"/>
    <s v="MtCO2e/yr"/>
  </r>
  <r>
    <s v="Fig_3.8"/>
    <s v="Line"/>
    <x v="3"/>
    <x v="1"/>
    <x v="8"/>
    <x v="0"/>
    <x v="0"/>
    <n v="-302.3"/>
    <s v="MtCO2e/yr"/>
  </r>
  <r>
    <m/>
    <m/>
    <x v="4"/>
    <x v="2"/>
    <x v="9"/>
    <x v="2"/>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9A18EA-B1D4-4240-B553-42848006A3C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F16" firstHeaderRow="1" firstDataRow="2" firstDataCol="1" rowPageCount="3" colPageCount="1"/>
  <pivotFields count="9">
    <pivotField showAll="0"/>
    <pivotField showAll="0"/>
    <pivotField axis="axisCol" showAll="0">
      <items count="6">
        <item x="0"/>
        <item x="1"/>
        <item x="2"/>
        <item x="3"/>
        <item x="4"/>
        <item t="default"/>
      </items>
    </pivotField>
    <pivotField axis="axisPage" showAll="0">
      <items count="4">
        <item x="0"/>
        <item x="1"/>
        <item x="2"/>
        <item t="default"/>
      </items>
    </pivotField>
    <pivotField axis="axisRow" showAll="0">
      <items count="11">
        <item x="0"/>
        <item x="2"/>
        <item x="1"/>
        <item x="3"/>
        <item x="4"/>
        <item x="5"/>
        <item x="6"/>
        <item x="7"/>
        <item x="8"/>
        <item x="9"/>
        <item t="default"/>
      </items>
    </pivotField>
    <pivotField axis="axisPage" showAll="0">
      <items count="4">
        <item x="1"/>
        <item x="0"/>
        <item x="2"/>
        <item t="default"/>
      </items>
    </pivotField>
    <pivotField axis="axisPage" showAll="0">
      <items count="7">
        <item x="2"/>
        <item x="3"/>
        <item x="4"/>
        <item x="1"/>
        <item x="0"/>
        <item x="5"/>
        <item t="default"/>
      </items>
    </pivotField>
    <pivotField dataField="1" showAll="0"/>
    <pivotField showAll="0"/>
  </pivotFields>
  <rowFields count="1">
    <field x="4"/>
  </rowFields>
  <rowItems count="10">
    <i>
      <x/>
    </i>
    <i>
      <x v="1"/>
    </i>
    <i>
      <x v="2"/>
    </i>
    <i>
      <x v="3"/>
    </i>
    <i>
      <x v="4"/>
    </i>
    <i>
      <x v="5"/>
    </i>
    <i>
      <x v="6"/>
    </i>
    <i>
      <x v="7"/>
    </i>
    <i>
      <x v="8"/>
    </i>
    <i t="grand">
      <x/>
    </i>
  </rowItems>
  <colFields count="1">
    <field x="2"/>
  </colFields>
  <colItems count="5">
    <i>
      <x/>
    </i>
    <i>
      <x v="1"/>
    </i>
    <i>
      <x v="2"/>
    </i>
    <i>
      <x v="3"/>
    </i>
    <i t="grand">
      <x/>
    </i>
  </colItems>
  <pageFields count="3">
    <pageField fld="3" item="0" hier="-1"/>
    <pageField fld="5" item="1" hier="-1"/>
    <pageField fld="6" item="0" hier="-1"/>
  </pageFields>
  <dataFields count="1">
    <dataField name="Sum of Val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usda.gov/sites/default/files/documents/White_Paper_WEB71816.pdf" TargetMode="External"/><Relationship Id="rId1" Type="http://schemas.openxmlformats.org/officeDocument/2006/relationships/hyperlink" Target="https://nature4climate.org/u-s-carbon-mapper/"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workbookViewId="0">
      <selection activeCell="A32" sqref="A32"/>
    </sheetView>
  </sheetViews>
  <sheetFormatPr defaultRowHeight="14.75" x14ac:dyDescent="0.75"/>
  <cols>
    <col min="2" max="2" width="75.26953125" customWidth="1"/>
    <col min="9" max="9" width="8.54296875" customWidth="1"/>
  </cols>
  <sheetData>
    <row r="1" spans="1:2" x14ac:dyDescent="0.75">
      <c r="A1" s="1" t="s">
        <v>0</v>
      </c>
    </row>
    <row r="3" spans="1:2" x14ac:dyDescent="0.75">
      <c r="A3" s="1" t="s">
        <v>1</v>
      </c>
      <c r="B3" s="4" t="s">
        <v>345</v>
      </c>
    </row>
    <row r="4" spans="1:2" x14ac:dyDescent="0.75">
      <c r="B4" t="s">
        <v>341</v>
      </c>
    </row>
    <row r="5" spans="1:2" x14ac:dyDescent="0.75">
      <c r="B5" s="5">
        <v>2024</v>
      </c>
    </row>
    <row r="6" spans="1:2" x14ac:dyDescent="0.75">
      <c r="B6" t="s">
        <v>342</v>
      </c>
    </row>
    <row r="7" spans="1:2" x14ac:dyDescent="0.75">
      <c r="B7" t="s">
        <v>343</v>
      </c>
    </row>
    <row r="8" spans="1:2" x14ac:dyDescent="0.75">
      <c r="B8" t="s">
        <v>344</v>
      </c>
    </row>
    <row r="10" spans="1:2" x14ac:dyDescent="0.75">
      <c r="B10" s="4" t="s">
        <v>340</v>
      </c>
    </row>
    <row r="11" spans="1:2" x14ac:dyDescent="0.75">
      <c r="B11" t="s">
        <v>240</v>
      </c>
    </row>
    <row r="12" spans="1:2" x14ac:dyDescent="0.75">
      <c r="B12" s="5" t="s">
        <v>241</v>
      </c>
    </row>
    <row r="13" spans="1:2" x14ac:dyDescent="0.75">
      <c r="B13" s="7" t="s">
        <v>242</v>
      </c>
    </row>
    <row r="14" spans="1:2" x14ac:dyDescent="0.75">
      <c r="B14" s="8" t="s">
        <v>243</v>
      </c>
    </row>
    <row r="15" spans="1:2" x14ac:dyDescent="0.75">
      <c r="B15" s="9"/>
    </row>
    <row r="16" spans="1:2" x14ac:dyDescent="0.75">
      <c r="B16" s="4" t="s">
        <v>267</v>
      </c>
    </row>
    <row r="17" spans="1:2" x14ac:dyDescent="0.75">
      <c r="B17" t="s">
        <v>264</v>
      </c>
    </row>
    <row r="18" spans="1:2" x14ac:dyDescent="0.75">
      <c r="B18" s="5">
        <v>2016</v>
      </c>
    </row>
    <row r="19" spans="1:2" x14ac:dyDescent="0.75">
      <c r="B19" t="s">
        <v>265</v>
      </c>
    </row>
    <row r="20" spans="1:2" x14ac:dyDescent="0.75">
      <c r="B20" s="7" t="s">
        <v>266</v>
      </c>
    </row>
    <row r="21" spans="1:2" x14ac:dyDescent="0.75">
      <c r="B21" t="s">
        <v>268</v>
      </c>
    </row>
    <row r="23" spans="1:2" x14ac:dyDescent="0.75">
      <c r="B23" t="s">
        <v>354</v>
      </c>
    </row>
    <row r="25" spans="1:2" x14ac:dyDescent="0.75">
      <c r="A25" s="1" t="s">
        <v>57</v>
      </c>
    </row>
    <row r="26" spans="1:2" x14ac:dyDescent="0.75">
      <c r="A26" t="s">
        <v>346</v>
      </c>
    </row>
    <row r="27" spans="1:2" x14ac:dyDescent="0.75">
      <c r="A27" t="s">
        <v>347</v>
      </c>
    </row>
    <row r="28" spans="1:2" x14ac:dyDescent="0.75">
      <c r="A28" t="s">
        <v>348</v>
      </c>
    </row>
    <row r="29" spans="1:2" x14ac:dyDescent="0.75">
      <c r="A29" t="s">
        <v>349</v>
      </c>
    </row>
    <row r="30" spans="1:2" x14ac:dyDescent="0.75">
      <c r="A30" t="s">
        <v>350</v>
      </c>
    </row>
    <row r="32" spans="1:2" x14ac:dyDescent="0.75">
      <c r="A32" t="s">
        <v>284</v>
      </c>
    </row>
    <row r="33" spans="1:1" x14ac:dyDescent="0.75">
      <c r="A33" t="s">
        <v>355</v>
      </c>
    </row>
  </sheetData>
  <hyperlinks>
    <hyperlink ref="B13" r:id="rId1" xr:uid="{3950E080-8E4C-4F5A-879F-1BEE31B7852F}"/>
    <hyperlink ref="B20" r:id="rId2" xr:uid="{12F2B8A9-67F5-43AA-8B7E-813E93624919}"/>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B6CD0-7C30-4BD3-9788-250A76B3BC98}">
  <sheetPr filterMode="1"/>
  <dimension ref="A1:K602"/>
  <sheetViews>
    <sheetView topLeftCell="A2" workbookViewId="0">
      <selection activeCell="K2" sqref="K2"/>
    </sheetView>
  </sheetViews>
  <sheetFormatPr defaultColWidth="11.40625" defaultRowHeight="14.75" x14ac:dyDescent="0.75"/>
  <cols>
    <col min="1" max="4" width="11.40625" style="59"/>
    <col min="5" max="5" width="18.26953125" style="59" customWidth="1"/>
    <col min="6" max="16384" width="11.40625" style="59"/>
  </cols>
  <sheetData>
    <row r="1" spans="1:11" ht="120" customHeight="1" x14ac:dyDescent="0.75">
      <c r="A1" s="67" t="s">
        <v>285</v>
      </c>
      <c r="B1" s="67"/>
      <c r="C1" s="67"/>
      <c r="D1" s="67"/>
      <c r="E1" s="67"/>
      <c r="F1" s="67"/>
      <c r="G1" s="67"/>
      <c r="H1" s="67"/>
      <c r="I1" s="67"/>
    </row>
    <row r="2" spans="1:11" x14ac:dyDescent="0.75">
      <c r="A2" s="59" t="s">
        <v>286</v>
      </c>
      <c r="B2" s="59" t="s">
        <v>287</v>
      </c>
      <c r="C2" s="59" t="s">
        <v>288</v>
      </c>
      <c r="D2" s="59" t="s">
        <v>289</v>
      </c>
      <c r="E2" s="59" t="s">
        <v>290</v>
      </c>
      <c r="F2" s="59" t="s">
        <v>291</v>
      </c>
      <c r="G2" s="59" t="s">
        <v>292</v>
      </c>
      <c r="H2" s="59" t="s">
        <v>293</v>
      </c>
      <c r="I2" s="59" t="s">
        <v>247</v>
      </c>
      <c r="K2" s="59" t="s">
        <v>294</v>
      </c>
    </row>
    <row r="3" spans="1:11" x14ac:dyDescent="0.75">
      <c r="A3" s="59" t="s">
        <v>295</v>
      </c>
      <c r="B3" s="59" t="s">
        <v>296</v>
      </c>
      <c r="C3" s="59">
        <v>2025</v>
      </c>
      <c r="D3" s="59" t="s">
        <v>297</v>
      </c>
      <c r="E3" s="59" t="s">
        <v>298</v>
      </c>
      <c r="F3" s="59" t="s">
        <v>299</v>
      </c>
      <c r="G3" s="59" t="s">
        <v>300</v>
      </c>
      <c r="H3" s="59">
        <v>126.9</v>
      </c>
      <c r="I3" s="59" t="s">
        <v>301</v>
      </c>
      <c r="K3" s="59" t="str">
        <f>INDEX('EPA land and ag calcs'!$G$7:$G$14,MATCH('EPA land and ag potential'!E3,'EPA land and ag calcs'!$A$7:$A$15,0))</f>
        <v>afforestation and reforestation</v>
      </c>
    </row>
    <row r="4" spans="1:11" x14ac:dyDescent="0.75">
      <c r="A4" s="59" t="s">
        <v>295</v>
      </c>
      <c r="B4" s="59" t="s">
        <v>296</v>
      </c>
      <c r="C4" s="59">
        <v>2035</v>
      </c>
      <c r="D4" s="59" t="s">
        <v>297</v>
      </c>
      <c r="E4" s="59" t="s">
        <v>298</v>
      </c>
      <c r="F4" s="59" t="s">
        <v>299</v>
      </c>
      <c r="G4" s="59" t="s">
        <v>300</v>
      </c>
      <c r="H4" s="59">
        <v>116.2</v>
      </c>
      <c r="I4" s="59" t="s">
        <v>301</v>
      </c>
      <c r="K4" s="59" t="str">
        <f>INDEX('EPA land and ag calcs'!$G$7:$G$14,MATCH('EPA land and ag potential'!E4,'EPA land and ag calcs'!$A$7:$A$15,0))</f>
        <v>afforestation and reforestation</v>
      </c>
    </row>
    <row r="5" spans="1:11" x14ac:dyDescent="0.75">
      <c r="A5" s="59" t="s">
        <v>295</v>
      </c>
      <c r="B5" s="59" t="s">
        <v>296</v>
      </c>
      <c r="C5" s="59">
        <v>2045</v>
      </c>
      <c r="D5" s="59" t="s">
        <v>297</v>
      </c>
      <c r="E5" s="59" t="s">
        <v>298</v>
      </c>
      <c r="F5" s="59" t="s">
        <v>299</v>
      </c>
      <c r="G5" s="59" t="s">
        <v>300</v>
      </c>
      <c r="H5" s="59">
        <v>78.599999999999994</v>
      </c>
      <c r="I5" s="59" t="s">
        <v>301</v>
      </c>
      <c r="K5" s="59" t="str">
        <f>INDEX('EPA land and ag calcs'!$G$7:$G$14,MATCH('EPA land and ag potential'!E5,'EPA land and ag calcs'!$A$7:$A$15,0))</f>
        <v>afforestation and reforestation</v>
      </c>
    </row>
    <row r="6" spans="1:11" x14ac:dyDescent="0.75">
      <c r="A6" s="59" t="s">
        <v>295</v>
      </c>
      <c r="B6" s="59" t="s">
        <v>296</v>
      </c>
      <c r="C6" s="59">
        <v>2055</v>
      </c>
      <c r="D6" s="59" t="s">
        <v>297</v>
      </c>
      <c r="E6" s="59" t="s">
        <v>298</v>
      </c>
      <c r="F6" s="59" t="s">
        <v>299</v>
      </c>
      <c r="G6" s="59" t="s">
        <v>300</v>
      </c>
      <c r="H6" s="59">
        <v>49.6</v>
      </c>
      <c r="I6" s="59" t="s">
        <v>301</v>
      </c>
      <c r="K6" s="59" t="str">
        <f>INDEX('EPA land and ag calcs'!$G$7:$G$14,MATCH('EPA land and ag potential'!E6,'EPA land and ag calcs'!$A$7:$A$15,0))</f>
        <v>afforestation and reforestation</v>
      </c>
    </row>
    <row r="7" spans="1:11" hidden="1" x14ac:dyDescent="0.75">
      <c r="A7" s="59" t="s">
        <v>295</v>
      </c>
      <c r="B7" s="59" t="s">
        <v>296</v>
      </c>
      <c r="C7" s="59">
        <v>2025</v>
      </c>
      <c r="D7" s="59" t="s">
        <v>297</v>
      </c>
      <c r="E7" s="59" t="s">
        <v>298</v>
      </c>
      <c r="F7" s="59" t="s">
        <v>302</v>
      </c>
      <c r="G7" s="59" t="s">
        <v>300</v>
      </c>
      <c r="H7" s="59">
        <v>39.4</v>
      </c>
      <c r="I7" s="59" t="s">
        <v>301</v>
      </c>
    </row>
    <row r="8" spans="1:11" hidden="1" x14ac:dyDescent="0.75">
      <c r="A8" s="59" t="s">
        <v>295</v>
      </c>
      <c r="B8" s="59" t="s">
        <v>296</v>
      </c>
      <c r="C8" s="59">
        <v>2035</v>
      </c>
      <c r="D8" s="59" t="s">
        <v>297</v>
      </c>
      <c r="E8" s="59" t="s">
        <v>298</v>
      </c>
      <c r="F8" s="59" t="s">
        <v>302</v>
      </c>
      <c r="G8" s="59" t="s">
        <v>300</v>
      </c>
      <c r="H8" s="59">
        <v>17.100000000000001</v>
      </c>
      <c r="I8" s="59" t="s">
        <v>301</v>
      </c>
    </row>
    <row r="9" spans="1:11" hidden="1" x14ac:dyDescent="0.75">
      <c r="A9" s="59" t="s">
        <v>295</v>
      </c>
      <c r="B9" s="59" t="s">
        <v>296</v>
      </c>
      <c r="C9" s="59">
        <v>2045</v>
      </c>
      <c r="D9" s="59" t="s">
        <v>297</v>
      </c>
      <c r="E9" s="59" t="s">
        <v>298</v>
      </c>
      <c r="F9" s="59" t="s">
        <v>302</v>
      </c>
      <c r="G9" s="59" t="s">
        <v>300</v>
      </c>
      <c r="H9" s="59">
        <v>8.9</v>
      </c>
      <c r="I9" s="59" t="s">
        <v>301</v>
      </c>
    </row>
    <row r="10" spans="1:11" hidden="1" x14ac:dyDescent="0.75">
      <c r="A10" s="59" t="s">
        <v>295</v>
      </c>
      <c r="B10" s="59" t="s">
        <v>296</v>
      </c>
      <c r="C10" s="59">
        <v>2055</v>
      </c>
      <c r="D10" s="59" t="s">
        <v>297</v>
      </c>
      <c r="E10" s="59" t="s">
        <v>298</v>
      </c>
      <c r="F10" s="59" t="s">
        <v>302</v>
      </c>
      <c r="G10" s="59" t="s">
        <v>300</v>
      </c>
      <c r="H10" s="59">
        <v>4.2</v>
      </c>
      <c r="I10" s="59" t="s">
        <v>301</v>
      </c>
    </row>
    <row r="11" spans="1:11" x14ac:dyDescent="0.75">
      <c r="A11" s="59" t="s">
        <v>295</v>
      </c>
      <c r="B11" s="59" t="s">
        <v>296</v>
      </c>
      <c r="C11" s="59">
        <v>2025</v>
      </c>
      <c r="D11" s="59" t="s">
        <v>297</v>
      </c>
      <c r="E11" s="59" t="s">
        <v>298</v>
      </c>
      <c r="F11" s="59" t="s">
        <v>299</v>
      </c>
      <c r="G11" s="59" t="s">
        <v>303</v>
      </c>
      <c r="H11" s="59">
        <v>24</v>
      </c>
      <c r="I11" s="59" t="s">
        <v>301</v>
      </c>
      <c r="K11" s="59" t="str">
        <f>INDEX('EPA land and ag calcs'!$G$7:$G$14,MATCH('EPA land and ag potential'!E11,'EPA land and ag calcs'!$A$7:$A$15,0))</f>
        <v>afforestation and reforestation</v>
      </c>
    </row>
    <row r="12" spans="1:11" x14ac:dyDescent="0.75">
      <c r="A12" s="59" t="s">
        <v>295</v>
      </c>
      <c r="B12" s="59" t="s">
        <v>296</v>
      </c>
      <c r="C12" s="59">
        <v>2035</v>
      </c>
      <c r="D12" s="59" t="s">
        <v>297</v>
      </c>
      <c r="E12" s="59" t="s">
        <v>298</v>
      </c>
      <c r="F12" s="59" t="s">
        <v>299</v>
      </c>
      <c r="G12" s="59" t="s">
        <v>303</v>
      </c>
      <c r="H12" s="59">
        <v>38.799999999999997</v>
      </c>
      <c r="I12" s="59" t="s">
        <v>301</v>
      </c>
      <c r="K12" s="59" t="str">
        <f>INDEX('EPA land and ag calcs'!$G$7:$G$14,MATCH('EPA land and ag potential'!E12,'EPA land and ag calcs'!$A$7:$A$15,0))</f>
        <v>afforestation and reforestation</v>
      </c>
    </row>
    <row r="13" spans="1:11" x14ac:dyDescent="0.75">
      <c r="A13" s="59" t="s">
        <v>295</v>
      </c>
      <c r="B13" s="59" t="s">
        <v>296</v>
      </c>
      <c r="C13" s="59">
        <v>2025</v>
      </c>
      <c r="D13" s="59" t="s">
        <v>297</v>
      </c>
      <c r="E13" s="59" t="s">
        <v>304</v>
      </c>
      <c r="F13" s="59" t="s">
        <v>299</v>
      </c>
      <c r="G13" s="59" t="s">
        <v>300</v>
      </c>
      <c r="H13" s="59">
        <v>-2.9</v>
      </c>
      <c r="I13" s="59" t="s">
        <v>301</v>
      </c>
      <c r="K13" s="59" t="str">
        <f>INDEX('EPA land and ag calcs'!$G$7:$G$14,MATCH('EPA land and ag potential'!E13,'EPA land and ag calcs'!$A$7:$A$15,0))</f>
        <v>*handled in agriculture files</v>
      </c>
    </row>
    <row r="14" spans="1:11" x14ac:dyDescent="0.75">
      <c r="A14" s="59" t="s">
        <v>295</v>
      </c>
      <c r="B14" s="59" t="s">
        <v>296</v>
      </c>
      <c r="C14" s="59">
        <v>2035</v>
      </c>
      <c r="D14" s="59" t="s">
        <v>297</v>
      </c>
      <c r="E14" s="59" t="s">
        <v>304</v>
      </c>
      <c r="F14" s="59" t="s">
        <v>299</v>
      </c>
      <c r="G14" s="59" t="s">
        <v>300</v>
      </c>
      <c r="H14" s="59">
        <v>-6.6</v>
      </c>
      <c r="I14" s="59" t="s">
        <v>301</v>
      </c>
      <c r="K14" s="59" t="str">
        <f>INDEX('EPA land and ag calcs'!$G$7:$G$14,MATCH('EPA land and ag potential'!E14,'EPA land and ag calcs'!$A$7:$A$15,0))</f>
        <v>*handled in agriculture files</v>
      </c>
    </row>
    <row r="15" spans="1:11" x14ac:dyDescent="0.75">
      <c r="A15" s="59" t="s">
        <v>295</v>
      </c>
      <c r="B15" s="59" t="s">
        <v>296</v>
      </c>
      <c r="C15" s="59">
        <v>2045</v>
      </c>
      <c r="D15" s="59" t="s">
        <v>297</v>
      </c>
      <c r="E15" s="59" t="s">
        <v>304</v>
      </c>
      <c r="F15" s="59" t="s">
        <v>299</v>
      </c>
      <c r="G15" s="59" t="s">
        <v>300</v>
      </c>
      <c r="H15" s="59">
        <v>-9.1999999999999993</v>
      </c>
      <c r="I15" s="59" t="s">
        <v>301</v>
      </c>
      <c r="K15" s="59" t="str">
        <f>INDEX('EPA land and ag calcs'!$G$7:$G$14,MATCH('EPA land and ag potential'!E15,'EPA land and ag calcs'!$A$7:$A$15,0))</f>
        <v>*handled in agriculture files</v>
      </c>
    </row>
    <row r="16" spans="1:11" x14ac:dyDescent="0.75">
      <c r="A16" s="59" t="s">
        <v>295</v>
      </c>
      <c r="B16" s="59" t="s">
        <v>296</v>
      </c>
      <c r="C16" s="59">
        <v>2055</v>
      </c>
      <c r="D16" s="59" t="s">
        <v>297</v>
      </c>
      <c r="E16" s="59" t="s">
        <v>304</v>
      </c>
      <c r="F16" s="59" t="s">
        <v>299</v>
      </c>
      <c r="G16" s="59" t="s">
        <v>300</v>
      </c>
      <c r="H16" s="59">
        <v>-11.1</v>
      </c>
      <c r="I16" s="59" t="s">
        <v>301</v>
      </c>
      <c r="K16" s="59" t="str">
        <f>INDEX('EPA land and ag calcs'!$G$7:$G$14,MATCH('EPA land and ag potential'!E16,'EPA land and ag calcs'!$A$7:$A$15,0))</f>
        <v>*handled in agriculture files</v>
      </c>
    </row>
    <row r="17" spans="1:11" hidden="1" x14ac:dyDescent="0.75">
      <c r="A17" s="59" t="s">
        <v>295</v>
      </c>
      <c r="B17" s="59" t="s">
        <v>296</v>
      </c>
      <c r="C17" s="59">
        <v>2025</v>
      </c>
      <c r="D17" s="59" t="s">
        <v>297</v>
      </c>
      <c r="E17" s="59" t="s">
        <v>304</v>
      </c>
      <c r="F17" s="59" t="s">
        <v>302</v>
      </c>
      <c r="G17" s="59" t="s">
        <v>300</v>
      </c>
      <c r="H17" s="59">
        <v>-4.5</v>
      </c>
      <c r="I17" s="59" t="s">
        <v>301</v>
      </c>
    </row>
    <row r="18" spans="1:11" hidden="1" x14ac:dyDescent="0.75">
      <c r="A18" s="59" t="s">
        <v>295</v>
      </c>
      <c r="B18" s="59" t="s">
        <v>296</v>
      </c>
      <c r="C18" s="59">
        <v>2035</v>
      </c>
      <c r="D18" s="59" t="s">
        <v>297</v>
      </c>
      <c r="E18" s="59" t="s">
        <v>304</v>
      </c>
      <c r="F18" s="59" t="s">
        <v>302</v>
      </c>
      <c r="G18" s="59" t="s">
        <v>300</v>
      </c>
      <c r="H18" s="59">
        <v>-7.4</v>
      </c>
      <c r="I18" s="59" t="s">
        <v>301</v>
      </c>
    </row>
    <row r="19" spans="1:11" hidden="1" x14ac:dyDescent="0.75">
      <c r="A19" s="59" t="s">
        <v>295</v>
      </c>
      <c r="B19" s="59" t="s">
        <v>296</v>
      </c>
      <c r="C19" s="59">
        <v>2045</v>
      </c>
      <c r="D19" s="59" t="s">
        <v>297</v>
      </c>
      <c r="E19" s="59" t="s">
        <v>304</v>
      </c>
      <c r="F19" s="59" t="s">
        <v>302</v>
      </c>
      <c r="G19" s="59" t="s">
        <v>300</v>
      </c>
      <c r="H19" s="59">
        <v>-9.6999999999999993</v>
      </c>
      <c r="I19" s="59" t="s">
        <v>301</v>
      </c>
    </row>
    <row r="20" spans="1:11" hidden="1" x14ac:dyDescent="0.75">
      <c r="A20" s="59" t="s">
        <v>295</v>
      </c>
      <c r="B20" s="59" t="s">
        <v>296</v>
      </c>
      <c r="C20" s="59">
        <v>2055</v>
      </c>
      <c r="D20" s="59" t="s">
        <v>297</v>
      </c>
      <c r="E20" s="59" t="s">
        <v>304</v>
      </c>
      <c r="F20" s="59" t="s">
        <v>302</v>
      </c>
      <c r="G20" s="59" t="s">
        <v>300</v>
      </c>
      <c r="H20" s="59">
        <v>-11.2</v>
      </c>
      <c r="I20" s="59" t="s">
        <v>301</v>
      </c>
    </row>
    <row r="21" spans="1:11" x14ac:dyDescent="0.75">
      <c r="A21" s="59" t="s">
        <v>295</v>
      </c>
      <c r="B21" s="59" t="s">
        <v>296</v>
      </c>
      <c r="C21" s="59">
        <v>2025</v>
      </c>
      <c r="D21" s="59" t="s">
        <v>297</v>
      </c>
      <c r="E21" s="59" t="s">
        <v>304</v>
      </c>
      <c r="F21" s="59" t="s">
        <v>299</v>
      </c>
      <c r="G21" s="59" t="s">
        <v>303</v>
      </c>
      <c r="H21" s="59">
        <v>-0.2</v>
      </c>
      <c r="I21" s="59" t="s">
        <v>301</v>
      </c>
      <c r="K21" s="59" t="str">
        <f>INDEX('EPA land and ag calcs'!$G$7:$G$14,MATCH('EPA land and ag potential'!E21,'EPA land and ag calcs'!$A$7:$A$15,0))</f>
        <v>*handled in agriculture files</v>
      </c>
    </row>
    <row r="22" spans="1:11" x14ac:dyDescent="0.75">
      <c r="A22" s="59" t="s">
        <v>295</v>
      </c>
      <c r="B22" s="59" t="s">
        <v>296</v>
      </c>
      <c r="C22" s="59">
        <v>2035</v>
      </c>
      <c r="D22" s="59" t="s">
        <v>297</v>
      </c>
      <c r="E22" s="59" t="s">
        <v>304</v>
      </c>
      <c r="F22" s="59" t="s">
        <v>299</v>
      </c>
      <c r="G22" s="59" t="s">
        <v>303</v>
      </c>
      <c r="H22" s="59">
        <v>-0.9</v>
      </c>
      <c r="I22" s="59" t="s">
        <v>301</v>
      </c>
      <c r="K22" s="59" t="str">
        <f>INDEX('EPA land and ag calcs'!$G$7:$G$14,MATCH('EPA land and ag potential'!E22,'EPA land and ag calcs'!$A$7:$A$15,0))</f>
        <v>*handled in agriculture files</v>
      </c>
    </row>
    <row r="23" spans="1:11" x14ac:dyDescent="0.75">
      <c r="A23" s="59" t="s">
        <v>295</v>
      </c>
      <c r="B23" s="59" t="s">
        <v>296</v>
      </c>
      <c r="C23" s="59">
        <v>2025</v>
      </c>
      <c r="D23" s="59" t="s">
        <v>297</v>
      </c>
      <c r="E23" s="59" t="s">
        <v>305</v>
      </c>
      <c r="F23" s="59" t="s">
        <v>299</v>
      </c>
      <c r="G23" s="59" t="s">
        <v>300</v>
      </c>
      <c r="H23" s="59">
        <v>-0.9</v>
      </c>
      <c r="I23" s="59" t="s">
        <v>301</v>
      </c>
      <c r="K23" s="59" t="str">
        <f>INDEX('EPA land and ag calcs'!$G$7:$G$14,MATCH('EPA land and ag potential'!E23,'EPA land and ag calcs'!$A$7:$A$15,0))</f>
        <v>*handled in agriculture files</v>
      </c>
    </row>
    <row r="24" spans="1:11" x14ac:dyDescent="0.75">
      <c r="A24" s="59" t="s">
        <v>295</v>
      </c>
      <c r="B24" s="59" t="s">
        <v>296</v>
      </c>
      <c r="C24" s="59">
        <v>2035</v>
      </c>
      <c r="D24" s="59" t="s">
        <v>297</v>
      </c>
      <c r="E24" s="59" t="s">
        <v>305</v>
      </c>
      <c r="F24" s="59" t="s">
        <v>299</v>
      </c>
      <c r="G24" s="59" t="s">
        <v>300</v>
      </c>
      <c r="H24" s="59">
        <v>-4.8</v>
      </c>
      <c r="I24" s="59" t="s">
        <v>301</v>
      </c>
      <c r="K24" s="59" t="str">
        <f>INDEX('EPA land and ag calcs'!$G$7:$G$14,MATCH('EPA land and ag potential'!E24,'EPA land and ag calcs'!$A$7:$A$15,0))</f>
        <v>*handled in agriculture files</v>
      </c>
    </row>
    <row r="25" spans="1:11" x14ac:dyDescent="0.75">
      <c r="A25" s="59" t="s">
        <v>295</v>
      </c>
      <c r="B25" s="59" t="s">
        <v>296</v>
      </c>
      <c r="C25" s="59">
        <v>2045</v>
      </c>
      <c r="D25" s="59" t="s">
        <v>297</v>
      </c>
      <c r="E25" s="59" t="s">
        <v>305</v>
      </c>
      <c r="F25" s="59" t="s">
        <v>299</v>
      </c>
      <c r="G25" s="59" t="s">
        <v>300</v>
      </c>
      <c r="H25" s="59">
        <v>-9.3000000000000007</v>
      </c>
      <c r="I25" s="59" t="s">
        <v>301</v>
      </c>
      <c r="K25" s="59" t="str">
        <f>INDEX('EPA land and ag calcs'!$G$7:$G$14,MATCH('EPA land and ag potential'!E25,'EPA land and ag calcs'!$A$7:$A$15,0))</f>
        <v>*handled in agriculture files</v>
      </c>
    </row>
    <row r="26" spans="1:11" x14ac:dyDescent="0.75">
      <c r="A26" s="59" t="s">
        <v>295</v>
      </c>
      <c r="B26" s="59" t="s">
        <v>296</v>
      </c>
      <c r="C26" s="59">
        <v>2055</v>
      </c>
      <c r="D26" s="59" t="s">
        <v>297</v>
      </c>
      <c r="E26" s="59" t="s">
        <v>305</v>
      </c>
      <c r="F26" s="59" t="s">
        <v>299</v>
      </c>
      <c r="G26" s="59" t="s">
        <v>300</v>
      </c>
      <c r="H26" s="59">
        <v>-12.5</v>
      </c>
      <c r="I26" s="59" t="s">
        <v>301</v>
      </c>
      <c r="K26" s="59" t="str">
        <f>INDEX('EPA land and ag calcs'!$G$7:$G$14,MATCH('EPA land and ag potential'!E26,'EPA land and ag calcs'!$A$7:$A$15,0))</f>
        <v>*handled in agriculture files</v>
      </c>
    </row>
    <row r="27" spans="1:11" hidden="1" x14ac:dyDescent="0.75">
      <c r="A27" s="59" t="s">
        <v>295</v>
      </c>
      <c r="B27" s="59" t="s">
        <v>296</v>
      </c>
      <c r="C27" s="59">
        <v>2025</v>
      </c>
      <c r="D27" s="59" t="s">
        <v>297</v>
      </c>
      <c r="E27" s="59" t="s">
        <v>305</v>
      </c>
      <c r="F27" s="59" t="s">
        <v>302</v>
      </c>
      <c r="G27" s="59" t="s">
        <v>300</v>
      </c>
      <c r="H27" s="59">
        <v>-3.5</v>
      </c>
      <c r="I27" s="59" t="s">
        <v>301</v>
      </c>
    </row>
    <row r="28" spans="1:11" hidden="1" x14ac:dyDescent="0.75">
      <c r="A28" s="59" t="s">
        <v>295</v>
      </c>
      <c r="B28" s="59" t="s">
        <v>296</v>
      </c>
      <c r="C28" s="59">
        <v>2035</v>
      </c>
      <c r="D28" s="59" t="s">
        <v>297</v>
      </c>
      <c r="E28" s="59" t="s">
        <v>305</v>
      </c>
      <c r="F28" s="59" t="s">
        <v>302</v>
      </c>
      <c r="G28" s="59" t="s">
        <v>300</v>
      </c>
      <c r="H28" s="59">
        <v>-6</v>
      </c>
      <c r="I28" s="59" t="s">
        <v>301</v>
      </c>
    </row>
    <row r="29" spans="1:11" hidden="1" x14ac:dyDescent="0.75">
      <c r="A29" s="59" t="s">
        <v>295</v>
      </c>
      <c r="B29" s="59" t="s">
        <v>296</v>
      </c>
      <c r="C29" s="59">
        <v>2045</v>
      </c>
      <c r="D29" s="59" t="s">
        <v>297</v>
      </c>
      <c r="E29" s="59" t="s">
        <v>305</v>
      </c>
      <c r="F29" s="59" t="s">
        <v>302</v>
      </c>
      <c r="G29" s="59" t="s">
        <v>300</v>
      </c>
      <c r="H29" s="59">
        <v>-9.3000000000000007</v>
      </c>
      <c r="I29" s="59" t="s">
        <v>301</v>
      </c>
    </row>
    <row r="30" spans="1:11" hidden="1" x14ac:dyDescent="0.75">
      <c r="A30" s="59" t="s">
        <v>295</v>
      </c>
      <c r="B30" s="59" t="s">
        <v>296</v>
      </c>
      <c r="C30" s="59">
        <v>2055</v>
      </c>
      <c r="D30" s="59" t="s">
        <v>297</v>
      </c>
      <c r="E30" s="59" t="s">
        <v>305</v>
      </c>
      <c r="F30" s="59" t="s">
        <v>302</v>
      </c>
      <c r="G30" s="59" t="s">
        <v>300</v>
      </c>
      <c r="H30" s="59">
        <v>-11.9</v>
      </c>
      <c r="I30" s="59" t="s">
        <v>301</v>
      </c>
    </row>
    <row r="31" spans="1:11" x14ac:dyDescent="0.75">
      <c r="A31" s="59" t="s">
        <v>295</v>
      </c>
      <c r="B31" s="59" t="s">
        <v>296</v>
      </c>
      <c r="C31" s="59">
        <v>2025</v>
      </c>
      <c r="D31" s="59" t="s">
        <v>297</v>
      </c>
      <c r="E31" s="59" t="s">
        <v>305</v>
      </c>
      <c r="F31" s="59" t="s">
        <v>299</v>
      </c>
      <c r="G31" s="59" t="s">
        <v>303</v>
      </c>
      <c r="H31" s="59">
        <v>-0.4</v>
      </c>
      <c r="I31" s="59" t="s">
        <v>301</v>
      </c>
      <c r="K31" s="59" t="str">
        <f>INDEX('EPA land and ag calcs'!$G$7:$G$14,MATCH('EPA land and ag potential'!E31,'EPA land and ag calcs'!$A$7:$A$15,0))</f>
        <v>*handled in agriculture files</v>
      </c>
    </row>
    <row r="32" spans="1:11" x14ac:dyDescent="0.75">
      <c r="A32" s="59" t="s">
        <v>295</v>
      </c>
      <c r="B32" s="59" t="s">
        <v>296</v>
      </c>
      <c r="C32" s="59">
        <v>2035</v>
      </c>
      <c r="D32" s="59" t="s">
        <v>297</v>
      </c>
      <c r="E32" s="59" t="s">
        <v>305</v>
      </c>
      <c r="F32" s="59" t="s">
        <v>299</v>
      </c>
      <c r="G32" s="59" t="s">
        <v>303</v>
      </c>
      <c r="H32" s="59">
        <v>-0.6</v>
      </c>
      <c r="I32" s="59" t="s">
        <v>301</v>
      </c>
      <c r="K32" s="59" t="str">
        <f>INDEX('EPA land and ag calcs'!$G$7:$G$14,MATCH('EPA land and ag potential'!E32,'EPA land and ag calcs'!$A$7:$A$15,0))</f>
        <v>*handled in agriculture files</v>
      </c>
    </row>
    <row r="33" spans="1:11" x14ac:dyDescent="0.75">
      <c r="A33" s="59" t="s">
        <v>295</v>
      </c>
      <c r="B33" s="59" t="s">
        <v>296</v>
      </c>
      <c r="C33" s="59">
        <v>2025</v>
      </c>
      <c r="D33" s="59" t="s">
        <v>297</v>
      </c>
      <c r="E33" s="59" t="s">
        <v>306</v>
      </c>
      <c r="F33" s="59" t="s">
        <v>299</v>
      </c>
      <c r="G33" s="59" t="s">
        <v>300</v>
      </c>
      <c r="H33" s="59">
        <v>-19</v>
      </c>
      <c r="I33" s="59" t="s">
        <v>301</v>
      </c>
      <c r="K33" s="59" t="str">
        <f>INDEX('EPA land and ag calcs'!$G$7:$G$14,MATCH('EPA land and ag potential'!E33,'EPA land and ag calcs'!$A$7:$A$15,0))</f>
        <v>forest management</v>
      </c>
    </row>
    <row r="34" spans="1:11" x14ac:dyDescent="0.75">
      <c r="A34" s="59" t="s">
        <v>295</v>
      </c>
      <c r="B34" s="59" t="s">
        <v>296</v>
      </c>
      <c r="C34" s="59">
        <v>2035</v>
      </c>
      <c r="D34" s="59" t="s">
        <v>297</v>
      </c>
      <c r="E34" s="59" t="s">
        <v>306</v>
      </c>
      <c r="F34" s="59" t="s">
        <v>299</v>
      </c>
      <c r="G34" s="59" t="s">
        <v>300</v>
      </c>
      <c r="H34" s="59">
        <v>-54.9</v>
      </c>
      <c r="I34" s="59" t="s">
        <v>301</v>
      </c>
      <c r="K34" s="59" t="str">
        <f>INDEX('EPA land and ag calcs'!$G$7:$G$14,MATCH('EPA land and ag potential'!E34,'EPA land and ag calcs'!$A$7:$A$15,0))</f>
        <v>forest management</v>
      </c>
    </row>
    <row r="35" spans="1:11" x14ac:dyDescent="0.75">
      <c r="A35" s="59" t="s">
        <v>295</v>
      </c>
      <c r="B35" s="59" t="s">
        <v>296</v>
      </c>
      <c r="C35" s="59">
        <v>2045</v>
      </c>
      <c r="D35" s="59" t="s">
        <v>297</v>
      </c>
      <c r="E35" s="59" t="s">
        <v>306</v>
      </c>
      <c r="F35" s="59" t="s">
        <v>299</v>
      </c>
      <c r="G35" s="59" t="s">
        <v>300</v>
      </c>
      <c r="H35" s="59">
        <v>-65.7</v>
      </c>
      <c r="I35" s="59" t="s">
        <v>301</v>
      </c>
      <c r="K35" s="59" t="str">
        <f>INDEX('EPA land and ag calcs'!$G$7:$G$14,MATCH('EPA land and ag potential'!E35,'EPA land and ag calcs'!$A$7:$A$15,0))</f>
        <v>forest management</v>
      </c>
    </row>
    <row r="36" spans="1:11" x14ac:dyDescent="0.75">
      <c r="A36" s="59" t="s">
        <v>295</v>
      </c>
      <c r="B36" s="59" t="s">
        <v>296</v>
      </c>
      <c r="C36" s="59">
        <v>2055</v>
      </c>
      <c r="D36" s="59" t="s">
        <v>297</v>
      </c>
      <c r="E36" s="59" t="s">
        <v>306</v>
      </c>
      <c r="F36" s="59" t="s">
        <v>299</v>
      </c>
      <c r="G36" s="59" t="s">
        <v>300</v>
      </c>
      <c r="H36" s="59">
        <v>-78</v>
      </c>
      <c r="I36" s="59" t="s">
        <v>301</v>
      </c>
      <c r="K36" s="59" t="str">
        <f>INDEX('EPA land and ag calcs'!$G$7:$G$14,MATCH('EPA land and ag potential'!E36,'EPA land and ag calcs'!$A$7:$A$15,0))</f>
        <v>forest management</v>
      </c>
    </row>
    <row r="37" spans="1:11" hidden="1" x14ac:dyDescent="0.75">
      <c r="A37" s="59" t="s">
        <v>295</v>
      </c>
      <c r="B37" s="59" t="s">
        <v>296</v>
      </c>
      <c r="C37" s="59">
        <v>2025</v>
      </c>
      <c r="D37" s="59" t="s">
        <v>297</v>
      </c>
      <c r="E37" s="59" t="s">
        <v>306</v>
      </c>
      <c r="F37" s="59" t="s">
        <v>302</v>
      </c>
      <c r="G37" s="59" t="s">
        <v>300</v>
      </c>
      <c r="H37" s="59">
        <v>-36.5</v>
      </c>
      <c r="I37" s="59" t="s">
        <v>301</v>
      </c>
    </row>
    <row r="38" spans="1:11" hidden="1" x14ac:dyDescent="0.75">
      <c r="A38" s="59" t="s">
        <v>295</v>
      </c>
      <c r="B38" s="59" t="s">
        <v>296</v>
      </c>
      <c r="C38" s="59">
        <v>2035</v>
      </c>
      <c r="D38" s="59" t="s">
        <v>297</v>
      </c>
      <c r="E38" s="59" t="s">
        <v>306</v>
      </c>
      <c r="F38" s="59" t="s">
        <v>302</v>
      </c>
      <c r="G38" s="59" t="s">
        <v>300</v>
      </c>
      <c r="H38" s="59">
        <v>-61.2</v>
      </c>
      <c r="I38" s="59" t="s">
        <v>301</v>
      </c>
    </row>
    <row r="39" spans="1:11" hidden="1" x14ac:dyDescent="0.75">
      <c r="A39" s="59" t="s">
        <v>295</v>
      </c>
      <c r="B39" s="59" t="s">
        <v>296</v>
      </c>
      <c r="C39" s="59">
        <v>2045</v>
      </c>
      <c r="D39" s="59" t="s">
        <v>297</v>
      </c>
      <c r="E39" s="59" t="s">
        <v>306</v>
      </c>
      <c r="F39" s="59" t="s">
        <v>302</v>
      </c>
      <c r="G39" s="59" t="s">
        <v>300</v>
      </c>
      <c r="H39" s="59">
        <v>-62.5</v>
      </c>
      <c r="I39" s="59" t="s">
        <v>301</v>
      </c>
    </row>
    <row r="40" spans="1:11" hidden="1" x14ac:dyDescent="0.75">
      <c r="A40" s="59" t="s">
        <v>295</v>
      </c>
      <c r="B40" s="59" t="s">
        <v>296</v>
      </c>
      <c r="C40" s="59">
        <v>2055</v>
      </c>
      <c r="D40" s="59" t="s">
        <v>297</v>
      </c>
      <c r="E40" s="59" t="s">
        <v>306</v>
      </c>
      <c r="F40" s="59" t="s">
        <v>302</v>
      </c>
      <c r="G40" s="59" t="s">
        <v>300</v>
      </c>
      <c r="H40" s="59">
        <v>-61.3</v>
      </c>
      <c r="I40" s="59" t="s">
        <v>301</v>
      </c>
    </row>
    <row r="41" spans="1:11" x14ac:dyDescent="0.75">
      <c r="A41" s="59" t="s">
        <v>295</v>
      </c>
      <c r="B41" s="59" t="s">
        <v>296</v>
      </c>
      <c r="C41" s="59">
        <v>2025</v>
      </c>
      <c r="D41" s="59" t="s">
        <v>297</v>
      </c>
      <c r="E41" s="59" t="s">
        <v>306</v>
      </c>
      <c r="F41" s="59" t="s">
        <v>299</v>
      </c>
      <c r="G41" s="59" t="s">
        <v>303</v>
      </c>
      <c r="H41" s="59">
        <v>-6.9</v>
      </c>
      <c r="I41" s="59" t="s">
        <v>301</v>
      </c>
      <c r="K41" s="59" t="str">
        <f>INDEX('EPA land and ag calcs'!$G$7:$G$14,MATCH('EPA land and ag potential'!E41,'EPA land and ag calcs'!$A$7:$A$15,0))</f>
        <v>forest management</v>
      </c>
    </row>
    <row r="42" spans="1:11" x14ac:dyDescent="0.75">
      <c r="A42" s="59" t="s">
        <v>295</v>
      </c>
      <c r="B42" s="59" t="s">
        <v>296</v>
      </c>
      <c r="C42" s="59">
        <v>2035</v>
      </c>
      <c r="D42" s="59" t="s">
        <v>297</v>
      </c>
      <c r="E42" s="59" t="s">
        <v>306</v>
      </c>
      <c r="F42" s="59" t="s">
        <v>299</v>
      </c>
      <c r="G42" s="59" t="s">
        <v>303</v>
      </c>
      <c r="H42" s="59">
        <v>-16</v>
      </c>
      <c r="I42" s="59" t="s">
        <v>301</v>
      </c>
      <c r="K42" s="59" t="str">
        <f>INDEX('EPA land and ag calcs'!$G$7:$G$14,MATCH('EPA land and ag potential'!E42,'EPA land and ag calcs'!$A$7:$A$15,0))</f>
        <v>forest management</v>
      </c>
    </row>
    <row r="43" spans="1:11" x14ac:dyDescent="0.75">
      <c r="A43" s="59" t="s">
        <v>295</v>
      </c>
      <c r="B43" s="59" t="s">
        <v>296</v>
      </c>
      <c r="C43" s="59">
        <v>2025</v>
      </c>
      <c r="D43" s="59" t="s">
        <v>297</v>
      </c>
      <c r="E43" s="59" t="s">
        <v>307</v>
      </c>
      <c r="F43" s="59" t="s">
        <v>299</v>
      </c>
      <c r="G43" s="59" t="s">
        <v>300</v>
      </c>
      <c r="I43" s="59" t="s">
        <v>301</v>
      </c>
      <c r="K43" s="59" t="str">
        <f>INDEX('EPA land and ag calcs'!$G$7:$G$14,MATCH('EPA land and ag potential'!E43,'EPA land and ag calcs'!$A$7:$A$15,0))</f>
        <v>afforestation and reforestation</v>
      </c>
    </row>
    <row r="44" spans="1:11" x14ac:dyDescent="0.75">
      <c r="A44" s="59" t="s">
        <v>295</v>
      </c>
      <c r="B44" s="59" t="s">
        <v>296</v>
      </c>
      <c r="C44" s="59">
        <v>2035</v>
      </c>
      <c r="D44" s="59" t="s">
        <v>297</v>
      </c>
      <c r="E44" s="59" t="s">
        <v>307</v>
      </c>
      <c r="F44" s="59" t="s">
        <v>299</v>
      </c>
      <c r="G44" s="59" t="s">
        <v>300</v>
      </c>
      <c r="H44" s="59">
        <v>-57.5</v>
      </c>
      <c r="I44" s="59" t="s">
        <v>301</v>
      </c>
      <c r="K44" s="59" t="str">
        <f>INDEX('EPA land and ag calcs'!$G$7:$G$14,MATCH('EPA land and ag potential'!E44,'EPA land and ag calcs'!$A$7:$A$15,0))</f>
        <v>afforestation and reforestation</v>
      </c>
    </row>
    <row r="45" spans="1:11" x14ac:dyDescent="0.75">
      <c r="A45" s="59" t="s">
        <v>295</v>
      </c>
      <c r="B45" s="59" t="s">
        <v>296</v>
      </c>
      <c r="C45" s="59">
        <v>2045</v>
      </c>
      <c r="D45" s="59" t="s">
        <v>297</v>
      </c>
      <c r="E45" s="59" t="s">
        <v>307</v>
      </c>
      <c r="F45" s="59" t="s">
        <v>299</v>
      </c>
      <c r="G45" s="59" t="s">
        <v>300</v>
      </c>
      <c r="H45" s="59">
        <v>-75.7</v>
      </c>
      <c r="I45" s="59" t="s">
        <v>301</v>
      </c>
      <c r="K45" s="59" t="str">
        <f>INDEX('EPA land and ag calcs'!$G$7:$G$14,MATCH('EPA land and ag potential'!E45,'EPA land and ag calcs'!$A$7:$A$15,0))</f>
        <v>afforestation and reforestation</v>
      </c>
    </row>
    <row r="46" spans="1:11" x14ac:dyDescent="0.75">
      <c r="A46" s="59" t="s">
        <v>295</v>
      </c>
      <c r="B46" s="59" t="s">
        <v>296</v>
      </c>
      <c r="C46" s="59">
        <v>2055</v>
      </c>
      <c r="D46" s="59" t="s">
        <v>297</v>
      </c>
      <c r="E46" s="59" t="s">
        <v>307</v>
      </c>
      <c r="F46" s="59" t="s">
        <v>299</v>
      </c>
      <c r="G46" s="59" t="s">
        <v>300</v>
      </c>
      <c r="H46" s="59">
        <v>-92.6</v>
      </c>
      <c r="I46" s="59" t="s">
        <v>301</v>
      </c>
      <c r="K46" s="59" t="str">
        <f>INDEX('EPA land and ag calcs'!$G$7:$G$14,MATCH('EPA land and ag potential'!E46,'EPA land and ag calcs'!$A$7:$A$15,0))</f>
        <v>afforestation and reforestation</v>
      </c>
    </row>
    <row r="47" spans="1:11" hidden="1" x14ac:dyDescent="0.75">
      <c r="A47" s="59" t="s">
        <v>295</v>
      </c>
      <c r="B47" s="59" t="s">
        <v>296</v>
      </c>
      <c r="C47" s="59">
        <v>2025</v>
      </c>
      <c r="D47" s="59" t="s">
        <v>297</v>
      </c>
      <c r="E47" s="59" t="s">
        <v>307</v>
      </c>
      <c r="F47" s="59" t="s">
        <v>302</v>
      </c>
      <c r="G47" s="59" t="s">
        <v>300</v>
      </c>
      <c r="I47" s="59" t="s">
        <v>301</v>
      </c>
    </row>
    <row r="48" spans="1:11" hidden="1" x14ac:dyDescent="0.75">
      <c r="A48" s="59" t="s">
        <v>295</v>
      </c>
      <c r="B48" s="59" t="s">
        <v>296</v>
      </c>
      <c r="C48" s="59">
        <v>2035</v>
      </c>
      <c r="D48" s="59" t="s">
        <v>297</v>
      </c>
      <c r="E48" s="59" t="s">
        <v>307</v>
      </c>
      <c r="F48" s="59" t="s">
        <v>302</v>
      </c>
      <c r="G48" s="59" t="s">
        <v>300</v>
      </c>
      <c r="H48" s="59">
        <v>-60.2</v>
      </c>
      <c r="I48" s="59" t="s">
        <v>301</v>
      </c>
    </row>
    <row r="49" spans="1:11" hidden="1" x14ac:dyDescent="0.75">
      <c r="A49" s="59" t="s">
        <v>295</v>
      </c>
      <c r="B49" s="59" t="s">
        <v>296</v>
      </c>
      <c r="C49" s="59">
        <v>2045</v>
      </c>
      <c r="D49" s="59" t="s">
        <v>297</v>
      </c>
      <c r="E49" s="59" t="s">
        <v>307</v>
      </c>
      <c r="F49" s="59" t="s">
        <v>302</v>
      </c>
      <c r="G49" s="59" t="s">
        <v>300</v>
      </c>
      <c r="H49" s="59">
        <v>-86.8</v>
      </c>
      <c r="I49" s="59" t="s">
        <v>301</v>
      </c>
    </row>
    <row r="50" spans="1:11" hidden="1" x14ac:dyDescent="0.75">
      <c r="A50" s="59" t="s">
        <v>295</v>
      </c>
      <c r="B50" s="59" t="s">
        <v>296</v>
      </c>
      <c r="C50" s="59">
        <v>2055</v>
      </c>
      <c r="D50" s="59" t="s">
        <v>297</v>
      </c>
      <c r="E50" s="59" t="s">
        <v>307</v>
      </c>
      <c r="F50" s="59" t="s">
        <v>302</v>
      </c>
      <c r="G50" s="59" t="s">
        <v>300</v>
      </c>
      <c r="H50" s="59">
        <v>-111</v>
      </c>
      <c r="I50" s="59" t="s">
        <v>301</v>
      </c>
    </row>
    <row r="51" spans="1:11" x14ac:dyDescent="0.75">
      <c r="A51" s="59" t="s">
        <v>295</v>
      </c>
      <c r="B51" s="59" t="s">
        <v>296</v>
      </c>
      <c r="C51" s="59">
        <v>2025</v>
      </c>
      <c r="D51" s="59" t="s">
        <v>297</v>
      </c>
      <c r="E51" s="59" t="s">
        <v>307</v>
      </c>
      <c r="F51" s="59" t="s">
        <v>299</v>
      </c>
      <c r="G51" s="59" t="s">
        <v>303</v>
      </c>
      <c r="I51" s="59" t="s">
        <v>301</v>
      </c>
      <c r="K51" s="59" t="str">
        <f>INDEX('EPA land and ag calcs'!$G$7:$G$14,MATCH('EPA land and ag potential'!E51,'EPA land and ag calcs'!$A$7:$A$15,0))</f>
        <v>afforestation and reforestation</v>
      </c>
    </row>
    <row r="52" spans="1:11" x14ac:dyDescent="0.75">
      <c r="A52" s="59" t="s">
        <v>295</v>
      </c>
      <c r="B52" s="59" t="s">
        <v>296</v>
      </c>
      <c r="C52" s="59">
        <v>2035</v>
      </c>
      <c r="D52" s="59" t="s">
        <v>297</v>
      </c>
      <c r="E52" s="59" t="s">
        <v>307</v>
      </c>
      <c r="F52" s="59" t="s">
        <v>299</v>
      </c>
      <c r="G52" s="59" t="s">
        <v>303</v>
      </c>
      <c r="H52" s="59">
        <v>-3.4</v>
      </c>
      <c r="I52" s="59" t="s">
        <v>301</v>
      </c>
      <c r="K52" s="59" t="str">
        <f>INDEX('EPA land and ag calcs'!$G$7:$G$14,MATCH('EPA land and ag potential'!E52,'EPA land and ag calcs'!$A$7:$A$15,0))</f>
        <v>afforestation and reforestation</v>
      </c>
    </row>
    <row r="53" spans="1:11" x14ac:dyDescent="0.75">
      <c r="A53" s="59" t="s">
        <v>295</v>
      </c>
      <c r="B53" s="59" t="s">
        <v>296</v>
      </c>
      <c r="C53" s="59">
        <v>2025</v>
      </c>
      <c r="D53" s="59" t="s">
        <v>297</v>
      </c>
      <c r="E53" s="59" t="s">
        <v>308</v>
      </c>
      <c r="F53" s="59" t="s">
        <v>299</v>
      </c>
      <c r="G53" s="59" t="s">
        <v>300</v>
      </c>
      <c r="H53" s="59">
        <v>1.6</v>
      </c>
      <c r="I53" s="59" t="s">
        <v>301</v>
      </c>
      <c r="K53" s="59" t="str">
        <f>INDEX('EPA land and ag calcs'!$G$7:$G$14,MATCH('EPA land and ag potential'!E53,'EPA land and ag calcs'!$A$7:$A$15,0))</f>
        <v>forest management</v>
      </c>
    </row>
    <row r="54" spans="1:11" x14ac:dyDescent="0.75">
      <c r="A54" s="59" t="s">
        <v>295</v>
      </c>
      <c r="B54" s="59" t="s">
        <v>296</v>
      </c>
      <c r="C54" s="59">
        <v>2035</v>
      </c>
      <c r="D54" s="59" t="s">
        <v>297</v>
      </c>
      <c r="E54" s="59" t="s">
        <v>308</v>
      </c>
      <c r="F54" s="59" t="s">
        <v>299</v>
      </c>
      <c r="G54" s="59" t="s">
        <v>300</v>
      </c>
      <c r="H54" s="59">
        <v>1.6</v>
      </c>
      <c r="I54" s="59" t="s">
        <v>301</v>
      </c>
      <c r="K54" s="59" t="str">
        <f>INDEX('EPA land and ag calcs'!$G$7:$G$14,MATCH('EPA land and ag potential'!E54,'EPA land and ag calcs'!$A$7:$A$15,0))</f>
        <v>forest management</v>
      </c>
    </row>
    <row r="55" spans="1:11" x14ac:dyDescent="0.75">
      <c r="A55" s="59" t="s">
        <v>295</v>
      </c>
      <c r="B55" s="59" t="s">
        <v>296</v>
      </c>
      <c r="C55" s="59">
        <v>2045</v>
      </c>
      <c r="D55" s="59" t="s">
        <v>297</v>
      </c>
      <c r="E55" s="59" t="s">
        <v>308</v>
      </c>
      <c r="F55" s="59" t="s">
        <v>299</v>
      </c>
      <c r="G55" s="59" t="s">
        <v>300</v>
      </c>
      <c r="H55" s="59">
        <v>1.6</v>
      </c>
      <c r="I55" s="59" t="s">
        <v>301</v>
      </c>
      <c r="K55" s="59" t="str">
        <f>INDEX('EPA land and ag calcs'!$G$7:$G$14,MATCH('EPA land and ag potential'!E55,'EPA land and ag calcs'!$A$7:$A$15,0))</f>
        <v>forest management</v>
      </c>
    </row>
    <row r="56" spans="1:11" x14ac:dyDescent="0.75">
      <c r="A56" s="59" t="s">
        <v>295</v>
      </c>
      <c r="B56" s="59" t="s">
        <v>296</v>
      </c>
      <c r="C56" s="59">
        <v>2055</v>
      </c>
      <c r="D56" s="59" t="s">
        <v>297</v>
      </c>
      <c r="E56" s="59" t="s">
        <v>308</v>
      </c>
      <c r="F56" s="59" t="s">
        <v>299</v>
      </c>
      <c r="G56" s="59" t="s">
        <v>300</v>
      </c>
      <c r="H56" s="59">
        <v>1.3</v>
      </c>
      <c r="I56" s="59" t="s">
        <v>301</v>
      </c>
      <c r="K56" s="59" t="str">
        <f>INDEX('EPA land and ag calcs'!$G$7:$G$14,MATCH('EPA land and ag potential'!E56,'EPA land and ag calcs'!$A$7:$A$15,0))</f>
        <v>forest management</v>
      </c>
    </row>
    <row r="57" spans="1:11" hidden="1" x14ac:dyDescent="0.75">
      <c r="A57" s="59" t="s">
        <v>295</v>
      </c>
      <c r="B57" s="59" t="s">
        <v>296</v>
      </c>
      <c r="C57" s="59">
        <v>2025</v>
      </c>
      <c r="D57" s="59" t="s">
        <v>297</v>
      </c>
      <c r="E57" s="59" t="s">
        <v>308</v>
      </c>
      <c r="F57" s="59" t="s">
        <v>302</v>
      </c>
      <c r="G57" s="59" t="s">
        <v>300</v>
      </c>
      <c r="H57" s="59">
        <v>4.0999999999999996</v>
      </c>
      <c r="I57" s="59" t="s">
        <v>301</v>
      </c>
    </row>
    <row r="58" spans="1:11" hidden="1" x14ac:dyDescent="0.75">
      <c r="A58" s="59" t="s">
        <v>295</v>
      </c>
      <c r="B58" s="59" t="s">
        <v>296</v>
      </c>
      <c r="C58" s="59">
        <v>2035</v>
      </c>
      <c r="D58" s="59" t="s">
        <v>297</v>
      </c>
      <c r="E58" s="59" t="s">
        <v>308</v>
      </c>
      <c r="F58" s="59" t="s">
        <v>302</v>
      </c>
      <c r="G58" s="59" t="s">
        <v>300</v>
      </c>
      <c r="H58" s="59">
        <v>3.1</v>
      </c>
      <c r="I58" s="59" t="s">
        <v>301</v>
      </c>
    </row>
    <row r="59" spans="1:11" hidden="1" x14ac:dyDescent="0.75">
      <c r="A59" s="59" t="s">
        <v>295</v>
      </c>
      <c r="B59" s="59" t="s">
        <v>296</v>
      </c>
      <c r="C59" s="59">
        <v>2045</v>
      </c>
      <c r="D59" s="59" t="s">
        <v>297</v>
      </c>
      <c r="E59" s="59" t="s">
        <v>308</v>
      </c>
      <c r="F59" s="59" t="s">
        <v>302</v>
      </c>
      <c r="G59" s="59" t="s">
        <v>300</v>
      </c>
      <c r="H59" s="59">
        <v>2.9</v>
      </c>
      <c r="I59" s="59" t="s">
        <v>301</v>
      </c>
    </row>
    <row r="60" spans="1:11" hidden="1" x14ac:dyDescent="0.75">
      <c r="A60" s="59" t="s">
        <v>295</v>
      </c>
      <c r="B60" s="59" t="s">
        <v>296</v>
      </c>
      <c r="C60" s="59">
        <v>2055</v>
      </c>
      <c r="D60" s="59" t="s">
        <v>297</v>
      </c>
      <c r="E60" s="59" t="s">
        <v>308</v>
      </c>
      <c r="F60" s="59" t="s">
        <v>302</v>
      </c>
      <c r="G60" s="59" t="s">
        <v>300</v>
      </c>
      <c r="H60" s="59">
        <v>2.6</v>
      </c>
      <c r="I60" s="59" t="s">
        <v>301</v>
      </c>
    </row>
    <row r="61" spans="1:11" x14ac:dyDescent="0.75">
      <c r="A61" s="59" t="s">
        <v>295</v>
      </c>
      <c r="B61" s="59" t="s">
        <v>296</v>
      </c>
      <c r="C61" s="59">
        <v>2025</v>
      </c>
      <c r="D61" s="59" t="s">
        <v>297</v>
      </c>
      <c r="E61" s="59" t="s">
        <v>308</v>
      </c>
      <c r="F61" s="59" t="s">
        <v>299</v>
      </c>
      <c r="G61" s="59" t="s">
        <v>303</v>
      </c>
      <c r="H61" s="59">
        <v>0.7</v>
      </c>
      <c r="I61" s="59" t="s">
        <v>301</v>
      </c>
      <c r="K61" s="59" t="str">
        <f>INDEX('EPA land and ag calcs'!$G$7:$G$14,MATCH('EPA land and ag potential'!E61,'EPA land and ag calcs'!$A$7:$A$15,0))</f>
        <v>forest management</v>
      </c>
    </row>
    <row r="62" spans="1:11" x14ac:dyDescent="0.75">
      <c r="A62" s="59" t="s">
        <v>295</v>
      </c>
      <c r="B62" s="59" t="s">
        <v>296</v>
      </c>
      <c r="C62" s="59">
        <v>2035</v>
      </c>
      <c r="D62" s="59" t="s">
        <v>297</v>
      </c>
      <c r="E62" s="59" t="s">
        <v>308</v>
      </c>
      <c r="F62" s="59" t="s">
        <v>299</v>
      </c>
      <c r="G62" s="59" t="s">
        <v>303</v>
      </c>
      <c r="H62" s="59">
        <v>0.3</v>
      </c>
      <c r="I62" s="59" t="s">
        <v>301</v>
      </c>
      <c r="K62" s="59" t="str">
        <f>INDEX('EPA land and ag calcs'!$G$7:$G$14,MATCH('EPA land and ag potential'!E62,'EPA land and ag calcs'!$A$7:$A$15,0))</f>
        <v>forest management</v>
      </c>
    </row>
    <row r="63" spans="1:11" x14ac:dyDescent="0.75">
      <c r="A63" s="59" t="s">
        <v>295</v>
      </c>
      <c r="B63" s="59" t="s">
        <v>296</v>
      </c>
      <c r="C63" s="59">
        <v>2025</v>
      </c>
      <c r="D63" s="59" t="s">
        <v>297</v>
      </c>
      <c r="E63" s="59" t="s">
        <v>309</v>
      </c>
      <c r="F63" s="59" t="s">
        <v>299</v>
      </c>
      <c r="G63" s="59" t="s">
        <v>300</v>
      </c>
      <c r="H63" s="59">
        <v>-153.4</v>
      </c>
      <c r="I63" s="59" t="s">
        <v>301</v>
      </c>
      <c r="K63" s="59" t="str">
        <f>INDEX('EPA land and ag calcs'!$G$7:$G$14,MATCH('EPA land and ag potential'!E63,'EPA land and ag calcs'!$A$7:$A$15,0))</f>
        <v>afforestation and reforestation</v>
      </c>
    </row>
    <row r="64" spans="1:11" x14ac:dyDescent="0.75">
      <c r="A64" s="59" t="s">
        <v>295</v>
      </c>
      <c r="B64" s="59" t="s">
        <v>296</v>
      </c>
      <c r="C64" s="59">
        <v>2035</v>
      </c>
      <c r="D64" s="59" t="s">
        <v>297</v>
      </c>
      <c r="E64" s="59" t="s">
        <v>309</v>
      </c>
      <c r="F64" s="59" t="s">
        <v>299</v>
      </c>
      <c r="G64" s="59" t="s">
        <v>300</v>
      </c>
      <c r="H64" s="59">
        <v>-162.19999999999999</v>
      </c>
      <c r="I64" s="59" t="s">
        <v>301</v>
      </c>
      <c r="K64" s="59" t="str">
        <f>INDEX('EPA land and ag calcs'!$G$7:$G$14,MATCH('EPA land and ag potential'!E64,'EPA land and ag calcs'!$A$7:$A$15,0))</f>
        <v>afforestation and reforestation</v>
      </c>
    </row>
    <row r="65" spans="1:11" x14ac:dyDescent="0.75">
      <c r="A65" s="59" t="s">
        <v>295</v>
      </c>
      <c r="B65" s="59" t="s">
        <v>296</v>
      </c>
      <c r="C65" s="59">
        <v>2045</v>
      </c>
      <c r="D65" s="59" t="s">
        <v>297</v>
      </c>
      <c r="E65" s="59" t="s">
        <v>309</v>
      </c>
      <c r="F65" s="59" t="s">
        <v>299</v>
      </c>
      <c r="G65" s="59" t="s">
        <v>300</v>
      </c>
      <c r="H65" s="59">
        <v>-144.80000000000001</v>
      </c>
      <c r="I65" s="59" t="s">
        <v>301</v>
      </c>
      <c r="K65" s="59" t="str">
        <f>INDEX('EPA land and ag calcs'!$G$7:$G$14,MATCH('EPA land and ag potential'!E65,'EPA land and ag calcs'!$A$7:$A$15,0))</f>
        <v>afforestation and reforestation</v>
      </c>
    </row>
    <row r="66" spans="1:11" x14ac:dyDescent="0.75">
      <c r="A66" s="59" t="s">
        <v>295</v>
      </c>
      <c r="B66" s="59" t="s">
        <v>296</v>
      </c>
      <c r="C66" s="59">
        <v>2055</v>
      </c>
      <c r="D66" s="59" t="s">
        <v>297</v>
      </c>
      <c r="E66" s="59" t="s">
        <v>309</v>
      </c>
      <c r="F66" s="59" t="s">
        <v>299</v>
      </c>
      <c r="G66" s="59" t="s">
        <v>300</v>
      </c>
      <c r="H66" s="59">
        <v>-125.4</v>
      </c>
      <c r="I66" s="59" t="s">
        <v>301</v>
      </c>
      <c r="K66" s="59" t="str">
        <f>INDEX('EPA land and ag calcs'!$G$7:$G$14,MATCH('EPA land and ag potential'!E66,'EPA land and ag calcs'!$A$7:$A$15,0))</f>
        <v>afforestation and reforestation</v>
      </c>
    </row>
    <row r="67" spans="1:11" hidden="1" x14ac:dyDescent="0.75">
      <c r="A67" s="59" t="s">
        <v>295</v>
      </c>
      <c r="B67" s="59" t="s">
        <v>296</v>
      </c>
      <c r="C67" s="59">
        <v>2025</v>
      </c>
      <c r="D67" s="59" t="s">
        <v>297</v>
      </c>
      <c r="E67" s="59" t="s">
        <v>309</v>
      </c>
      <c r="F67" s="59" t="s">
        <v>302</v>
      </c>
      <c r="G67" s="59" t="s">
        <v>300</v>
      </c>
      <c r="H67" s="59">
        <v>-153.30000000000001</v>
      </c>
      <c r="I67" s="59" t="s">
        <v>301</v>
      </c>
    </row>
    <row r="68" spans="1:11" hidden="1" x14ac:dyDescent="0.75">
      <c r="A68" s="59" t="s">
        <v>295</v>
      </c>
      <c r="B68" s="59" t="s">
        <v>296</v>
      </c>
      <c r="C68" s="59">
        <v>2035</v>
      </c>
      <c r="D68" s="59" t="s">
        <v>297</v>
      </c>
      <c r="E68" s="59" t="s">
        <v>309</v>
      </c>
      <c r="F68" s="59" t="s">
        <v>302</v>
      </c>
      <c r="G68" s="59" t="s">
        <v>300</v>
      </c>
      <c r="H68" s="59">
        <v>-122.9</v>
      </c>
      <c r="I68" s="59" t="s">
        <v>301</v>
      </c>
    </row>
    <row r="69" spans="1:11" hidden="1" x14ac:dyDescent="0.75">
      <c r="A69" s="59" t="s">
        <v>295</v>
      </c>
      <c r="B69" s="59" t="s">
        <v>296</v>
      </c>
      <c r="C69" s="59">
        <v>2045</v>
      </c>
      <c r="D69" s="59" t="s">
        <v>297</v>
      </c>
      <c r="E69" s="59" t="s">
        <v>309</v>
      </c>
      <c r="F69" s="59" t="s">
        <v>302</v>
      </c>
      <c r="G69" s="59" t="s">
        <v>300</v>
      </c>
      <c r="H69" s="59">
        <v>-100.8</v>
      </c>
      <c r="I69" s="59" t="s">
        <v>301</v>
      </c>
    </row>
    <row r="70" spans="1:11" hidden="1" x14ac:dyDescent="0.75">
      <c r="A70" s="59" t="s">
        <v>295</v>
      </c>
      <c r="B70" s="59" t="s">
        <v>296</v>
      </c>
      <c r="C70" s="59">
        <v>2055</v>
      </c>
      <c r="D70" s="59" t="s">
        <v>297</v>
      </c>
      <c r="E70" s="59" t="s">
        <v>309</v>
      </c>
      <c r="F70" s="59" t="s">
        <v>302</v>
      </c>
      <c r="G70" s="59" t="s">
        <v>300</v>
      </c>
      <c r="H70" s="59">
        <v>-92.3</v>
      </c>
      <c r="I70" s="59" t="s">
        <v>301</v>
      </c>
    </row>
    <row r="71" spans="1:11" x14ac:dyDescent="0.75">
      <c r="A71" s="59" t="s">
        <v>295</v>
      </c>
      <c r="B71" s="59" t="s">
        <v>296</v>
      </c>
      <c r="C71" s="59">
        <v>2025</v>
      </c>
      <c r="D71" s="59" t="s">
        <v>297</v>
      </c>
      <c r="E71" s="59" t="s">
        <v>309</v>
      </c>
      <c r="F71" s="59" t="s">
        <v>299</v>
      </c>
      <c r="G71" s="59" t="s">
        <v>303</v>
      </c>
      <c r="H71" s="59">
        <v>-8.4</v>
      </c>
      <c r="I71" s="59" t="s">
        <v>301</v>
      </c>
      <c r="K71" s="59" t="str">
        <f>INDEX('EPA land and ag calcs'!$G$7:$G$14,MATCH('EPA land and ag potential'!E71,'EPA land and ag calcs'!$A$7:$A$15,0))</f>
        <v>afforestation and reforestation</v>
      </c>
    </row>
    <row r="72" spans="1:11" x14ac:dyDescent="0.75">
      <c r="A72" s="59" t="s">
        <v>295</v>
      </c>
      <c r="B72" s="59" t="s">
        <v>296</v>
      </c>
      <c r="C72" s="59">
        <v>2035</v>
      </c>
      <c r="D72" s="59" t="s">
        <v>297</v>
      </c>
      <c r="E72" s="59" t="s">
        <v>309</v>
      </c>
      <c r="F72" s="59" t="s">
        <v>299</v>
      </c>
      <c r="G72" s="59" t="s">
        <v>303</v>
      </c>
      <c r="H72" s="59">
        <v>-33.700000000000003</v>
      </c>
      <c r="I72" s="59" t="s">
        <v>301</v>
      </c>
      <c r="K72" s="59" t="str">
        <f>INDEX('EPA land and ag calcs'!$G$7:$G$14,MATCH('EPA land and ag potential'!E72,'EPA land and ag calcs'!$A$7:$A$15,0))</f>
        <v>afforestation and reforestation</v>
      </c>
    </row>
    <row r="73" spans="1:11" x14ac:dyDescent="0.75">
      <c r="A73" s="59" t="s">
        <v>295</v>
      </c>
      <c r="B73" s="59" t="s">
        <v>296</v>
      </c>
      <c r="C73" s="59">
        <v>2025</v>
      </c>
      <c r="D73" s="59" t="s">
        <v>297</v>
      </c>
      <c r="E73" s="59" t="s">
        <v>310</v>
      </c>
      <c r="F73" s="59" t="s">
        <v>299</v>
      </c>
      <c r="G73" s="59" t="s">
        <v>300</v>
      </c>
      <c r="H73" s="59">
        <v>-15.2</v>
      </c>
      <c r="I73" s="59" t="s">
        <v>301</v>
      </c>
      <c r="K73" s="59" t="str">
        <f>INDEX('EPA land and ag calcs'!$G$7:$G$14,MATCH('EPA land and ag potential'!E73,'EPA land and ag calcs'!$A$7:$A$15,0))</f>
        <v>*handled in agriculture files</v>
      </c>
    </row>
    <row r="74" spans="1:11" x14ac:dyDescent="0.75">
      <c r="A74" s="59" t="s">
        <v>295</v>
      </c>
      <c r="B74" s="59" t="s">
        <v>296</v>
      </c>
      <c r="C74" s="59">
        <v>2035</v>
      </c>
      <c r="D74" s="59" t="s">
        <v>297</v>
      </c>
      <c r="E74" s="59" t="s">
        <v>310</v>
      </c>
      <c r="F74" s="59" t="s">
        <v>299</v>
      </c>
      <c r="G74" s="59" t="s">
        <v>300</v>
      </c>
      <c r="H74" s="59">
        <v>-28.6</v>
      </c>
      <c r="I74" s="59" t="s">
        <v>301</v>
      </c>
      <c r="K74" s="59" t="str">
        <f>INDEX('EPA land and ag calcs'!$G$7:$G$14,MATCH('EPA land and ag potential'!E74,'EPA land and ag calcs'!$A$7:$A$15,0))</f>
        <v>*handled in agriculture files</v>
      </c>
    </row>
    <row r="75" spans="1:11" x14ac:dyDescent="0.75">
      <c r="A75" s="59" t="s">
        <v>295</v>
      </c>
      <c r="B75" s="59" t="s">
        <v>296</v>
      </c>
      <c r="C75" s="59">
        <v>2045</v>
      </c>
      <c r="D75" s="59" t="s">
        <v>297</v>
      </c>
      <c r="E75" s="59" t="s">
        <v>310</v>
      </c>
      <c r="F75" s="59" t="s">
        <v>299</v>
      </c>
      <c r="G75" s="59" t="s">
        <v>300</v>
      </c>
      <c r="H75" s="59">
        <v>-36.299999999999997</v>
      </c>
      <c r="I75" s="59" t="s">
        <v>301</v>
      </c>
      <c r="K75" s="59" t="str">
        <f>INDEX('EPA land and ag calcs'!$G$7:$G$14,MATCH('EPA land and ag potential'!E75,'EPA land and ag calcs'!$A$7:$A$15,0))</f>
        <v>*handled in agriculture files</v>
      </c>
    </row>
    <row r="76" spans="1:11" x14ac:dyDescent="0.75">
      <c r="A76" s="59" t="s">
        <v>295</v>
      </c>
      <c r="B76" s="59" t="s">
        <v>296</v>
      </c>
      <c r="C76" s="59">
        <v>2055</v>
      </c>
      <c r="D76" s="59" t="s">
        <v>297</v>
      </c>
      <c r="E76" s="59" t="s">
        <v>310</v>
      </c>
      <c r="F76" s="59" t="s">
        <v>299</v>
      </c>
      <c r="G76" s="59" t="s">
        <v>300</v>
      </c>
      <c r="H76" s="59">
        <v>-45.2</v>
      </c>
      <c r="I76" s="59" t="s">
        <v>301</v>
      </c>
      <c r="K76" s="59" t="str">
        <f>INDEX('EPA land and ag calcs'!$G$7:$G$14,MATCH('EPA land and ag potential'!E76,'EPA land and ag calcs'!$A$7:$A$15,0))</f>
        <v>*handled in agriculture files</v>
      </c>
    </row>
    <row r="77" spans="1:11" hidden="1" x14ac:dyDescent="0.75">
      <c r="A77" s="59" t="s">
        <v>295</v>
      </c>
      <c r="B77" s="59" t="s">
        <v>296</v>
      </c>
      <c r="C77" s="59">
        <v>2025</v>
      </c>
      <c r="D77" s="59" t="s">
        <v>297</v>
      </c>
      <c r="E77" s="59" t="s">
        <v>310</v>
      </c>
      <c r="F77" s="59" t="s">
        <v>302</v>
      </c>
      <c r="G77" s="59" t="s">
        <v>300</v>
      </c>
      <c r="H77" s="59">
        <v>-15.5</v>
      </c>
      <c r="I77" s="59" t="s">
        <v>301</v>
      </c>
    </row>
    <row r="78" spans="1:11" hidden="1" x14ac:dyDescent="0.75">
      <c r="A78" s="59" t="s">
        <v>295</v>
      </c>
      <c r="B78" s="59" t="s">
        <v>296</v>
      </c>
      <c r="C78" s="59">
        <v>2035</v>
      </c>
      <c r="D78" s="59" t="s">
        <v>297</v>
      </c>
      <c r="E78" s="59" t="s">
        <v>310</v>
      </c>
      <c r="F78" s="59" t="s">
        <v>302</v>
      </c>
      <c r="G78" s="59" t="s">
        <v>300</v>
      </c>
      <c r="H78" s="59">
        <v>-21.9</v>
      </c>
      <c r="I78" s="59" t="s">
        <v>301</v>
      </c>
    </row>
    <row r="79" spans="1:11" hidden="1" x14ac:dyDescent="0.75">
      <c r="A79" s="59" t="s">
        <v>295</v>
      </c>
      <c r="B79" s="59" t="s">
        <v>296</v>
      </c>
      <c r="C79" s="59">
        <v>2045</v>
      </c>
      <c r="D79" s="59" t="s">
        <v>297</v>
      </c>
      <c r="E79" s="59" t="s">
        <v>310</v>
      </c>
      <c r="F79" s="59" t="s">
        <v>302</v>
      </c>
      <c r="G79" s="59" t="s">
        <v>300</v>
      </c>
      <c r="H79" s="59">
        <v>-29.7</v>
      </c>
      <c r="I79" s="59" t="s">
        <v>301</v>
      </c>
    </row>
    <row r="80" spans="1:11" hidden="1" x14ac:dyDescent="0.75">
      <c r="A80" s="59" t="s">
        <v>295</v>
      </c>
      <c r="B80" s="59" t="s">
        <v>296</v>
      </c>
      <c r="C80" s="59">
        <v>2055</v>
      </c>
      <c r="D80" s="59" t="s">
        <v>297</v>
      </c>
      <c r="E80" s="59" t="s">
        <v>310</v>
      </c>
      <c r="F80" s="59" t="s">
        <v>302</v>
      </c>
      <c r="G80" s="59" t="s">
        <v>300</v>
      </c>
      <c r="H80" s="59">
        <v>-33.799999999999997</v>
      </c>
      <c r="I80" s="59" t="s">
        <v>301</v>
      </c>
    </row>
    <row r="81" spans="1:11" x14ac:dyDescent="0.75">
      <c r="A81" s="59" t="s">
        <v>295</v>
      </c>
      <c r="B81" s="59" t="s">
        <v>296</v>
      </c>
      <c r="C81" s="59">
        <v>2025</v>
      </c>
      <c r="D81" s="59" t="s">
        <v>297</v>
      </c>
      <c r="E81" s="59" t="s">
        <v>310</v>
      </c>
      <c r="F81" s="59" t="s">
        <v>299</v>
      </c>
      <c r="G81" s="59" t="s">
        <v>303</v>
      </c>
      <c r="H81" s="59">
        <v>-0.5</v>
      </c>
      <c r="I81" s="59" t="s">
        <v>301</v>
      </c>
      <c r="K81" s="59" t="str">
        <f>INDEX('EPA land and ag calcs'!$G$7:$G$14,MATCH('EPA land and ag potential'!E81,'EPA land and ag calcs'!$A$7:$A$15,0))</f>
        <v>*handled in agriculture files</v>
      </c>
    </row>
    <row r="82" spans="1:11" x14ac:dyDescent="0.75">
      <c r="A82" s="59" t="s">
        <v>295</v>
      </c>
      <c r="B82" s="59" t="s">
        <v>296</v>
      </c>
      <c r="C82" s="59">
        <v>2035</v>
      </c>
      <c r="D82" s="59" t="s">
        <v>297</v>
      </c>
      <c r="E82" s="59" t="s">
        <v>310</v>
      </c>
      <c r="F82" s="59" t="s">
        <v>299</v>
      </c>
      <c r="G82" s="59" t="s">
        <v>303</v>
      </c>
      <c r="H82" s="59">
        <v>-1</v>
      </c>
      <c r="I82" s="59" t="s">
        <v>301</v>
      </c>
      <c r="K82" s="59" t="str">
        <f>INDEX('EPA land and ag calcs'!$G$7:$G$14,MATCH('EPA land and ag potential'!E82,'EPA land and ag calcs'!$A$7:$A$15,0))</f>
        <v>*handled in agriculture files</v>
      </c>
    </row>
    <row r="83" spans="1:11" hidden="1" x14ac:dyDescent="0.75">
      <c r="A83" s="59" t="s">
        <v>295</v>
      </c>
      <c r="B83" s="59" t="s">
        <v>311</v>
      </c>
      <c r="C83" s="59">
        <v>2025</v>
      </c>
      <c r="D83" s="59" t="s">
        <v>297</v>
      </c>
      <c r="E83" s="59" t="s">
        <v>259</v>
      </c>
      <c r="F83" s="59" t="s">
        <v>302</v>
      </c>
      <c r="G83" s="59" t="s">
        <v>312</v>
      </c>
      <c r="H83" s="59">
        <v>-232.1</v>
      </c>
      <c r="I83" s="59" t="s">
        <v>301</v>
      </c>
    </row>
    <row r="84" spans="1:11" hidden="1" x14ac:dyDescent="0.75">
      <c r="A84" s="59" t="s">
        <v>295</v>
      </c>
      <c r="B84" s="59" t="s">
        <v>311</v>
      </c>
      <c r="C84" s="59">
        <v>2025</v>
      </c>
      <c r="D84" s="59" t="s">
        <v>297</v>
      </c>
      <c r="E84" s="59" t="s">
        <v>259</v>
      </c>
      <c r="F84" s="59" t="s">
        <v>302</v>
      </c>
      <c r="G84" s="59" t="s">
        <v>313</v>
      </c>
      <c r="H84" s="59">
        <v>-77.8</v>
      </c>
      <c r="I84" s="59" t="s">
        <v>301</v>
      </c>
    </row>
    <row r="85" spans="1:11" hidden="1" x14ac:dyDescent="0.75">
      <c r="A85" s="59" t="s">
        <v>295</v>
      </c>
      <c r="B85" s="59" t="s">
        <v>311</v>
      </c>
      <c r="C85" s="59">
        <v>2025</v>
      </c>
      <c r="D85" s="59" t="s">
        <v>297</v>
      </c>
      <c r="E85" s="59" t="s">
        <v>259</v>
      </c>
      <c r="F85" s="59" t="s">
        <v>302</v>
      </c>
      <c r="G85" s="59" t="s">
        <v>314</v>
      </c>
      <c r="H85" s="59">
        <v>-114.7</v>
      </c>
      <c r="I85" s="59" t="s">
        <v>301</v>
      </c>
    </row>
    <row r="86" spans="1:11" hidden="1" x14ac:dyDescent="0.75">
      <c r="A86" s="59" t="s">
        <v>295</v>
      </c>
      <c r="B86" s="59" t="s">
        <v>311</v>
      </c>
      <c r="C86" s="59">
        <v>2025</v>
      </c>
      <c r="D86" s="59" t="s">
        <v>297</v>
      </c>
      <c r="E86" s="59" t="s">
        <v>259</v>
      </c>
      <c r="F86" s="59" t="s">
        <v>302</v>
      </c>
      <c r="G86" s="59" t="s">
        <v>303</v>
      </c>
      <c r="H86" s="59">
        <v>-30.5</v>
      </c>
      <c r="I86" s="59" t="s">
        <v>301</v>
      </c>
    </row>
    <row r="87" spans="1:11" hidden="1" x14ac:dyDescent="0.75">
      <c r="A87" s="59" t="s">
        <v>295</v>
      </c>
      <c r="B87" s="59" t="s">
        <v>311</v>
      </c>
      <c r="C87" s="59">
        <v>2025</v>
      </c>
      <c r="D87" s="59" t="s">
        <v>297</v>
      </c>
      <c r="E87" s="59" t="s">
        <v>259</v>
      </c>
      <c r="F87" s="59" t="s">
        <v>302</v>
      </c>
      <c r="G87" s="59" t="s">
        <v>300</v>
      </c>
      <c r="H87" s="59">
        <v>-169.8</v>
      </c>
      <c r="I87" s="59" t="s">
        <v>301</v>
      </c>
    </row>
    <row r="88" spans="1:11" x14ac:dyDescent="0.75">
      <c r="A88" s="59" t="s">
        <v>295</v>
      </c>
      <c r="B88" s="59" t="s">
        <v>311</v>
      </c>
      <c r="C88" s="59">
        <v>2025</v>
      </c>
      <c r="D88" s="59" t="s">
        <v>297</v>
      </c>
      <c r="E88" s="59" t="s">
        <v>259</v>
      </c>
      <c r="F88" s="59" t="s">
        <v>299</v>
      </c>
      <c r="G88" s="59" t="s">
        <v>312</v>
      </c>
      <c r="H88" s="59">
        <v>-96.9</v>
      </c>
      <c r="I88" s="59" t="s">
        <v>301</v>
      </c>
      <c r="K88" s="59" t="e">
        <f>INDEX('EPA land and ag calcs'!$G$7:$G$14,MATCH('EPA land and ag potential'!E88,'EPA land and ag calcs'!$A$7:$A$15,0))</f>
        <v>#REF!</v>
      </c>
    </row>
    <row r="89" spans="1:11" x14ac:dyDescent="0.75">
      <c r="A89" s="59" t="s">
        <v>295</v>
      </c>
      <c r="B89" s="59" t="s">
        <v>311</v>
      </c>
      <c r="C89" s="59">
        <v>2025</v>
      </c>
      <c r="D89" s="59" t="s">
        <v>297</v>
      </c>
      <c r="E89" s="59" t="s">
        <v>259</v>
      </c>
      <c r="F89" s="59" t="s">
        <v>299</v>
      </c>
      <c r="G89" s="59" t="s">
        <v>313</v>
      </c>
      <c r="H89" s="59">
        <v>-5.7</v>
      </c>
      <c r="I89" s="59" t="s">
        <v>301</v>
      </c>
      <c r="K89" s="59" t="e">
        <f>INDEX('EPA land and ag calcs'!$G$7:$G$14,MATCH('EPA land and ag potential'!E89,'EPA land and ag calcs'!$A$7:$A$15,0))</f>
        <v>#REF!</v>
      </c>
    </row>
    <row r="90" spans="1:11" x14ac:dyDescent="0.75">
      <c r="A90" s="59" t="s">
        <v>295</v>
      </c>
      <c r="B90" s="59" t="s">
        <v>311</v>
      </c>
      <c r="C90" s="59">
        <v>2025</v>
      </c>
      <c r="D90" s="59" t="s">
        <v>297</v>
      </c>
      <c r="E90" s="59" t="s">
        <v>259</v>
      </c>
      <c r="F90" s="59" t="s">
        <v>299</v>
      </c>
      <c r="G90" s="59" t="s">
        <v>314</v>
      </c>
      <c r="H90" s="59">
        <v>-6.6</v>
      </c>
      <c r="I90" s="59" t="s">
        <v>301</v>
      </c>
      <c r="K90" s="59" t="e">
        <f>INDEX('EPA land and ag calcs'!$G$7:$G$14,MATCH('EPA land and ag potential'!E90,'EPA land and ag calcs'!$A$7:$A$15,0))</f>
        <v>#REF!</v>
      </c>
    </row>
    <row r="91" spans="1:11" x14ac:dyDescent="0.75">
      <c r="A91" s="59" t="s">
        <v>295</v>
      </c>
      <c r="B91" s="59" t="s">
        <v>311</v>
      </c>
      <c r="C91" s="59">
        <v>2025</v>
      </c>
      <c r="D91" s="59" t="s">
        <v>297</v>
      </c>
      <c r="E91" s="59" t="s">
        <v>259</v>
      </c>
      <c r="F91" s="59" t="s">
        <v>299</v>
      </c>
      <c r="G91" s="59" t="s">
        <v>303</v>
      </c>
      <c r="H91" s="59">
        <v>8.3000000000000007</v>
      </c>
      <c r="I91" s="59" t="s">
        <v>301</v>
      </c>
      <c r="K91" s="59" t="e">
        <f>INDEX('EPA land and ag calcs'!$G$7:$G$14,MATCH('EPA land and ag potential'!E91,'EPA land and ag calcs'!$A$7:$A$15,0))</f>
        <v>#REF!</v>
      </c>
    </row>
    <row r="92" spans="1:11" x14ac:dyDescent="0.75">
      <c r="A92" s="59" t="s">
        <v>295</v>
      </c>
      <c r="B92" s="59" t="s">
        <v>311</v>
      </c>
      <c r="C92" s="59">
        <v>2025</v>
      </c>
      <c r="D92" s="59" t="s">
        <v>297</v>
      </c>
      <c r="E92" s="59" t="s">
        <v>259</v>
      </c>
      <c r="F92" s="59" t="s">
        <v>299</v>
      </c>
      <c r="G92" s="59" t="s">
        <v>300</v>
      </c>
      <c r="H92" s="59">
        <v>-62.9</v>
      </c>
      <c r="I92" s="59" t="s">
        <v>301</v>
      </c>
      <c r="K92" s="59" t="e">
        <f>INDEX('EPA land and ag calcs'!$G$7:$G$14,MATCH('EPA land and ag potential'!E92,'EPA land and ag calcs'!$A$7:$A$15,0))</f>
        <v>#REF!</v>
      </c>
    </row>
    <row r="93" spans="1:11" hidden="1" x14ac:dyDescent="0.75">
      <c r="A93" s="59" t="s">
        <v>295</v>
      </c>
      <c r="B93" s="59" t="s">
        <v>296</v>
      </c>
      <c r="C93" s="59">
        <v>2025</v>
      </c>
      <c r="D93" s="59" t="s">
        <v>315</v>
      </c>
      <c r="E93" s="59" t="s">
        <v>298</v>
      </c>
      <c r="F93" s="59" t="s">
        <v>299</v>
      </c>
      <c r="G93" s="59" t="s">
        <v>300</v>
      </c>
      <c r="H93" s="59">
        <v>-12.7</v>
      </c>
      <c r="I93" s="59" t="s">
        <v>301</v>
      </c>
    </row>
    <row r="94" spans="1:11" hidden="1" x14ac:dyDescent="0.75">
      <c r="A94" s="59" t="s">
        <v>295</v>
      </c>
      <c r="B94" s="59" t="s">
        <v>296</v>
      </c>
      <c r="C94" s="59">
        <v>2035</v>
      </c>
      <c r="D94" s="59" t="s">
        <v>315</v>
      </c>
      <c r="E94" s="59" t="s">
        <v>298</v>
      </c>
      <c r="F94" s="59" t="s">
        <v>299</v>
      </c>
      <c r="G94" s="59" t="s">
        <v>300</v>
      </c>
      <c r="H94" s="59">
        <v>-8.8000000000000007</v>
      </c>
      <c r="I94" s="59" t="s">
        <v>301</v>
      </c>
    </row>
    <row r="95" spans="1:11" hidden="1" x14ac:dyDescent="0.75">
      <c r="A95" s="59" t="s">
        <v>295</v>
      </c>
      <c r="B95" s="59" t="s">
        <v>296</v>
      </c>
      <c r="C95" s="59">
        <v>2045</v>
      </c>
      <c r="D95" s="59" t="s">
        <v>315</v>
      </c>
      <c r="E95" s="59" t="s">
        <v>298</v>
      </c>
      <c r="F95" s="59" t="s">
        <v>299</v>
      </c>
      <c r="G95" s="59" t="s">
        <v>300</v>
      </c>
      <c r="H95" s="59">
        <v>-7.7</v>
      </c>
      <c r="I95" s="59" t="s">
        <v>301</v>
      </c>
    </row>
    <row r="96" spans="1:11" hidden="1" x14ac:dyDescent="0.75">
      <c r="A96" s="59" t="s">
        <v>295</v>
      </c>
      <c r="B96" s="59" t="s">
        <v>296</v>
      </c>
      <c r="C96" s="59">
        <v>2055</v>
      </c>
      <c r="D96" s="59" t="s">
        <v>315</v>
      </c>
      <c r="E96" s="59" t="s">
        <v>298</v>
      </c>
      <c r="F96" s="59" t="s">
        <v>299</v>
      </c>
      <c r="G96" s="59" t="s">
        <v>300</v>
      </c>
      <c r="H96" s="59">
        <v>-7.2</v>
      </c>
      <c r="I96" s="59" t="s">
        <v>301</v>
      </c>
    </row>
    <row r="97" spans="1:9" hidden="1" x14ac:dyDescent="0.75">
      <c r="A97" s="59" t="s">
        <v>295</v>
      </c>
      <c r="B97" s="59" t="s">
        <v>296</v>
      </c>
      <c r="C97" s="59">
        <v>2025</v>
      </c>
      <c r="D97" s="59" t="s">
        <v>315</v>
      </c>
      <c r="E97" s="59" t="s">
        <v>298</v>
      </c>
      <c r="F97" s="59" t="s">
        <v>302</v>
      </c>
      <c r="G97" s="59" t="s">
        <v>300</v>
      </c>
      <c r="H97" s="59">
        <v>-12.7</v>
      </c>
      <c r="I97" s="59" t="s">
        <v>301</v>
      </c>
    </row>
    <row r="98" spans="1:9" hidden="1" x14ac:dyDescent="0.75">
      <c r="A98" s="59" t="s">
        <v>295</v>
      </c>
      <c r="B98" s="59" t="s">
        <v>296</v>
      </c>
      <c r="C98" s="59">
        <v>2035</v>
      </c>
      <c r="D98" s="59" t="s">
        <v>315</v>
      </c>
      <c r="E98" s="59" t="s">
        <v>298</v>
      </c>
      <c r="F98" s="59" t="s">
        <v>302</v>
      </c>
      <c r="G98" s="59" t="s">
        <v>300</v>
      </c>
      <c r="H98" s="59">
        <v>-8.6999999999999993</v>
      </c>
      <c r="I98" s="59" t="s">
        <v>301</v>
      </c>
    </row>
    <row r="99" spans="1:9" hidden="1" x14ac:dyDescent="0.75">
      <c r="A99" s="59" t="s">
        <v>295</v>
      </c>
      <c r="B99" s="59" t="s">
        <v>296</v>
      </c>
      <c r="C99" s="59">
        <v>2045</v>
      </c>
      <c r="D99" s="59" t="s">
        <v>315</v>
      </c>
      <c r="E99" s="59" t="s">
        <v>298</v>
      </c>
      <c r="F99" s="59" t="s">
        <v>302</v>
      </c>
      <c r="G99" s="59" t="s">
        <v>300</v>
      </c>
      <c r="H99" s="59">
        <v>-7.7</v>
      </c>
      <c r="I99" s="59" t="s">
        <v>301</v>
      </c>
    </row>
    <row r="100" spans="1:9" hidden="1" x14ac:dyDescent="0.75">
      <c r="A100" s="59" t="s">
        <v>295</v>
      </c>
      <c r="B100" s="59" t="s">
        <v>296</v>
      </c>
      <c r="C100" s="59">
        <v>2055</v>
      </c>
      <c r="D100" s="59" t="s">
        <v>315</v>
      </c>
      <c r="E100" s="59" t="s">
        <v>298</v>
      </c>
      <c r="F100" s="59" t="s">
        <v>302</v>
      </c>
      <c r="G100" s="59" t="s">
        <v>300</v>
      </c>
      <c r="H100" s="59">
        <v>-7.1</v>
      </c>
      <c r="I100" s="59" t="s">
        <v>301</v>
      </c>
    </row>
    <row r="101" spans="1:9" hidden="1" x14ac:dyDescent="0.75">
      <c r="A101" s="59" t="s">
        <v>295</v>
      </c>
      <c r="B101" s="59" t="s">
        <v>296</v>
      </c>
      <c r="C101" s="59">
        <v>2025</v>
      </c>
      <c r="D101" s="59" t="s">
        <v>315</v>
      </c>
      <c r="E101" s="59" t="s">
        <v>298</v>
      </c>
      <c r="F101" s="59" t="s">
        <v>299</v>
      </c>
      <c r="G101" s="59" t="s">
        <v>303</v>
      </c>
      <c r="H101" s="59">
        <v>-11</v>
      </c>
      <c r="I101" s="59" t="s">
        <v>301</v>
      </c>
    </row>
    <row r="102" spans="1:9" hidden="1" x14ac:dyDescent="0.75">
      <c r="A102" s="59" t="s">
        <v>295</v>
      </c>
      <c r="B102" s="59" t="s">
        <v>296</v>
      </c>
      <c r="C102" s="59">
        <v>2035</v>
      </c>
      <c r="D102" s="59" t="s">
        <v>315</v>
      </c>
      <c r="E102" s="59" t="s">
        <v>298</v>
      </c>
      <c r="F102" s="59" t="s">
        <v>299</v>
      </c>
      <c r="G102" s="59" t="s">
        <v>303</v>
      </c>
      <c r="H102" s="59">
        <v>-7.3</v>
      </c>
      <c r="I102" s="59" t="s">
        <v>301</v>
      </c>
    </row>
    <row r="103" spans="1:9" hidden="1" x14ac:dyDescent="0.75">
      <c r="A103" s="59" t="s">
        <v>295</v>
      </c>
      <c r="B103" s="59" t="s">
        <v>296</v>
      </c>
      <c r="C103" s="59">
        <v>2045</v>
      </c>
      <c r="D103" s="59" t="s">
        <v>315</v>
      </c>
      <c r="E103" s="59" t="s">
        <v>298</v>
      </c>
      <c r="F103" s="59" t="s">
        <v>299</v>
      </c>
      <c r="G103" s="59" t="s">
        <v>303</v>
      </c>
      <c r="H103" s="59">
        <v>-6.2</v>
      </c>
      <c r="I103" s="59" t="s">
        <v>301</v>
      </c>
    </row>
    <row r="104" spans="1:9" hidden="1" x14ac:dyDescent="0.75">
      <c r="A104" s="59" t="s">
        <v>295</v>
      </c>
      <c r="B104" s="59" t="s">
        <v>296</v>
      </c>
      <c r="C104" s="59">
        <v>2055</v>
      </c>
      <c r="D104" s="59" t="s">
        <v>315</v>
      </c>
      <c r="E104" s="59" t="s">
        <v>298</v>
      </c>
      <c r="F104" s="59" t="s">
        <v>299</v>
      </c>
      <c r="G104" s="59" t="s">
        <v>303</v>
      </c>
      <c r="H104" s="59">
        <v>-5.8</v>
      </c>
      <c r="I104" s="59" t="s">
        <v>301</v>
      </c>
    </row>
    <row r="105" spans="1:9" hidden="1" x14ac:dyDescent="0.75">
      <c r="A105" s="59" t="s">
        <v>295</v>
      </c>
      <c r="B105" s="59" t="s">
        <v>296</v>
      </c>
      <c r="C105" s="59">
        <v>2025</v>
      </c>
      <c r="D105" s="59" t="s">
        <v>315</v>
      </c>
      <c r="E105" s="59" t="s">
        <v>298</v>
      </c>
      <c r="F105" s="59" t="s">
        <v>302</v>
      </c>
      <c r="G105" s="59" t="s">
        <v>303</v>
      </c>
      <c r="H105" s="59">
        <v>-11</v>
      </c>
      <c r="I105" s="59" t="s">
        <v>301</v>
      </c>
    </row>
    <row r="106" spans="1:9" hidden="1" x14ac:dyDescent="0.75">
      <c r="A106" s="59" t="s">
        <v>295</v>
      </c>
      <c r="B106" s="59" t="s">
        <v>296</v>
      </c>
      <c r="C106" s="59">
        <v>2035</v>
      </c>
      <c r="D106" s="59" t="s">
        <v>315</v>
      </c>
      <c r="E106" s="59" t="s">
        <v>298</v>
      </c>
      <c r="F106" s="59" t="s">
        <v>302</v>
      </c>
      <c r="G106" s="59" t="s">
        <v>303</v>
      </c>
      <c r="H106" s="59">
        <v>-7.3</v>
      </c>
      <c r="I106" s="59" t="s">
        <v>301</v>
      </c>
    </row>
    <row r="107" spans="1:9" hidden="1" x14ac:dyDescent="0.75">
      <c r="A107" s="59" t="s">
        <v>295</v>
      </c>
      <c r="B107" s="59" t="s">
        <v>296</v>
      </c>
      <c r="C107" s="59">
        <v>2045</v>
      </c>
      <c r="D107" s="59" t="s">
        <v>315</v>
      </c>
      <c r="E107" s="59" t="s">
        <v>298</v>
      </c>
      <c r="F107" s="59" t="s">
        <v>302</v>
      </c>
      <c r="G107" s="59" t="s">
        <v>303</v>
      </c>
      <c r="H107" s="59">
        <v>-5.9</v>
      </c>
      <c r="I107" s="59" t="s">
        <v>301</v>
      </c>
    </row>
    <row r="108" spans="1:9" hidden="1" x14ac:dyDescent="0.75">
      <c r="A108" s="59" t="s">
        <v>295</v>
      </c>
      <c r="B108" s="59" t="s">
        <v>296</v>
      </c>
      <c r="C108" s="59">
        <v>2055</v>
      </c>
      <c r="D108" s="59" t="s">
        <v>315</v>
      </c>
      <c r="E108" s="59" t="s">
        <v>298</v>
      </c>
      <c r="F108" s="59" t="s">
        <v>302</v>
      </c>
      <c r="G108" s="59" t="s">
        <v>303</v>
      </c>
      <c r="H108" s="59">
        <v>-5.3</v>
      </c>
      <c r="I108" s="59" t="s">
        <v>301</v>
      </c>
    </row>
    <row r="109" spans="1:9" hidden="1" x14ac:dyDescent="0.75">
      <c r="A109" s="59" t="s">
        <v>295</v>
      </c>
      <c r="B109" s="59" t="s">
        <v>296</v>
      </c>
      <c r="C109" s="59">
        <v>2025</v>
      </c>
      <c r="D109" s="59" t="s">
        <v>315</v>
      </c>
      <c r="E109" s="59" t="s">
        <v>298</v>
      </c>
      <c r="F109" s="59" t="s">
        <v>299</v>
      </c>
      <c r="G109" s="59" t="s">
        <v>314</v>
      </c>
      <c r="H109" s="59">
        <v>-12.1</v>
      </c>
      <c r="I109" s="59" t="s">
        <v>301</v>
      </c>
    </row>
    <row r="110" spans="1:9" hidden="1" x14ac:dyDescent="0.75">
      <c r="A110" s="59" t="s">
        <v>295</v>
      </c>
      <c r="B110" s="59" t="s">
        <v>296</v>
      </c>
      <c r="C110" s="59">
        <v>2035</v>
      </c>
      <c r="D110" s="59" t="s">
        <v>315</v>
      </c>
      <c r="E110" s="59" t="s">
        <v>298</v>
      </c>
      <c r="F110" s="59" t="s">
        <v>299</v>
      </c>
      <c r="G110" s="59" t="s">
        <v>314</v>
      </c>
      <c r="H110" s="59">
        <v>-8.3000000000000007</v>
      </c>
      <c r="I110" s="59" t="s">
        <v>301</v>
      </c>
    </row>
    <row r="111" spans="1:9" hidden="1" x14ac:dyDescent="0.75">
      <c r="A111" s="59" t="s">
        <v>295</v>
      </c>
      <c r="B111" s="59" t="s">
        <v>296</v>
      </c>
      <c r="C111" s="59">
        <v>2045</v>
      </c>
      <c r="D111" s="59" t="s">
        <v>315</v>
      </c>
      <c r="E111" s="59" t="s">
        <v>298</v>
      </c>
      <c r="F111" s="59" t="s">
        <v>299</v>
      </c>
      <c r="G111" s="59" t="s">
        <v>314</v>
      </c>
      <c r="H111" s="59">
        <v>-7.2</v>
      </c>
      <c r="I111" s="59" t="s">
        <v>301</v>
      </c>
    </row>
    <row r="112" spans="1:9" hidden="1" x14ac:dyDescent="0.75">
      <c r="A112" s="59" t="s">
        <v>295</v>
      </c>
      <c r="B112" s="59" t="s">
        <v>296</v>
      </c>
      <c r="C112" s="59">
        <v>2055</v>
      </c>
      <c r="D112" s="59" t="s">
        <v>315</v>
      </c>
      <c r="E112" s="59" t="s">
        <v>298</v>
      </c>
      <c r="F112" s="59" t="s">
        <v>299</v>
      </c>
      <c r="G112" s="59" t="s">
        <v>314</v>
      </c>
      <c r="H112" s="59">
        <v>-6.8</v>
      </c>
      <c r="I112" s="59" t="s">
        <v>301</v>
      </c>
    </row>
    <row r="113" spans="1:9" hidden="1" x14ac:dyDescent="0.75">
      <c r="A113" s="59" t="s">
        <v>295</v>
      </c>
      <c r="B113" s="59" t="s">
        <v>296</v>
      </c>
      <c r="C113" s="59">
        <v>2025</v>
      </c>
      <c r="D113" s="59" t="s">
        <v>315</v>
      </c>
      <c r="E113" s="59" t="s">
        <v>298</v>
      </c>
      <c r="F113" s="59" t="s">
        <v>302</v>
      </c>
      <c r="G113" s="59" t="s">
        <v>314</v>
      </c>
      <c r="H113" s="59">
        <v>-12.1</v>
      </c>
      <c r="I113" s="59" t="s">
        <v>301</v>
      </c>
    </row>
    <row r="114" spans="1:9" hidden="1" x14ac:dyDescent="0.75">
      <c r="A114" s="59" t="s">
        <v>295</v>
      </c>
      <c r="B114" s="59" t="s">
        <v>296</v>
      </c>
      <c r="C114" s="59">
        <v>2035</v>
      </c>
      <c r="D114" s="59" t="s">
        <v>315</v>
      </c>
      <c r="E114" s="59" t="s">
        <v>298</v>
      </c>
      <c r="F114" s="59" t="s">
        <v>302</v>
      </c>
      <c r="G114" s="59" t="s">
        <v>314</v>
      </c>
      <c r="H114" s="59">
        <v>-8</v>
      </c>
      <c r="I114" s="59" t="s">
        <v>301</v>
      </c>
    </row>
    <row r="115" spans="1:9" hidden="1" x14ac:dyDescent="0.75">
      <c r="A115" s="59" t="s">
        <v>295</v>
      </c>
      <c r="B115" s="59" t="s">
        <v>296</v>
      </c>
      <c r="C115" s="59">
        <v>2045</v>
      </c>
      <c r="D115" s="59" t="s">
        <v>315</v>
      </c>
      <c r="E115" s="59" t="s">
        <v>298</v>
      </c>
      <c r="F115" s="59" t="s">
        <v>302</v>
      </c>
      <c r="G115" s="59" t="s">
        <v>314</v>
      </c>
      <c r="H115" s="59">
        <v>-7</v>
      </c>
      <c r="I115" s="59" t="s">
        <v>301</v>
      </c>
    </row>
    <row r="116" spans="1:9" hidden="1" x14ac:dyDescent="0.75">
      <c r="A116" s="59" t="s">
        <v>295</v>
      </c>
      <c r="B116" s="59" t="s">
        <v>296</v>
      </c>
      <c r="C116" s="59">
        <v>2055</v>
      </c>
      <c r="D116" s="59" t="s">
        <v>315</v>
      </c>
      <c r="E116" s="59" t="s">
        <v>298</v>
      </c>
      <c r="F116" s="59" t="s">
        <v>302</v>
      </c>
      <c r="G116" s="59" t="s">
        <v>314</v>
      </c>
      <c r="H116" s="59">
        <v>-6.5</v>
      </c>
      <c r="I116" s="59" t="s">
        <v>301</v>
      </c>
    </row>
    <row r="117" spans="1:9" hidden="1" x14ac:dyDescent="0.75">
      <c r="A117" s="59" t="s">
        <v>295</v>
      </c>
      <c r="B117" s="59" t="s">
        <v>296</v>
      </c>
      <c r="C117" s="59">
        <v>2025</v>
      </c>
      <c r="D117" s="59" t="s">
        <v>315</v>
      </c>
      <c r="E117" s="59" t="s">
        <v>298</v>
      </c>
      <c r="F117" s="59" t="s">
        <v>299</v>
      </c>
      <c r="G117" s="59" t="s">
        <v>313</v>
      </c>
      <c r="H117" s="59">
        <v>-12</v>
      </c>
      <c r="I117" s="59" t="s">
        <v>301</v>
      </c>
    </row>
    <row r="118" spans="1:9" hidden="1" x14ac:dyDescent="0.75">
      <c r="A118" s="59" t="s">
        <v>295</v>
      </c>
      <c r="B118" s="59" t="s">
        <v>296</v>
      </c>
      <c r="C118" s="59">
        <v>2035</v>
      </c>
      <c r="D118" s="59" t="s">
        <v>315</v>
      </c>
      <c r="E118" s="59" t="s">
        <v>298</v>
      </c>
      <c r="F118" s="59" t="s">
        <v>299</v>
      </c>
      <c r="G118" s="59" t="s">
        <v>313</v>
      </c>
      <c r="H118" s="59">
        <v>-8</v>
      </c>
      <c r="I118" s="59" t="s">
        <v>301</v>
      </c>
    </row>
    <row r="119" spans="1:9" hidden="1" x14ac:dyDescent="0.75">
      <c r="A119" s="59" t="s">
        <v>295</v>
      </c>
      <c r="B119" s="59" t="s">
        <v>296</v>
      </c>
      <c r="C119" s="59">
        <v>2045</v>
      </c>
      <c r="D119" s="59" t="s">
        <v>315</v>
      </c>
      <c r="E119" s="59" t="s">
        <v>298</v>
      </c>
      <c r="F119" s="59" t="s">
        <v>299</v>
      </c>
      <c r="G119" s="59" t="s">
        <v>313</v>
      </c>
      <c r="H119" s="59">
        <v>-7</v>
      </c>
      <c r="I119" s="59" t="s">
        <v>301</v>
      </c>
    </row>
    <row r="120" spans="1:9" hidden="1" x14ac:dyDescent="0.75">
      <c r="A120" s="59" t="s">
        <v>295</v>
      </c>
      <c r="B120" s="59" t="s">
        <v>296</v>
      </c>
      <c r="C120" s="59">
        <v>2055</v>
      </c>
      <c r="D120" s="59" t="s">
        <v>315</v>
      </c>
      <c r="E120" s="59" t="s">
        <v>298</v>
      </c>
      <c r="F120" s="59" t="s">
        <v>299</v>
      </c>
      <c r="G120" s="59" t="s">
        <v>313</v>
      </c>
      <c r="H120" s="59">
        <v>-6.7</v>
      </c>
      <c r="I120" s="59" t="s">
        <v>301</v>
      </c>
    </row>
    <row r="121" spans="1:9" hidden="1" x14ac:dyDescent="0.75">
      <c r="A121" s="59" t="s">
        <v>295</v>
      </c>
      <c r="B121" s="59" t="s">
        <v>296</v>
      </c>
      <c r="C121" s="59">
        <v>2025</v>
      </c>
      <c r="D121" s="59" t="s">
        <v>315</v>
      </c>
      <c r="E121" s="59" t="s">
        <v>298</v>
      </c>
      <c r="F121" s="59" t="s">
        <v>302</v>
      </c>
      <c r="G121" s="59" t="s">
        <v>313</v>
      </c>
      <c r="H121" s="59">
        <v>-12</v>
      </c>
      <c r="I121" s="59" t="s">
        <v>301</v>
      </c>
    </row>
    <row r="122" spans="1:9" hidden="1" x14ac:dyDescent="0.75">
      <c r="A122" s="59" t="s">
        <v>295</v>
      </c>
      <c r="B122" s="59" t="s">
        <v>296</v>
      </c>
      <c r="C122" s="59">
        <v>2035</v>
      </c>
      <c r="D122" s="59" t="s">
        <v>315</v>
      </c>
      <c r="E122" s="59" t="s">
        <v>298</v>
      </c>
      <c r="F122" s="59" t="s">
        <v>302</v>
      </c>
      <c r="G122" s="59" t="s">
        <v>313</v>
      </c>
      <c r="H122" s="59">
        <v>-8</v>
      </c>
      <c r="I122" s="59" t="s">
        <v>301</v>
      </c>
    </row>
    <row r="123" spans="1:9" hidden="1" x14ac:dyDescent="0.75">
      <c r="A123" s="59" t="s">
        <v>295</v>
      </c>
      <c r="B123" s="59" t="s">
        <v>296</v>
      </c>
      <c r="C123" s="59">
        <v>2045</v>
      </c>
      <c r="D123" s="59" t="s">
        <v>315</v>
      </c>
      <c r="E123" s="59" t="s">
        <v>298</v>
      </c>
      <c r="F123" s="59" t="s">
        <v>302</v>
      </c>
      <c r="G123" s="59" t="s">
        <v>313</v>
      </c>
      <c r="H123" s="59">
        <v>-6.8</v>
      </c>
      <c r="I123" s="59" t="s">
        <v>301</v>
      </c>
    </row>
    <row r="124" spans="1:9" hidden="1" x14ac:dyDescent="0.75">
      <c r="A124" s="59" t="s">
        <v>295</v>
      </c>
      <c r="B124" s="59" t="s">
        <v>296</v>
      </c>
      <c r="C124" s="59">
        <v>2055</v>
      </c>
      <c r="D124" s="59" t="s">
        <v>315</v>
      </c>
      <c r="E124" s="59" t="s">
        <v>298</v>
      </c>
      <c r="F124" s="59" t="s">
        <v>302</v>
      </c>
      <c r="G124" s="59" t="s">
        <v>313</v>
      </c>
      <c r="H124" s="59">
        <v>-6.4</v>
      </c>
      <c r="I124" s="59" t="s">
        <v>301</v>
      </c>
    </row>
    <row r="125" spans="1:9" hidden="1" x14ac:dyDescent="0.75">
      <c r="A125" s="59" t="s">
        <v>295</v>
      </c>
      <c r="B125" s="59" t="s">
        <v>296</v>
      </c>
      <c r="C125" s="59">
        <v>2025</v>
      </c>
      <c r="D125" s="59" t="s">
        <v>315</v>
      </c>
      <c r="E125" s="59" t="s">
        <v>298</v>
      </c>
      <c r="F125" s="59" t="s">
        <v>299</v>
      </c>
      <c r="G125" s="59" t="s">
        <v>312</v>
      </c>
      <c r="H125" s="59">
        <v>-13.3</v>
      </c>
      <c r="I125" s="59" t="s">
        <v>301</v>
      </c>
    </row>
    <row r="126" spans="1:9" hidden="1" x14ac:dyDescent="0.75">
      <c r="A126" s="59" t="s">
        <v>295</v>
      </c>
      <c r="B126" s="59" t="s">
        <v>296</v>
      </c>
      <c r="C126" s="59">
        <v>2035</v>
      </c>
      <c r="D126" s="59" t="s">
        <v>315</v>
      </c>
      <c r="E126" s="59" t="s">
        <v>298</v>
      </c>
      <c r="F126" s="59" t="s">
        <v>299</v>
      </c>
      <c r="G126" s="59" t="s">
        <v>312</v>
      </c>
      <c r="H126" s="59">
        <v>-9.3000000000000007</v>
      </c>
      <c r="I126" s="59" t="s">
        <v>301</v>
      </c>
    </row>
    <row r="127" spans="1:9" hidden="1" x14ac:dyDescent="0.75">
      <c r="A127" s="59" t="s">
        <v>295</v>
      </c>
      <c r="B127" s="59" t="s">
        <v>296</v>
      </c>
      <c r="C127" s="59">
        <v>2045</v>
      </c>
      <c r="D127" s="59" t="s">
        <v>315</v>
      </c>
      <c r="E127" s="59" t="s">
        <v>298</v>
      </c>
      <c r="F127" s="59" t="s">
        <v>299</v>
      </c>
      <c r="G127" s="59" t="s">
        <v>312</v>
      </c>
      <c r="H127" s="59">
        <v>-7.9</v>
      </c>
      <c r="I127" s="59" t="s">
        <v>301</v>
      </c>
    </row>
    <row r="128" spans="1:9" hidden="1" x14ac:dyDescent="0.75">
      <c r="A128" s="59" t="s">
        <v>295</v>
      </c>
      <c r="B128" s="59" t="s">
        <v>296</v>
      </c>
      <c r="C128" s="59">
        <v>2055</v>
      </c>
      <c r="D128" s="59" t="s">
        <v>315</v>
      </c>
      <c r="E128" s="59" t="s">
        <v>298</v>
      </c>
      <c r="F128" s="59" t="s">
        <v>299</v>
      </c>
      <c r="G128" s="59" t="s">
        <v>312</v>
      </c>
      <c r="H128" s="59">
        <v>-7.3</v>
      </c>
      <c r="I128" s="59" t="s">
        <v>301</v>
      </c>
    </row>
    <row r="129" spans="1:9" hidden="1" x14ac:dyDescent="0.75">
      <c r="A129" s="59" t="s">
        <v>295</v>
      </c>
      <c r="B129" s="59" t="s">
        <v>296</v>
      </c>
      <c r="C129" s="59">
        <v>2025</v>
      </c>
      <c r="D129" s="59" t="s">
        <v>315</v>
      </c>
      <c r="E129" s="59" t="s">
        <v>298</v>
      </c>
      <c r="F129" s="59" t="s">
        <v>302</v>
      </c>
      <c r="G129" s="59" t="s">
        <v>312</v>
      </c>
      <c r="H129" s="59">
        <v>-13.3</v>
      </c>
      <c r="I129" s="59" t="s">
        <v>301</v>
      </c>
    </row>
    <row r="130" spans="1:9" hidden="1" x14ac:dyDescent="0.75">
      <c r="A130" s="59" t="s">
        <v>295</v>
      </c>
      <c r="B130" s="59" t="s">
        <v>296</v>
      </c>
      <c r="C130" s="59">
        <v>2035</v>
      </c>
      <c r="D130" s="59" t="s">
        <v>315</v>
      </c>
      <c r="E130" s="59" t="s">
        <v>298</v>
      </c>
      <c r="F130" s="59" t="s">
        <v>302</v>
      </c>
      <c r="G130" s="59" t="s">
        <v>312</v>
      </c>
      <c r="H130" s="59">
        <v>-9.1</v>
      </c>
      <c r="I130" s="59" t="s">
        <v>301</v>
      </c>
    </row>
    <row r="131" spans="1:9" hidden="1" x14ac:dyDescent="0.75">
      <c r="A131" s="59" t="s">
        <v>295</v>
      </c>
      <c r="B131" s="59" t="s">
        <v>296</v>
      </c>
      <c r="C131" s="59">
        <v>2045</v>
      </c>
      <c r="D131" s="59" t="s">
        <v>315</v>
      </c>
      <c r="E131" s="59" t="s">
        <v>298</v>
      </c>
      <c r="F131" s="59" t="s">
        <v>302</v>
      </c>
      <c r="G131" s="59" t="s">
        <v>312</v>
      </c>
      <c r="H131" s="59">
        <v>-7.7</v>
      </c>
      <c r="I131" s="59" t="s">
        <v>301</v>
      </c>
    </row>
    <row r="132" spans="1:9" hidden="1" x14ac:dyDescent="0.75">
      <c r="A132" s="59" t="s">
        <v>295</v>
      </c>
      <c r="B132" s="59" t="s">
        <v>296</v>
      </c>
      <c r="C132" s="59">
        <v>2055</v>
      </c>
      <c r="D132" s="59" t="s">
        <v>315</v>
      </c>
      <c r="E132" s="59" t="s">
        <v>298</v>
      </c>
      <c r="F132" s="59" t="s">
        <v>302</v>
      </c>
      <c r="G132" s="59" t="s">
        <v>312</v>
      </c>
      <c r="H132" s="59">
        <v>-7.1</v>
      </c>
      <c r="I132" s="59" t="s">
        <v>301</v>
      </c>
    </row>
    <row r="133" spans="1:9" hidden="1" x14ac:dyDescent="0.75">
      <c r="A133" s="59" t="s">
        <v>295</v>
      </c>
      <c r="B133" s="59" t="s">
        <v>296</v>
      </c>
      <c r="C133" s="59">
        <v>2025</v>
      </c>
      <c r="D133" s="59" t="s">
        <v>315</v>
      </c>
      <c r="E133" s="59" t="s">
        <v>304</v>
      </c>
      <c r="F133" s="59" t="s">
        <v>299</v>
      </c>
      <c r="G133" s="59" t="s">
        <v>300</v>
      </c>
      <c r="H133" s="59">
        <v>-17.2</v>
      </c>
      <c r="I133" s="59" t="s">
        <v>301</v>
      </c>
    </row>
    <row r="134" spans="1:9" hidden="1" x14ac:dyDescent="0.75">
      <c r="A134" s="59" t="s">
        <v>295</v>
      </c>
      <c r="B134" s="59" t="s">
        <v>296</v>
      </c>
      <c r="C134" s="59">
        <v>2035</v>
      </c>
      <c r="D134" s="59" t="s">
        <v>315</v>
      </c>
      <c r="E134" s="59" t="s">
        <v>304</v>
      </c>
      <c r="F134" s="59" t="s">
        <v>299</v>
      </c>
      <c r="G134" s="59" t="s">
        <v>300</v>
      </c>
      <c r="H134" s="59">
        <v>-21.7</v>
      </c>
      <c r="I134" s="59" t="s">
        <v>301</v>
      </c>
    </row>
    <row r="135" spans="1:9" hidden="1" x14ac:dyDescent="0.75">
      <c r="A135" s="59" t="s">
        <v>295</v>
      </c>
      <c r="B135" s="59" t="s">
        <v>296</v>
      </c>
      <c r="C135" s="59">
        <v>2045</v>
      </c>
      <c r="D135" s="59" t="s">
        <v>315</v>
      </c>
      <c r="E135" s="59" t="s">
        <v>304</v>
      </c>
      <c r="F135" s="59" t="s">
        <v>299</v>
      </c>
      <c r="G135" s="59" t="s">
        <v>300</v>
      </c>
      <c r="H135" s="59">
        <v>-28.7</v>
      </c>
      <c r="I135" s="59" t="s">
        <v>301</v>
      </c>
    </row>
    <row r="136" spans="1:9" hidden="1" x14ac:dyDescent="0.75">
      <c r="A136" s="59" t="s">
        <v>295</v>
      </c>
      <c r="B136" s="59" t="s">
        <v>296</v>
      </c>
      <c r="C136" s="59">
        <v>2055</v>
      </c>
      <c r="D136" s="59" t="s">
        <v>315</v>
      </c>
      <c r="E136" s="59" t="s">
        <v>304</v>
      </c>
      <c r="F136" s="59" t="s">
        <v>299</v>
      </c>
      <c r="G136" s="59" t="s">
        <v>300</v>
      </c>
      <c r="H136" s="59">
        <v>-37.700000000000003</v>
      </c>
      <c r="I136" s="59" t="s">
        <v>301</v>
      </c>
    </row>
    <row r="137" spans="1:9" hidden="1" x14ac:dyDescent="0.75">
      <c r="A137" s="59" t="s">
        <v>295</v>
      </c>
      <c r="B137" s="59" t="s">
        <v>296</v>
      </c>
      <c r="C137" s="59">
        <v>2025</v>
      </c>
      <c r="D137" s="59" t="s">
        <v>315</v>
      </c>
      <c r="E137" s="59" t="s">
        <v>304</v>
      </c>
      <c r="F137" s="59" t="s">
        <v>302</v>
      </c>
      <c r="G137" s="59" t="s">
        <v>300</v>
      </c>
      <c r="H137" s="59">
        <v>-17.2</v>
      </c>
      <c r="I137" s="59" t="s">
        <v>301</v>
      </c>
    </row>
    <row r="138" spans="1:9" hidden="1" x14ac:dyDescent="0.75">
      <c r="A138" s="59" t="s">
        <v>295</v>
      </c>
      <c r="B138" s="59" t="s">
        <v>296</v>
      </c>
      <c r="C138" s="59">
        <v>2035</v>
      </c>
      <c r="D138" s="59" t="s">
        <v>315</v>
      </c>
      <c r="E138" s="59" t="s">
        <v>304</v>
      </c>
      <c r="F138" s="59" t="s">
        <v>302</v>
      </c>
      <c r="G138" s="59" t="s">
        <v>300</v>
      </c>
      <c r="H138" s="59">
        <v>-21.2</v>
      </c>
      <c r="I138" s="59" t="s">
        <v>301</v>
      </c>
    </row>
    <row r="139" spans="1:9" hidden="1" x14ac:dyDescent="0.75">
      <c r="A139" s="59" t="s">
        <v>295</v>
      </c>
      <c r="B139" s="59" t="s">
        <v>296</v>
      </c>
      <c r="C139" s="59">
        <v>2045</v>
      </c>
      <c r="D139" s="59" t="s">
        <v>315</v>
      </c>
      <c r="E139" s="59" t="s">
        <v>304</v>
      </c>
      <c r="F139" s="59" t="s">
        <v>302</v>
      </c>
      <c r="G139" s="59" t="s">
        <v>300</v>
      </c>
      <c r="H139" s="59">
        <v>-25.6</v>
      </c>
      <c r="I139" s="59" t="s">
        <v>301</v>
      </c>
    </row>
    <row r="140" spans="1:9" hidden="1" x14ac:dyDescent="0.75">
      <c r="A140" s="59" t="s">
        <v>295</v>
      </c>
      <c r="B140" s="59" t="s">
        <v>296</v>
      </c>
      <c r="C140" s="59">
        <v>2055</v>
      </c>
      <c r="D140" s="59" t="s">
        <v>315</v>
      </c>
      <c r="E140" s="59" t="s">
        <v>304</v>
      </c>
      <c r="F140" s="59" t="s">
        <v>302</v>
      </c>
      <c r="G140" s="59" t="s">
        <v>300</v>
      </c>
      <c r="H140" s="59">
        <v>-30.8</v>
      </c>
      <c r="I140" s="59" t="s">
        <v>301</v>
      </c>
    </row>
    <row r="141" spans="1:9" hidden="1" x14ac:dyDescent="0.75">
      <c r="A141" s="59" t="s">
        <v>295</v>
      </c>
      <c r="B141" s="59" t="s">
        <v>296</v>
      </c>
      <c r="C141" s="59">
        <v>2025</v>
      </c>
      <c r="D141" s="59" t="s">
        <v>315</v>
      </c>
      <c r="E141" s="59" t="s">
        <v>304</v>
      </c>
      <c r="F141" s="59" t="s">
        <v>299</v>
      </c>
      <c r="G141" s="59" t="s">
        <v>303</v>
      </c>
      <c r="H141" s="59">
        <v>-8.8000000000000007</v>
      </c>
      <c r="I141" s="59" t="s">
        <v>301</v>
      </c>
    </row>
    <row r="142" spans="1:9" hidden="1" x14ac:dyDescent="0.75">
      <c r="A142" s="59" t="s">
        <v>295</v>
      </c>
      <c r="B142" s="59" t="s">
        <v>296</v>
      </c>
      <c r="C142" s="59">
        <v>2035</v>
      </c>
      <c r="D142" s="59" t="s">
        <v>315</v>
      </c>
      <c r="E142" s="59" t="s">
        <v>304</v>
      </c>
      <c r="F142" s="59" t="s">
        <v>299</v>
      </c>
      <c r="G142" s="59" t="s">
        <v>303</v>
      </c>
      <c r="H142" s="59">
        <v>-10.7</v>
      </c>
      <c r="I142" s="59" t="s">
        <v>301</v>
      </c>
    </row>
    <row r="143" spans="1:9" hidden="1" x14ac:dyDescent="0.75">
      <c r="A143" s="59" t="s">
        <v>295</v>
      </c>
      <c r="B143" s="59" t="s">
        <v>311</v>
      </c>
      <c r="C143" s="59">
        <v>2025</v>
      </c>
      <c r="D143" s="59" t="s">
        <v>315</v>
      </c>
      <c r="E143" s="59" t="s">
        <v>259</v>
      </c>
      <c r="F143" s="59" t="s">
        <v>299</v>
      </c>
      <c r="G143" s="59" t="s">
        <v>312</v>
      </c>
      <c r="H143" s="59">
        <v>-85.6</v>
      </c>
      <c r="I143" s="59" t="s">
        <v>301</v>
      </c>
    </row>
    <row r="144" spans="1:9" hidden="1" x14ac:dyDescent="0.75">
      <c r="A144" s="59" t="s">
        <v>295</v>
      </c>
      <c r="B144" s="59" t="s">
        <v>311</v>
      </c>
      <c r="C144" s="59">
        <v>2025</v>
      </c>
      <c r="D144" s="59" t="s">
        <v>315</v>
      </c>
      <c r="E144" s="59" t="s">
        <v>259</v>
      </c>
      <c r="F144" s="59" t="s">
        <v>302</v>
      </c>
      <c r="G144" s="59" t="s">
        <v>313</v>
      </c>
      <c r="H144" s="59">
        <v>-46</v>
      </c>
      <c r="I144" s="59" t="s">
        <v>301</v>
      </c>
    </row>
    <row r="145" spans="1:11" hidden="1" x14ac:dyDescent="0.75">
      <c r="A145" s="59" t="s">
        <v>295</v>
      </c>
      <c r="B145" s="59" t="s">
        <v>311</v>
      </c>
      <c r="C145" s="59">
        <v>2025</v>
      </c>
      <c r="D145" s="59" t="s">
        <v>315</v>
      </c>
      <c r="E145" s="59" t="s">
        <v>259</v>
      </c>
      <c r="F145" s="59" t="s">
        <v>302</v>
      </c>
      <c r="G145" s="59" t="s">
        <v>314</v>
      </c>
      <c r="H145" s="59">
        <v>-53.7</v>
      </c>
      <c r="I145" s="59" t="s">
        <v>301</v>
      </c>
    </row>
    <row r="146" spans="1:11" hidden="1" x14ac:dyDescent="0.75">
      <c r="A146" s="59" t="s">
        <v>295</v>
      </c>
      <c r="B146" s="59" t="s">
        <v>311</v>
      </c>
      <c r="C146" s="59">
        <v>2025</v>
      </c>
      <c r="D146" s="59" t="s">
        <v>315</v>
      </c>
      <c r="E146" s="59" t="s">
        <v>259</v>
      </c>
      <c r="F146" s="59" t="s">
        <v>302</v>
      </c>
      <c r="G146" s="59" t="s">
        <v>303</v>
      </c>
      <c r="H146" s="59">
        <v>-22.7</v>
      </c>
      <c r="I146" s="59" t="s">
        <v>301</v>
      </c>
    </row>
    <row r="147" spans="1:11" hidden="1" x14ac:dyDescent="0.75">
      <c r="A147" s="59" t="s">
        <v>295</v>
      </c>
      <c r="B147" s="59" t="s">
        <v>311</v>
      </c>
      <c r="C147" s="59">
        <v>2025</v>
      </c>
      <c r="D147" s="59" t="s">
        <v>315</v>
      </c>
      <c r="E147" s="59" t="s">
        <v>259</v>
      </c>
      <c r="F147" s="59" t="s">
        <v>302</v>
      </c>
      <c r="G147" s="59" t="s">
        <v>300</v>
      </c>
      <c r="H147" s="59">
        <v>-65.8</v>
      </c>
      <c r="I147" s="59" t="s">
        <v>301</v>
      </c>
    </row>
    <row r="148" spans="1:11" hidden="1" x14ac:dyDescent="0.75">
      <c r="A148" s="59" t="s">
        <v>295</v>
      </c>
      <c r="B148" s="59" t="s">
        <v>311</v>
      </c>
      <c r="C148" s="59">
        <v>2035</v>
      </c>
      <c r="D148" s="59" t="s">
        <v>315</v>
      </c>
      <c r="E148" s="59" t="s">
        <v>259</v>
      </c>
      <c r="F148" s="59" t="s">
        <v>299</v>
      </c>
      <c r="G148" s="59" t="s">
        <v>312</v>
      </c>
      <c r="H148" s="59">
        <v>-207.9</v>
      </c>
      <c r="I148" s="59" t="s">
        <v>301</v>
      </c>
    </row>
    <row r="149" spans="1:11" hidden="1" x14ac:dyDescent="0.75">
      <c r="A149" s="59" t="s">
        <v>295</v>
      </c>
      <c r="B149" s="59" t="s">
        <v>311</v>
      </c>
      <c r="C149" s="59">
        <v>2025</v>
      </c>
      <c r="D149" s="59" t="s">
        <v>315</v>
      </c>
      <c r="E149" s="59" t="s">
        <v>259</v>
      </c>
      <c r="F149" s="59" t="s">
        <v>299</v>
      </c>
      <c r="G149" s="59" t="s">
        <v>313</v>
      </c>
      <c r="H149" s="59">
        <v>-46</v>
      </c>
      <c r="I149" s="59" t="s">
        <v>301</v>
      </c>
    </row>
    <row r="150" spans="1:11" hidden="1" x14ac:dyDescent="0.75">
      <c r="A150" s="59" t="s">
        <v>295</v>
      </c>
      <c r="B150" s="59" t="s">
        <v>311</v>
      </c>
      <c r="C150" s="59">
        <v>2025</v>
      </c>
      <c r="D150" s="59" t="s">
        <v>315</v>
      </c>
      <c r="E150" s="59" t="s">
        <v>259</v>
      </c>
      <c r="F150" s="59" t="s">
        <v>299</v>
      </c>
      <c r="G150" s="59" t="s">
        <v>314</v>
      </c>
      <c r="H150" s="59">
        <v>-53.7</v>
      </c>
      <c r="I150" s="59" t="s">
        <v>301</v>
      </c>
    </row>
    <row r="151" spans="1:11" hidden="1" x14ac:dyDescent="0.75">
      <c r="A151" s="59" t="s">
        <v>295</v>
      </c>
      <c r="B151" s="59" t="s">
        <v>311</v>
      </c>
      <c r="C151" s="59">
        <v>2025</v>
      </c>
      <c r="D151" s="59" t="s">
        <v>315</v>
      </c>
      <c r="E151" s="59" t="s">
        <v>259</v>
      </c>
      <c r="F151" s="59" t="s">
        <v>299</v>
      </c>
      <c r="G151" s="59" t="s">
        <v>303</v>
      </c>
      <c r="H151" s="59">
        <v>-22.7</v>
      </c>
      <c r="I151" s="59" t="s">
        <v>301</v>
      </c>
    </row>
    <row r="152" spans="1:11" hidden="1" x14ac:dyDescent="0.75">
      <c r="A152" s="59" t="s">
        <v>295</v>
      </c>
      <c r="B152" s="59" t="s">
        <v>311</v>
      </c>
      <c r="C152" s="59">
        <v>2025</v>
      </c>
      <c r="D152" s="59" t="s">
        <v>315</v>
      </c>
      <c r="E152" s="59" t="s">
        <v>259</v>
      </c>
      <c r="F152" s="59" t="s">
        <v>299</v>
      </c>
      <c r="G152" s="59" t="s">
        <v>300</v>
      </c>
      <c r="H152" s="59">
        <v>-65.8</v>
      </c>
      <c r="I152" s="59" t="s">
        <v>301</v>
      </c>
    </row>
    <row r="153" spans="1:11" x14ac:dyDescent="0.75">
      <c r="A153" s="59" t="s">
        <v>295</v>
      </c>
      <c r="B153" s="59" t="s">
        <v>296</v>
      </c>
      <c r="C153" s="59">
        <v>2045</v>
      </c>
      <c r="D153" s="59" t="s">
        <v>297</v>
      </c>
      <c r="E153" s="59" t="s">
        <v>298</v>
      </c>
      <c r="F153" s="59" t="s">
        <v>299</v>
      </c>
      <c r="G153" s="59" t="s">
        <v>303</v>
      </c>
      <c r="H153" s="59">
        <v>32.5</v>
      </c>
      <c r="I153" s="59" t="s">
        <v>301</v>
      </c>
      <c r="K153" s="59" t="str">
        <f>INDEX('EPA land and ag calcs'!$G$7:$G$14,MATCH('EPA land and ag potential'!E153,'EPA land and ag calcs'!$A$7:$A$15,0))</f>
        <v>afforestation and reforestation</v>
      </c>
    </row>
    <row r="154" spans="1:11" x14ac:dyDescent="0.75">
      <c r="A154" s="59" t="s">
        <v>295</v>
      </c>
      <c r="B154" s="59" t="s">
        <v>296</v>
      </c>
      <c r="C154" s="59">
        <v>2055</v>
      </c>
      <c r="D154" s="59" t="s">
        <v>297</v>
      </c>
      <c r="E154" s="59" t="s">
        <v>298</v>
      </c>
      <c r="F154" s="59" t="s">
        <v>299</v>
      </c>
      <c r="G154" s="59" t="s">
        <v>303</v>
      </c>
      <c r="H154" s="59">
        <v>21.9</v>
      </c>
      <c r="I154" s="59" t="s">
        <v>301</v>
      </c>
      <c r="K154" s="59" t="str">
        <f>INDEX('EPA land and ag calcs'!$G$7:$G$14,MATCH('EPA land and ag potential'!E154,'EPA land and ag calcs'!$A$7:$A$15,0))</f>
        <v>afforestation and reforestation</v>
      </c>
    </row>
    <row r="155" spans="1:11" hidden="1" x14ac:dyDescent="0.75">
      <c r="A155" s="59" t="s">
        <v>295</v>
      </c>
      <c r="B155" s="59" t="s">
        <v>296</v>
      </c>
      <c r="C155" s="59">
        <v>2025</v>
      </c>
      <c r="D155" s="59" t="s">
        <v>297</v>
      </c>
      <c r="E155" s="59" t="s">
        <v>298</v>
      </c>
      <c r="F155" s="59" t="s">
        <v>302</v>
      </c>
      <c r="G155" s="59" t="s">
        <v>303</v>
      </c>
      <c r="H155" s="59">
        <v>-4.7</v>
      </c>
      <c r="I155" s="59" t="s">
        <v>301</v>
      </c>
    </row>
    <row r="156" spans="1:11" hidden="1" x14ac:dyDescent="0.75">
      <c r="A156" s="59" t="s">
        <v>295</v>
      </c>
      <c r="B156" s="59" t="s">
        <v>296</v>
      </c>
      <c r="C156" s="59">
        <v>2035</v>
      </c>
      <c r="D156" s="59" t="s">
        <v>297</v>
      </c>
      <c r="E156" s="59" t="s">
        <v>298</v>
      </c>
      <c r="F156" s="59" t="s">
        <v>302</v>
      </c>
      <c r="G156" s="59" t="s">
        <v>303</v>
      </c>
      <c r="H156" s="59">
        <v>-6.9</v>
      </c>
      <c r="I156" s="59" t="s">
        <v>301</v>
      </c>
    </row>
    <row r="157" spans="1:11" hidden="1" x14ac:dyDescent="0.75">
      <c r="A157" s="59" t="s">
        <v>295</v>
      </c>
      <c r="B157" s="59" t="s">
        <v>296</v>
      </c>
      <c r="C157" s="59">
        <v>2045</v>
      </c>
      <c r="D157" s="59" t="s">
        <v>297</v>
      </c>
      <c r="E157" s="59" t="s">
        <v>298</v>
      </c>
      <c r="F157" s="59" t="s">
        <v>302</v>
      </c>
      <c r="G157" s="59" t="s">
        <v>303</v>
      </c>
      <c r="H157" s="59">
        <v>-6.8</v>
      </c>
      <c r="I157" s="59" t="s">
        <v>301</v>
      </c>
    </row>
    <row r="158" spans="1:11" hidden="1" x14ac:dyDescent="0.75">
      <c r="A158" s="59" t="s">
        <v>295</v>
      </c>
      <c r="B158" s="59" t="s">
        <v>296</v>
      </c>
      <c r="C158" s="59">
        <v>2055</v>
      </c>
      <c r="D158" s="59" t="s">
        <v>297</v>
      </c>
      <c r="E158" s="59" t="s">
        <v>298</v>
      </c>
      <c r="F158" s="59" t="s">
        <v>302</v>
      </c>
      <c r="G158" s="59" t="s">
        <v>303</v>
      </c>
      <c r="H158" s="59">
        <v>-4.9000000000000004</v>
      </c>
      <c r="I158" s="59" t="s">
        <v>301</v>
      </c>
    </row>
    <row r="159" spans="1:11" x14ac:dyDescent="0.75">
      <c r="A159" s="59" t="s">
        <v>295</v>
      </c>
      <c r="B159" s="59" t="s">
        <v>296</v>
      </c>
      <c r="C159" s="59">
        <v>2025</v>
      </c>
      <c r="D159" s="59" t="s">
        <v>297</v>
      </c>
      <c r="E159" s="59" t="s">
        <v>298</v>
      </c>
      <c r="F159" s="59" t="s">
        <v>299</v>
      </c>
      <c r="G159" s="59" t="s">
        <v>314</v>
      </c>
      <c r="H159" s="59">
        <v>121.7</v>
      </c>
      <c r="I159" s="59" t="s">
        <v>301</v>
      </c>
      <c r="K159" s="59" t="str">
        <f>INDEX('EPA land and ag calcs'!$G$7:$G$14,MATCH('EPA land and ag potential'!E159,'EPA land and ag calcs'!$A$7:$A$15,0))</f>
        <v>afforestation and reforestation</v>
      </c>
    </row>
    <row r="160" spans="1:11" x14ac:dyDescent="0.75">
      <c r="A160" s="59" t="s">
        <v>295</v>
      </c>
      <c r="B160" s="59" t="s">
        <v>296</v>
      </c>
      <c r="C160" s="59">
        <v>2035</v>
      </c>
      <c r="D160" s="59" t="s">
        <v>297</v>
      </c>
      <c r="E160" s="59" t="s">
        <v>298</v>
      </c>
      <c r="F160" s="59" t="s">
        <v>299</v>
      </c>
      <c r="G160" s="59" t="s">
        <v>314</v>
      </c>
      <c r="H160" s="59">
        <v>113.6</v>
      </c>
      <c r="I160" s="59" t="s">
        <v>301</v>
      </c>
      <c r="K160" s="59" t="str">
        <f>INDEX('EPA land and ag calcs'!$G$7:$G$14,MATCH('EPA land and ag potential'!E160,'EPA land and ag calcs'!$A$7:$A$15,0))</f>
        <v>afforestation and reforestation</v>
      </c>
    </row>
    <row r="161" spans="1:11" x14ac:dyDescent="0.75">
      <c r="A161" s="59" t="s">
        <v>295</v>
      </c>
      <c r="B161" s="59" t="s">
        <v>296</v>
      </c>
      <c r="C161" s="59">
        <v>2045</v>
      </c>
      <c r="D161" s="59" t="s">
        <v>297</v>
      </c>
      <c r="E161" s="59" t="s">
        <v>298</v>
      </c>
      <c r="F161" s="59" t="s">
        <v>299</v>
      </c>
      <c r="G161" s="59" t="s">
        <v>314</v>
      </c>
      <c r="H161" s="59">
        <v>80.3</v>
      </c>
      <c r="I161" s="59" t="s">
        <v>301</v>
      </c>
      <c r="K161" s="59" t="str">
        <f>INDEX('EPA land and ag calcs'!$G$7:$G$14,MATCH('EPA land and ag potential'!E161,'EPA land and ag calcs'!$A$7:$A$15,0))</f>
        <v>afforestation and reforestation</v>
      </c>
    </row>
    <row r="162" spans="1:11" x14ac:dyDescent="0.75">
      <c r="A162" s="59" t="s">
        <v>295</v>
      </c>
      <c r="B162" s="59" t="s">
        <v>296</v>
      </c>
      <c r="C162" s="59">
        <v>2055</v>
      </c>
      <c r="D162" s="59" t="s">
        <v>297</v>
      </c>
      <c r="E162" s="59" t="s">
        <v>298</v>
      </c>
      <c r="F162" s="59" t="s">
        <v>299</v>
      </c>
      <c r="G162" s="59" t="s">
        <v>314</v>
      </c>
      <c r="H162" s="59">
        <v>54.4</v>
      </c>
      <c r="I162" s="59" t="s">
        <v>301</v>
      </c>
      <c r="K162" s="59" t="str">
        <f>INDEX('EPA land and ag calcs'!$G$7:$G$14,MATCH('EPA land and ag potential'!E162,'EPA land and ag calcs'!$A$7:$A$15,0))</f>
        <v>afforestation and reforestation</v>
      </c>
    </row>
    <row r="163" spans="1:11" x14ac:dyDescent="0.75">
      <c r="A163" s="59" t="s">
        <v>295</v>
      </c>
      <c r="B163" s="59" t="s">
        <v>296</v>
      </c>
      <c r="C163" s="59">
        <v>2045</v>
      </c>
      <c r="D163" s="59" t="s">
        <v>297</v>
      </c>
      <c r="E163" s="59" t="s">
        <v>304</v>
      </c>
      <c r="F163" s="59" t="s">
        <v>299</v>
      </c>
      <c r="G163" s="59" t="s">
        <v>303</v>
      </c>
      <c r="H163" s="59">
        <v>-1.9</v>
      </c>
      <c r="I163" s="59" t="s">
        <v>301</v>
      </c>
      <c r="K163" s="59" t="str">
        <f>INDEX('EPA land and ag calcs'!$G$7:$G$14,MATCH('EPA land and ag potential'!E163,'EPA land and ag calcs'!$A$7:$A$15,0))</f>
        <v>*handled in agriculture files</v>
      </c>
    </row>
    <row r="164" spans="1:11" x14ac:dyDescent="0.75">
      <c r="A164" s="59" t="s">
        <v>295</v>
      </c>
      <c r="B164" s="59" t="s">
        <v>296</v>
      </c>
      <c r="C164" s="59">
        <v>2055</v>
      </c>
      <c r="D164" s="59" t="s">
        <v>297</v>
      </c>
      <c r="E164" s="59" t="s">
        <v>304</v>
      </c>
      <c r="F164" s="59" t="s">
        <v>299</v>
      </c>
      <c r="G164" s="59" t="s">
        <v>303</v>
      </c>
      <c r="H164" s="59">
        <v>-2.7</v>
      </c>
      <c r="I164" s="59" t="s">
        <v>301</v>
      </c>
      <c r="K164" s="59" t="str">
        <f>INDEX('EPA land and ag calcs'!$G$7:$G$14,MATCH('EPA land and ag potential'!E164,'EPA land and ag calcs'!$A$7:$A$15,0))</f>
        <v>*handled in agriculture files</v>
      </c>
    </row>
    <row r="165" spans="1:11" hidden="1" x14ac:dyDescent="0.75">
      <c r="A165" s="59" t="s">
        <v>295</v>
      </c>
      <c r="B165" s="59" t="s">
        <v>296</v>
      </c>
      <c r="C165" s="59">
        <v>2025</v>
      </c>
      <c r="D165" s="59" t="s">
        <v>297</v>
      </c>
      <c r="E165" s="59" t="s">
        <v>304</v>
      </c>
      <c r="F165" s="59" t="s">
        <v>302</v>
      </c>
      <c r="G165" s="59" t="s">
        <v>303</v>
      </c>
      <c r="H165" s="59">
        <v>-0.2</v>
      </c>
      <c r="I165" s="59" t="s">
        <v>301</v>
      </c>
    </row>
    <row r="166" spans="1:11" hidden="1" x14ac:dyDescent="0.75">
      <c r="A166" s="59" t="s">
        <v>295</v>
      </c>
      <c r="B166" s="59" t="s">
        <v>296</v>
      </c>
      <c r="C166" s="59">
        <v>2035</v>
      </c>
      <c r="D166" s="59" t="s">
        <v>297</v>
      </c>
      <c r="E166" s="59" t="s">
        <v>304</v>
      </c>
      <c r="F166" s="59" t="s">
        <v>302</v>
      </c>
      <c r="G166" s="59" t="s">
        <v>303</v>
      </c>
      <c r="H166" s="59">
        <v>-0.2</v>
      </c>
      <c r="I166" s="59" t="s">
        <v>301</v>
      </c>
    </row>
    <row r="167" spans="1:11" hidden="1" x14ac:dyDescent="0.75">
      <c r="A167" s="59" t="s">
        <v>295</v>
      </c>
      <c r="B167" s="59" t="s">
        <v>296</v>
      </c>
      <c r="C167" s="59">
        <v>2045</v>
      </c>
      <c r="D167" s="59" t="s">
        <v>297</v>
      </c>
      <c r="E167" s="59" t="s">
        <v>304</v>
      </c>
      <c r="F167" s="59" t="s">
        <v>302</v>
      </c>
      <c r="G167" s="59" t="s">
        <v>303</v>
      </c>
      <c r="H167" s="59">
        <v>-0.8</v>
      </c>
      <c r="I167" s="59" t="s">
        <v>301</v>
      </c>
    </row>
    <row r="168" spans="1:11" hidden="1" x14ac:dyDescent="0.75">
      <c r="A168" s="59" t="s">
        <v>295</v>
      </c>
      <c r="B168" s="59" t="s">
        <v>296</v>
      </c>
      <c r="C168" s="59">
        <v>2055</v>
      </c>
      <c r="D168" s="59" t="s">
        <v>297</v>
      </c>
      <c r="E168" s="59" t="s">
        <v>304</v>
      </c>
      <c r="F168" s="59" t="s">
        <v>302</v>
      </c>
      <c r="G168" s="59" t="s">
        <v>303</v>
      </c>
      <c r="H168" s="59">
        <v>-1</v>
      </c>
      <c r="I168" s="59" t="s">
        <v>301</v>
      </c>
    </row>
    <row r="169" spans="1:11" x14ac:dyDescent="0.75">
      <c r="A169" s="59" t="s">
        <v>295</v>
      </c>
      <c r="B169" s="59" t="s">
        <v>296</v>
      </c>
      <c r="C169" s="59">
        <v>2025</v>
      </c>
      <c r="D169" s="59" t="s">
        <v>297</v>
      </c>
      <c r="E169" s="59" t="s">
        <v>304</v>
      </c>
      <c r="F169" s="59" t="s">
        <v>299</v>
      </c>
      <c r="G169" s="59" t="s">
        <v>314</v>
      </c>
      <c r="H169" s="59">
        <v>-2.6</v>
      </c>
      <c r="I169" s="59" t="s">
        <v>301</v>
      </c>
      <c r="K169" s="59" t="str">
        <f>INDEX('EPA land and ag calcs'!$G$7:$G$14,MATCH('EPA land and ag potential'!E169,'EPA land and ag calcs'!$A$7:$A$15,0))</f>
        <v>*handled in agriculture files</v>
      </c>
    </row>
    <row r="170" spans="1:11" x14ac:dyDescent="0.75">
      <c r="A170" s="59" t="s">
        <v>295</v>
      </c>
      <c r="B170" s="59" t="s">
        <v>296</v>
      </c>
      <c r="C170" s="59">
        <v>2035</v>
      </c>
      <c r="D170" s="59" t="s">
        <v>297</v>
      </c>
      <c r="E170" s="59" t="s">
        <v>304</v>
      </c>
      <c r="F170" s="59" t="s">
        <v>299</v>
      </c>
      <c r="G170" s="59" t="s">
        <v>314</v>
      </c>
      <c r="H170" s="59">
        <v>-5.5</v>
      </c>
      <c r="I170" s="59" t="s">
        <v>301</v>
      </c>
      <c r="K170" s="59" t="str">
        <f>INDEX('EPA land and ag calcs'!$G$7:$G$14,MATCH('EPA land and ag potential'!E170,'EPA land and ag calcs'!$A$7:$A$15,0))</f>
        <v>*handled in agriculture files</v>
      </c>
    </row>
    <row r="171" spans="1:11" x14ac:dyDescent="0.75">
      <c r="A171" s="59" t="s">
        <v>295</v>
      </c>
      <c r="B171" s="59" t="s">
        <v>296</v>
      </c>
      <c r="C171" s="59">
        <v>2045</v>
      </c>
      <c r="D171" s="59" t="s">
        <v>297</v>
      </c>
      <c r="E171" s="59" t="s">
        <v>304</v>
      </c>
      <c r="F171" s="59" t="s">
        <v>299</v>
      </c>
      <c r="G171" s="59" t="s">
        <v>314</v>
      </c>
      <c r="H171" s="59">
        <v>-7.5</v>
      </c>
      <c r="I171" s="59" t="s">
        <v>301</v>
      </c>
      <c r="K171" s="59" t="str">
        <f>INDEX('EPA land and ag calcs'!$G$7:$G$14,MATCH('EPA land and ag potential'!E171,'EPA land and ag calcs'!$A$7:$A$15,0))</f>
        <v>*handled in agriculture files</v>
      </c>
    </row>
    <row r="172" spans="1:11" x14ac:dyDescent="0.75">
      <c r="A172" s="59" t="s">
        <v>295</v>
      </c>
      <c r="B172" s="59" t="s">
        <v>296</v>
      </c>
      <c r="C172" s="59">
        <v>2055</v>
      </c>
      <c r="D172" s="59" t="s">
        <v>297</v>
      </c>
      <c r="E172" s="59" t="s">
        <v>304</v>
      </c>
      <c r="F172" s="59" t="s">
        <v>299</v>
      </c>
      <c r="G172" s="59" t="s">
        <v>314</v>
      </c>
      <c r="H172" s="59">
        <v>-9.1</v>
      </c>
      <c r="I172" s="59" t="s">
        <v>301</v>
      </c>
      <c r="K172" s="59" t="str">
        <f>INDEX('EPA land and ag calcs'!$G$7:$G$14,MATCH('EPA land and ag potential'!E172,'EPA land and ag calcs'!$A$7:$A$15,0))</f>
        <v>*handled in agriculture files</v>
      </c>
    </row>
    <row r="173" spans="1:11" x14ac:dyDescent="0.75">
      <c r="A173" s="59" t="s">
        <v>295</v>
      </c>
      <c r="B173" s="59" t="s">
        <v>296</v>
      </c>
      <c r="C173" s="59">
        <v>2045</v>
      </c>
      <c r="D173" s="59" t="s">
        <v>297</v>
      </c>
      <c r="E173" s="59" t="s">
        <v>305</v>
      </c>
      <c r="F173" s="59" t="s">
        <v>299</v>
      </c>
      <c r="G173" s="59" t="s">
        <v>303</v>
      </c>
      <c r="H173" s="59">
        <v>-0.8</v>
      </c>
      <c r="I173" s="59" t="s">
        <v>301</v>
      </c>
      <c r="K173" s="59" t="str">
        <f>INDEX('EPA land and ag calcs'!$G$7:$G$14,MATCH('EPA land and ag potential'!E173,'EPA land and ag calcs'!$A$7:$A$15,0))</f>
        <v>*handled in agriculture files</v>
      </c>
    </row>
    <row r="174" spans="1:11" x14ac:dyDescent="0.75">
      <c r="A174" s="59" t="s">
        <v>295</v>
      </c>
      <c r="B174" s="59" t="s">
        <v>296</v>
      </c>
      <c r="C174" s="59">
        <v>2055</v>
      </c>
      <c r="D174" s="59" t="s">
        <v>297</v>
      </c>
      <c r="E174" s="59" t="s">
        <v>305</v>
      </c>
      <c r="F174" s="59" t="s">
        <v>299</v>
      </c>
      <c r="G174" s="59" t="s">
        <v>303</v>
      </c>
      <c r="H174" s="59">
        <v>-0.8</v>
      </c>
      <c r="I174" s="59" t="s">
        <v>301</v>
      </c>
      <c r="K174" s="59" t="str">
        <f>INDEX('EPA land and ag calcs'!$G$7:$G$14,MATCH('EPA land and ag potential'!E174,'EPA land and ag calcs'!$A$7:$A$15,0))</f>
        <v>*handled in agriculture files</v>
      </c>
    </row>
    <row r="175" spans="1:11" hidden="1" x14ac:dyDescent="0.75">
      <c r="A175" s="59" t="s">
        <v>295</v>
      </c>
      <c r="B175" s="59" t="s">
        <v>296</v>
      </c>
      <c r="C175" s="59">
        <v>2025</v>
      </c>
      <c r="D175" s="59" t="s">
        <v>297</v>
      </c>
      <c r="E175" s="59" t="s">
        <v>305</v>
      </c>
      <c r="F175" s="59" t="s">
        <v>302</v>
      </c>
      <c r="G175" s="59" t="s">
        <v>303</v>
      </c>
      <c r="H175" s="59">
        <v>-0.3</v>
      </c>
      <c r="I175" s="59" t="s">
        <v>301</v>
      </c>
    </row>
    <row r="176" spans="1:11" hidden="1" x14ac:dyDescent="0.75">
      <c r="A176" s="59" t="s">
        <v>295</v>
      </c>
      <c r="B176" s="59" t="s">
        <v>296</v>
      </c>
      <c r="C176" s="59">
        <v>2035</v>
      </c>
      <c r="D176" s="59" t="s">
        <v>297</v>
      </c>
      <c r="E176" s="59" t="s">
        <v>305</v>
      </c>
      <c r="F176" s="59" t="s">
        <v>302</v>
      </c>
      <c r="G176" s="59" t="s">
        <v>303</v>
      </c>
      <c r="H176" s="59">
        <v>-0.5</v>
      </c>
      <c r="I176" s="59" t="s">
        <v>301</v>
      </c>
    </row>
    <row r="177" spans="1:11" hidden="1" x14ac:dyDescent="0.75">
      <c r="A177" s="59" t="s">
        <v>295</v>
      </c>
      <c r="B177" s="59" t="s">
        <v>296</v>
      </c>
      <c r="C177" s="59">
        <v>2045</v>
      </c>
      <c r="D177" s="59" t="s">
        <v>297</v>
      </c>
      <c r="E177" s="59" t="s">
        <v>305</v>
      </c>
      <c r="F177" s="59" t="s">
        <v>302</v>
      </c>
      <c r="G177" s="59" t="s">
        <v>303</v>
      </c>
      <c r="H177" s="59">
        <v>-0.5</v>
      </c>
      <c r="I177" s="59" t="s">
        <v>301</v>
      </c>
    </row>
    <row r="178" spans="1:11" hidden="1" x14ac:dyDescent="0.75">
      <c r="A178" s="59" t="s">
        <v>295</v>
      </c>
      <c r="B178" s="59" t="s">
        <v>296</v>
      </c>
      <c r="C178" s="59">
        <v>2055</v>
      </c>
      <c r="D178" s="59" t="s">
        <v>297</v>
      </c>
      <c r="E178" s="59" t="s">
        <v>305</v>
      </c>
      <c r="F178" s="59" t="s">
        <v>302</v>
      </c>
      <c r="G178" s="59" t="s">
        <v>303</v>
      </c>
      <c r="H178" s="59">
        <v>-0.5</v>
      </c>
      <c r="I178" s="59" t="s">
        <v>301</v>
      </c>
    </row>
    <row r="179" spans="1:11" x14ac:dyDescent="0.75">
      <c r="A179" s="59" t="s">
        <v>295</v>
      </c>
      <c r="B179" s="59" t="s">
        <v>296</v>
      </c>
      <c r="C179" s="59">
        <v>2025</v>
      </c>
      <c r="D179" s="59" t="s">
        <v>297</v>
      </c>
      <c r="E179" s="59" t="s">
        <v>305</v>
      </c>
      <c r="F179" s="59" t="s">
        <v>299</v>
      </c>
      <c r="G179" s="59" t="s">
        <v>314</v>
      </c>
      <c r="H179" s="59">
        <v>0.3</v>
      </c>
      <c r="I179" s="59" t="s">
        <v>301</v>
      </c>
      <c r="K179" s="59" t="str">
        <f>INDEX('EPA land and ag calcs'!$G$7:$G$14,MATCH('EPA land and ag potential'!E179,'EPA land and ag calcs'!$A$7:$A$15,0))</f>
        <v>*handled in agriculture files</v>
      </c>
    </row>
    <row r="180" spans="1:11" x14ac:dyDescent="0.75">
      <c r="A180" s="59" t="s">
        <v>295</v>
      </c>
      <c r="B180" s="59" t="s">
        <v>296</v>
      </c>
      <c r="C180" s="59">
        <v>2035</v>
      </c>
      <c r="D180" s="59" t="s">
        <v>297</v>
      </c>
      <c r="E180" s="59" t="s">
        <v>305</v>
      </c>
      <c r="F180" s="59" t="s">
        <v>299</v>
      </c>
      <c r="G180" s="59" t="s">
        <v>314</v>
      </c>
      <c r="H180" s="59">
        <v>-2.2000000000000002</v>
      </c>
      <c r="I180" s="59" t="s">
        <v>301</v>
      </c>
      <c r="K180" s="59" t="str">
        <f>INDEX('EPA land and ag calcs'!$G$7:$G$14,MATCH('EPA land and ag potential'!E180,'EPA land and ag calcs'!$A$7:$A$15,0))</f>
        <v>*handled in agriculture files</v>
      </c>
    </row>
    <row r="181" spans="1:11" x14ac:dyDescent="0.75">
      <c r="A181" s="59" t="s">
        <v>295</v>
      </c>
      <c r="B181" s="59" t="s">
        <v>296</v>
      </c>
      <c r="C181" s="59">
        <v>2045</v>
      </c>
      <c r="D181" s="59" t="s">
        <v>297</v>
      </c>
      <c r="E181" s="59" t="s">
        <v>305</v>
      </c>
      <c r="F181" s="59" t="s">
        <v>299</v>
      </c>
      <c r="G181" s="59" t="s">
        <v>314</v>
      </c>
      <c r="H181" s="59">
        <v>-5.3</v>
      </c>
      <c r="I181" s="59" t="s">
        <v>301</v>
      </c>
      <c r="K181" s="59" t="str">
        <f>INDEX('EPA land and ag calcs'!$G$7:$G$14,MATCH('EPA land and ag potential'!E181,'EPA land and ag calcs'!$A$7:$A$15,0))</f>
        <v>*handled in agriculture files</v>
      </c>
    </row>
    <row r="182" spans="1:11" x14ac:dyDescent="0.75">
      <c r="A182" s="59" t="s">
        <v>295</v>
      </c>
      <c r="B182" s="59" t="s">
        <v>296</v>
      </c>
      <c r="C182" s="59">
        <v>2055</v>
      </c>
      <c r="D182" s="59" t="s">
        <v>297</v>
      </c>
      <c r="E182" s="59" t="s">
        <v>305</v>
      </c>
      <c r="F182" s="59" t="s">
        <v>299</v>
      </c>
      <c r="G182" s="59" t="s">
        <v>314</v>
      </c>
      <c r="H182" s="59">
        <v>-8.1</v>
      </c>
      <c r="I182" s="59" t="s">
        <v>301</v>
      </c>
      <c r="K182" s="59" t="str">
        <f>INDEX('EPA land and ag calcs'!$G$7:$G$14,MATCH('EPA land and ag potential'!E182,'EPA land and ag calcs'!$A$7:$A$15,0))</f>
        <v>*handled in agriculture files</v>
      </c>
    </row>
    <row r="183" spans="1:11" x14ac:dyDescent="0.75">
      <c r="A183" s="59" t="s">
        <v>295</v>
      </c>
      <c r="B183" s="59" t="s">
        <v>296</v>
      </c>
      <c r="C183" s="59">
        <v>2045</v>
      </c>
      <c r="D183" s="59" t="s">
        <v>297</v>
      </c>
      <c r="E183" s="59" t="s">
        <v>306</v>
      </c>
      <c r="F183" s="59" t="s">
        <v>299</v>
      </c>
      <c r="G183" s="59" t="s">
        <v>303</v>
      </c>
      <c r="H183" s="59">
        <v>-22</v>
      </c>
      <c r="I183" s="59" t="s">
        <v>301</v>
      </c>
      <c r="K183" s="59" t="str">
        <f>INDEX('EPA land and ag calcs'!$G$7:$G$14,MATCH('EPA land and ag potential'!E183,'EPA land and ag calcs'!$A$7:$A$15,0))</f>
        <v>forest management</v>
      </c>
    </row>
    <row r="184" spans="1:11" x14ac:dyDescent="0.75">
      <c r="A184" s="59" t="s">
        <v>295</v>
      </c>
      <c r="B184" s="59" t="s">
        <v>296</v>
      </c>
      <c r="C184" s="59">
        <v>2055</v>
      </c>
      <c r="D184" s="59" t="s">
        <v>297</v>
      </c>
      <c r="E184" s="59" t="s">
        <v>306</v>
      </c>
      <c r="F184" s="59" t="s">
        <v>299</v>
      </c>
      <c r="G184" s="59" t="s">
        <v>303</v>
      </c>
      <c r="H184" s="59">
        <v>-28.1</v>
      </c>
      <c r="I184" s="59" t="s">
        <v>301</v>
      </c>
      <c r="K184" s="59" t="str">
        <f>INDEX('EPA land and ag calcs'!$G$7:$G$14,MATCH('EPA land and ag potential'!E184,'EPA land and ag calcs'!$A$7:$A$15,0))</f>
        <v>forest management</v>
      </c>
    </row>
    <row r="185" spans="1:11" hidden="1" x14ac:dyDescent="0.75">
      <c r="A185" s="59" t="s">
        <v>295</v>
      </c>
      <c r="B185" s="59" t="s">
        <v>296</v>
      </c>
      <c r="C185" s="59">
        <v>2025</v>
      </c>
      <c r="D185" s="59" t="s">
        <v>297</v>
      </c>
      <c r="E185" s="59" t="s">
        <v>306</v>
      </c>
      <c r="F185" s="59" t="s">
        <v>302</v>
      </c>
      <c r="G185" s="59" t="s">
        <v>303</v>
      </c>
      <c r="H185" s="59">
        <v>-8.3000000000000007</v>
      </c>
      <c r="I185" s="59" t="s">
        <v>301</v>
      </c>
    </row>
    <row r="186" spans="1:11" hidden="1" x14ac:dyDescent="0.75">
      <c r="A186" s="59" t="s">
        <v>295</v>
      </c>
      <c r="B186" s="59" t="s">
        <v>296</v>
      </c>
      <c r="C186" s="59">
        <v>2035</v>
      </c>
      <c r="D186" s="59" t="s">
        <v>297</v>
      </c>
      <c r="E186" s="59" t="s">
        <v>306</v>
      </c>
      <c r="F186" s="59" t="s">
        <v>302</v>
      </c>
      <c r="G186" s="59" t="s">
        <v>303</v>
      </c>
      <c r="H186" s="59">
        <v>-8.8000000000000007</v>
      </c>
      <c r="I186" s="59" t="s">
        <v>301</v>
      </c>
    </row>
    <row r="187" spans="1:11" hidden="1" x14ac:dyDescent="0.75">
      <c r="A187" s="59" t="s">
        <v>295</v>
      </c>
      <c r="B187" s="59" t="s">
        <v>296</v>
      </c>
      <c r="C187" s="59">
        <v>2045</v>
      </c>
      <c r="D187" s="59" t="s">
        <v>297</v>
      </c>
      <c r="E187" s="59" t="s">
        <v>306</v>
      </c>
      <c r="F187" s="59" t="s">
        <v>302</v>
      </c>
      <c r="G187" s="59" t="s">
        <v>303</v>
      </c>
      <c r="H187" s="59">
        <v>-4.5999999999999996</v>
      </c>
      <c r="I187" s="59" t="s">
        <v>301</v>
      </c>
    </row>
    <row r="188" spans="1:11" hidden="1" x14ac:dyDescent="0.75">
      <c r="A188" s="59" t="s">
        <v>295</v>
      </c>
      <c r="B188" s="59" t="s">
        <v>296</v>
      </c>
      <c r="C188" s="59">
        <v>2055</v>
      </c>
      <c r="D188" s="59" t="s">
        <v>297</v>
      </c>
      <c r="E188" s="59" t="s">
        <v>306</v>
      </c>
      <c r="F188" s="59" t="s">
        <v>302</v>
      </c>
      <c r="G188" s="59" t="s">
        <v>303</v>
      </c>
      <c r="H188" s="59">
        <v>-0.9</v>
      </c>
      <c r="I188" s="59" t="s">
        <v>301</v>
      </c>
    </row>
    <row r="189" spans="1:11" x14ac:dyDescent="0.75">
      <c r="A189" s="59" t="s">
        <v>295</v>
      </c>
      <c r="B189" s="59" t="s">
        <v>296</v>
      </c>
      <c r="C189" s="59">
        <v>2025</v>
      </c>
      <c r="D189" s="59" t="s">
        <v>297</v>
      </c>
      <c r="E189" s="59" t="s">
        <v>306</v>
      </c>
      <c r="F189" s="59" t="s">
        <v>299</v>
      </c>
      <c r="G189" s="59" t="s">
        <v>314</v>
      </c>
      <c r="H189" s="59">
        <v>-16.2</v>
      </c>
      <c r="I189" s="59" t="s">
        <v>301</v>
      </c>
      <c r="K189" s="59" t="str">
        <f>INDEX('EPA land and ag calcs'!$G$7:$G$14,MATCH('EPA land and ag potential'!E189,'EPA land and ag calcs'!$A$7:$A$15,0))</f>
        <v>forest management</v>
      </c>
    </row>
    <row r="190" spans="1:11" x14ac:dyDescent="0.75">
      <c r="A190" s="59" t="s">
        <v>295</v>
      </c>
      <c r="B190" s="59" t="s">
        <v>296</v>
      </c>
      <c r="C190" s="59">
        <v>2035</v>
      </c>
      <c r="D190" s="59" t="s">
        <v>297</v>
      </c>
      <c r="E190" s="59" t="s">
        <v>306</v>
      </c>
      <c r="F190" s="59" t="s">
        <v>299</v>
      </c>
      <c r="G190" s="59" t="s">
        <v>314</v>
      </c>
      <c r="H190" s="59">
        <v>-50.8</v>
      </c>
      <c r="I190" s="59" t="s">
        <v>301</v>
      </c>
      <c r="K190" s="59" t="str">
        <f>INDEX('EPA land and ag calcs'!$G$7:$G$14,MATCH('EPA land and ag potential'!E190,'EPA land and ag calcs'!$A$7:$A$15,0))</f>
        <v>forest management</v>
      </c>
    </row>
    <row r="191" spans="1:11" x14ac:dyDescent="0.75">
      <c r="A191" s="59" t="s">
        <v>295</v>
      </c>
      <c r="B191" s="59" t="s">
        <v>296</v>
      </c>
      <c r="C191" s="59">
        <v>2045</v>
      </c>
      <c r="D191" s="59" t="s">
        <v>297</v>
      </c>
      <c r="E191" s="59" t="s">
        <v>306</v>
      </c>
      <c r="F191" s="59" t="s">
        <v>299</v>
      </c>
      <c r="G191" s="59" t="s">
        <v>314</v>
      </c>
      <c r="H191" s="59">
        <v>-61.2</v>
      </c>
      <c r="I191" s="59" t="s">
        <v>301</v>
      </c>
      <c r="K191" s="59" t="str">
        <f>INDEX('EPA land and ag calcs'!$G$7:$G$14,MATCH('EPA land and ag potential'!E191,'EPA land and ag calcs'!$A$7:$A$15,0))</f>
        <v>forest management</v>
      </c>
    </row>
    <row r="192" spans="1:11" x14ac:dyDescent="0.75">
      <c r="A192" s="59" t="s">
        <v>295</v>
      </c>
      <c r="B192" s="59" t="s">
        <v>296</v>
      </c>
      <c r="C192" s="59">
        <v>2055</v>
      </c>
      <c r="D192" s="59" t="s">
        <v>297</v>
      </c>
      <c r="E192" s="59" t="s">
        <v>306</v>
      </c>
      <c r="F192" s="59" t="s">
        <v>299</v>
      </c>
      <c r="G192" s="59" t="s">
        <v>314</v>
      </c>
      <c r="H192" s="59">
        <v>-73.2</v>
      </c>
      <c r="I192" s="59" t="s">
        <v>301</v>
      </c>
      <c r="K192" s="59" t="str">
        <f>INDEX('EPA land and ag calcs'!$G$7:$G$14,MATCH('EPA land and ag potential'!E192,'EPA land and ag calcs'!$A$7:$A$15,0))</f>
        <v>forest management</v>
      </c>
    </row>
    <row r="193" spans="1:11" x14ac:dyDescent="0.75">
      <c r="A193" s="59" t="s">
        <v>295</v>
      </c>
      <c r="B193" s="59" t="s">
        <v>296</v>
      </c>
      <c r="C193" s="59">
        <v>2045</v>
      </c>
      <c r="D193" s="59" t="s">
        <v>297</v>
      </c>
      <c r="E193" s="59" t="s">
        <v>307</v>
      </c>
      <c r="F193" s="59" t="s">
        <v>299</v>
      </c>
      <c r="G193" s="59" t="s">
        <v>303</v>
      </c>
      <c r="H193" s="59">
        <v>-0.7</v>
      </c>
      <c r="I193" s="59" t="s">
        <v>301</v>
      </c>
      <c r="K193" s="59" t="str">
        <f>INDEX('EPA land and ag calcs'!$G$7:$G$14,MATCH('EPA land and ag potential'!E193,'EPA land and ag calcs'!$A$7:$A$15,0))</f>
        <v>afforestation and reforestation</v>
      </c>
    </row>
    <row r="194" spans="1:11" x14ac:dyDescent="0.75">
      <c r="A194" s="59" t="s">
        <v>295</v>
      </c>
      <c r="B194" s="59" t="s">
        <v>296</v>
      </c>
      <c r="C194" s="59">
        <v>2055</v>
      </c>
      <c r="D194" s="59" t="s">
        <v>297</v>
      </c>
      <c r="E194" s="59" t="s">
        <v>307</v>
      </c>
      <c r="F194" s="59" t="s">
        <v>299</v>
      </c>
      <c r="G194" s="59" t="s">
        <v>303</v>
      </c>
      <c r="H194" s="59">
        <v>4.8</v>
      </c>
      <c r="I194" s="59" t="s">
        <v>301</v>
      </c>
      <c r="K194" s="59" t="str">
        <f>INDEX('EPA land and ag calcs'!$G$7:$G$14,MATCH('EPA land and ag potential'!E194,'EPA land and ag calcs'!$A$7:$A$15,0))</f>
        <v>afforestation and reforestation</v>
      </c>
    </row>
    <row r="195" spans="1:11" hidden="1" x14ac:dyDescent="0.75">
      <c r="A195" s="59" t="s">
        <v>295</v>
      </c>
      <c r="B195" s="59" t="s">
        <v>296</v>
      </c>
      <c r="C195" s="59">
        <v>2025</v>
      </c>
      <c r="D195" s="59" t="s">
        <v>297</v>
      </c>
      <c r="E195" s="59" t="s">
        <v>307</v>
      </c>
      <c r="F195" s="59" t="s">
        <v>302</v>
      </c>
      <c r="G195" s="59" t="s">
        <v>303</v>
      </c>
      <c r="I195" s="59" t="s">
        <v>301</v>
      </c>
    </row>
    <row r="196" spans="1:11" hidden="1" x14ac:dyDescent="0.75">
      <c r="A196" s="59" t="s">
        <v>295</v>
      </c>
      <c r="B196" s="59" t="s">
        <v>296</v>
      </c>
      <c r="C196" s="59">
        <v>2035</v>
      </c>
      <c r="D196" s="59" t="s">
        <v>297</v>
      </c>
      <c r="E196" s="59" t="s">
        <v>307</v>
      </c>
      <c r="F196" s="59" t="s">
        <v>302</v>
      </c>
      <c r="G196" s="59" t="s">
        <v>303</v>
      </c>
      <c r="H196" s="59">
        <v>-11.1</v>
      </c>
      <c r="I196" s="59" t="s">
        <v>301</v>
      </c>
    </row>
    <row r="197" spans="1:11" hidden="1" x14ac:dyDescent="0.75">
      <c r="A197" s="59" t="s">
        <v>295</v>
      </c>
      <c r="B197" s="59" t="s">
        <v>296</v>
      </c>
      <c r="C197" s="59">
        <v>2045</v>
      </c>
      <c r="D197" s="59" t="s">
        <v>297</v>
      </c>
      <c r="E197" s="59" t="s">
        <v>307</v>
      </c>
      <c r="F197" s="59" t="s">
        <v>302</v>
      </c>
      <c r="G197" s="59" t="s">
        <v>303</v>
      </c>
      <c r="H197" s="59">
        <v>-19.8</v>
      </c>
      <c r="I197" s="59" t="s">
        <v>301</v>
      </c>
    </row>
    <row r="198" spans="1:11" hidden="1" x14ac:dyDescent="0.75">
      <c r="A198" s="59" t="s">
        <v>295</v>
      </c>
      <c r="B198" s="59" t="s">
        <v>296</v>
      </c>
      <c r="C198" s="59">
        <v>2055</v>
      </c>
      <c r="D198" s="59" t="s">
        <v>297</v>
      </c>
      <c r="E198" s="59" t="s">
        <v>307</v>
      </c>
      <c r="F198" s="59" t="s">
        <v>302</v>
      </c>
      <c r="G198" s="59" t="s">
        <v>303</v>
      </c>
      <c r="H198" s="59">
        <v>-24.7</v>
      </c>
      <c r="I198" s="59" t="s">
        <v>301</v>
      </c>
    </row>
    <row r="199" spans="1:11" x14ac:dyDescent="0.75">
      <c r="A199" s="59" t="s">
        <v>295</v>
      </c>
      <c r="B199" s="59" t="s">
        <v>296</v>
      </c>
      <c r="C199" s="59">
        <v>2025</v>
      </c>
      <c r="D199" s="59" t="s">
        <v>297</v>
      </c>
      <c r="E199" s="59" t="s">
        <v>307</v>
      </c>
      <c r="F199" s="59" t="s">
        <v>299</v>
      </c>
      <c r="G199" s="59" t="s">
        <v>314</v>
      </c>
      <c r="I199" s="59" t="s">
        <v>301</v>
      </c>
      <c r="K199" s="59" t="str">
        <f>INDEX('EPA land and ag calcs'!$G$7:$G$14,MATCH('EPA land and ag potential'!E199,'EPA land and ag calcs'!$A$7:$A$15,0))</f>
        <v>afforestation and reforestation</v>
      </c>
    </row>
    <row r="200" spans="1:11" x14ac:dyDescent="0.75">
      <c r="A200" s="59" t="s">
        <v>295</v>
      </c>
      <c r="B200" s="59" t="s">
        <v>296</v>
      </c>
      <c r="C200" s="59">
        <v>2035</v>
      </c>
      <c r="D200" s="59" t="s">
        <v>297</v>
      </c>
      <c r="E200" s="59" t="s">
        <v>307</v>
      </c>
      <c r="F200" s="59" t="s">
        <v>299</v>
      </c>
      <c r="G200" s="59" t="s">
        <v>314</v>
      </c>
      <c r="H200" s="59">
        <v>-41.8</v>
      </c>
      <c r="I200" s="59" t="s">
        <v>301</v>
      </c>
      <c r="K200" s="59" t="str">
        <f>INDEX('EPA land and ag calcs'!$G$7:$G$14,MATCH('EPA land and ag potential'!E200,'EPA land and ag calcs'!$A$7:$A$15,0))</f>
        <v>afforestation and reforestation</v>
      </c>
    </row>
    <row r="201" spans="1:11" x14ac:dyDescent="0.75">
      <c r="A201" s="59" t="s">
        <v>295</v>
      </c>
      <c r="B201" s="59" t="s">
        <v>296</v>
      </c>
      <c r="C201" s="59">
        <v>2045</v>
      </c>
      <c r="D201" s="59" t="s">
        <v>297</v>
      </c>
      <c r="E201" s="59" t="s">
        <v>307</v>
      </c>
      <c r="F201" s="59" t="s">
        <v>299</v>
      </c>
      <c r="G201" s="59" t="s">
        <v>314</v>
      </c>
      <c r="H201" s="59">
        <v>-54.8</v>
      </c>
      <c r="I201" s="59" t="s">
        <v>301</v>
      </c>
      <c r="K201" s="59" t="str">
        <f>INDEX('EPA land and ag calcs'!$G$7:$G$14,MATCH('EPA land and ag potential'!E201,'EPA land and ag calcs'!$A$7:$A$15,0))</f>
        <v>afforestation and reforestation</v>
      </c>
    </row>
    <row r="202" spans="1:11" x14ac:dyDescent="0.75">
      <c r="A202" s="59" t="s">
        <v>295</v>
      </c>
      <c r="B202" s="59" t="s">
        <v>296</v>
      </c>
      <c r="C202" s="59">
        <v>2055</v>
      </c>
      <c r="D202" s="59" t="s">
        <v>297</v>
      </c>
      <c r="E202" s="59" t="s">
        <v>307</v>
      </c>
      <c r="F202" s="59" t="s">
        <v>299</v>
      </c>
      <c r="G202" s="59" t="s">
        <v>314</v>
      </c>
      <c r="H202" s="59">
        <v>-66.2</v>
      </c>
      <c r="I202" s="59" t="s">
        <v>301</v>
      </c>
      <c r="K202" s="59" t="str">
        <f>INDEX('EPA land and ag calcs'!$G$7:$G$14,MATCH('EPA land and ag potential'!E202,'EPA land and ag calcs'!$A$7:$A$15,0))</f>
        <v>afforestation and reforestation</v>
      </c>
    </row>
    <row r="203" spans="1:11" x14ac:dyDescent="0.75">
      <c r="A203" s="59" t="s">
        <v>295</v>
      </c>
      <c r="B203" s="59" t="s">
        <v>296</v>
      </c>
      <c r="C203" s="59">
        <v>2045</v>
      </c>
      <c r="D203" s="59" t="s">
        <v>297</v>
      </c>
      <c r="E203" s="59" t="s">
        <v>308</v>
      </c>
      <c r="F203" s="59" t="s">
        <v>299</v>
      </c>
      <c r="G203" s="59" t="s">
        <v>303</v>
      </c>
      <c r="H203" s="59">
        <v>0.1</v>
      </c>
      <c r="I203" s="59" t="s">
        <v>301</v>
      </c>
      <c r="K203" s="59" t="str">
        <f>INDEX('EPA land and ag calcs'!$G$7:$G$14,MATCH('EPA land and ag potential'!E203,'EPA land and ag calcs'!$A$7:$A$15,0))</f>
        <v>forest management</v>
      </c>
    </row>
    <row r="204" spans="1:11" x14ac:dyDescent="0.75">
      <c r="A204" s="59" t="s">
        <v>295</v>
      </c>
      <c r="B204" s="59" t="s">
        <v>296</v>
      </c>
      <c r="C204" s="59">
        <v>2055</v>
      </c>
      <c r="D204" s="59" t="s">
        <v>297</v>
      </c>
      <c r="E204" s="59" t="s">
        <v>308</v>
      </c>
      <c r="F204" s="59" t="s">
        <v>299</v>
      </c>
      <c r="G204" s="59" t="s">
        <v>303</v>
      </c>
      <c r="H204" s="59">
        <v>0.2</v>
      </c>
      <c r="I204" s="59" t="s">
        <v>301</v>
      </c>
      <c r="K204" s="59" t="str">
        <f>INDEX('EPA land and ag calcs'!$G$7:$G$14,MATCH('EPA land and ag potential'!E204,'EPA land and ag calcs'!$A$7:$A$15,0))</f>
        <v>forest management</v>
      </c>
    </row>
    <row r="205" spans="1:11" hidden="1" x14ac:dyDescent="0.75">
      <c r="A205" s="59" t="s">
        <v>295</v>
      </c>
      <c r="B205" s="59" t="s">
        <v>296</v>
      </c>
      <c r="C205" s="59">
        <v>2025</v>
      </c>
      <c r="D205" s="59" t="s">
        <v>297</v>
      </c>
      <c r="E205" s="59" t="s">
        <v>308</v>
      </c>
      <c r="F205" s="59" t="s">
        <v>302</v>
      </c>
      <c r="G205" s="59" t="s">
        <v>303</v>
      </c>
      <c r="H205" s="59">
        <v>0.7</v>
      </c>
      <c r="I205" s="59" t="s">
        <v>301</v>
      </c>
    </row>
    <row r="206" spans="1:11" hidden="1" x14ac:dyDescent="0.75">
      <c r="A206" s="59" t="s">
        <v>295</v>
      </c>
      <c r="B206" s="59" t="s">
        <v>296</v>
      </c>
      <c r="C206" s="59">
        <v>2035</v>
      </c>
      <c r="D206" s="59" t="s">
        <v>297</v>
      </c>
      <c r="E206" s="59" t="s">
        <v>308</v>
      </c>
      <c r="F206" s="59" t="s">
        <v>302</v>
      </c>
      <c r="G206" s="59" t="s">
        <v>303</v>
      </c>
      <c r="H206" s="59">
        <v>0.4</v>
      </c>
      <c r="I206" s="59" t="s">
        <v>301</v>
      </c>
    </row>
    <row r="207" spans="1:11" hidden="1" x14ac:dyDescent="0.75">
      <c r="A207" s="59" t="s">
        <v>295</v>
      </c>
      <c r="B207" s="59" t="s">
        <v>296</v>
      </c>
      <c r="C207" s="59">
        <v>2045</v>
      </c>
      <c r="D207" s="59" t="s">
        <v>297</v>
      </c>
      <c r="E207" s="59" t="s">
        <v>308</v>
      </c>
      <c r="F207" s="59" t="s">
        <v>302</v>
      </c>
      <c r="G207" s="59" t="s">
        <v>303</v>
      </c>
      <c r="H207" s="59">
        <v>0.1</v>
      </c>
      <c r="I207" s="59" t="s">
        <v>301</v>
      </c>
    </row>
    <row r="208" spans="1:11" hidden="1" x14ac:dyDescent="0.75">
      <c r="A208" s="59" t="s">
        <v>295</v>
      </c>
      <c r="B208" s="59" t="s">
        <v>296</v>
      </c>
      <c r="C208" s="59">
        <v>2055</v>
      </c>
      <c r="D208" s="59" t="s">
        <v>297</v>
      </c>
      <c r="E208" s="59" t="s">
        <v>308</v>
      </c>
      <c r="F208" s="59" t="s">
        <v>302</v>
      </c>
      <c r="G208" s="59" t="s">
        <v>303</v>
      </c>
      <c r="H208" s="59">
        <v>0</v>
      </c>
      <c r="I208" s="59" t="s">
        <v>301</v>
      </c>
    </row>
    <row r="209" spans="1:11" x14ac:dyDescent="0.75">
      <c r="A209" s="59" t="s">
        <v>295</v>
      </c>
      <c r="B209" s="59" t="s">
        <v>296</v>
      </c>
      <c r="C209" s="59">
        <v>2025</v>
      </c>
      <c r="D209" s="59" t="s">
        <v>297</v>
      </c>
      <c r="E209" s="59" t="s">
        <v>308</v>
      </c>
      <c r="F209" s="59" t="s">
        <v>299</v>
      </c>
      <c r="G209" s="59" t="s">
        <v>314</v>
      </c>
      <c r="H209" s="59">
        <v>1.4</v>
      </c>
      <c r="I209" s="59" t="s">
        <v>301</v>
      </c>
      <c r="K209" s="59" t="str">
        <f>INDEX('EPA land and ag calcs'!$G$7:$G$14,MATCH('EPA land and ag potential'!E209,'EPA land and ag calcs'!$A$7:$A$15,0))</f>
        <v>forest management</v>
      </c>
    </row>
    <row r="210" spans="1:11" x14ac:dyDescent="0.75">
      <c r="A210" s="59" t="s">
        <v>295</v>
      </c>
      <c r="B210" s="59" t="s">
        <v>296</v>
      </c>
      <c r="C210" s="59">
        <v>2035</v>
      </c>
      <c r="D210" s="59" t="s">
        <v>297</v>
      </c>
      <c r="E210" s="59" t="s">
        <v>308</v>
      </c>
      <c r="F210" s="59" t="s">
        <v>299</v>
      </c>
      <c r="G210" s="59" t="s">
        <v>314</v>
      </c>
      <c r="H210" s="59">
        <v>1.3</v>
      </c>
      <c r="I210" s="59" t="s">
        <v>301</v>
      </c>
      <c r="K210" s="59" t="str">
        <f>INDEX('EPA land and ag calcs'!$G$7:$G$14,MATCH('EPA land and ag potential'!E210,'EPA land and ag calcs'!$A$7:$A$15,0))</f>
        <v>forest management</v>
      </c>
    </row>
    <row r="211" spans="1:11" x14ac:dyDescent="0.75">
      <c r="A211" s="59" t="s">
        <v>295</v>
      </c>
      <c r="B211" s="59" t="s">
        <v>296</v>
      </c>
      <c r="C211" s="59">
        <v>2045</v>
      </c>
      <c r="D211" s="59" t="s">
        <v>297</v>
      </c>
      <c r="E211" s="59" t="s">
        <v>308</v>
      </c>
      <c r="F211" s="59" t="s">
        <v>299</v>
      </c>
      <c r="G211" s="59" t="s">
        <v>314</v>
      </c>
      <c r="H211" s="59">
        <v>1.3</v>
      </c>
      <c r="I211" s="59" t="s">
        <v>301</v>
      </c>
      <c r="K211" s="59" t="str">
        <f>INDEX('EPA land and ag calcs'!$G$7:$G$14,MATCH('EPA land and ag potential'!E211,'EPA land and ag calcs'!$A$7:$A$15,0))</f>
        <v>forest management</v>
      </c>
    </row>
    <row r="212" spans="1:11" x14ac:dyDescent="0.75">
      <c r="A212" s="59" t="s">
        <v>295</v>
      </c>
      <c r="B212" s="59" t="s">
        <v>296</v>
      </c>
      <c r="C212" s="59">
        <v>2055</v>
      </c>
      <c r="D212" s="59" t="s">
        <v>297</v>
      </c>
      <c r="E212" s="59" t="s">
        <v>308</v>
      </c>
      <c r="F212" s="59" t="s">
        <v>299</v>
      </c>
      <c r="G212" s="59" t="s">
        <v>314</v>
      </c>
      <c r="H212" s="59">
        <v>1.2</v>
      </c>
      <c r="I212" s="59" t="s">
        <v>301</v>
      </c>
      <c r="K212" s="59" t="str">
        <f>INDEX('EPA land and ag calcs'!$G$7:$G$14,MATCH('EPA land and ag potential'!E212,'EPA land and ag calcs'!$A$7:$A$15,0))</f>
        <v>forest management</v>
      </c>
    </row>
    <row r="213" spans="1:11" x14ac:dyDescent="0.75">
      <c r="A213" s="59" t="s">
        <v>295</v>
      </c>
      <c r="B213" s="59" t="s">
        <v>296</v>
      </c>
      <c r="C213" s="59">
        <v>2045</v>
      </c>
      <c r="D213" s="59" t="s">
        <v>297</v>
      </c>
      <c r="E213" s="59" t="s">
        <v>309</v>
      </c>
      <c r="F213" s="59" t="s">
        <v>299</v>
      </c>
      <c r="G213" s="59" t="s">
        <v>303</v>
      </c>
      <c r="H213" s="59">
        <v>-33.299999999999997</v>
      </c>
      <c r="I213" s="59" t="s">
        <v>301</v>
      </c>
      <c r="K213" s="59" t="str">
        <f>INDEX('EPA land and ag calcs'!$G$7:$G$14,MATCH('EPA land and ag potential'!E213,'EPA land and ag calcs'!$A$7:$A$15,0))</f>
        <v>afforestation and reforestation</v>
      </c>
    </row>
    <row r="214" spans="1:11" x14ac:dyDescent="0.75">
      <c r="A214" s="59" t="s">
        <v>295</v>
      </c>
      <c r="B214" s="59" t="s">
        <v>296</v>
      </c>
      <c r="C214" s="59">
        <v>2055</v>
      </c>
      <c r="D214" s="59" t="s">
        <v>297</v>
      </c>
      <c r="E214" s="59" t="s">
        <v>309</v>
      </c>
      <c r="F214" s="59" t="s">
        <v>299</v>
      </c>
      <c r="G214" s="59" t="s">
        <v>303</v>
      </c>
      <c r="H214" s="59">
        <v>-27.3</v>
      </c>
      <c r="I214" s="59" t="s">
        <v>301</v>
      </c>
      <c r="K214" s="59" t="str">
        <f>INDEX('EPA land and ag calcs'!$G$7:$G$14,MATCH('EPA land and ag potential'!E214,'EPA land and ag calcs'!$A$7:$A$15,0))</f>
        <v>afforestation and reforestation</v>
      </c>
    </row>
    <row r="215" spans="1:11" hidden="1" x14ac:dyDescent="0.75">
      <c r="A215" s="59" t="s">
        <v>295</v>
      </c>
      <c r="B215" s="59" t="s">
        <v>296</v>
      </c>
      <c r="C215" s="59">
        <v>2025</v>
      </c>
      <c r="D215" s="59" t="s">
        <v>297</v>
      </c>
      <c r="E215" s="59" t="s">
        <v>309</v>
      </c>
      <c r="F215" s="59" t="s">
        <v>302</v>
      </c>
      <c r="G215" s="59" t="s">
        <v>303</v>
      </c>
      <c r="H215" s="59">
        <v>-17.600000000000001</v>
      </c>
      <c r="I215" s="59" t="s">
        <v>301</v>
      </c>
    </row>
    <row r="216" spans="1:11" hidden="1" x14ac:dyDescent="0.75">
      <c r="A216" s="59" t="s">
        <v>295</v>
      </c>
      <c r="B216" s="59" t="s">
        <v>296</v>
      </c>
      <c r="C216" s="59">
        <v>2035</v>
      </c>
      <c r="D216" s="59" t="s">
        <v>297</v>
      </c>
      <c r="E216" s="59" t="s">
        <v>309</v>
      </c>
      <c r="F216" s="59" t="s">
        <v>302</v>
      </c>
      <c r="G216" s="59" t="s">
        <v>303</v>
      </c>
      <c r="H216" s="59">
        <v>-13.2</v>
      </c>
      <c r="I216" s="59" t="s">
        <v>301</v>
      </c>
    </row>
    <row r="217" spans="1:11" hidden="1" x14ac:dyDescent="0.75">
      <c r="A217" s="59" t="s">
        <v>295</v>
      </c>
      <c r="B217" s="59" t="s">
        <v>296</v>
      </c>
      <c r="C217" s="59">
        <v>2045</v>
      </c>
      <c r="D217" s="59" t="s">
        <v>297</v>
      </c>
      <c r="E217" s="59" t="s">
        <v>309</v>
      </c>
      <c r="F217" s="59" t="s">
        <v>302</v>
      </c>
      <c r="G217" s="59" t="s">
        <v>303</v>
      </c>
      <c r="H217" s="59">
        <v>-6.1</v>
      </c>
      <c r="I217" s="59" t="s">
        <v>301</v>
      </c>
    </row>
    <row r="218" spans="1:11" hidden="1" x14ac:dyDescent="0.75">
      <c r="A218" s="59" t="s">
        <v>295</v>
      </c>
      <c r="B218" s="59" t="s">
        <v>296</v>
      </c>
      <c r="C218" s="59">
        <v>2055</v>
      </c>
      <c r="D218" s="59" t="s">
        <v>297</v>
      </c>
      <c r="E218" s="59" t="s">
        <v>309</v>
      </c>
      <c r="F218" s="59" t="s">
        <v>302</v>
      </c>
      <c r="G218" s="59" t="s">
        <v>303</v>
      </c>
      <c r="H218" s="59">
        <v>-7.9</v>
      </c>
      <c r="I218" s="59" t="s">
        <v>301</v>
      </c>
    </row>
    <row r="219" spans="1:11" x14ac:dyDescent="0.75">
      <c r="A219" s="59" t="s">
        <v>295</v>
      </c>
      <c r="B219" s="59" t="s">
        <v>296</v>
      </c>
      <c r="C219" s="59">
        <v>2025</v>
      </c>
      <c r="D219" s="59" t="s">
        <v>297</v>
      </c>
      <c r="E219" s="59" t="s">
        <v>309</v>
      </c>
      <c r="F219" s="59" t="s">
        <v>299</v>
      </c>
      <c r="G219" s="59" t="s">
        <v>314</v>
      </c>
      <c r="H219" s="59">
        <v>-101.2</v>
      </c>
      <c r="I219" s="59" t="s">
        <v>301</v>
      </c>
      <c r="K219" s="59" t="str">
        <f>INDEX('EPA land and ag calcs'!$G$7:$G$14,MATCH('EPA land and ag potential'!E219,'EPA land and ag calcs'!$A$7:$A$15,0))</f>
        <v>afforestation and reforestation</v>
      </c>
    </row>
    <row r="220" spans="1:11" x14ac:dyDescent="0.75">
      <c r="A220" s="59" t="s">
        <v>295</v>
      </c>
      <c r="B220" s="59" t="s">
        <v>296</v>
      </c>
      <c r="C220" s="59">
        <v>2035</v>
      </c>
      <c r="D220" s="59" t="s">
        <v>297</v>
      </c>
      <c r="E220" s="59" t="s">
        <v>309</v>
      </c>
      <c r="F220" s="59" t="s">
        <v>299</v>
      </c>
      <c r="G220" s="59" t="s">
        <v>314</v>
      </c>
      <c r="H220" s="59">
        <v>-131.1</v>
      </c>
      <c r="I220" s="59" t="s">
        <v>301</v>
      </c>
      <c r="K220" s="59" t="str">
        <f>INDEX('EPA land and ag calcs'!$G$7:$G$14,MATCH('EPA land and ag potential'!E220,'EPA land and ag calcs'!$A$7:$A$15,0))</f>
        <v>afforestation and reforestation</v>
      </c>
    </row>
    <row r="221" spans="1:11" x14ac:dyDescent="0.75">
      <c r="A221" s="59" t="s">
        <v>295</v>
      </c>
      <c r="B221" s="59" t="s">
        <v>296</v>
      </c>
      <c r="C221" s="59">
        <v>2045</v>
      </c>
      <c r="D221" s="59" t="s">
        <v>297</v>
      </c>
      <c r="E221" s="59" t="s">
        <v>309</v>
      </c>
      <c r="F221" s="59" t="s">
        <v>299</v>
      </c>
      <c r="G221" s="59" t="s">
        <v>314</v>
      </c>
      <c r="H221" s="59">
        <v>-124.7</v>
      </c>
      <c r="I221" s="59" t="s">
        <v>301</v>
      </c>
      <c r="K221" s="59" t="str">
        <f>INDEX('EPA land and ag calcs'!$G$7:$G$14,MATCH('EPA land and ag potential'!E221,'EPA land and ag calcs'!$A$7:$A$15,0))</f>
        <v>afforestation and reforestation</v>
      </c>
    </row>
    <row r="222" spans="1:11" x14ac:dyDescent="0.75">
      <c r="A222" s="59" t="s">
        <v>295</v>
      </c>
      <c r="B222" s="59" t="s">
        <v>296</v>
      </c>
      <c r="C222" s="59">
        <v>2055</v>
      </c>
      <c r="D222" s="59" t="s">
        <v>297</v>
      </c>
      <c r="E222" s="59" t="s">
        <v>309</v>
      </c>
      <c r="F222" s="59" t="s">
        <v>299</v>
      </c>
      <c r="G222" s="59" t="s">
        <v>314</v>
      </c>
      <c r="H222" s="59">
        <v>-112.3</v>
      </c>
      <c r="I222" s="59" t="s">
        <v>301</v>
      </c>
      <c r="K222" s="59" t="str">
        <f>INDEX('EPA land and ag calcs'!$G$7:$G$14,MATCH('EPA land and ag potential'!E222,'EPA land and ag calcs'!$A$7:$A$15,0))</f>
        <v>afforestation and reforestation</v>
      </c>
    </row>
    <row r="223" spans="1:11" x14ac:dyDescent="0.75">
      <c r="A223" s="59" t="s">
        <v>295</v>
      </c>
      <c r="B223" s="59" t="s">
        <v>296</v>
      </c>
      <c r="C223" s="59">
        <v>2045</v>
      </c>
      <c r="D223" s="59" t="s">
        <v>297</v>
      </c>
      <c r="E223" s="59" t="s">
        <v>310</v>
      </c>
      <c r="F223" s="59" t="s">
        <v>299</v>
      </c>
      <c r="G223" s="59" t="s">
        <v>303</v>
      </c>
      <c r="H223" s="59">
        <v>-2.1</v>
      </c>
      <c r="I223" s="59" t="s">
        <v>301</v>
      </c>
      <c r="K223" s="59" t="str">
        <f>INDEX('EPA land and ag calcs'!$G$7:$G$14,MATCH('EPA land and ag potential'!E223,'EPA land and ag calcs'!$A$7:$A$15,0))</f>
        <v>*handled in agriculture files</v>
      </c>
    </row>
    <row r="224" spans="1:11" x14ac:dyDescent="0.75">
      <c r="A224" s="59" t="s">
        <v>295</v>
      </c>
      <c r="B224" s="59" t="s">
        <v>296</v>
      </c>
      <c r="C224" s="59">
        <v>2055</v>
      </c>
      <c r="D224" s="59" t="s">
        <v>297</v>
      </c>
      <c r="E224" s="59" t="s">
        <v>310</v>
      </c>
      <c r="F224" s="59" t="s">
        <v>299</v>
      </c>
      <c r="G224" s="59" t="s">
        <v>303</v>
      </c>
      <c r="H224" s="59">
        <v>-4.5</v>
      </c>
      <c r="I224" s="59" t="s">
        <v>301</v>
      </c>
      <c r="K224" s="59" t="str">
        <f>INDEX('EPA land and ag calcs'!$G$7:$G$14,MATCH('EPA land and ag potential'!E224,'EPA land and ag calcs'!$A$7:$A$15,0))</f>
        <v>*handled in agriculture files</v>
      </c>
    </row>
    <row r="225" spans="1:11" hidden="1" x14ac:dyDescent="0.75">
      <c r="A225" s="59" t="s">
        <v>295</v>
      </c>
      <c r="B225" s="59" t="s">
        <v>296</v>
      </c>
      <c r="C225" s="59">
        <v>2025</v>
      </c>
      <c r="D225" s="59" t="s">
        <v>297</v>
      </c>
      <c r="E225" s="59" t="s">
        <v>310</v>
      </c>
      <c r="F225" s="59" t="s">
        <v>302</v>
      </c>
      <c r="G225" s="59" t="s">
        <v>303</v>
      </c>
      <c r="H225" s="59">
        <v>-0.1</v>
      </c>
      <c r="I225" s="59" t="s">
        <v>301</v>
      </c>
    </row>
    <row r="226" spans="1:11" hidden="1" x14ac:dyDescent="0.75">
      <c r="A226" s="59" t="s">
        <v>295</v>
      </c>
      <c r="B226" s="59" t="s">
        <v>296</v>
      </c>
      <c r="C226" s="59">
        <v>2035</v>
      </c>
      <c r="D226" s="59" t="s">
        <v>297</v>
      </c>
      <c r="E226" s="59" t="s">
        <v>310</v>
      </c>
      <c r="F226" s="59" t="s">
        <v>302</v>
      </c>
      <c r="G226" s="59" t="s">
        <v>303</v>
      </c>
      <c r="H226" s="59">
        <v>-0.2</v>
      </c>
      <c r="I226" s="59" t="s">
        <v>301</v>
      </c>
    </row>
    <row r="227" spans="1:11" hidden="1" x14ac:dyDescent="0.75">
      <c r="A227" s="59" t="s">
        <v>295</v>
      </c>
      <c r="B227" s="59" t="s">
        <v>296</v>
      </c>
      <c r="C227" s="59">
        <v>2045</v>
      </c>
      <c r="D227" s="59" t="s">
        <v>297</v>
      </c>
      <c r="E227" s="59" t="s">
        <v>310</v>
      </c>
      <c r="F227" s="59" t="s">
        <v>302</v>
      </c>
      <c r="G227" s="59" t="s">
        <v>303</v>
      </c>
      <c r="H227" s="59">
        <v>-0.5</v>
      </c>
      <c r="I227" s="59" t="s">
        <v>301</v>
      </c>
    </row>
    <row r="228" spans="1:11" hidden="1" x14ac:dyDescent="0.75">
      <c r="A228" s="59" t="s">
        <v>295</v>
      </c>
      <c r="B228" s="59" t="s">
        <v>296</v>
      </c>
      <c r="C228" s="59">
        <v>2055</v>
      </c>
      <c r="D228" s="59" t="s">
        <v>297</v>
      </c>
      <c r="E228" s="59" t="s">
        <v>310</v>
      </c>
      <c r="F228" s="59" t="s">
        <v>302</v>
      </c>
      <c r="G228" s="59" t="s">
        <v>303</v>
      </c>
      <c r="H228" s="59">
        <v>-2.4</v>
      </c>
      <c r="I228" s="59" t="s">
        <v>301</v>
      </c>
    </row>
    <row r="229" spans="1:11" x14ac:dyDescent="0.75">
      <c r="A229" s="59" t="s">
        <v>295</v>
      </c>
      <c r="B229" s="59" t="s">
        <v>296</v>
      </c>
      <c r="C229" s="59">
        <v>2025</v>
      </c>
      <c r="D229" s="59" t="s">
        <v>297</v>
      </c>
      <c r="E229" s="59" t="s">
        <v>310</v>
      </c>
      <c r="F229" s="59" t="s">
        <v>299</v>
      </c>
      <c r="G229" s="59" t="s">
        <v>314</v>
      </c>
      <c r="H229" s="59">
        <v>-10</v>
      </c>
      <c r="I229" s="59" t="s">
        <v>301</v>
      </c>
      <c r="K229" s="59" t="str">
        <f>INDEX('EPA land and ag calcs'!$G$7:$G$14,MATCH('EPA land and ag potential'!E229,'EPA land and ag calcs'!$A$7:$A$15,0))</f>
        <v>*handled in agriculture files</v>
      </c>
    </row>
    <row r="230" spans="1:11" x14ac:dyDescent="0.75">
      <c r="A230" s="59" t="s">
        <v>295</v>
      </c>
      <c r="B230" s="59" t="s">
        <v>296</v>
      </c>
      <c r="C230" s="59">
        <v>2035</v>
      </c>
      <c r="D230" s="59" t="s">
        <v>297</v>
      </c>
      <c r="E230" s="59" t="s">
        <v>310</v>
      </c>
      <c r="F230" s="59" t="s">
        <v>299</v>
      </c>
      <c r="G230" s="59" t="s">
        <v>314</v>
      </c>
      <c r="H230" s="59">
        <v>-15</v>
      </c>
      <c r="I230" s="59" t="s">
        <v>301</v>
      </c>
      <c r="K230" s="59" t="str">
        <f>INDEX('EPA land and ag calcs'!$G$7:$G$14,MATCH('EPA land and ag potential'!E230,'EPA land and ag calcs'!$A$7:$A$15,0))</f>
        <v>*handled in agriculture files</v>
      </c>
    </row>
    <row r="231" spans="1:11" x14ac:dyDescent="0.75">
      <c r="A231" s="59" t="s">
        <v>295</v>
      </c>
      <c r="B231" s="59" t="s">
        <v>296</v>
      </c>
      <c r="C231" s="59">
        <v>2045</v>
      </c>
      <c r="D231" s="59" t="s">
        <v>297</v>
      </c>
      <c r="E231" s="59" t="s">
        <v>310</v>
      </c>
      <c r="F231" s="59" t="s">
        <v>299</v>
      </c>
      <c r="G231" s="59" t="s">
        <v>314</v>
      </c>
      <c r="H231" s="59">
        <v>-28.5</v>
      </c>
      <c r="I231" s="59" t="s">
        <v>301</v>
      </c>
      <c r="K231" s="59" t="str">
        <f>INDEX('EPA land and ag calcs'!$G$7:$G$14,MATCH('EPA land and ag potential'!E231,'EPA land and ag calcs'!$A$7:$A$15,0))</f>
        <v>*handled in agriculture files</v>
      </c>
    </row>
    <row r="232" spans="1:11" x14ac:dyDescent="0.75">
      <c r="A232" s="59" t="s">
        <v>295</v>
      </c>
      <c r="B232" s="59" t="s">
        <v>296</v>
      </c>
      <c r="C232" s="59">
        <v>2055</v>
      </c>
      <c r="D232" s="59" t="s">
        <v>297</v>
      </c>
      <c r="E232" s="59" t="s">
        <v>310</v>
      </c>
      <c r="F232" s="59" t="s">
        <v>299</v>
      </c>
      <c r="G232" s="59" t="s">
        <v>314</v>
      </c>
      <c r="H232" s="59">
        <v>-35.5</v>
      </c>
      <c r="I232" s="59" t="s">
        <v>301</v>
      </c>
      <c r="K232" s="59" t="str">
        <f>INDEX('EPA land and ag calcs'!$G$7:$G$14,MATCH('EPA land and ag potential'!E232,'EPA land and ag calcs'!$A$7:$A$15,0))</f>
        <v>*handled in agriculture files</v>
      </c>
    </row>
    <row r="233" spans="1:11" hidden="1" x14ac:dyDescent="0.75">
      <c r="A233" s="59" t="s">
        <v>295</v>
      </c>
      <c r="B233" s="59" t="s">
        <v>311</v>
      </c>
      <c r="C233" s="59">
        <v>2035</v>
      </c>
      <c r="D233" s="59" t="s">
        <v>297</v>
      </c>
      <c r="E233" s="59" t="s">
        <v>259</v>
      </c>
      <c r="F233" s="59" t="s">
        <v>302</v>
      </c>
      <c r="G233" s="59" t="s">
        <v>312</v>
      </c>
      <c r="H233" s="59">
        <v>-328.3</v>
      </c>
      <c r="I233" s="59" t="s">
        <v>301</v>
      </c>
    </row>
    <row r="234" spans="1:11" hidden="1" x14ac:dyDescent="0.75">
      <c r="A234" s="59" t="s">
        <v>295</v>
      </c>
      <c r="B234" s="59" t="s">
        <v>311</v>
      </c>
      <c r="C234" s="59">
        <v>2035</v>
      </c>
      <c r="D234" s="59" t="s">
        <v>297</v>
      </c>
      <c r="E234" s="59" t="s">
        <v>259</v>
      </c>
      <c r="F234" s="59" t="s">
        <v>302</v>
      </c>
      <c r="G234" s="59" t="s">
        <v>313</v>
      </c>
      <c r="H234" s="59">
        <v>-104.5</v>
      </c>
      <c r="I234" s="59" t="s">
        <v>301</v>
      </c>
    </row>
    <row r="235" spans="1:11" hidden="1" x14ac:dyDescent="0.75">
      <c r="A235" s="59" t="s">
        <v>295</v>
      </c>
      <c r="B235" s="59" t="s">
        <v>311</v>
      </c>
      <c r="C235" s="59">
        <v>2035</v>
      </c>
      <c r="D235" s="59" t="s">
        <v>297</v>
      </c>
      <c r="E235" s="59" t="s">
        <v>259</v>
      </c>
      <c r="F235" s="59" t="s">
        <v>302</v>
      </c>
      <c r="G235" s="59" t="s">
        <v>314</v>
      </c>
      <c r="H235" s="59">
        <v>-198.2</v>
      </c>
      <c r="I235" s="59" t="s">
        <v>301</v>
      </c>
    </row>
    <row r="236" spans="1:11" hidden="1" x14ac:dyDescent="0.75">
      <c r="A236" s="59" t="s">
        <v>295</v>
      </c>
      <c r="B236" s="59" t="s">
        <v>311</v>
      </c>
      <c r="C236" s="59">
        <v>2035</v>
      </c>
      <c r="D236" s="59" t="s">
        <v>297</v>
      </c>
      <c r="E236" s="59" t="s">
        <v>259</v>
      </c>
      <c r="F236" s="59" t="s">
        <v>302</v>
      </c>
      <c r="G236" s="59" t="s">
        <v>303</v>
      </c>
      <c r="H236" s="59">
        <v>-40.5</v>
      </c>
      <c r="I236" s="59" t="s">
        <v>301</v>
      </c>
    </row>
    <row r="237" spans="1:11" hidden="1" x14ac:dyDescent="0.75">
      <c r="A237" s="59" t="s">
        <v>295</v>
      </c>
      <c r="B237" s="59" t="s">
        <v>311</v>
      </c>
      <c r="C237" s="59">
        <v>2035</v>
      </c>
      <c r="D237" s="59" t="s">
        <v>297</v>
      </c>
      <c r="E237" s="59" t="s">
        <v>259</v>
      </c>
      <c r="F237" s="59" t="s">
        <v>302</v>
      </c>
      <c r="G237" s="59" t="s">
        <v>300</v>
      </c>
      <c r="H237" s="59">
        <v>-259.39999999999998</v>
      </c>
      <c r="I237" s="59" t="s">
        <v>301</v>
      </c>
    </row>
    <row r="238" spans="1:11" x14ac:dyDescent="0.75">
      <c r="A238" s="59" t="s">
        <v>295</v>
      </c>
      <c r="B238" s="59" t="s">
        <v>311</v>
      </c>
      <c r="C238" s="59">
        <v>2035</v>
      </c>
      <c r="D238" s="59" t="s">
        <v>297</v>
      </c>
      <c r="E238" s="59" t="s">
        <v>259</v>
      </c>
      <c r="F238" s="59" t="s">
        <v>299</v>
      </c>
      <c r="G238" s="59" t="s">
        <v>312</v>
      </c>
      <c r="H238" s="59">
        <v>-247.6</v>
      </c>
      <c r="I238" s="59" t="s">
        <v>301</v>
      </c>
      <c r="K238" s="59" t="e">
        <f>INDEX('EPA land and ag calcs'!$G$7:$G$14,MATCH('EPA land and ag potential'!E238,'EPA land and ag calcs'!$A$7:$A$15,0))</f>
        <v>#REF!</v>
      </c>
    </row>
    <row r="239" spans="1:11" x14ac:dyDescent="0.75">
      <c r="A239" s="59" t="s">
        <v>295</v>
      </c>
      <c r="B239" s="59" t="s">
        <v>311</v>
      </c>
      <c r="C239" s="59">
        <v>2035</v>
      </c>
      <c r="D239" s="59" t="s">
        <v>297</v>
      </c>
      <c r="E239" s="59" t="s">
        <v>259</v>
      </c>
      <c r="F239" s="59" t="s">
        <v>299</v>
      </c>
      <c r="G239" s="59" t="s">
        <v>313</v>
      </c>
      <c r="H239" s="59">
        <v>-78.2</v>
      </c>
      <c r="I239" s="59" t="s">
        <v>301</v>
      </c>
      <c r="K239" s="59" t="e">
        <f>INDEX('EPA land and ag calcs'!$G$7:$G$14,MATCH('EPA land and ag potential'!E239,'EPA land and ag calcs'!$A$7:$A$15,0))</f>
        <v>#REF!</v>
      </c>
    </row>
    <row r="240" spans="1:11" x14ac:dyDescent="0.75">
      <c r="A240" s="59" t="s">
        <v>295</v>
      </c>
      <c r="B240" s="59" t="s">
        <v>311</v>
      </c>
      <c r="C240" s="59">
        <v>2035</v>
      </c>
      <c r="D240" s="59" t="s">
        <v>297</v>
      </c>
      <c r="E240" s="59" t="s">
        <v>259</v>
      </c>
      <c r="F240" s="59" t="s">
        <v>299</v>
      </c>
      <c r="G240" s="59" t="s">
        <v>314</v>
      </c>
      <c r="H240" s="59">
        <v>-131.5</v>
      </c>
      <c r="I240" s="59" t="s">
        <v>301</v>
      </c>
      <c r="K240" s="59" t="e">
        <f>INDEX('EPA land and ag calcs'!$G$7:$G$14,MATCH('EPA land and ag potential'!E240,'EPA land and ag calcs'!$A$7:$A$15,0))</f>
        <v>#REF!</v>
      </c>
    </row>
    <row r="241" spans="1:11" x14ac:dyDescent="0.75">
      <c r="A241" s="59" t="s">
        <v>295</v>
      </c>
      <c r="B241" s="59" t="s">
        <v>311</v>
      </c>
      <c r="C241" s="59">
        <v>2035</v>
      </c>
      <c r="D241" s="59" t="s">
        <v>297</v>
      </c>
      <c r="E241" s="59" t="s">
        <v>259</v>
      </c>
      <c r="F241" s="59" t="s">
        <v>299</v>
      </c>
      <c r="G241" s="59" t="s">
        <v>303</v>
      </c>
      <c r="H241" s="59">
        <v>-16.5</v>
      </c>
      <c r="I241" s="59" t="s">
        <v>301</v>
      </c>
      <c r="K241" s="59" t="e">
        <f>INDEX('EPA land and ag calcs'!$G$7:$G$14,MATCH('EPA land and ag potential'!E241,'EPA land and ag calcs'!$A$7:$A$15,0))</f>
        <v>#REF!</v>
      </c>
    </row>
    <row r="242" spans="1:11" x14ac:dyDescent="0.75">
      <c r="A242" s="59" t="s">
        <v>295</v>
      </c>
      <c r="B242" s="59" t="s">
        <v>311</v>
      </c>
      <c r="C242" s="59">
        <v>2035</v>
      </c>
      <c r="D242" s="59" t="s">
        <v>297</v>
      </c>
      <c r="E242" s="59" t="s">
        <v>259</v>
      </c>
      <c r="F242" s="59" t="s">
        <v>299</v>
      </c>
      <c r="G242" s="59" t="s">
        <v>300</v>
      </c>
      <c r="H242" s="59">
        <v>-196.8</v>
      </c>
      <c r="I242" s="59" t="s">
        <v>301</v>
      </c>
      <c r="K242" s="59" t="e">
        <f>INDEX('EPA land and ag calcs'!$G$7:$G$14,MATCH('EPA land and ag potential'!E242,'EPA land and ag calcs'!$A$7:$A$15,0))</f>
        <v>#REF!</v>
      </c>
    </row>
    <row r="243" spans="1:11" hidden="1" x14ac:dyDescent="0.75">
      <c r="A243" s="59" t="s">
        <v>295</v>
      </c>
      <c r="B243" s="59" t="s">
        <v>311</v>
      </c>
      <c r="C243" s="59">
        <v>2035</v>
      </c>
      <c r="D243" s="59" t="s">
        <v>315</v>
      </c>
      <c r="E243" s="59" t="s">
        <v>259</v>
      </c>
      <c r="F243" s="59" t="s">
        <v>299</v>
      </c>
      <c r="G243" s="59" t="s">
        <v>300</v>
      </c>
      <c r="H243" s="59">
        <v>-183.1</v>
      </c>
      <c r="I243" s="59" t="s">
        <v>301</v>
      </c>
    </row>
    <row r="244" spans="1:11" hidden="1" x14ac:dyDescent="0.75">
      <c r="A244" s="59" t="s">
        <v>295</v>
      </c>
      <c r="B244" s="59" t="s">
        <v>311</v>
      </c>
      <c r="C244" s="59">
        <v>2035</v>
      </c>
      <c r="D244" s="59" t="s">
        <v>315</v>
      </c>
      <c r="E244" s="59" t="s">
        <v>259</v>
      </c>
      <c r="F244" s="59" t="s">
        <v>302</v>
      </c>
      <c r="G244" s="59" t="s">
        <v>300</v>
      </c>
      <c r="H244" s="59">
        <v>-180.4</v>
      </c>
      <c r="I244" s="59" t="s">
        <v>301</v>
      </c>
    </row>
    <row r="245" spans="1:11" hidden="1" x14ac:dyDescent="0.75">
      <c r="A245" s="59" t="s">
        <v>295</v>
      </c>
      <c r="B245" s="59" t="s">
        <v>311</v>
      </c>
      <c r="C245" s="59">
        <v>2035</v>
      </c>
      <c r="D245" s="59" t="s">
        <v>315</v>
      </c>
      <c r="E245" s="59" t="s">
        <v>259</v>
      </c>
      <c r="F245" s="59" t="s">
        <v>299</v>
      </c>
      <c r="G245" s="59" t="s">
        <v>303</v>
      </c>
      <c r="H245" s="59">
        <v>-111.3</v>
      </c>
      <c r="I245" s="59" t="s">
        <v>301</v>
      </c>
    </row>
    <row r="246" spans="1:11" hidden="1" x14ac:dyDescent="0.75">
      <c r="A246" s="59" t="s">
        <v>295</v>
      </c>
      <c r="B246" s="59" t="s">
        <v>311</v>
      </c>
      <c r="C246" s="59">
        <v>2035</v>
      </c>
      <c r="D246" s="59" t="s">
        <v>315</v>
      </c>
      <c r="E246" s="59" t="s">
        <v>259</v>
      </c>
      <c r="F246" s="59" t="s">
        <v>302</v>
      </c>
      <c r="G246" s="59" t="s">
        <v>303</v>
      </c>
      <c r="H246" s="59">
        <v>-110.7</v>
      </c>
      <c r="I246" s="59" t="s">
        <v>301</v>
      </c>
    </row>
    <row r="247" spans="1:11" hidden="1" x14ac:dyDescent="0.75">
      <c r="A247" s="59" t="s">
        <v>295</v>
      </c>
      <c r="B247" s="59" t="s">
        <v>311</v>
      </c>
      <c r="C247" s="59">
        <v>2035</v>
      </c>
      <c r="D247" s="59" t="s">
        <v>315</v>
      </c>
      <c r="E247" s="59" t="s">
        <v>259</v>
      </c>
      <c r="F247" s="59" t="s">
        <v>299</v>
      </c>
      <c r="G247" s="59" t="s">
        <v>314</v>
      </c>
      <c r="H247" s="59">
        <v>-171.9</v>
      </c>
      <c r="I247" s="59" t="s">
        <v>301</v>
      </c>
    </row>
    <row r="248" spans="1:11" hidden="1" x14ac:dyDescent="0.75">
      <c r="A248" s="59" t="s">
        <v>295</v>
      </c>
      <c r="B248" s="59" t="s">
        <v>311</v>
      </c>
      <c r="C248" s="59">
        <v>2035</v>
      </c>
      <c r="D248" s="59" t="s">
        <v>315</v>
      </c>
      <c r="E248" s="59" t="s">
        <v>259</v>
      </c>
      <c r="F248" s="59" t="s">
        <v>302</v>
      </c>
      <c r="G248" s="59" t="s">
        <v>314</v>
      </c>
      <c r="H248" s="59">
        <v>-168</v>
      </c>
      <c r="I248" s="59" t="s">
        <v>301</v>
      </c>
    </row>
    <row r="249" spans="1:11" hidden="1" x14ac:dyDescent="0.75">
      <c r="A249" s="59" t="s">
        <v>295</v>
      </c>
      <c r="B249" s="59" t="s">
        <v>311</v>
      </c>
      <c r="C249" s="59">
        <v>2035</v>
      </c>
      <c r="D249" s="59" t="s">
        <v>315</v>
      </c>
      <c r="E249" s="59" t="s">
        <v>259</v>
      </c>
      <c r="F249" s="59" t="s">
        <v>299</v>
      </c>
      <c r="G249" s="59" t="s">
        <v>313</v>
      </c>
      <c r="H249" s="59">
        <v>-148.5</v>
      </c>
      <c r="I249" s="59" t="s">
        <v>301</v>
      </c>
    </row>
    <row r="250" spans="1:11" hidden="1" x14ac:dyDescent="0.75">
      <c r="A250" s="59" t="s">
        <v>295</v>
      </c>
      <c r="B250" s="59" t="s">
        <v>311</v>
      </c>
      <c r="C250" s="59">
        <v>2035</v>
      </c>
      <c r="D250" s="59" t="s">
        <v>315</v>
      </c>
      <c r="E250" s="59" t="s">
        <v>259</v>
      </c>
      <c r="F250" s="59" t="s">
        <v>302</v>
      </c>
      <c r="G250" s="59" t="s">
        <v>313</v>
      </c>
      <c r="H250" s="59">
        <v>-142</v>
      </c>
      <c r="I250" s="59" t="s">
        <v>301</v>
      </c>
    </row>
    <row r="251" spans="1:11" hidden="1" x14ac:dyDescent="0.75">
      <c r="A251" s="59" t="s">
        <v>295</v>
      </c>
      <c r="B251" s="59" t="s">
        <v>311</v>
      </c>
      <c r="C251" s="59">
        <v>2045</v>
      </c>
      <c r="D251" s="59" t="s">
        <v>315</v>
      </c>
      <c r="E251" s="59" t="s">
        <v>259</v>
      </c>
      <c r="F251" s="59" t="s">
        <v>299</v>
      </c>
      <c r="G251" s="59" t="s">
        <v>312</v>
      </c>
      <c r="H251" s="59">
        <v>-279.2</v>
      </c>
      <c r="I251" s="59" t="s">
        <v>301</v>
      </c>
    </row>
    <row r="252" spans="1:11" hidden="1" x14ac:dyDescent="0.75">
      <c r="A252" s="59" t="s">
        <v>295</v>
      </c>
      <c r="B252" s="59" t="s">
        <v>311</v>
      </c>
      <c r="C252" s="59">
        <v>2055</v>
      </c>
      <c r="D252" s="59" t="s">
        <v>315</v>
      </c>
      <c r="E252" s="59" t="s">
        <v>259</v>
      </c>
      <c r="F252" s="59" t="s">
        <v>299</v>
      </c>
      <c r="G252" s="59" t="s">
        <v>312</v>
      </c>
      <c r="H252" s="59">
        <v>-339.4</v>
      </c>
      <c r="I252" s="59" t="s">
        <v>301</v>
      </c>
    </row>
    <row r="253" spans="1:11" hidden="1" x14ac:dyDescent="0.75">
      <c r="A253" s="59" t="s">
        <v>295</v>
      </c>
      <c r="B253" s="59" t="s">
        <v>296</v>
      </c>
      <c r="C253" s="59">
        <v>2045</v>
      </c>
      <c r="D253" s="59" t="s">
        <v>315</v>
      </c>
      <c r="E253" s="59" t="s">
        <v>304</v>
      </c>
      <c r="F253" s="59" t="s">
        <v>299</v>
      </c>
      <c r="G253" s="59" t="s">
        <v>303</v>
      </c>
      <c r="H253" s="59">
        <v>-14.4</v>
      </c>
      <c r="I253" s="59" t="s">
        <v>301</v>
      </c>
    </row>
    <row r="254" spans="1:11" hidden="1" x14ac:dyDescent="0.75">
      <c r="A254" s="59" t="s">
        <v>295</v>
      </c>
      <c r="B254" s="59" t="s">
        <v>296</v>
      </c>
      <c r="C254" s="59">
        <v>2055</v>
      </c>
      <c r="D254" s="59" t="s">
        <v>315</v>
      </c>
      <c r="E254" s="59" t="s">
        <v>304</v>
      </c>
      <c r="F254" s="59" t="s">
        <v>299</v>
      </c>
      <c r="G254" s="59" t="s">
        <v>303</v>
      </c>
      <c r="H254" s="59">
        <v>-17.899999999999999</v>
      </c>
      <c r="I254" s="59" t="s">
        <v>301</v>
      </c>
    </row>
    <row r="255" spans="1:11" hidden="1" x14ac:dyDescent="0.75">
      <c r="A255" s="59" t="s">
        <v>295</v>
      </c>
      <c r="B255" s="59" t="s">
        <v>296</v>
      </c>
      <c r="C255" s="59">
        <v>2025</v>
      </c>
      <c r="D255" s="59" t="s">
        <v>315</v>
      </c>
      <c r="E255" s="59" t="s">
        <v>304</v>
      </c>
      <c r="F255" s="59" t="s">
        <v>302</v>
      </c>
      <c r="G255" s="59" t="s">
        <v>303</v>
      </c>
      <c r="H255" s="59">
        <v>-8.8000000000000007</v>
      </c>
      <c r="I255" s="59" t="s">
        <v>301</v>
      </c>
    </row>
    <row r="256" spans="1:11" hidden="1" x14ac:dyDescent="0.75">
      <c r="A256" s="59" t="s">
        <v>295</v>
      </c>
      <c r="B256" s="59" t="s">
        <v>296</v>
      </c>
      <c r="C256" s="59">
        <v>2035</v>
      </c>
      <c r="D256" s="59" t="s">
        <v>315</v>
      </c>
      <c r="E256" s="59" t="s">
        <v>304</v>
      </c>
      <c r="F256" s="59" t="s">
        <v>302</v>
      </c>
      <c r="G256" s="59" t="s">
        <v>303</v>
      </c>
      <c r="H256" s="59">
        <v>-10.5</v>
      </c>
      <c r="I256" s="59" t="s">
        <v>301</v>
      </c>
    </row>
    <row r="257" spans="1:9" hidden="1" x14ac:dyDescent="0.75">
      <c r="A257" s="59" t="s">
        <v>295</v>
      </c>
      <c r="B257" s="59" t="s">
        <v>296</v>
      </c>
      <c r="C257" s="59">
        <v>2045</v>
      </c>
      <c r="D257" s="59" t="s">
        <v>315</v>
      </c>
      <c r="E257" s="59" t="s">
        <v>304</v>
      </c>
      <c r="F257" s="59" t="s">
        <v>302</v>
      </c>
      <c r="G257" s="59" t="s">
        <v>303</v>
      </c>
      <c r="H257" s="59">
        <v>-13.7</v>
      </c>
      <c r="I257" s="59" t="s">
        <v>301</v>
      </c>
    </row>
    <row r="258" spans="1:9" hidden="1" x14ac:dyDescent="0.75">
      <c r="A258" s="59" t="s">
        <v>295</v>
      </c>
      <c r="B258" s="59" t="s">
        <v>296</v>
      </c>
      <c r="C258" s="59">
        <v>2055</v>
      </c>
      <c r="D258" s="59" t="s">
        <v>315</v>
      </c>
      <c r="E258" s="59" t="s">
        <v>304</v>
      </c>
      <c r="F258" s="59" t="s">
        <v>302</v>
      </c>
      <c r="G258" s="59" t="s">
        <v>303</v>
      </c>
      <c r="H258" s="59">
        <v>-16.3</v>
      </c>
      <c r="I258" s="59" t="s">
        <v>301</v>
      </c>
    </row>
    <row r="259" spans="1:9" hidden="1" x14ac:dyDescent="0.75">
      <c r="A259" s="59" t="s">
        <v>295</v>
      </c>
      <c r="B259" s="59" t="s">
        <v>296</v>
      </c>
      <c r="C259" s="59">
        <v>2025</v>
      </c>
      <c r="D259" s="59" t="s">
        <v>315</v>
      </c>
      <c r="E259" s="59" t="s">
        <v>304</v>
      </c>
      <c r="F259" s="59" t="s">
        <v>299</v>
      </c>
      <c r="G259" s="59" t="s">
        <v>314</v>
      </c>
      <c r="H259" s="59">
        <v>-13.3</v>
      </c>
      <c r="I259" s="59" t="s">
        <v>301</v>
      </c>
    </row>
    <row r="260" spans="1:9" hidden="1" x14ac:dyDescent="0.75">
      <c r="A260" s="59" t="s">
        <v>295</v>
      </c>
      <c r="B260" s="59" t="s">
        <v>296</v>
      </c>
      <c r="C260" s="59">
        <v>2035</v>
      </c>
      <c r="D260" s="59" t="s">
        <v>315</v>
      </c>
      <c r="E260" s="59" t="s">
        <v>304</v>
      </c>
      <c r="F260" s="59" t="s">
        <v>299</v>
      </c>
      <c r="G260" s="59" t="s">
        <v>314</v>
      </c>
      <c r="H260" s="59">
        <v>-18.8</v>
      </c>
      <c r="I260" s="59" t="s">
        <v>301</v>
      </c>
    </row>
    <row r="261" spans="1:9" hidden="1" x14ac:dyDescent="0.75">
      <c r="A261" s="59" t="s">
        <v>295</v>
      </c>
      <c r="B261" s="59" t="s">
        <v>296</v>
      </c>
      <c r="C261" s="59">
        <v>2045</v>
      </c>
      <c r="D261" s="59" t="s">
        <v>315</v>
      </c>
      <c r="E261" s="59" t="s">
        <v>304</v>
      </c>
      <c r="F261" s="59" t="s">
        <v>299</v>
      </c>
      <c r="G261" s="59" t="s">
        <v>314</v>
      </c>
      <c r="H261" s="59">
        <v>-23.9</v>
      </c>
      <c r="I261" s="59" t="s">
        <v>301</v>
      </c>
    </row>
    <row r="262" spans="1:9" hidden="1" x14ac:dyDescent="0.75">
      <c r="A262" s="59" t="s">
        <v>295</v>
      </c>
      <c r="B262" s="59" t="s">
        <v>296</v>
      </c>
      <c r="C262" s="59">
        <v>2055</v>
      </c>
      <c r="D262" s="59" t="s">
        <v>315</v>
      </c>
      <c r="E262" s="59" t="s">
        <v>304</v>
      </c>
      <c r="F262" s="59" t="s">
        <v>299</v>
      </c>
      <c r="G262" s="59" t="s">
        <v>314</v>
      </c>
      <c r="H262" s="59">
        <v>-29.8</v>
      </c>
      <c r="I262" s="59" t="s">
        <v>301</v>
      </c>
    </row>
    <row r="263" spans="1:9" hidden="1" x14ac:dyDescent="0.75">
      <c r="A263" s="59" t="s">
        <v>295</v>
      </c>
      <c r="B263" s="59" t="s">
        <v>296</v>
      </c>
      <c r="C263" s="59">
        <v>2025</v>
      </c>
      <c r="D263" s="59" t="s">
        <v>315</v>
      </c>
      <c r="E263" s="59" t="s">
        <v>304</v>
      </c>
      <c r="F263" s="59" t="s">
        <v>302</v>
      </c>
      <c r="G263" s="59" t="s">
        <v>314</v>
      </c>
      <c r="H263" s="59">
        <v>-13.3</v>
      </c>
      <c r="I263" s="59" t="s">
        <v>301</v>
      </c>
    </row>
    <row r="264" spans="1:9" hidden="1" x14ac:dyDescent="0.75">
      <c r="A264" s="59" t="s">
        <v>295</v>
      </c>
      <c r="B264" s="59" t="s">
        <v>296</v>
      </c>
      <c r="C264" s="59">
        <v>2035</v>
      </c>
      <c r="D264" s="59" t="s">
        <v>315</v>
      </c>
      <c r="E264" s="59" t="s">
        <v>304</v>
      </c>
      <c r="F264" s="59" t="s">
        <v>302</v>
      </c>
      <c r="G264" s="59" t="s">
        <v>314</v>
      </c>
      <c r="H264" s="59">
        <v>-18.399999999999999</v>
      </c>
      <c r="I264" s="59" t="s">
        <v>301</v>
      </c>
    </row>
    <row r="265" spans="1:9" hidden="1" x14ac:dyDescent="0.75">
      <c r="A265" s="59" t="s">
        <v>295</v>
      </c>
      <c r="B265" s="59" t="s">
        <v>296</v>
      </c>
      <c r="C265" s="59">
        <v>2045</v>
      </c>
      <c r="D265" s="59" t="s">
        <v>315</v>
      </c>
      <c r="E265" s="59" t="s">
        <v>304</v>
      </c>
      <c r="F265" s="59" t="s">
        <v>302</v>
      </c>
      <c r="G265" s="59" t="s">
        <v>314</v>
      </c>
      <c r="H265" s="59">
        <v>-22.8</v>
      </c>
      <c r="I265" s="59" t="s">
        <v>301</v>
      </c>
    </row>
    <row r="266" spans="1:9" hidden="1" x14ac:dyDescent="0.75">
      <c r="A266" s="59" t="s">
        <v>295</v>
      </c>
      <c r="B266" s="59" t="s">
        <v>296</v>
      </c>
      <c r="C266" s="59">
        <v>2055</v>
      </c>
      <c r="D266" s="59" t="s">
        <v>315</v>
      </c>
      <c r="E266" s="59" t="s">
        <v>304</v>
      </c>
      <c r="F266" s="59" t="s">
        <v>302</v>
      </c>
      <c r="G266" s="59" t="s">
        <v>314</v>
      </c>
      <c r="H266" s="59">
        <v>-26.6</v>
      </c>
      <c r="I266" s="59" t="s">
        <v>301</v>
      </c>
    </row>
    <row r="267" spans="1:9" hidden="1" x14ac:dyDescent="0.75">
      <c r="A267" s="59" t="s">
        <v>295</v>
      </c>
      <c r="B267" s="59" t="s">
        <v>296</v>
      </c>
      <c r="C267" s="59">
        <v>2025</v>
      </c>
      <c r="D267" s="59" t="s">
        <v>315</v>
      </c>
      <c r="E267" s="59" t="s">
        <v>304</v>
      </c>
      <c r="F267" s="59" t="s">
        <v>299</v>
      </c>
      <c r="G267" s="59" t="s">
        <v>313</v>
      </c>
      <c r="H267" s="59">
        <v>-11.4</v>
      </c>
      <c r="I267" s="59" t="s">
        <v>301</v>
      </c>
    </row>
    <row r="268" spans="1:9" hidden="1" x14ac:dyDescent="0.75">
      <c r="A268" s="59" t="s">
        <v>295</v>
      </c>
      <c r="B268" s="59" t="s">
        <v>296</v>
      </c>
      <c r="C268" s="59">
        <v>2035</v>
      </c>
      <c r="D268" s="59" t="s">
        <v>315</v>
      </c>
      <c r="E268" s="59" t="s">
        <v>304</v>
      </c>
      <c r="F268" s="59" t="s">
        <v>299</v>
      </c>
      <c r="G268" s="59" t="s">
        <v>313</v>
      </c>
      <c r="H268" s="59">
        <v>-15.2</v>
      </c>
      <c r="I268" s="59" t="s">
        <v>301</v>
      </c>
    </row>
    <row r="269" spans="1:9" hidden="1" x14ac:dyDescent="0.75">
      <c r="A269" s="59" t="s">
        <v>295</v>
      </c>
      <c r="B269" s="59" t="s">
        <v>296</v>
      </c>
      <c r="C269" s="59">
        <v>2045</v>
      </c>
      <c r="D269" s="59" t="s">
        <v>315</v>
      </c>
      <c r="E269" s="59" t="s">
        <v>304</v>
      </c>
      <c r="F269" s="59" t="s">
        <v>299</v>
      </c>
      <c r="G269" s="59" t="s">
        <v>313</v>
      </c>
      <c r="H269" s="59">
        <v>-20.2</v>
      </c>
      <c r="I269" s="59" t="s">
        <v>301</v>
      </c>
    </row>
    <row r="270" spans="1:9" hidden="1" x14ac:dyDescent="0.75">
      <c r="A270" s="59" t="s">
        <v>295</v>
      </c>
      <c r="B270" s="59" t="s">
        <v>296</v>
      </c>
      <c r="C270" s="59">
        <v>2055</v>
      </c>
      <c r="D270" s="59" t="s">
        <v>315</v>
      </c>
      <c r="E270" s="59" t="s">
        <v>304</v>
      </c>
      <c r="F270" s="59" t="s">
        <v>299</v>
      </c>
      <c r="G270" s="59" t="s">
        <v>313</v>
      </c>
      <c r="H270" s="59">
        <v>-24.5</v>
      </c>
      <c r="I270" s="59" t="s">
        <v>301</v>
      </c>
    </row>
    <row r="271" spans="1:9" hidden="1" x14ac:dyDescent="0.75">
      <c r="A271" s="59" t="s">
        <v>295</v>
      </c>
      <c r="B271" s="59" t="s">
        <v>296</v>
      </c>
      <c r="C271" s="59">
        <v>2025</v>
      </c>
      <c r="D271" s="59" t="s">
        <v>315</v>
      </c>
      <c r="E271" s="59" t="s">
        <v>304</v>
      </c>
      <c r="F271" s="59" t="s">
        <v>302</v>
      </c>
      <c r="G271" s="59" t="s">
        <v>313</v>
      </c>
      <c r="H271" s="59">
        <v>-11.4</v>
      </c>
      <c r="I271" s="59" t="s">
        <v>301</v>
      </c>
    </row>
    <row r="272" spans="1:9" hidden="1" x14ac:dyDescent="0.75">
      <c r="A272" s="59" t="s">
        <v>295</v>
      </c>
      <c r="B272" s="59" t="s">
        <v>296</v>
      </c>
      <c r="C272" s="59">
        <v>2035</v>
      </c>
      <c r="D272" s="59" t="s">
        <v>315</v>
      </c>
      <c r="E272" s="59" t="s">
        <v>304</v>
      </c>
      <c r="F272" s="59" t="s">
        <v>302</v>
      </c>
      <c r="G272" s="59" t="s">
        <v>313</v>
      </c>
      <c r="H272" s="59">
        <v>-14.3</v>
      </c>
      <c r="I272" s="59" t="s">
        <v>301</v>
      </c>
    </row>
    <row r="273" spans="1:9" hidden="1" x14ac:dyDescent="0.75">
      <c r="A273" s="59" t="s">
        <v>295</v>
      </c>
      <c r="B273" s="59" t="s">
        <v>296</v>
      </c>
      <c r="C273" s="59">
        <v>2045</v>
      </c>
      <c r="D273" s="59" t="s">
        <v>315</v>
      </c>
      <c r="E273" s="59" t="s">
        <v>304</v>
      </c>
      <c r="F273" s="59" t="s">
        <v>302</v>
      </c>
      <c r="G273" s="59" t="s">
        <v>313</v>
      </c>
      <c r="H273" s="59">
        <v>-18</v>
      </c>
      <c r="I273" s="59" t="s">
        <v>301</v>
      </c>
    </row>
    <row r="274" spans="1:9" hidden="1" x14ac:dyDescent="0.75">
      <c r="A274" s="59" t="s">
        <v>295</v>
      </c>
      <c r="B274" s="59" t="s">
        <v>296</v>
      </c>
      <c r="C274" s="59">
        <v>2055</v>
      </c>
      <c r="D274" s="59" t="s">
        <v>315</v>
      </c>
      <c r="E274" s="59" t="s">
        <v>304</v>
      </c>
      <c r="F274" s="59" t="s">
        <v>302</v>
      </c>
      <c r="G274" s="59" t="s">
        <v>313</v>
      </c>
      <c r="H274" s="59">
        <v>-22</v>
      </c>
      <c r="I274" s="59" t="s">
        <v>301</v>
      </c>
    </row>
    <row r="275" spans="1:9" hidden="1" x14ac:dyDescent="0.75">
      <c r="A275" s="59" t="s">
        <v>295</v>
      </c>
      <c r="B275" s="59" t="s">
        <v>296</v>
      </c>
      <c r="C275" s="59">
        <v>2025</v>
      </c>
      <c r="D275" s="59" t="s">
        <v>315</v>
      </c>
      <c r="E275" s="59" t="s">
        <v>304</v>
      </c>
      <c r="F275" s="59" t="s">
        <v>299</v>
      </c>
      <c r="G275" s="59" t="s">
        <v>312</v>
      </c>
      <c r="H275" s="59">
        <v>-25.9</v>
      </c>
      <c r="I275" s="59" t="s">
        <v>301</v>
      </c>
    </row>
    <row r="276" spans="1:9" hidden="1" x14ac:dyDescent="0.75">
      <c r="A276" s="59" t="s">
        <v>295</v>
      </c>
      <c r="B276" s="59" t="s">
        <v>296</v>
      </c>
      <c r="C276" s="59">
        <v>2035</v>
      </c>
      <c r="D276" s="59" t="s">
        <v>315</v>
      </c>
      <c r="E276" s="59" t="s">
        <v>304</v>
      </c>
      <c r="F276" s="59" t="s">
        <v>299</v>
      </c>
      <c r="G276" s="59" t="s">
        <v>312</v>
      </c>
      <c r="H276" s="59">
        <v>-33.700000000000003</v>
      </c>
      <c r="I276" s="59" t="s">
        <v>301</v>
      </c>
    </row>
    <row r="277" spans="1:9" hidden="1" x14ac:dyDescent="0.75">
      <c r="A277" s="59" t="s">
        <v>295</v>
      </c>
      <c r="B277" s="59" t="s">
        <v>296</v>
      </c>
      <c r="C277" s="59">
        <v>2045</v>
      </c>
      <c r="D277" s="59" t="s">
        <v>315</v>
      </c>
      <c r="E277" s="59" t="s">
        <v>304</v>
      </c>
      <c r="F277" s="59" t="s">
        <v>299</v>
      </c>
      <c r="G277" s="59" t="s">
        <v>312</v>
      </c>
      <c r="H277" s="59">
        <v>-43.4</v>
      </c>
      <c r="I277" s="59" t="s">
        <v>301</v>
      </c>
    </row>
    <row r="278" spans="1:9" hidden="1" x14ac:dyDescent="0.75">
      <c r="A278" s="59" t="s">
        <v>295</v>
      </c>
      <c r="B278" s="59" t="s">
        <v>296</v>
      </c>
      <c r="C278" s="59">
        <v>2055</v>
      </c>
      <c r="D278" s="59" t="s">
        <v>315</v>
      </c>
      <c r="E278" s="59" t="s">
        <v>304</v>
      </c>
      <c r="F278" s="59" t="s">
        <v>299</v>
      </c>
      <c r="G278" s="59" t="s">
        <v>312</v>
      </c>
      <c r="H278" s="59">
        <v>-51.3</v>
      </c>
      <c r="I278" s="59" t="s">
        <v>301</v>
      </c>
    </row>
    <row r="279" spans="1:9" hidden="1" x14ac:dyDescent="0.75">
      <c r="A279" s="59" t="s">
        <v>295</v>
      </c>
      <c r="B279" s="59" t="s">
        <v>296</v>
      </c>
      <c r="C279" s="59">
        <v>2025</v>
      </c>
      <c r="D279" s="59" t="s">
        <v>315</v>
      </c>
      <c r="E279" s="59" t="s">
        <v>304</v>
      </c>
      <c r="F279" s="59" t="s">
        <v>302</v>
      </c>
      <c r="G279" s="59" t="s">
        <v>312</v>
      </c>
      <c r="H279" s="59">
        <v>-25.9</v>
      </c>
      <c r="I279" s="59" t="s">
        <v>301</v>
      </c>
    </row>
    <row r="280" spans="1:9" hidden="1" x14ac:dyDescent="0.75">
      <c r="A280" s="59" t="s">
        <v>295</v>
      </c>
      <c r="B280" s="59" t="s">
        <v>296</v>
      </c>
      <c r="C280" s="59">
        <v>2035</v>
      </c>
      <c r="D280" s="59" t="s">
        <v>315</v>
      </c>
      <c r="E280" s="59" t="s">
        <v>304</v>
      </c>
      <c r="F280" s="59" t="s">
        <v>302</v>
      </c>
      <c r="G280" s="59" t="s">
        <v>312</v>
      </c>
      <c r="H280" s="59">
        <v>-31.4</v>
      </c>
      <c r="I280" s="59" t="s">
        <v>301</v>
      </c>
    </row>
    <row r="281" spans="1:9" hidden="1" x14ac:dyDescent="0.75">
      <c r="A281" s="59" t="s">
        <v>295</v>
      </c>
      <c r="B281" s="59" t="s">
        <v>296</v>
      </c>
      <c r="C281" s="59">
        <v>2045</v>
      </c>
      <c r="D281" s="59" t="s">
        <v>315</v>
      </c>
      <c r="E281" s="59" t="s">
        <v>304</v>
      </c>
      <c r="F281" s="59" t="s">
        <v>302</v>
      </c>
      <c r="G281" s="59" t="s">
        <v>312</v>
      </c>
      <c r="H281" s="59">
        <v>-38.799999999999997</v>
      </c>
      <c r="I281" s="59" t="s">
        <v>301</v>
      </c>
    </row>
    <row r="282" spans="1:9" hidden="1" x14ac:dyDescent="0.75">
      <c r="A282" s="59" t="s">
        <v>295</v>
      </c>
      <c r="B282" s="59" t="s">
        <v>296</v>
      </c>
      <c r="C282" s="59">
        <v>2055</v>
      </c>
      <c r="D282" s="59" t="s">
        <v>315</v>
      </c>
      <c r="E282" s="59" t="s">
        <v>304</v>
      </c>
      <c r="F282" s="59" t="s">
        <v>302</v>
      </c>
      <c r="G282" s="59" t="s">
        <v>312</v>
      </c>
      <c r="H282" s="59">
        <v>-46.3</v>
      </c>
      <c r="I282" s="59" t="s">
        <v>301</v>
      </c>
    </row>
    <row r="283" spans="1:9" hidden="1" x14ac:dyDescent="0.75">
      <c r="A283" s="59" t="s">
        <v>295</v>
      </c>
      <c r="B283" s="59" t="s">
        <v>296</v>
      </c>
      <c r="C283" s="59">
        <v>2025</v>
      </c>
      <c r="D283" s="59" t="s">
        <v>315</v>
      </c>
      <c r="E283" s="59" t="s">
        <v>306</v>
      </c>
      <c r="F283" s="59" t="s">
        <v>299</v>
      </c>
      <c r="G283" s="59" t="s">
        <v>300</v>
      </c>
      <c r="H283" s="59">
        <v>-0.1</v>
      </c>
      <c r="I283" s="59" t="s">
        <v>301</v>
      </c>
    </row>
    <row r="284" spans="1:9" hidden="1" x14ac:dyDescent="0.75">
      <c r="A284" s="59" t="s">
        <v>295</v>
      </c>
      <c r="B284" s="59" t="s">
        <v>296</v>
      </c>
      <c r="C284" s="59">
        <v>2035</v>
      </c>
      <c r="D284" s="59" t="s">
        <v>315</v>
      </c>
      <c r="E284" s="59" t="s">
        <v>306</v>
      </c>
      <c r="F284" s="59" t="s">
        <v>299</v>
      </c>
      <c r="G284" s="59" t="s">
        <v>300</v>
      </c>
      <c r="H284" s="59">
        <v>-106.9</v>
      </c>
      <c r="I284" s="59" t="s">
        <v>301</v>
      </c>
    </row>
    <row r="285" spans="1:9" hidden="1" x14ac:dyDescent="0.75">
      <c r="A285" s="59" t="s">
        <v>295</v>
      </c>
      <c r="B285" s="59" t="s">
        <v>296</v>
      </c>
      <c r="C285" s="59">
        <v>2045</v>
      </c>
      <c r="D285" s="59" t="s">
        <v>315</v>
      </c>
      <c r="E285" s="59" t="s">
        <v>306</v>
      </c>
      <c r="F285" s="59" t="s">
        <v>299</v>
      </c>
      <c r="G285" s="59" t="s">
        <v>300</v>
      </c>
      <c r="H285" s="59">
        <v>-147.9</v>
      </c>
      <c r="I285" s="59" t="s">
        <v>301</v>
      </c>
    </row>
    <row r="286" spans="1:9" hidden="1" x14ac:dyDescent="0.75">
      <c r="A286" s="59" t="s">
        <v>295</v>
      </c>
      <c r="B286" s="59" t="s">
        <v>296</v>
      </c>
      <c r="C286" s="59">
        <v>2055</v>
      </c>
      <c r="D286" s="59" t="s">
        <v>315</v>
      </c>
      <c r="E286" s="59" t="s">
        <v>306</v>
      </c>
      <c r="F286" s="59" t="s">
        <v>299</v>
      </c>
      <c r="G286" s="59" t="s">
        <v>300</v>
      </c>
      <c r="H286" s="59">
        <v>-168.2</v>
      </c>
      <c r="I286" s="59" t="s">
        <v>301</v>
      </c>
    </row>
    <row r="287" spans="1:9" hidden="1" x14ac:dyDescent="0.75">
      <c r="A287" s="59" t="s">
        <v>295</v>
      </c>
      <c r="B287" s="59" t="s">
        <v>296</v>
      </c>
      <c r="C287" s="59">
        <v>2025</v>
      </c>
      <c r="D287" s="59" t="s">
        <v>315</v>
      </c>
      <c r="E287" s="59" t="s">
        <v>306</v>
      </c>
      <c r="F287" s="59" t="s">
        <v>302</v>
      </c>
      <c r="G287" s="59" t="s">
        <v>300</v>
      </c>
      <c r="H287" s="59">
        <v>-0.1</v>
      </c>
      <c r="I287" s="59" t="s">
        <v>301</v>
      </c>
    </row>
    <row r="288" spans="1:9" hidden="1" x14ac:dyDescent="0.75">
      <c r="A288" s="59" t="s">
        <v>295</v>
      </c>
      <c r="B288" s="59" t="s">
        <v>296</v>
      </c>
      <c r="C288" s="59">
        <v>2035</v>
      </c>
      <c r="D288" s="59" t="s">
        <v>315</v>
      </c>
      <c r="E288" s="59" t="s">
        <v>306</v>
      </c>
      <c r="F288" s="59" t="s">
        <v>302</v>
      </c>
      <c r="G288" s="59" t="s">
        <v>300</v>
      </c>
      <c r="H288" s="59">
        <v>-106.7</v>
      </c>
      <c r="I288" s="59" t="s">
        <v>301</v>
      </c>
    </row>
    <row r="289" spans="1:9" hidden="1" x14ac:dyDescent="0.75">
      <c r="A289" s="59" t="s">
        <v>295</v>
      </c>
      <c r="B289" s="59" t="s">
        <v>296</v>
      </c>
      <c r="C289" s="59">
        <v>2045</v>
      </c>
      <c r="D289" s="59" t="s">
        <v>315</v>
      </c>
      <c r="E289" s="59" t="s">
        <v>306</v>
      </c>
      <c r="F289" s="59" t="s">
        <v>302</v>
      </c>
      <c r="G289" s="59" t="s">
        <v>300</v>
      </c>
      <c r="H289" s="59">
        <v>-147</v>
      </c>
      <c r="I289" s="59" t="s">
        <v>301</v>
      </c>
    </row>
    <row r="290" spans="1:9" hidden="1" x14ac:dyDescent="0.75">
      <c r="A290" s="59" t="s">
        <v>295</v>
      </c>
      <c r="B290" s="59" t="s">
        <v>296</v>
      </c>
      <c r="C290" s="59">
        <v>2055</v>
      </c>
      <c r="D290" s="59" t="s">
        <v>315</v>
      </c>
      <c r="E290" s="59" t="s">
        <v>306</v>
      </c>
      <c r="F290" s="59" t="s">
        <v>302</v>
      </c>
      <c r="G290" s="59" t="s">
        <v>300</v>
      </c>
      <c r="H290" s="59">
        <v>-165.4</v>
      </c>
      <c r="I290" s="59" t="s">
        <v>301</v>
      </c>
    </row>
    <row r="291" spans="1:9" hidden="1" x14ac:dyDescent="0.75">
      <c r="A291" s="59" t="s">
        <v>295</v>
      </c>
      <c r="B291" s="59" t="s">
        <v>296</v>
      </c>
      <c r="C291" s="59">
        <v>2025</v>
      </c>
      <c r="D291" s="59" t="s">
        <v>315</v>
      </c>
      <c r="E291" s="59" t="s">
        <v>306</v>
      </c>
      <c r="F291" s="59" t="s">
        <v>299</v>
      </c>
      <c r="G291" s="59" t="s">
        <v>303</v>
      </c>
      <c r="H291" s="59">
        <v>-0.1</v>
      </c>
      <c r="I291" s="59" t="s">
        <v>301</v>
      </c>
    </row>
    <row r="292" spans="1:9" hidden="1" x14ac:dyDescent="0.75">
      <c r="A292" s="59" t="s">
        <v>295</v>
      </c>
      <c r="B292" s="59" t="s">
        <v>296</v>
      </c>
      <c r="C292" s="59">
        <v>2035</v>
      </c>
      <c r="D292" s="59" t="s">
        <v>315</v>
      </c>
      <c r="E292" s="59" t="s">
        <v>306</v>
      </c>
      <c r="F292" s="59" t="s">
        <v>299</v>
      </c>
      <c r="G292" s="59" t="s">
        <v>303</v>
      </c>
      <c r="H292" s="59">
        <v>-88.4</v>
      </c>
      <c r="I292" s="59" t="s">
        <v>301</v>
      </c>
    </row>
    <row r="293" spans="1:9" hidden="1" x14ac:dyDescent="0.75">
      <c r="A293" s="59" t="s">
        <v>295</v>
      </c>
      <c r="B293" s="59" t="s">
        <v>296</v>
      </c>
      <c r="C293" s="59">
        <v>2045</v>
      </c>
      <c r="D293" s="59" t="s">
        <v>315</v>
      </c>
      <c r="E293" s="59" t="s">
        <v>306</v>
      </c>
      <c r="F293" s="59" t="s">
        <v>299</v>
      </c>
      <c r="G293" s="59" t="s">
        <v>303</v>
      </c>
      <c r="H293" s="59">
        <v>-125.1</v>
      </c>
      <c r="I293" s="59" t="s">
        <v>301</v>
      </c>
    </row>
    <row r="294" spans="1:9" hidden="1" x14ac:dyDescent="0.75">
      <c r="A294" s="59" t="s">
        <v>295</v>
      </c>
      <c r="B294" s="59" t="s">
        <v>296</v>
      </c>
      <c r="C294" s="59">
        <v>2055</v>
      </c>
      <c r="D294" s="59" t="s">
        <v>315</v>
      </c>
      <c r="E294" s="59" t="s">
        <v>306</v>
      </c>
      <c r="F294" s="59" t="s">
        <v>299</v>
      </c>
      <c r="G294" s="59" t="s">
        <v>303</v>
      </c>
      <c r="H294" s="59">
        <v>-143.5</v>
      </c>
      <c r="I294" s="59" t="s">
        <v>301</v>
      </c>
    </row>
    <row r="295" spans="1:9" hidden="1" x14ac:dyDescent="0.75">
      <c r="A295" s="59" t="s">
        <v>295</v>
      </c>
      <c r="B295" s="59" t="s">
        <v>296</v>
      </c>
      <c r="C295" s="59">
        <v>2025</v>
      </c>
      <c r="D295" s="59" t="s">
        <v>315</v>
      </c>
      <c r="E295" s="59" t="s">
        <v>306</v>
      </c>
      <c r="F295" s="59" t="s">
        <v>302</v>
      </c>
      <c r="G295" s="59" t="s">
        <v>303</v>
      </c>
      <c r="H295" s="59">
        <v>-0.1</v>
      </c>
      <c r="I295" s="59" t="s">
        <v>301</v>
      </c>
    </row>
    <row r="296" spans="1:9" hidden="1" x14ac:dyDescent="0.75">
      <c r="A296" s="59" t="s">
        <v>295</v>
      </c>
      <c r="B296" s="59" t="s">
        <v>296</v>
      </c>
      <c r="C296" s="59">
        <v>2035</v>
      </c>
      <c r="D296" s="59" t="s">
        <v>315</v>
      </c>
      <c r="E296" s="59" t="s">
        <v>306</v>
      </c>
      <c r="F296" s="59" t="s">
        <v>302</v>
      </c>
      <c r="G296" s="59" t="s">
        <v>303</v>
      </c>
      <c r="H296" s="59">
        <v>-87.7</v>
      </c>
      <c r="I296" s="59" t="s">
        <v>301</v>
      </c>
    </row>
    <row r="297" spans="1:9" hidden="1" x14ac:dyDescent="0.75">
      <c r="A297" s="59" t="s">
        <v>295</v>
      </c>
      <c r="B297" s="59" t="s">
        <v>296</v>
      </c>
      <c r="C297" s="59">
        <v>2045</v>
      </c>
      <c r="D297" s="59" t="s">
        <v>315</v>
      </c>
      <c r="E297" s="59" t="s">
        <v>306</v>
      </c>
      <c r="F297" s="59" t="s">
        <v>302</v>
      </c>
      <c r="G297" s="59" t="s">
        <v>303</v>
      </c>
      <c r="H297" s="59">
        <v>-124.1</v>
      </c>
      <c r="I297" s="59" t="s">
        <v>301</v>
      </c>
    </row>
    <row r="298" spans="1:9" hidden="1" x14ac:dyDescent="0.75">
      <c r="A298" s="59" t="s">
        <v>295</v>
      </c>
      <c r="B298" s="59" t="s">
        <v>296</v>
      </c>
      <c r="C298" s="59">
        <v>2055</v>
      </c>
      <c r="D298" s="59" t="s">
        <v>315</v>
      </c>
      <c r="E298" s="59" t="s">
        <v>306</v>
      </c>
      <c r="F298" s="59" t="s">
        <v>302</v>
      </c>
      <c r="G298" s="59" t="s">
        <v>303</v>
      </c>
      <c r="H298" s="59">
        <v>-142.1</v>
      </c>
      <c r="I298" s="59" t="s">
        <v>301</v>
      </c>
    </row>
    <row r="299" spans="1:9" hidden="1" x14ac:dyDescent="0.75">
      <c r="A299" s="59" t="s">
        <v>295</v>
      </c>
      <c r="B299" s="59" t="s">
        <v>296</v>
      </c>
      <c r="C299" s="59">
        <v>2025</v>
      </c>
      <c r="D299" s="59" t="s">
        <v>315</v>
      </c>
      <c r="E299" s="59" t="s">
        <v>306</v>
      </c>
      <c r="F299" s="59" t="s">
        <v>299</v>
      </c>
      <c r="G299" s="59" t="s">
        <v>314</v>
      </c>
      <c r="H299" s="59">
        <v>-0.6</v>
      </c>
      <c r="I299" s="59" t="s">
        <v>301</v>
      </c>
    </row>
    <row r="300" spans="1:9" hidden="1" x14ac:dyDescent="0.75">
      <c r="A300" s="59" t="s">
        <v>295</v>
      </c>
      <c r="B300" s="59" t="s">
        <v>296</v>
      </c>
      <c r="C300" s="59">
        <v>2035</v>
      </c>
      <c r="D300" s="59" t="s">
        <v>315</v>
      </c>
      <c r="E300" s="59" t="s">
        <v>306</v>
      </c>
      <c r="F300" s="59" t="s">
        <v>299</v>
      </c>
      <c r="G300" s="59" t="s">
        <v>314</v>
      </c>
      <c r="H300" s="59">
        <v>-106.4</v>
      </c>
      <c r="I300" s="59" t="s">
        <v>301</v>
      </c>
    </row>
    <row r="301" spans="1:9" hidden="1" x14ac:dyDescent="0.75">
      <c r="A301" s="59" t="s">
        <v>295</v>
      </c>
      <c r="B301" s="59" t="s">
        <v>296</v>
      </c>
      <c r="C301" s="59">
        <v>2045</v>
      </c>
      <c r="D301" s="59" t="s">
        <v>315</v>
      </c>
      <c r="E301" s="59" t="s">
        <v>306</v>
      </c>
      <c r="F301" s="59" t="s">
        <v>299</v>
      </c>
      <c r="G301" s="59" t="s">
        <v>314</v>
      </c>
      <c r="H301" s="59">
        <v>-148.19999999999999</v>
      </c>
      <c r="I301" s="59" t="s">
        <v>301</v>
      </c>
    </row>
    <row r="302" spans="1:9" hidden="1" x14ac:dyDescent="0.75">
      <c r="A302" s="59" t="s">
        <v>295</v>
      </c>
      <c r="B302" s="59" t="s">
        <v>296</v>
      </c>
      <c r="C302" s="59">
        <v>2055</v>
      </c>
      <c r="D302" s="59" t="s">
        <v>315</v>
      </c>
      <c r="E302" s="59" t="s">
        <v>306</v>
      </c>
      <c r="F302" s="59" t="s">
        <v>299</v>
      </c>
      <c r="G302" s="59" t="s">
        <v>314</v>
      </c>
      <c r="H302" s="59">
        <v>-169.1</v>
      </c>
      <c r="I302" s="59" t="s">
        <v>301</v>
      </c>
    </row>
    <row r="303" spans="1:9" hidden="1" x14ac:dyDescent="0.75">
      <c r="A303" s="59" t="s">
        <v>295</v>
      </c>
      <c r="B303" s="59" t="s">
        <v>296</v>
      </c>
      <c r="C303" s="59">
        <v>2025</v>
      </c>
      <c r="D303" s="59" t="s">
        <v>297</v>
      </c>
      <c r="E303" s="59" t="s">
        <v>298</v>
      </c>
      <c r="F303" s="59" t="s">
        <v>302</v>
      </c>
      <c r="G303" s="59" t="s">
        <v>314</v>
      </c>
      <c r="H303" s="59">
        <v>50.6</v>
      </c>
      <c r="I303" s="59" t="s">
        <v>301</v>
      </c>
    </row>
    <row r="304" spans="1:9" hidden="1" x14ac:dyDescent="0.75">
      <c r="A304" s="59" t="s">
        <v>295</v>
      </c>
      <c r="B304" s="59" t="s">
        <v>296</v>
      </c>
      <c r="C304" s="59">
        <v>2035</v>
      </c>
      <c r="D304" s="59" t="s">
        <v>297</v>
      </c>
      <c r="E304" s="59" t="s">
        <v>298</v>
      </c>
      <c r="F304" s="59" t="s">
        <v>302</v>
      </c>
      <c r="G304" s="59" t="s">
        <v>314</v>
      </c>
      <c r="H304" s="59">
        <v>30.7</v>
      </c>
      <c r="I304" s="59" t="s">
        <v>301</v>
      </c>
    </row>
    <row r="305" spans="1:11" hidden="1" x14ac:dyDescent="0.75">
      <c r="A305" s="59" t="s">
        <v>295</v>
      </c>
      <c r="B305" s="59" t="s">
        <v>296</v>
      </c>
      <c r="C305" s="59">
        <v>2045</v>
      </c>
      <c r="D305" s="59" t="s">
        <v>297</v>
      </c>
      <c r="E305" s="59" t="s">
        <v>298</v>
      </c>
      <c r="F305" s="59" t="s">
        <v>302</v>
      </c>
      <c r="G305" s="59" t="s">
        <v>314</v>
      </c>
      <c r="H305" s="59">
        <v>14.2</v>
      </c>
      <c r="I305" s="59" t="s">
        <v>301</v>
      </c>
    </row>
    <row r="306" spans="1:11" hidden="1" x14ac:dyDescent="0.75">
      <c r="A306" s="59" t="s">
        <v>295</v>
      </c>
      <c r="B306" s="59" t="s">
        <v>296</v>
      </c>
      <c r="C306" s="59">
        <v>2055</v>
      </c>
      <c r="D306" s="59" t="s">
        <v>297</v>
      </c>
      <c r="E306" s="59" t="s">
        <v>298</v>
      </c>
      <c r="F306" s="59" t="s">
        <v>302</v>
      </c>
      <c r="G306" s="59" t="s">
        <v>314</v>
      </c>
      <c r="H306" s="59">
        <v>5.9</v>
      </c>
      <c r="I306" s="59" t="s">
        <v>301</v>
      </c>
    </row>
    <row r="307" spans="1:11" x14ac:dyDescent="0.75">
      <c r="A307" s="59" t="s">
        <v>295</v>
      </c>
      <c r="B307" s="59" t="s">
        <v>296</v>
      </c>
      <c r="C307" s="59">
        <v>2025</v>
      </c>
      <c r="D307" s="59" t="s">
        <v>297</v>
      </c>
      <c r="E307" s="59" t="s">
        <v>298</v>
      </c>
      <c r="F307" s="59" t="s">
        <v>299</v>
      </c>
      <c r="G307" s="59" t="s">
        <v>313</v>
      </c>
      <c r="H307" s="59">
        <v>72.8</v>
      </c>
      <c r="I307" s="59" t="s">
        <v>301</v>
      </c>
      <c r="K307" s="59" t="str">
        <f>INDEX('EPA land and ag calcs'!$G$7:$G$14,MATCH('EPA land and ag potential'!E307,'EPA land and ag calcs'!$A$7:$A$15,0))</f>
        <v>afforestation and reforestation</v>
      </c>
    </row>
    <row r="308" spans="1:11" x14ac:dyDescent="0.75">
      <c r="A308" s="59" t="s">
        <v>295</v>
      </c>
      <c r="B308" s="59" t="s">
        <v>296</v>
      </c>
      <c r="C308" s="59">
        <v>2035</v>
      </c>
      <c r="D308" s="59" t="s">
        <v>297</v>
      </c>
      <c r="E308" s="59" t="s">
        <v>298</v>
      </c>
      <c r="F308" s="59" t="s">
        <v>299</v>
      </c>
      <c r="G308" s="59" t="s">
        <v>313</v>
      </c>
      <c r="H308" s="59">
        <v>95.6</v>
      </c>
      <c r="I308" s="59" t="s">
        <v>301</v>
      </c>
      <c r="K308" s="59" t="str">
        <f>INDEX('EPA land and ag calcs'!$G$7:$G$14,MATCH('EPA land and ag potential'!E308,'EPA land and ag calcs'!$A$7:$A$15,0))</f>
        <v>afforestation and reforestation</v>
      </c>
    </row>
    <row r="309" spans="1:11" x14ac:dyDescent="0.75">
      <c r="A309" s="59" t="s">
        <v>295</v>
      </c>
      <c r="B309" s="59" t="s">
        <v>296</v>
      </c>
      <c r="C309" s="59">
        <v>2045</v>
      </c>
      <c r="D309" s="59" t="s">
        <v>297</v>
      </c>
      <c r="E309" s="59" t="s">
        <v>298</v>
      </c>
      <c r="F309" s="59" t="s">
        <v>299</v>
      </c>
      <c r="G309" s="59" t="s">
        <v>313</v>
      </c>
      <c r="H309" s="59">
        <v>71.7</v>
      </c>
      <c r="I309" s="59" t="s">
        <v>301</v>
      </c>
      <c r="K309" s="59" t="str">
        <f>INDEX('EPA land and ag calcs'!$G$7:$G$14,MATCH('EPA land and ag potential'!E309,'EPA land and ag calcs'!$A$7:$A$15,0))</f>
        <v>afforestation and reforestation</v>
      </c>
    </row>
    <row r="310" spans="1:11" x14ac:dyDescent="0.75">
      <c r="A310" s="59" t="s">
        <v>295</v>
      </c>
      <c r="B310" s="59" t="s">
        <v>296</v>
      </c>
      <c r="C310" s="59">
        <v>2055</v>
      </c>
      <c r="D310" s="59" t="s">
        <v>297</v>
      </c>
      <c r="E310" s="59" t="s">
        <v>298</v>
      </c>
      <c r="F310" s="59" t="s">
        <v>299</v>
      </c>
      <c r="G310" s="59" t="s">
        <v>313</v>
      </c>
      <c r="H310" s="59">
        <v>49.8</v>
      </c>
      <c r="I310" s="59" t="s">
        <v>301</v>
      </c>
      <c r="K310" s="59" t="str">
        <f>INDEX('EPA land and ag calcs'!$G$7:$G$14,MATCH('EPA land and ag potential'!E310,'EPA land and ag calcs'!$A$7:$A$15,0))</f>
        <v>afforestation and reforestation</v>
      </c>
    </row>
    <row r="311" spans="1:11" hidden="1" x14ac:dyDescent="0.75">
      <c r="A311" s="59" t="s">
        <v>295</v>
      </c>
      <c r="B311" s="59" t="s">
        <v>296</v>
      </c>
      <c r="C311" s="59">
        <v>2025</v>
      </c>
      <c r="D311" s="59" t="s">
        <v>297</v>
      </c>
      <c r="E311" s="59" t="s">
        <v>298</v>
      </c>
      <c r="F311" s="59" t="s">
        <v>302</v>
      </c>
      <c r="G311" s="59" t="s">
        <v>313</v>
      </c>
      <c r="H311" s="59">
        <v>42.4</v>
      </c>
      <c r="I311" s="59" t="s">
        <v>301</v>
      </c>
    </row>
    <row r="312" spans="1:11" hidden="1" x14ac:dyDescent="0.75">
      <c r="A312" s="59" t="s">
        <v>295</v>
      </c>
      <c r="B312" s="59" t="s">
        <v>296</v>
      </c>
      <c r="C312" s="59">
        <v>2035</v>
      </c>
      <c r="D312" s="59" t="s">
        <v>297</v>
      </c>
      <c r="E312" s="59" t="s">
        <v>298</v>
      </c>
      <c r="F312" s="59" t="s">
        <v>302</v>
      </c>
      <c r="G312" s="59" t="s">
        <v>313</v>
      </c>
      <c r="H312" s="59">
        <v>23.1</v>
      </c>
      <c r="I312" s="59" t="s">
        <v>301</v>
      </c>
    </row>
    <row r="313" spans="1:11" hidden="1" x14ac:dyDescent="0.75">
      <c r="A313" s="59" t="s">
        <v>295</v>
      </c>
      <c r="B313" s="59" t="s">
        <v>296</v>
      </c>
      <c r="C313" s="59">
        <v>2025</v>
      </c>
      <c r="D313" s="59" t="s">
        <v>297</v>
      </c>
      <c r="E313" s="59" t="s">
        <v>304</v>
      </c>
      <c r="F313" s="59" t="s">
        <v>302</v>
      </c>
      <c r="G313" s="59" t="s">
        <v>314</v>
      </c>
      <c r="H313" s="59">
        <v>-3.6</v>
      </c>
      <c r="I313" s="59" t="s">
        <v>301</v>
      </c>
    </row>
    <row r="314" spans="1:11" hidden="1" x14ac:dyDescent="0.75">
      <c r="A314" s="59" t="s">
        <v>295</v>
      </c>
      <c r="B314" s="59" t="s">
        <v>296</v>
      </c>
      <c r="C314" s="59">
        <v>2035</v>
      </c>
      <c r="D314" s="59" t="s">
        <v>297</v>
      </c>
      <c r="E314" s="59" t="s">
        <v>304</v>
      </c>
      <c r="F314" s="59" t="s">
        <v>302</v>
      </c>
      <c r="G314" s="59" t="s">
        <v>314</v>
      </c>
      <c r="H314" s="59">
        <v>-6.1</v>
      </c>
      <c r="I314" s="59" t="s">
        <v>301</v>
      </c>
    </row>
    <row r="315" spans="1:11" hidden="1" x14ac:dyDescent="0.75">
      <c r="A315" s="59" t="s">
        <v>295</v>
      </c>
      <c r="B315" s="59" t="s">
        <v>296</v>
      </c>
      <c r="C315" s="59">
        <v>2045</v>
      </c>
      <c r="D315" s="59" t="s">
        <v>297</v>
      </c>
      <c r="E315" s="59" t="s">
        <v>304</v>
      </c>
      <c r="F315" s="59" t="s">
        <v>302</v>
      </c>
      <c r="G315" s="59" t="s">
        <v>314</v>
      </c>
      <c r="H315" s="59">
        <v>-8.1999999999999993</v>
      </c>
      <c r="I315" s="59" t="s">
        <v>301</v>
      </c>
    </row>
    <row r="316" spans="1:11" hidden="1" x14ac:dyDescent="0.75">
      <c r="A316" s="59" t="s">
        <v>295</v>
      </c>
      <c r="B316" s="59" t="s">
        <v>296</v>
      </c>
      <c r="C316" s="59">
        <v>2055</v>
      </c>
      <c r="D316" s="59" t="s">
        <v>297</v>
      </c>
      <c r="E316" s="59" t="s">
        <v>304</v>
      </c>
      <c r="F316" s="59" t="s">
        <v>302</v>
      </c>
      <c r="G316" s="59" t="s">
        <v>314</v>
      </c>
      <c r="H316" s="59">
        <v>-9.8000000000000007</v>
      </c>
      <c r="I316" s="59" t="s">
        <v>301</v>
      </c>
    </row>
    <row r="317" spans="1:11" x14ac:dyDescent="0.75">
      <c r="A317" s="59" t="s">
        <v>295</v>
      </c>
      <c r="B317" s="59" t="s">
        <v>296</v>
      </c>
      <c r="C317" s="59">
        <v>2025</v>
      </c>
      <c r="D317" s="59" t="s">
        <v>297</v>
      </c>
      <c r="E317" s="59" t="s">
        <v>304</v>
      </c>
      <c r="F317" s="59" t="s">
        <v>299</v>
      </c>
      <c r="G317" s="59" t="s">
        <v>313</v>
      </c>
      <c r="H317" s="59">
        <v>-3.3</v>
      </c>
      <c r="I317" s="59" t="s">
        <v>301</v>
      </c>
      <c r="K317" s="59" t="str">
        <f>INDEX('EPA land and ag calcs'!$G$7:$G$14,MATCH('EPA land and ag potential'!E317,'EPA land and ag calcs'!$A$7:$A$15,0))</f>
        <v>*handled in agriculture files</v>
      </c>
    </row>
    <row r="318" spans="1:11" x14ac:dyDescent="0.75">
      <c r="A318" s="59" t="s">
        <v>295</v>
      </c>
      <c r="B318" s="59" t="s">
        <v>296</v>
      </c>
      <c r="C318" s="59">
        <v>2035</v>
      </c>
      <c r="D318" s="59" t="s">
        <v>297</v>
      </c>
      <c r="E318" s="59" t="s">
        <v>304</v>
      </c>
      <c r="F318" s="59" t="s">
        <v>299</v>
      </c>
      <c r="G318" s="59" t="s">
        <v>313</v>
      </c>
      <c r="H318" s="59">
        <v>-5.5</v>
      </c>
      <c r="I318" s="59" t="s">
        <v>301</v>
      </c>
      <c r="K318" s="59" t="str">
        <f>INDEX('EPA land and ag calcs'!$G$7:$G$14,MATCH('EPA land and ag potential'!E318,'EPA land and ag calcs'!$A$7:$A$15,0))</f>
        <v>*handled in agriculture files</v>
      </c>
    </row>
    <row r="319" spans="1:11" x14ac:dyDescent="0.75">
      <c r="A319" s="59" t="s">
        <v>295</v>
      </c>
      <c r="B319" s="59" t="s">
        <v>296</v>
      </c>
      <c r="C319" s="59">
        <v>2045</v>
      </c>
      <c r="D319" s="59" t="s">
        <v>297</v>
      </c>
      <c r="E319" s="59" t="s">
        <v>304</v>
      </c>
      <c r="F319" s="59" t="s">
        <v>299</v>
      </c>
      <c r="G319" s="59" t="s">
        <v>313</v>
      </c>
      <c r="H319" s="59">
        <v>-6.4</v>
      </c>
      <c r="I319" s="59" t="s">
        <v>301</v>
      </c>
      <c r="K319" s="59" t="str">
        <f>INDEX('EPA land and ag calcs'!$G$7:$G$14,MATCH('EPA land and ag potential'!E319,'EPA land and ag calcs'!$A$7:$A$15,0))</f>
        <v>*handled in agriculture files</v>
      </c>
    </row>
    <row r="320" spans="1:11" x14ac:dyDescent="0.75">
      <c r="A320" s="59" t="s">
        <v>295</v>
      </c>
      <c r="B320" s="59" t="s">
        <v>296</v>
      </c>
      <c r="C320" s="59">
        <v>2055</v>
      </c>
      <c r="D320" s="59" t="s">
        <v>297</v>
      </c>
      <c r="E320" s="59" t="s">
        <v>304</v>
      </c>
      <c r="F320" s="59" t="s">
        <v>299</v>
      </c>
      <c r="G320" s="59" t="s">
        <v>313</v>
      </c>
      <c r="H320" s="59">
        <v>-7.7</v>
      </c>
      <c r="I320" s="59" t="s">
        <v>301</v>
      </c>
      <c r="K320" s="59" t="str">
        <f>INDEX('EPA land and ag calcs'!$G$7:$G$14,MATCH('EPA land and ag potential'!E320,'EPA land and ag calcs'!$A$7:$A$15,0))</f>
        <v>*handled in agriculture files</v>
      </c>
    </row>
    <row r="321" spans="1:11" hidden="1" x14ac:dyDescent="0.75">
      <c r="A321" s="59" t="s">
        <v>295</v>
      </c>
      <c r="B321" s="59" t="s">
        <v>296</v>
      </c>
      <c r="C321" s="59">
        <v>2025</v>
      </c>
      <c r="D321" s="59" t="s">
        <v>297</v>
      </c>
      <c r="E321" s="59" t="s">
        <v>304</v>
      </c>
      <c r="F321" s="59" t="s">
        <v>302</v>
      </c>
      <c r="G321" s="59" t="s">
        <v>313</v>
      </c>
      <c r="H321" s="59">
        <v>-3.2</v>
      </c>
      <c r="I321" s="59" t="s">
        <v>301</v>
      </c>
    </row>
    <row r="322" spans="1:11" hidden="1" x14ac:dyDescent="0.75">
      <c r="A322" s="59" t="s">
        <v>295</v>
      </c>
      <c r="B322" s="59" t="s">
        <v>296</v>
      </c>
      <c r="C322" s="59">
        <v>2035</v>
      </c>
      <c r="D322" s="59" t="s">
        <v>297</v>
      </c>
      <c r="E322" s="59" t="s">
        <v>304</v>
      </c>
      <c r="F322" s="59" t="s">
        <v>302</v>
      </c>
      <c r="G322" s="59" t="s">
        <v>313</v>
      </c>
      <c r="H322" s="59">
        <v>-5</v>
      </c>
      <c r="I322" s="59" t="s">
        <v>301</v>
      </c>
    </row>
    <row r="323" spans="1:11" hidden="1" x14ac:dyDescent="0.75">
      <c r="A323" s="59" t="s">
        <v>295</v>
      </c>
      <c r="B323" s="59" t="s">
        <v>296</v>
      </c>
      <c r="C323" s="59">
        <v>2025</v>
      </c>
      <c r="D323" s="59" t="s">
        <v>297</v>
      </c>
      <c r="E323" s="59" t="s">
        <v>305</v>
      </c>
      <c r="F323" s="59" t="s">
        <v>302</v>
      </c>
      <c r="G323" s="59" t="s">
        <v>314</v>
      </c>
      <c r="H323" s="59">
        <v>-1.7</v>
      </c>
      <c r="I323" s="59" t="s">
        <v>301</v>
      </c>
    </row>
    <row r="324" spans="1:11" hidden="1" x14ac:dyDescent="0.75">
      <c r="A324" s="59" t="s">
        <v>295</v>
      </c>
      <c r="B324" s="59" t="s">
        <v>296</v>
      </c>
      <c r="C324" s="59">
        <v>2035</v>
      </c>
      <c r="D324" s="59" t="s">
        <v>297</v>
      </c>
      <c r="E324" s="59" t="s">
        <v>305</v>
      </c>
      <c r="F324" s="59" t="s">
        <v>302</v>
      </c>
      <c r="G324" s="59" t="s">
        <v>314</v>
      </c>
      <c r="H324" s="59">
        <v>-3.4</v>
      </c>
      <c r="I324" s="59" t="s">
        <v>301</v>
      </c>
    </row>
    <row r="325" spans="1:11" hidden="1" x14ac:dyDescent="0.75">
      <c r="A325" s="59" t="s">
        <v>295</v>
      </c>
      <c r="B325" s="59" t="s">
        <v>296</v>
      </c>
      <c r="C325" s="59">
        <v>2045</v>
      </c>
      <c r="D325" s="59" t="s">
        <v>297</v>
      </c>
      <c r="E325" s="59" t="s">
        <v>305</v>
      </c>
      <c r="F325" s="59" t="s">
        <v>302</v>
      </c>
      <c r="G325" s="59" t="s">
        <v>314</v>
      </c>
      <c r="H325" s="59">
        <v>-6.6</v>
      </c>
      <c r="I325" s="59" t="s">
        <v>301</v>
      </c>
    </row>
    <row r="326" spans="1:11" hidden="1" x14ac:dyDescent="0.75">
      <c r="A326" s="59" t="s">
        <v>295</v>
      </c>
      <c r="B326" s="59" t="s">
        <v>296</v>
      </c>
      <c r="C326" s="59">
        <v>2055</v>
      </c>
      <c r="D326" s="59" t="s">
        <v>297</v>
      </c>
      <c r="E326" s="59" t="s">
        <v>305</v>
      </c>
      <c r="F326" s="59" t="s">
        <v>302</v>
      </c>
      <c r="G326" s="59" t="s">
        <v>314</v>
      </c>
      <c r="H326" s="59">
        <v>-8.9</v>
      </c>
      <c r="I326" s="59" t="s">
        <v>301</v>
      </c>
    </row>
    <row r="327" spans="1:11" x14ac:dyDescent="0.75">
      <c r="A327" s="59" t="s">
        <v>295</v>
      </c>
      <c r="B327" s="59" t="s">
        <v>296</v>
      </c>
      <c r="C327" s="59">
        <v>2025</v>
      </c>
      <c r="D327" s="59" t="s">
        <v>297</v>
      </c>
      <c r="E327" s="59" t="s">
        <v>305</v>
      </c>
      <c r="F327" s="59" t="s">
        <v>299</v>
      </c>
      <c r="G327" s="59" t="s">
        <v>313</v>
      </c>
      <c r="H327" s="59">
        <v>-0.7</v>
      </c>
      <c r="I327" s="59" t="s">
        <v>301</v>
      </c>
      <c r="K327" s="59" t="str">
        <f>INDEX('EPA land and ag calcs'!$G$7:$G$14,MATCH('EPA land and ag potential'!E327,'EPA land and ag calcs'!$A$7:$A$15,0))</f>
        <v>*handled in agriculture files</v>
      </c>
    </row>
    <row r="328" spans="1:11" x14ac:dyDescent="0.75">
      <c r="A328" s="59" t="s">
        <v>295</v>
      </c>
      <c r="B328" s="59" t="s">
        <v>296</v>
      </c>
      <c r="C328" s="59">
        <v>2035</v>
      </c>
      <c r="D328" s="59" t="s">
        <v>297</v>
      </c>
      <c r="E328" s="59" t="s">
        <v>305</v>
      </c>
      <c r="F328" s="59" t="s">
        <v>299</v>
      </c>
      <c r="G328" s="59" t="s">
        <v>313</v>
      </c>
      <c r="H328" s="59">
        <v>-1.8</v>
      </c>
      <c r="I328" s="59" t="s">
        <v>301</v>
      </c>
      <c r="K328" s="59" t="str">
        <f>INDEX('EPA land and ag calcs'!$G$7:$G$14,MATCH('EPA land and ag potential'!E328,'EPA land and ag calcs'!$A$7:$A$15,0))</f>
        <v>*handled in agriculture files</v>
      </c>
    </row>
    <row r="329" spans="1:11" x14ac:dyDescent="0.75">
      <c r="A329" s="59" t="s">
        <v>295</v>
      </c>
      <c r="B329" s="59" t="s">
        <v>296</v>
      </c>
      <c r="C329" s="59">
        <v>2045</v>
      </c>
      <c r="D329" s="59" t="s">
        <v>297</v>
      </c>
      <c r="E329" s="59" t="s">
        <v>305</v>
      </c>
      <c r="F329" s="59" t="s">
        <v>299</v>
      </c>
      <c r="G329" s="59" t="s">
        <v>313</v>
      </c>
      <c r="H329" s="59">
        <v>-3</v>
      </c>
      <c r="I329" s="59" t="s">
        <v>301</v>
      </c>
      <c r="K329" s="59" t="str">
        <f>INDEX('EPA land and ag calcs'!$G$7:$G$14,MATCH('EPA land and ag potential'!E329,'EPA land and ag calcs'!$A$7:$A$15,0))</f>
        <v>*handled in agriculture files</v>
      </c>
    </row>
    <row r="330" spans="1:11" x14ac:dyDescent="0.75">
      <c r="A330" s="59" t="s">
        <v>295</v>
      </c>
      <c r="B330" s="59" t="s">
        <v>296</v>
      </c>
      <c r="C330" s="59">
        <v>2055</v>
      </c>
      <c r="D330" s="59" t="s">
        <v>297</v>
      </c>
      <c r="E330" s="59" t="s">
        <v>305</v>
      </c>
      <c r="F330" s="59" t="s">
        <v>299</v>
      </c>
      <c r="G330" s="59" t="s">
        <v>313</v>
      </c>
      <c r="H330" s="59">
        <v>-4.7</v>
      </c>
      <c r="I330" s="59" t="s">
        <v>301</v>
      </c>
      <c r="K330" s="59" t="str">
        <f>INDEX('EPA land and ag calcs'!$G$7:$G$14,MATCH('EPA land and ag potential'!E330,'EPA land and ag calcs'!$A$7:$A$15,0))</f>
        <v>*handled in agriculture files</v>
      </c>
    </row>
    <row r="331" spans="1:11" hidden="1" x14ac:dyDescent="0.75">
      <c r="A331" s="59" t="s">
        <v>295</v>
      </c>
      <c r="B331" s="59" t="s">
        <v>296</v>
      </c>
      <c r="C331" s="59">
        <v>2025</v>
      </c>
      <c r="D331" s="59" t="s">
        <v>297</v>
      </c>
      <c r="E331" s="59" t="s">
        <v>305</v>
      </c>
      <c r="F331" s="59" t="s">
        <v>302</v>
      </c>
      <c r="G331" s="59" t="s">
        <v>313</v>
      </c>
      <c r="H331" s="59">
        <v>-0.7</v>
      </c>
      <c r="I331" s="59" t="s">
        <v>301</v>
      </c>
    </row>
    <row r="332" spans="1:11" hidden="1" x14ac:dyDescent="0.75">
      <c r="A332" s="59" t="s">
        <v>295</v>
      </c>
      <c r="B332" s="59" t="s">
        <v>296</v>
      </c>
      <c r="C332" s="59">
        <v>2035</v>
      </c>
      <c r="D332" s="59" t="s">
        <v>297</v>
      </c>
      <c r="E332" s="59" t="s">
        <v>305</v>
      </c>
      <c r="F332" s="59" t="s">
        <v>302</v>
      </c>
      <c r="G332" s="59" t="s">
        <v>313</v>
      </c>
      <c r="H332" s="59">
        <v>-1</v>
      </c>
      <c r="I332" s="59" t="s">
        <v>301</v>
      </c>
    </row>
    <row r="333" spans="1:11" hidden="1" x14ac:dyDescent="0.75">
      <c r="A333" s="59" t="s">
        <v>295</v>
      </c>
      <c r="B333" s="59" t="s">
        <v>296</v>
      </c>
      <c r="C333" s="59">
        <v>2025</v>
      </c>
      <c r="D333" s="59" t="s">
        <v>297</v>
      </c>
      <c r="E333" s="59" t="s">
        <v>306</v>
      </c>
      <c r="F333" s="59" t="s">
        <v>302</v>
      </c>
      <c r="G333" s="59" t="s">
        <v>314</v>
      </c>
      <c r="H333" s="59">
        <v>-27.5</v>
      </c>
      <c r="I333" s="59" t="s">
        <v>301</v>
      </c>
    </row>
    <row r="334" spans="1:11" hidden="1" x14ac:dyDescent="0.75">
      <c r="A334" s="59" t="s">
        <v>295</v>
      </c>
      <c r="B334" s="59" t="s">
        <v>296</v>
      </c>
      <c r="C334" s="59">
        <v>2035</v>
      </c>
      <c r="D334" s="59" t="s">
        <v>297</v>
      </c>
      <c r="E334" s="59" t="s">
        <v>306</v>
      </c>
      <c r="F334" s="59" t="s">
        <v>302</v>
      </c>
      <c r="G334" s="59" t="s">
        <v>314</v>
      </c>
      <c r="H334" s="59">
        <v>-50.7</v>
      </c>
      <c r="I334" s="59" t="s">
        <v>301</v>
      </c>
    </row>
    <row r="335" spans="1:11" hidden="1" x14ac:dyDescent="0.75">
      <c r="A335" s="59" t="s">
        <v>295</v>
      </c>
      <c r="B335" s="59" t="s">
        <v>296</v>
      </c>
      <c r="C335" s="59">
        <v>2045</v>
      </c>
      <c r="D335" s="59" t="s">
        <v>297</v>
      </c>
      <c r="E335" s="59" t="s">
        <v>306</v>
      </c>
      <c r="F335" s="59" t="s">
        <v>302</v>
      </c>
      <c r="G335" s="59" t="s">
        <v>314</v>
      </c>
      <c r="H335" s="59">
        <v>-49.4</v>
      </c>
      <c r="I335" s="59" t="s">
        <v>301</v>
      </c>
    </row>
    <row r="336" spans="1:11" hidden="1" x14ac:dyDescent="0.75">
      <c r="A336" s="59" t="s">
        <v>295</v>
      </c>
      <c r="B336" s="59" t="s">
        <v>296</v>
      </c>
      <c r="C336" s="59">
        <v>2055</v>
      </c>
      <c r="D336" s="59" t="s">
        <v>297</v>
      </c>
      <c r="E336" s="59" t="s">
        <v>306</v>
      </c>
      <c r="F336" s="59" t="s">
        <v>302</v>
      </c>
      <c r="G336" s="59" t="s">
        <v>314</v>
      </c>
      <c r="H336" s="59">
        <v>-50.5</v>
      </c>
      <c r="I336" s="59" t="s">
        <v>301</v>
      </c>
    </row>
    <row r="337" spans="1:11" x14ac:dyDescent="0.75">
      <c r="A337" s="59" t="s">
        <v>295</v>
      </c>
      <c r="B337" s="59" t="s">
        <v>296</v>
      </c>
      <c r="C337" s="59">
        <v>2025</v>
      </c>
      <c r="D337" s="59" t="s">
        <v>297</v>
      </c>
      <c r="E337" s="59" t="s">
        <v>306</v>
      </c>
      <c r="F337" s="59" t="s">
        <v>299</v>
      </c>
      <c r="G337" s="59" t="s">
        <v>313</v>
      </c>
      <c r="H337" s="59">
        <v>-13.6</v>
      </c>
      <c r="I337" s="59" t="s">
        <v>301</v>
      </c>
      <c r="K337" s="59" t="str">
        <f>INDEX('EPA land and ag calcs'!$G$7:$G$14,MATCH('EPA land and ag potential'!E337,'EPA land and ag calcs'!$A$7:$A$15,0))</f>
        <v>forest management</v>
      </c>
    </row>
    <row r="338" spans="1:11" x14ac:dyDescent="0.75">
      <c r="A338" s="59" t="s">
        <v>295</v>
      </c>
      <c r="B338" s="59" t="s">
        <v>296</v>
      </c>
      <c r="C338" s="59">
        <v>2035</v>
      </c>
      <c r="D338" s="59" t="s">
        <v>297</v>
      </c>
      <c r="E338" s="59" t="s">
        <v>306</v>
      </c>
      <c r="F338" s="59" t="s">
        <v>299</v>
      </c>
      <c r="G338" s="59" t="s">
        <v>313</v>
      </c>
      <c r="H338" s="59">
        <v>-39.700000000000003</v>
      </c>
      <c r="I338" s="59" t="s">
        <v>301</v>
      </c>
      <c r="K338" s="59" t="str">
        <f>INDEX('EPA land and ag calcs'!$G$7:$G$14,MATCH('EPA land and ag potential'!E338,'EPA land and ag calcs'!$A$7:$A$15,0))</f>
        <v>forest management</v>
      </c>
    </row>
    <row r="339" spans="1:11" x14ac:dyDescent="0.75">
      <c r="A339" s="59" t="s">
        <v>295</v>
      </c>
      <c r="B339" s="59" t="s">
        <v>296</v>
      </c>
      <c r="C339" s="59">
        <v>2045</v>
      </c>
      <c r="D339" s="59" t="s">
        <v>297</v>
      </c>
      <c r="E339" s="59" t="s">
        <v>306</v>
      </c>
      <c r="F339" s="59" t="s">
        <v>299</v>
      </c>
      <c r="G339" s="59" t="s">
        <v>313</v>
      </c>
      <c r="H339" s="59">
        <v>-48.7</v>
      </c>
      <c r="I339" s="59" t="s">
        <v>301</v>
      </c>
      <c r="K339" s="59" t="str">
        <f>INDEX('EPA land and ag calcs'!$G$7:$G$14,MATCH('EPA land and ag potential'!E339,'EPA land and ag calcs'!$A$7:$A$15,0))</f>
        <v>forest management</v>
      </c>
    </row>
    <row r="340" spans="1:11" x14ac:dyDescent="0.75">
      <c r="A340" s="59" t="s">
        <v>295</v>
      </c>
      <c r="B340" s="59" t="s">
        <v>296</v>
      </c>
      <c r="C340" s="59">
        <v>2055</v>
      </c>
      <c r="D340" s="59" t="s">
        <v>297</v>
      </c>
      <c r="E340" s="59" t="s">
        <v>306</v>
      </c>
      <c r="F340" s="59" t="s">
        <v>299</v>
      </c>
      <c r="G340" s="59" t="s">
        <v>313</v>
      </c>
      <c r="H340" s="59">
        <v>-59</v>
      </c>
      <c r="I340" s="59" t="s">
        <v>301</v>
      </c>
      <c r="K340" s="59" t="str">
        <f>INDEX('EPA land and ag calcs'!$G$7:$G$14,MATCH('EPA land and ag potential'!E340,'EPA land and ag calcs'!$A$7:$A$15,0))</f>
        <v>forest management</v>
      </c>
    </row>
    <row r="341" spans="1:11" hidden="1" x14ac:dyDescent="0.75">
      <c r="A341" s="59" t="s">
        <v>295</v>
      </c>
      <c r="B341" s="59" t="s">
        <v>296</v>
      </c>
      <c r="C341" s="59">
        <v>2025</v>
      </c>
      <c r="D341" s="59" t="s">
        <v>297</v>
      </c>
      <c r="E341" s="59" t="s">
        <v>306</v>
      </c>
      <c r="F341" s="59" t="s">
        <v>302</v>
      </c>
      <c r="G341" s="59" t="s">
        <v>313</v>
      </c>
      <c r="H341" s="59">
        <v>-16.7</v>
      </c>
      <c r="I341" s="59" t="s">
        <v>301</v>
      </c>
    </row>
    <row r="342" spans="1:11" hidden="1" x14ac:dyDescent="0.75">
      <c r="A342" s="59" t="s">
        <v>295</v>
      </c>
      <c r="B342" s="59" t="s">
        <v>296</v>
      </c>
      <c r="C342" s="59">
        <v>2035</v>
      </c>
      <c r="D342" s="59" t="s">
        <v>297</v>
      </c>
      <c r="E342" s="59" t="s">
        <v>306</v>
      </c>
      <c r="F342" s="59" t="s">
        <v>302</v>
      </c>
      <c r="G342" s="59" t="s">
        <v>313</v>
      </c>
      <c r="H342" s="59">
        <v>-32.4</v>
      </c>
      <c r="I342" s="59" t="s">
        <v>301</v>
      </c>
    </row>
    <row r="343" spans="1:11" hidden="1" x14ac:dyDescent="0.75">
      <c r="A343" s="59" t="s">
        <v>295</v>
      </c>
      <c r="B343" s="59" t="s">
        <v>296</v>
      </c>
      <c r="C343" s="59">
        <v>2025</v>
      </c>
      <c r="D343" s="59" t="s">
        <v>297</v>
      </c>
      <c r="E343" s="59" t="s">
        <v>307</v>
      </c>
      <c r="F343" s="59" t="s">
        <v>302</v>
      </c>
      <c r="G343" s="59" t="s">
        <v>314</v>
      </c>
      <c r="I343" s="59" t="s">
        <v>301</v>
      </c>
    </row>
    <row r="344" spans="1:11" hidden="1" x14ac:dyDescent="0.75">
      <c r="A344" s="59" t="s">
        <v>295</v>
      </c>
      <c r="B344" s="59" t="s">
        <v>296</v>
      </c>
      <c r="C344" s="59">
        <v>2035</v>
      </c>
      <c r="D344" s="59" t="s">
        <v>297</v>
      </c>
      <c r="E344" s="59" t="s">
        <v>307</v>
      </c>
      <c r="F344" s="59" t="s">
        <v>302</v>
      </c>
      <c r="G344" s="59" t="s">
        <v>314</v>
      </c>
      <c r="H344" s="59">
        <v>-51.2</v>
      </c>
      <c r="I344" s="59" t="s">
        <v>301</v>
      </c>
    </row>
    <row r="345" spans="1:11" hidden="1" x14ac:dyDescent="0.75">
      <c r="A345" s="59" t="s">
        <v>295</v>
      </c>
      <c r="B345" s="59" t="s">
        <v>296</v>
      </c>
      <c r="C345" s="59">
        <v>2045</v>
      </c>
      <c r="D345" s="59" t="s">
        <v>297</v>
      </c>
      <c r="E345" s="59" t="s">
        <v>307</v>
      </c>
      <c r="F345" s="59" t="s">
        <v>302</v>
      </c>
      <c r="G345" s="59" t="s">
        <v>314</v>
      </c>
      <c r="H345" s="59">
        <v>-75.7</v>
      </c>
      <c r="I345" s="59" t="s">
        <v>301</v>
      </c>
    </row>
    <row r="346" spans="1:11" hidden="1" x14ac:dyDescent="0.75">
      <c r="A346" s="59" t="s">
        <v>295</v>
      </c>
      <c r="B346" s="59" t="s">
        <v>296</v>
      </c>
      <c r="C346" s="59">
        <v>2055</v>
      </c>
      <c r="D346" s="59" t="s">
        <v>297</v>
      </c>
      <c r="E346" s="59" t="s">
        <v>307</v>
      </c>
      <c r="F346" s="59" t="s">
        <v>302</v>
      </c>
      <c r="G346" s="59" t="s">
        <v>314</v>
      </c>
      <c r="H346" s="59">
        <v>-94.3</v>
      </c>
      <c r="I346" s="59" t="s">
        <v>301</v>
      </c>
    </row>
    <row r="347" spans="1:11" x14ac:dyDescent="0.75">
      <c r="A347" s="59" t="s">
        <v>295</v>
      </c>
      <c r="B347" s="59" t="s">
        <v>296</v>
      </c>
      <c r="C347" s="59">
        <v>2025</v>
      </c>
      <c r="D347" s="59" t="s">
        <v>297</v>
      </c>
      <c r="E347" s="59" t="s">
        <v>307</v>
      </c>
      <c r="F347" s="59" t="s">
        <v>299</v>
      </c>
      <c r="G347" s="59" t="s">
        <v>313</v>
      </c>
      <c r="I347" s="59" t="s">
        <v>301</v>
      </c>
      <c r="K347" s="59" t="str">
        <f>INDEX('EPA land and ag calcs'!$G$7:$G$14,MATCH('EPA land and ag potential'!E347,'EPA land and ag calcs'!$A$7:$A$15,0))</f>
        <v>afforestation and reforestation</v>
      </c>
    </row>
    <row r="348" spans="1:11" x14ac:dyDescent="0.75">
      <c r="A348" s="59" t="s">
        <v>295</v>
      </c>
      <c r="B348" s="59" t="s">
        <v>296</v>
      </c>
      <c r="C348" s="59">
        <v>2035</v>
      </c>
      <c r="D348" s="59" t="s">
        <v>297</v>
      </c>
      <c r="E348" s="59" t="s">
        <v>307</v>
      </c>
      <c r="F348" s="59" t="s">
        <v>299</v>
      </c>
      <c r="G348" s="59" t="s">
        <v>313</v>
      </c>
      <c r="H348" s="59">
        <v>-27.8</v>
      </c>
      <c r="I348" s="59" t="s">
        <v>301</v>
      </c>
      <c r="K348" s="59" t="str">
        <f>INDEX('EPA land and ag calcs'!$G$7:$G$14,MATCH('EPA land and ag potential'!E348,'EPA land and ag calcs'!$A$7:$A$15,0))</f>
        <v>afforestation and reforestation</v>
      </c>
    </row>
    <row r="349" spans="1:11" x14ac:dyDescent="0.75">
      <c r="A349" s="59" t="s">
        <v>295</v>
      </c>
      <c r="B349" s="59" t="s">
        <v>296</v>
      </c>
      <c r="C349" s="59">
        <v>2045</v>
      </c>
      <c r="D349" s="59" t="s">
        <v>297</v>
      </c>
      <c r="E349" s="59" t="s">
        <v>307</v>
      </c>
      <c r="F349" s="59" t="s">
        <v>299</v>
      </c>
      <c r="G349" s="59" t="s">
        <v>313</v>
      </c>
      <c r="H349" s="59">
        <v>-30.7</v>
      </c>
      <c r="I349" s="59" t="s">
        <v>301</v>
      </c>
      <c r="K349" s="59" t="str">
        <f>INDEX('EPA land and ag calcs'!$G$7:$G$14,MATCH('EPA land and ag potential'!E349,'EPA land and ag calcs'!$A$7:$A$15,0))</f>
        <v>afforestation and reforestation</v>
      </c>
    </row>
    <row r="350" spans="1:11" x14ac:dyDescent="0.75">
      <c r="A350" s="59" t="s">
        <v>295</v>
      </c>
      <c r="B350" s="59" t="s">
        <v>296</v>
      </c>
      <c r="C350" s="59">
        <v>2055</v>
      </c>
      <c r="D350" s="59" t="s">
        <v>297</v>
      </c>
      <c r="E350" s="59" t="s">
        <v>307</v>
      </c>
      <c r="F350" s="59" t="s">
        <v>299</v>
      </c>
      <c r="G350" s="59" t="s">
        <v>313</v>
      </c>
      <c r="H350" s="59">
        <v>-30.8</v>
      </c>
      <c r="I350" s="59" t="s">
        <v>301</v>
      </c>
      <c r="K350" s="59" t="str">
        <f>INDEX('EPA land and ag calcs'!$G$7:$G$14,MATCH('EPA land and ag potential'!E350,'EPA land and ag calcs'!$A$7:$A$15,0))</f>
        <v>afforestation and reforestation</v>
      </c>
    </row>
    <row r="351" spans="1:11" hidden="1" x14ac:dyDescent="0.75">
      <c r="A351" s="59" t="s">
        <v>295</v>
      </c>
      <c r="B351" s="59" t="s">
        <v>296</v>
      </c>
      <c r="C351" s="59">
        <v>2025</v>
      </c>
      <c r="D351" s="59" t="s">
        <v>297</v>
      </c>
      <c r="E351" s="59" t="s">
        <v>307</v>
      </c>
      <c r="F351" s="59" t="s">
        <v>302</v>
      </c>
      <c r="G351" s="59" t="s">
        <v>313</v>
      </c>
      <c r="I351" s="59" t="s">
        <v>301</v>
      </c>
    </row>
    <row r="352" spans="1:11" hidden="1" x14ac:dyDescent="0.75">
      <c r="A352" s="59" t="s">
        <v>295</v>
      </c>
      <c r="B352" s="59" t="s">
        <v>296</v>
      </c>
      <c r="C352" s="59">
        <v>2035</v>
      </c>
      <c r="D352" s="59" t="s">
        <v>297</v>
      </c>
      <c r="E352" s="59" t="s">
        <v>307</v>
      </c>
      <c r="F352" s="59" t="s">
        <v>302</v>
      </c>
      <c r="G352" s="59" t="s">
        <v>313</v>
      </c>
      <c r="H352" s="59">
        <v>-35</v>
      </c>
      <c r="I352" s="59" t="s">
        <v>301</v>
      </c>
    </row>
    <row r="353" spans="1:11" hidden="1" x14ac:dyDescent="0.75">
      <c r="A353" s="59" t="s">
        <v>295</v>
      </c>
      <c r="B353" s="59" t="s">
        <v>296</v>
      </c>
      <c r="C353" s="59">
        <v>2025</v>
      </c>
      <c r="D353" s="59" t="s">
        <v>297</v>
      </c>
      <c r="E353" s="59" t="s">
        <v>308</v>
      </c>
      <c r="F353" s="59" t="s">
        <v>302</v>
      </c>
      <c r="G353" s="59" t="s">
        <v>314</v>
      </c>
      <c r="H353" s="59">
        <v>3.3</v>
      </c>
      <c r="I353" s="59" t="s">
        <v>301</v>
      </c>
    </row>
    <row r="354" spans="1:11" hidden="1" x14ac:dyDescent="0.75">
      <c r="A354" s="59" t="s">
        <v>295</v>
      </c>
      <c r="B354" s="59" t="s">
        <v>296</v>
      </c>
      <c r="C354" s="59">
        <v>2035</v>
      </c>
      <c r="D354" s="59" t="s">
        <v>297</v>
      </c>
      <c r="E354" s="59" t="s">
        <v>308</v>
      </c>
      <c r="F354" s="59" t="s">
        <v>302</v>
      </c>
      <c r="G354" s="59" t="s">
        <v>314</v>
      </c>
      <c r="H354" s="59">
        <v>2.6</v>
      </c>
      <c r="I354" s="59" t="s">
        <v>301</v>
      </c>
    </row>
    <row r="355" spans="1:11" hidden="1" x14ac:dyDescent="0.75">
      <c r="A355" s="59" t="s">
        <v>295</v>
      </c>
      <c r="B355" s="59" t="s">
        <v>296</v>
      </c>
      <c r="C355" s="59">
        <v>2045</v>
      </c>
      <c r="D355" s="59" t="s">
        <v>297</v>
      </c>
      <c r="E355" s="59" t="s">
        <v>308</v>
      </c>
      <c r="F355" s="59" t="s">
        <v>302</v>
      </c>
      <c r="G355" s="59" t="s">
        <v>314</v>
      </c>
      <c r="H355" s="59">
        <v>2.2000000000000002</v>
      </c>
      <c r="I355" s="59" t="s">
        <v>301</v>
      </c>
    </row>
    <row r="356" spans="1:11" hidden="1" x14ac:dyDescent="0.75">
      <c r="A356" s="59" t="s">
        <v>295</v>
      </c>
      <c r="B356" s="59" t="s">
        <v>296</v>
      </c>
      <c r="C356" s="59">
        <v>2055</v>
      </c>
      <c r="D356" s="59" t="s">
        <v>297</v>
      </c>
      <c r="E356" s="59" t="s">
        <v>308</v>
      </c>
      <c r="F356" s="59" t="s">
        <v>302</v>
      </c>
      <c r="G356" s="59" t="s">
        <v>314</v>
      </c>
      <c r="H356" s="59">
        <v>2</v>
      </c>
      <c r="I356" s="59" t="s">
        <v>301</v>
      </c>
    </row>
    <row r="357" spans="1:11" x14ac:dyDescent="0.75">
      <c r="A357" s="59" t="s">
        <v>295</v>
      </c>
      <c r="B357" s="59" t="s">
        <v>296</v>
      </c>
      <c r="C357" s="59">
        <v>2025</v>
      </c>
      <c r="D357" s="59" t="s">
        <v>297</v>
      </c>
      <c r="E357" s="59" t="s">
        <v>308</v>
      </c>
      <c r="F357" s="59" t="s">
        <v>299</v>
      </c>
      <c r="G357" s="59" t="s">
        <v>313</v>
      </c>
      <c r="H357" s="59">
        <v>1.3</v>
      </c>
      <c r="I357" s="59" t="s">
        <v>301</v>
      </c>
      <c r="K357" s="59" t="str">
        <f>INDEX('EPA land and ag calcs'!$G$7:$G$14,MATCH('EPA land and ag potential'!E357,'EPA land and ag calcs'!$A$7:$A$15,0))</f>
        <v>forest management</v>
      </c>
    </row>
    <row r="358" spans="1:11" x14ac:dyDescent="0.75">
      <c r="A358" s="59" t="s">
        <v>295</v>
      </c>
      <c r="B358" s="59" t="s">
        <v>296</v>
      </c>
      <c r="C358" s="59">
        <v>2035</v>
      </c>
      <c r="D358" s="59" t="s">
        <v>297</v>
      </c>
      <c r="E358" s="59" t="s">
        <v>308</v>
      </c>
      <c r="F358" s="59" t="s">
        <v>299</v>
      </c>
      <c r="G358" s="59" t="s">
        <v>313</v>
      </c>
      <c r="H358" s="59">
        <v>0.6</v>
      </c>
      <c r="I358" s="59" t="s">
        <v>301</v>
      </c>
      <c r="K358" s="59" t="str">
        <f>INDEX('EPA land and ag calcs'!$G$7:$G$14,MATCH('EPA land and ag potential'!E358,'EPA land and ag calcs'!$A$7:$A$15,0))</f>
        <v>forest management</v>
      </c>
    </row>
    <row r="359" spans="1:11" x14ac:dyDescent="0.75">
      <c r="A359" s="59" t="s">
        <v>295</v>
      </c>
      <c r="B359" s="59" t="s">
        <v>296</v>
      </c>
      <c r="C359" s="59">
        <v>2045</v>
      </c>
      <c r="D359" s="59" t="s">
        <v>297</v>
      </c>
      <c r="E359" s="59" t="s">
        <v>308</v>
      </c>
      <c r="F359" s="59" t="s">
        <v>299</v>
      </c>
      <c r="G359" s="59" t="s">
        <v>313</v>
      </c>
      <c r="H359" s="59">
        <v>0.6</v>
      </c>
      <c r="I359" s="59" t="s">
        <v>301</v>
      </c>
      <c r="K359" s="59" t="str">
        <f>INDEX('EPA land and ag calcs'!$G$7:$G$14,MATCH('EPA land and ag potential'!E359,'EPA land and ag calcs'!$A$7:$A$15,0))</f>
        <v>forest management</v>
      </c>
    </row>
    <row r="360" spans="1:11" x14ac:dyDescent="0.75">
      <c r="A360" s="59" t="s">
        <v>295</v>
      </c>
      <c r="B360" s="59" t="s">
        <v>296</v>
      </c>
      <c r="C360" s="59">
        <v>2055</v>
      </c>
      <c r="D360" s="59" t="s">
        <v>297</v>
      </c>
      <c r="E360" s="59" t="s">
        <v>308</v>
      </c>
      <c r="F360" s="59" t="s">
        <v>299</v>
      </c>
      <c r="G360" s="59" t="s">
        <v>313</v>
      </c>
      <c r="H360" s="59">
        <v>0.7</v>
      </c>
      <c r="I360" s="59" t="s">
        <v>301</v>
      </c>
      <c r="K360" s="59" t="str">
        <f>INDEX('EPA land and ag calcs'!$G$7:$G$14,MATCH('EPA land and ag potential'!E360,'EPA land and ag calcs'!$A$7:$A$15,0))</f>
        <v>forest management</v>
      </c>
    </row>
    <row r="361" spans="1:11" hidden="1" x14ac:dyDescent="0.75">
      <c r="A361" s="59" t="s">
        <v>295</v>
      </c>
      <c r="B361" s="59" t="s">
        <v>296</v>
      </c>
      <c r="C361" s="59">
        <v>2025</v>
      </c>
      <c r="D361" s="59" t="s">
        <v>297</v>
      </c>
      <c r="E361" s="59" t="s">
        <v>308</v>
      </c>
      <c r="F361" s="59" t="s">
        <v>302</v>
      </c>
      <c r="G361" s="59" t="s">
        <v>313</v>
      </c>
      <c r="H361" s="59">
        <v>1.4</v>
      </c>
      <c r="I361" s="59" t="s">
        <v>301</v>
      </c>
    </row>
    <row r="362" spans="1:11" hidden="1" x14ac:dyDescent="0.75">
      <c r="A362" s="59" t="s">
        <v>295</v>
      </c>
      <c r="B362" s="59" t="s">
        <v>296</v>
      </c>
      <c r="C362" s="59">
        <v>2035</v>
      </c>
      <c r="D362" s="59" t="s">
        <v>297</v>
      </c>
      <c r="E362" s="59" t="s">
        <v>308</v>
      </c>
      <c r="F362" s="59" t="s">
        <v>302</v>
      </c>
      <c r="G362" s="59" t="s">
        <v>313</v>
      </c>
      <c r="H362" s="59">
        <v>1.4</v>
      </c>
      <c r="I362" s="59" t="s">
        <v>301</v>
      </c>
    </row>
    <row r="363" spans="1:11" hidden="1" x14ac:dyDescent="0.75">
      <c r="A363" s="59" t="s">
        <v>295</v>
      </c>
      <c r="B363" s="59" t="s">
        <v>296</v>
      </c>
      <c r="C363" s="59">
        <v>2025</v>
      </c>
      <c r="D363" s="59" t="s">
        <v>297</v>
      </c>
      <c r="E363" s="59" t="s">
        <v>309</v>
      </c>
      <c r="F363" s="59" t="s">
        <v>302</v>
      </c>
      <c r="G363" s="59" t="s">
        <v>314</v>
      </c>
      <c r="H363" s="59">
        <v>-125.6</v>
      </c>
      <c r="I363" s="59" t="s">
        <v>301</v>
      </c>
    </row>
    <row r="364" spans="1:11" hidden="1" x14ac:dyDescent="0.75">
      <c r="A364" s="59" t="s">
        <v>295</v>
      </c>
      <c r="B364" s="59" t="s">
        <v>296</v>
      </c>
      <c r="C364" s="59">
        <v>2035</v>
      </c>
      <c r="D364" s="59" t="s">
        <v>297</v>
      </c>
      <c r="E364" s="59" t="s">
        <v>309</v>
      </c>
      <c r="F364" s="59" t="s">
        <v>302</v>
      </c>
      <c r="G364" s="59" t="s">
        <v>314</v>
      </c>
      <c r="H364" s="59">
        <v>-106.7</v>
      </c>
      <c r="I364" s="59" t="s">
        <v>301</v>
      </c>
    </row>
    <row r="365" spans="1:11" hidden="1" x14ac:dyDescent="0.75">
      <c r="A365" s="59" t="s">
        <v>295</v>
      </c>
      <c r="B365" s="59" t="s">
        <v>296</v>
      </c>
      <c r="C365" s="59">
        <v>2045</v>
      </c>
      <c r="D365" s="59" t="s">
        <v>297</v>
      </c>
      <c r="E365" s="59" t="s">
        <v>309</v>
      </c>
      <c r="F365" s="59" t="s">
        <v>302</v>
      </c>
      <c r="G365" s="59" t="s">
        <v>314</v>
      </c>
      <c r="H365" s="59">
        <v>-84.3</v>
      </c>
      <c r="I365" s="59" t="s">
        <v>301</v>
      </c>
    </row>
    <row r="366" spans="1:11" hidden="1" x14ac:dyDescent="0.75">
      <c r="A366" s="59" t="s">
        <v>295</v>
      </c>
      <c r="B366" s="59" t="s">
        <v>296</v>
      </c>
      <c r="C366" s="59">
        <v>2055</v>
      </c>
      <c r="D366" s="59" t="s">
        <v>297</v>
      </c>
      <c r="E366" s="59" t="s">
        <v>309</v>
      </c>
      <c r="F366" s="59" t="s">
        <v>302</v>
      </c>
      <c r="G366" s="59" t="s">
        <v>314</v>
      </c>
      <c r="H366" s="59">
        <v>-80.7</v>
      </c>
      <c r="I366" s="59" t="s">
        <v>301</v>
      </c>
    </row>
    <row r="367" spans="1:11" x14ac:dyDescent="0.75">
      <c r="A367" s="59" t="s">
        <v>295</v>
      </c>
      <c r="B367" s="59" t="s">
        <v>296</v>
      </c>
      <c r="C367" s="59">
        <v>2025</v>
      </c>
      <c r="D367" s="59" t="s">
        <v>297</v>
      </c>
      <c r="E367" s="59" t="s">
        <v>309</v>
      </c>
      <c r="F367" s="59" t="s">
        <v>299</v>
      </c>
      <c r="G367" s="59" t="s">
        <v>313</v>
      </c>
      <c r="H367" s="59">
        <v>-57.7</v>
      </c>
      <c r="I367" s="59" t="s">
        <v>301</v>
      </c>
      <c r="K367" s="59" t="str">
        <f>INDEX('EPA land and ag calcs'!$G$7:$G$14,MATCH('EPA land and ag potential'!E367,'EPA land and ag calcs'!$A$7:$A$15,0))</f>
        <v>afforestation and reforestation</v>
      </c>
    </row>
    <row r="368" spans="1:11" x14ac:dyDescent="0.75">
      <c r="A368" s="59" t="s">
        <v>295</v>
      </c>
      <c r="B368" s="59" t="s">
        <v>296</v>
      </c>
      <c r="C368" s="59">
        <v>2035</v>
      </c>
      <c r="D368" s="59" t="s">
        <v>297</v>
      </c>
      <c r="E368" s="59" t="s">
        <v>309</v>
      </c>
      <c r="F368" s="59" t="s">
        <v>299</v>
      </c>
      <c r="G368" s="59" t="s">
        <v>313</v>
      </c>
      <c r="H368" s="59">
        <v>-93.3</v>
      </c>
      <c r="I368" s="59" t="s">
        <v>301</v>
      </c>
      <c r="K368" s="59" t="str">
        <f>INDEX('EPA land and ag calcs'!$G$7:$G$14,MATCH('EPA land and ag potential'!E368,'EPA land and ag calcs'!$A$7:$A$15,0))</f>
        <v>afforestation and reforestation</v>
      </c>
    </row>
    <row r="369" spans="1:11" x14ac:dyDescent="0.75">
      <c r="A369" s="59" t="s">
        <v>295</v>
      </c>
      <c r="B369" s="59" t="s">
        <v>296</v>
      </c>
      <c r="C369" s="59">
        <v>2045</v>
      </c>
      <c r="D369" s="59" t="s">
        <v>297</v>
      </c>
      <c r="E369" s="59" t="s">
        <v>309</v>
      </c>
      <c r="F369" s="59" t="s">
        <v>299</v>
      </c>
      <c r="G369" s="59" t="s">
        <v>313</v>
      </c>
      <c r="H369" s="59">
        <v>-81.099999999999994</v>
      </c>
      <c r="I369" s="59" t="s">
        <v>301</v>
      </c>
      <c r="K369" s="59" t="str">
        <f>INDEX('EPA land and ag calcs'!$G$7:$G$14,MATCH('EPA land and ag potential'!E369,'EPA land and ag calcs'!$A$7:$A$15,0))</f>
        <v>afforestation and reforestation</v>
      </c>
    </row>
    <row r="370" spans="1:11" x14ac:dyDescent="0.75">
      <c r="A370" s="59" t="s">
        <v>295</v>
      </c>
      <c r="B370" s="59" t="s">
        <v>296</v>
      </c>
      <c r="C370" s="59">
        <v>2055</v>
      </c>
      <c r="D370" s="59" t="s">
        <v>297</v>
      </c>
      <c r="E370" s="59" t="s">
        <v>309</v>
      </c>
      <c r="F370" s="59" t="s">
        <v>299</v>
      </c>
      <c r="G370" s="59" t="s">
        <v>313</v>
      </c>
      <c r="H370" s="59">
        <v>-81.5</v>
      </c>
      <c r="I370" s="59" t="s">
        <v>301</v>
      </c>
      <c r="K370" s="59" t="str">
        <f>INDEX('EPA land and ag calcs'!$G$7:$G$14,MATCH('EPA land and ag potential'!E370,'EPA land and ag calcs'!$A$7:$A$15,0))</f>
        <v>afforestation and reforestation</v>
      </c>
    </row>
    <row r="371" spans="1:11" hidden="1" x14ac:dyDescent="0.75">
      <c r="A371" s="59" t="s">
        <v>295</v>
      </c>
      <c r="B371" s="59" t="s">
        <v>296</v>
      </c>
      <c r="C371" s="59">
        <v>2025</v>
      </c>
      <c r="D371" s="59" t="s">
        <v>297</v>
      </c>
      <c r="E371" s="59" t="s">
        <v>309</v>
      </c>
      <c r="F371" s="59" t="s">
        <v>302</v>
      </c>
      <c r="G371" s="59" t="s">
        <v>313</v>
      </c>
      <c r="H371" s="59">
        <v>-96.9</v>
      </c>
      <c r="I371" s="59" t="s">
        <v>301</v>
      </c>
    </row>
    <row r="372" spans="1:11" hidden="1" x14ac:dyDescent="0.75">
      <c r="A372" s="59" t="s">
        <v>295</v>
      </c>
      <c r="B372" s="59" t="s">
        <v>296</v>
      </c>
      <c r="C372" s="59">
        <v>2035</v>
      </c>
      <c r="D372" s="59" t="s">
        <v>297</v>
      </c>
      <c r="E372" s="59" t="s">
        <v>309</v>
      </c>
      <c r="F372" s="59" t="s">
        <v>302</v>
      </c>
      <c r="G372" s="59" t="s">
        <v>313</v>
      </c>
      <c r="H372" s="59">
        <v>-50.6</v>
      </c>
      <c r="I372" s="59" t="s">
        <v>301</v>
      </c>
    </row>
    <row r="373" spans="1:11" hidden="1" x14ac:dyDescent="0.75">
      <c r="A373" s="59" t="s">
        <v>295</v>
      </c>
      <c r="B373" s="59" t="s">
        <v>296</v>
      </c>
      <c r="C373" s="59">
        <v>2025</v>
      </c>
      <c r="D373" s="59" t="s">
        <v>297</v>
      </c>
      <c r="E373" s="59" t="s">
        <v>310</v>
      </c>
      <c r="F373" s="59" t="s">
        <v>302</v>
      </c>
      <c r="G373" s="59" t="s">
        <v>314</v>
      </c>
      <c r="H373" s="59">
        <v>-10.199999999999999</v>
      </c>
      <c r="I373" s="59" t="s">
        <v>301</v>
      </c>
    </row>
    <row r="374" spans="1:11" hidden="1" x14ac:dyDescent="0.75">
      <c r="A374" s="59" t="s">
        <v>295</v>
      </c>
      <c r="B374" s="59" t="s">
        <v>296</v>
      </c>
      <c r="C374" s="59">
        <v>2035</v>
      </c>
      <c r="D374" s="59" t="s">
        <v>297</v>
      </c>
      <c r="E374" s="59" t="s">
        <v>310</v>
      </c>
      <c r="F374" s="59" t="s">
        <v>302</v>
      </c>
      <c r="G374" s="59" t="s">
        <v>314</v>
      </c>
      <c r="H374" s="59">
        <v>-13.4</v>
      </c>
      <c r="I374" s="59" t="s">
        <v>301</v>
      </c>
    </row>
    <row r="375" spans="1:11" hidden="1" x14ac:dyDescent="0.75">
      <c r="A375" s="59" t="s">
        <v>295</v>
      </c>
      <c r="B375" s="59" t="s">
        <v>296</v>
      </c>
      <c r="C375" s="59">
        <v>2045</v>
      </c>
      <c r="D375" s="59" t="s">
        <v>297</v>
      </c>
      <c r="E375" s="59" t="s">
        <v>310</v>
      </c>
      <c r="F375" s="59" t="s">
        <v>302</v>
      </c>
      <c r="G375" s="59" t="s">
        <v>314</v>
      </c>
      <c r="H375" s="59">
        <v>-15.3</v>
      </c>
      <c r="I375" s="59" t="s">
        <v>301</v>
      </c>
    </row>
    <row r="376" spans="1:11" hidden="1" x14ac:dyDescent="0.75">
      <c r="A376" s="59" t="s">
        <v>295</v>
      </c>
      <c r="B376" s="59" t="s">
        <v>296</v>
      </c>
      <c r="C376" s="59">
        <v>2055</v>
      </c>
      <c r="D376" s="59" t="s">
        <v>297</v>
      </c>
      <c r="E376" s="59" t="s">
        <v>310</v>
      </c>
      <c r="F376" s="59" t="s">
        <v>302</v>
      </c>
      <c r="G376" s="59" t="s">
        <v>314</v>
      </c>
      <c r="H376" s="59">
        <v>-18.899999999999999</v>
      </c>
      <c r="I376" s="59" t="s">
        <v>301</v>
      </c>
    </row>
    <row r="377" spans="1:11" x14ac:dyDescent="0.75">
      <c r="A377" s="59" t="s">
        <v>295</v>
      </c>
      <c r="B377" s="59" t="s">
        <v>296</v>
      </c>
      <c r="C377" s="59">
        <v>2025</v>
      </c>
      <c r="D377" s="59" t="s">
        <v>297</v>
      </c>
      <c r="E377" s="59" t="s">
        <v>310</v>
      </c>
      <c r="F377" s="59" t="s">
        <v>299</v>
      </c>
      <c r="G377" s="59" t="s">
        <v>313</v>
      </c>
      <c r="H377" s="59">
        <v>-4.5</v>
      </c>
      <c r="I377" s="59" t="s">
        <v>301</v>
      </c>
      <c r="K377" s="59" t="str">
        <f>INDEX('EPA land and ag calcs'!$G$7:$G$14,MATCH('EPA land and ag potential'!E377,'EPA land and ag calcs'!$A$7:$A$15,0))</f>
        <v>*handled in agriculture files</v>
      </c>
    </row>
    <row r="378" spans="1:11" x14ac:dyDescent="0.75">
      <c r="A378" s="59" t="s">
        <v>295</v>
      </c>
      <c r="B378" s="59" t="s">
        <v>296</v>
      </c>
      <c r="C378" s="59">
        <v>2035</v>
      </c>
      <c r="D378" s="59" t="s">
        <v>297</v>
      </c>
      <c r="E378" s="59" t="s">
        <v>310</v>
      </c>
      <c r="F378" s="59" t="s">
        <v>299</v>
      </c>
      <c r="G378" s="59" t="s">
        <v>313</v>
      </c>
      <c r="H378" s="59">
        <v>-6.3</v>
      </c>
      <c r="I378" s="59" t="s">
        <v>301</v>
      </c>
      <c r="K378" s="59" t="str">
        <f>INDEX('EPA land and ag calcs'!$G$7:$G$14,MATCH('EPA land and ag potential'!E378,'EPA land and ag calcs'!$A$7:$A$15,0))</f>
        <v>*handled in agriculture files</v>
      </c>
    </row>
    <row r="379" spans="1:11" x14ac:dyDescent="0.75">
      <c r="A379" s="59" t="s">
        <v>295</v>
      </c>
      <c r="B379" s="59" t="s">
        <v>296</v>
      </c>
      <c r="C379" s="59">
        <v>2045</v>
      </c>
      <c r="D379" s="59" t="s">
        <v>297</v>
      </c>
      <c r="E379" s="59" t="s">
        <v>310</v>
      </c>
      <c r="F379" s="59" t="s">
        <v>299</v>
      </c>
      <c r="G379" s="59" t="s">
        <v>313</v>
      </c>
      <c r="H379" s="59">
        <v>-13.4</v>
      </c>
      <c r="I379" s="59" t="s">
        <v>301</v>
      </c>
      <c r="K379" s="59" t="str">
        <f>INDEX('EPA land and ag calcs'!$G$7:$G$14,MATCH('EPA land and ag potential'!E379,'EPA land and ag calcs'!$A$7:$A$15,0))</f>
        <v>*handled in agriculture files</v>
      </c>
    </row>
    <row r="380" spans="1:11" x14ac:dyDescent="0.75">
      <c r="A380" s="59" t="s">
        <v>295</v>
      </c>
      <c r="B380" s="59" t="s">
        <v>296</v>
      </c>
      <c r="C380" s="59">
        <v>2055</v>
      </c>
      <c r="D380" s="59" t="s">
        <v>297</v>
      </c>
      <c r="E380" s="59" t="s">
        <v>310</v>
      </c>
      <c r="F380" s="59" t="s">
        <v>299</v>
      </c>
      <c r="G380" s="59" t="s">
        <v>313</v>
      </c>
      <c r="H380" s="59">
        <v>-19.899999999999999</v>
      </c>
      <c r="I380" s="59" t="s">
        <v>301</v>
      </c>
      <c r="K380" s="59" t="str">
        <f>INDEX('EPA land and ag calcs'!$G$7:$G$14,MATCH('EPA land and ag potential'!E380,'EPA land and ag calcs'!$A$7:$A$15,0))</f>
        <v>*handled in agriculture files</v>
      </c>
    </row>
    <row r="381" spans="1:11" hidden="1" x14ac:dyDescent="0.75">
      <c r="A381" s="59" t="s">
        <v>295</v>
      </c>
      <c r="B381" s="59" t="s">
        <v>296</v>
      </c>
      <c r="C381" s="59">
        <v>2025</v>
      </c>
      <c r="D381" s="59" t="s">
        <v>297</v>
      </c>
      <c r="E381" s="59" t="s">
        <v>310</v>
      </c>
      <c r="F381" s="59" t="s">
        <v>302</v>
      </c>
      <c r="G381" s="59" t="s">
        <v>313</v>
      </c>
      <c r="H381" s="59">
        <v>-4.0999999999999996</v>
      </c>
      <c r="I381" s="59" t="s">
        <v>301</v>
      </c>
    </row>
    <row r="382" spans="1:11" hidden="1" x14ac:dyDescent="0.75">
      <c r="A382" s="59" t="s">
        <v>295</v>
      </c>
      <c r="B382" s="59" t="s">
        <v>296</v>
      </c>
      <c r="C382" s="59">
        <v>2035</v>
      </c>
      <c r="D382" s="59" t="s">
        <v>297</v>
      </c>
      <c r="E382" s="59" t="s">
        <v>310</v>
      </c>
      <c r="F382" s="59" t="s">
        <v>302</v>
      </c>
      <c r="G382" s="59" t="s">
        <v>313</v>
      </c>
      <c r="H382" s="59">
        <v>-5</v>
      </c>
      <c r="I382" s="59" t="s">
        <v>301</v>
      </c>
    </row>
    <row r="383" spans="1:11" hidden="1" x14ac:dyDescent="0.75">
      <c r="A383" s="59" t="s">
        <v>295</v>
      </c>
      <c r="B383" s="59" t="s">
        <v>311</v>
      </c>
      <c r="C383" s="59">
        <v>2045</v>
      </c>
      <c r="D383" s="59" t="s">
        <v>297</v>
      </c>
      <c r="E383" s="59" t="s">
        <v>259</v>
      </c>
      <c r="F383" s="59" t="s">
        <v>302</v>
      </c>
      <c r="G383" s="59" t="s">
        <v>312</v>
      </c>
      <c r="H383" s="59">
        <v>-353</v>
      </c>
      <c r="I383" s="59" t="s">
        <v>301</v>
      </c>
    </row>
    <row r="384" spans="1:11" hidden="1" x14ac:dyDescent="0.75">
      <c r="A384" s="59" t="s">
        <v>295</v>
      </c>
      <c r="B384" s="59" t="s">
        <v>311</v>
      </c>
      <c r="C384" s="59">
        <v>2045</v>
      </c>
      <c r="D384" s="59" t="s">
        <v>297</v>
      </c>
      <c r="E384" s="59" t="s">
        <v>259</v>
      </c>
      <c r="F384" s="59" t="s">
        <v>302</v>
      </c>
      <c r="G384" s="59" t="s">
        <v>313</v>
      </c>
      <c r="H384" s="59">
        <v>-109</v>
      </c>
      <c r="I384" s="59" t="s">
        <v>301</v>
      </c>
    </row>
    <row r="385" spans="1:11" hidden="1" x14ac:dyDescent="0.75">
      <c r="A385" s="59" t="s">
        <v>295</v>
      </c>
      <c r="B385" s="59" t="s">
        <v>311</v>
      </c>
      <c r="C385" s="59">
        <v>2045</v>
      </c>
      <c r="D385" s="59" t="s">
        <v>297</v>
      </c>
      <c r="E385" s="59" t="s">
        <v>259</v>
      </c>
      <c r="F385" s="59" t="s">
        <v>302</v>
      </c>
      <c r="G385" s="59" t="s">
        <v>314</v>
      </c>
      <c r="H385" s="59">
        <v>-223.1</v>
      </c>
      <c r="I385" s="59" t="s">
        <v>301</v>
      </c>
    </row>
    <row r="386" spans="1:11" hidden="1" x14ac:dyDescent="0.75">
      <c r="A386" s="59" t="s">
        <v>295</v>
      </c>
      <c r="B386" s="59" t="s">
        <v>311</v>
      </c>
      <c r="C386" s="59">
        <v>2045</v>
      </c>
      <c r="D386" s="59" t="s">
        <v>297</v>
      </c>
      <c r="E386" s="59" t="s">
        <v>259</v>
      </c>
      <c r="F386" s="59" t="s">
        <v>302</v>
      </c>
      <c r="G386" s="59" t="s">
        <v>303</v>
      </c>
      <c r="H386" s="59">
        <v>-39</v>
      </c>
      <c r="I386" s="59" t="s">
        <v>301</v>
      </c>
    </row>
    <row r="387" spans="1:11" hidden="1" x14ac:dyDescent="0.75">
      <c r="A387" s="59" t="s">
        <v>295</v>
      </c>
      <c r="B387" s="59" t="s">
        <v>311</v>
      </c>
      <c r="C387" s="59">
        <v>2045</v>
      </c>
      <c r="D387" s="59" t="s">
        <v>297</v>
      </c>
      <c r="E387" s="59" t="s">
        <v>259</v>
      </c>
      <c r="F387" s="59" t="s">
        <v>302</v>
      </c>
      <c r="G387" s="59" t="s">
        <v>300</v>
      </c>
      <c r="H387" s="59">
        <v>-287</v>
      </c>
      <c r="I387" s="59" t="s">
        <v>301</v>
      </c>
    </row>
    <row r="388" spans="1:11" x14ac:dyDescent="0.75">
      <c r="A388" s="59" t="s">
        <v>295</v>
      </c>
      <c r="B388" s="59" t="s">
        <v>311</v>
      </c>
      <c r="C388" s="59">
        <v>2045</v>
      </c>
      <c r="D388" s="59" t="s">
        <v>297</v>
      </c>
      <c r="E388" s="59" t="s">
        <v>259</v>
      </c>
      <c r="F388" s="59" t="s">
        <v>299</v>
      </c>
      <c r="G388" s="59" t="s">
        <v>312</v>
      </c>
      <c r="H388" s="59">
        <v>-307.8</v>
      </c>
      <c r="I388" s="59" t="s">
        <v>301</v>
      </c>
      <c r="K388" s="59" t="e">
        <f>INDEX('EPA land and ag calcs'!$G$7:$G$14,MATCH('EPA land and ag potential'!E388,'EPA land and ag calcs'!$A$7:$A$15,0))</f>
        <v>#REF!</v>
      </c>
    </row>
    <row r="389" spans="1:11" x14ac:dyDescent="0.75">
      <c r="A389" s="59" t="s">
        <v>295</v>
      </c>
      <c r="B389" s="59" t="s">
        <v>311</v>
      </c>
      <c r="C389" s="59">
        <v>2045</v>
      </c>
      <c r="D389" s="59" t="s">
        <v>297</v>
      </c>
      <c r="E389" s="59" t="s">
        <v>259</v>
      </c>
      <c r="F389" s="59" t="s">
        <v>299</v>
      </c>
      <c r="G389" s="59" t="s">
        <v>313</v>
      </c>
      <c r="H389" s="59">
        <v>-111</v>
      </c>
      <c r="I389" s="59" t="s">
        <v>301</v>
      </c>
      <c r="K389" s="59" t="e">
        <f>INDEX('EPA land and ag calcs'!$G$7:$G$14,MATCH('EPA land and ag potential'!E389,'EPA land and ag calcs'!$A$7:$A$15,0))</f>
        <v>#REF!</v>
      </c>
    </row>
    <row r="390" spans="1:11" x14ac:dyDescent="0.75">
      <c r="A390" s="59" t="s">
        <v>295</v>
      </c>
      <c r="B390" s="59" t="s">
        <v>311</v>
      </c>
      <c r="C390" s="59">
        <v>2045</v>
      </c>
      <c r="D390" s="59" t="s">
        <v>297</v>
      </c>
      <c r="E390" s="59" t="s">
        <v>259</v>
      </c>
      <c r="F390" s="59" t="s">
        <v>299</v>
      </c>
      <c r="G390" s="59" t="s">
        <v>314</v>
      </c>
      <c r="H390" s="59">
        <v>-200.4</v>
      </c>
      <c r="I390" s="59" t="s">
        <v>301</v>
      </c>
      <c r="K390" s="59" t="e">
        <f>INDEX('EPA land and ag calcs'!$G$7:$G$14,MATCH('EPA land and ag potential'!E390,'EPA land and ag calcs'!$A$7:$A$15,0))</f>
        <v>#REF!</v>
      </c>
    </row>
    <row r="391" spans="1:11" x14ac:dyDescent="0.75">
      <c r="A391" s="59" t="s">
        <v>295</v>
      </c>
      <c r="B391" s="59" t="s">
        <v>311</v>
      </c>
      <c r="C391" s="59">
        <v>2045</v>
      </c>
      <c r="D391" s="59" t="s">
        <v>297</v>
      </c>
      <c r="E391" s="59" t="s">
        <v>259</v>
      </c>
      <c r="F391" s="59" t="s">
        <v>299</v>
      </c>
      <c r="G391" s="59" t="s">
        <v>303</v>
      </c>
      <c r="H391" s="59">
        <v>-28.2</v>
      </c>
      <c r="I391" s="59" t="s">
        <v>301</v>
      </c>
      <c r="K391" s="59" t="e">
        <f>INDEX('EPA land and ag calcs'!$G$7:$G$14,MATCH('EPA land and ag potential'!E391,'EPA land and ag calcs'!$A$7:$A$15,0))</f>
        <v>#REF!</v>
      </c>
    </row>
    <row r="392" spans="1:11" x14ac:dyDescent="0.75">
      <c r="A392" s="59" t="s">
        <v>295</v>
      </c>
      <c r="B392" s="59" t="s">
        <v>311</v>
      </c>
      <c r="C392" s="59">
        <v>2045</v>
      </c>
      <c r="D392" s="59" t="s">
        <v>297</v>
      </c>
      <c r="E392" s="59" t="s">
        <v>259</v>
      </c>
      <c r="F392" s="59" t="s">
        <v>299</v>
      </c>
      <c r="G392" s="59" t="s">
        <v>300</v>
      </c>
      <c r="H392" s="59">
        <v>-260.8</v>
      </c>
      <c r="I392" s="59" t="s">
        <v>301</v>
      </c>
      <c r="K392" s="59" t="e">
        <f>INDEX('EPA land and ag calcs'!$G$7:$G$14,MATCH('EPA land and ag potential'!E392,'EPA land and ag calcs'!$A$7:$A$15,0))</f>
        <v>#REF!</v>
      </c>
    </row>
    <row r="393" spans="1:11" hidden="1" x14ac:dyDescent="0.75">
      <c r="A393" s="59" t="s">
        <v>295</v>
      </c>
      <c r="B393" s="59" t="s">
        <v>296</v>
      </c>
      <c r="C393" s="59">
        <v>2025</v>
      </c>
      <c r="D393" s="59" t="s">
        <v>315</v>
      </c>
      <c r="E393" s="59" t="s">
        <v>306</v>
      </c>
      <c r="F393" s="59" t="s">
        <v>302</v>
      </c>
      <c r="G393" s="59" t="s">
        <v>314</v>
      </c>
      <c r="H393" s="59">
        <v>-0.6</v>
      </c>
      <c r="I393" s="59" t="s">
        <v>301</v>
      </c>
    </row>
    <row r="394" spans="1:11" hidden="1" x14ac:dyDescent="0.75">
      <c r="A394" s="59" t="s">
        <v>295</v>
      </c>
      <c r="B394" s="59" t="s">
        <v>296</v>
      </c>
      <c r="C394" s="59">
        <v>2035</v>
      </c>
      <c r="D394" s="59" t="s">
        <v>315</v>
      </c>
      <c r="E394" s="59" t="s">
        <v>306</v>
      </c>
      <c r="F394" s="59" t="s">
        <v>302</v>
      </c>
      <c r="G394" s="59" t="s">
        <v>314</v>
      </c>
      <c r="H394" s="59">
        <v>-105.4</v>
      </c>
      <c r="I394" s="59" t="s">
        <v>301</v>
      </c>
    </row>
    <row r="395" spans="1:11" hidden="1" x14ac:dyDescent="0.75">
      <c r="A395" s="59" t="s">
        <v>295</v>
      </c>
      <c r="B395" s="59" t="s">
        <v>296</v>
      </c>
      <c r="C395" s="59">
        <v>2045</v>
      </c>
      <c r="D395" s="59" t="s">
        <v>315</v>
      </c>
      <c r="E395" s="59" t="s">
        <v>306</v>
      </c>
      <c r="F395" s="59" t="s">
        <v>302</v>
      </c>
      <c r="G395" s="59" t="s">
        <v>314</v>
      </c>
      <c r="H395" s="59">
        <v>-146.80000000000001</v>
      </c>
      <c r="I395" s="59" t="s">
        <v>301</v>
      </c>
    </row>
    <row r="396" spans="1:11" hidden="1" x14ac:dyDescent="0.75">
      <c r="A396" s="59" t="s">
        <v>295</v>
      </c>
      <c r="B396" s="59" t="s">
        <v>296</v>
      </c>
      <c r="C396" s="59">
        <v>2055</v>
      </c>
      <c r="D396" s="59" t="s">
        <v>315</v>
      </c>
      <c r="E396" s="59" t="s">
        <v>306</v>
      </c>
      <c r="F396" s="59" t="s">
        <v>302</v>
      </c>
      <c r="G396" s="59" t="s">
        <v>314</v>
      </c>
      <c r="H396" s="59">
        <v>-166.4</v>
      </c>
      <c r="I396" s="59" t="s">
        <v>301</v>
      </c>
    </row>
    <row r="397" spans="1:11" hidden="1" x14ac:dyDescent="0.75">
      <c r="A397" s="59" t="s">
        <v>295</v>
      </c>
      <c r="B397" s="59" t="s">
        <v>296</v>
      </c>
      <c r="C397" s="59">
        <v>2025</v>
      </c>
      <c r="D397" s="59" t="s">
        <v>315</v>
      </c>
      <c r="E397" s="59" t="s">
        <v>306</v>
      </c>
      <c r="F397" s="59" t="s">
        <v>299</v>
      </c>
      <c r="G397" s="59" t="s">
        <v>313</v>
      </c>
      <c r="H397" s="59">
        <v>-0.1</v>
      </c>
      <c r="I397" s="59" t="s">
        <v>301</v>
      </c>
    </row>
    <row r="398" spans="1:11" hidden="1" x14ac:dyDescent="0.75">
      <c r="A398" s="59" t="s">
        <v>295</v>
      </c>
      <c r="B398" s="59" t="s">
        <v>296</v>
      </c>
      <c r="C398" s="59">
        <v>2035</v>
      </c>
      <c r="D398" s="59" t="s">
        <v>315</v>
      </c>
      <c r="E398" s="59" t="s">
        <v>306</v>
      </c>
      <c r="F398" s="59" t="s">
        <v>299</v>
      </c>
      <c r="G398" s="59" t="s">
        <v>313</v>
      </c>
      <c r="H398" s="59">
        <v>-97.3</v>
      </c>
      <c r="I398" s="59" t="s">
        <v>301</v>
      </c>
    </row>
    <row r="399" spans="1:11" hidden="1" x14ac:dyDescent="0.75">
      <c r="A399" s="59" t="s">
        <v>295</v>
      </c>
      <c r="B399" s="59" t="s">
        <v>296</v>
      </c>
      <c r="C399" s="59">
        <v>2045</v>
      </c>
      <c r="D399" s="59" t="s">
        <v>315</v>
      </c>
      <c r="E399" s="59" t="s">
        <v>306</v>
      </c>
      <c r="F399" s="59" t="s">
        <v>299</v>
      </c>
      <c r="G399" s="59" t="s">
        <v>313</v>
      </c>
      <c r="H399" s="59">
        <v>-140.4</v>
      </c>
      <c r="I399" s="59" t="s">
        <v>301</v>
      </c>
    </row>
    <row r="400" spans="1:11" hidden="1" x14ac:dyDescent="0.75">
      <c r="A400" s="59" t="s">
        <v>295</v>
      </c>
      <c r="B400" s="59" t="s">
        <v>296</v>
      </c>
      <c r="C400" s="59">
        <v>2055</v>
      </c>
      <c r="D400" s="59" t="s">
        <v>315</v>
      </c>
      <c r="E400" s="59" t="s">
        <v>306</v>
      </c>
      <c r="F400" s="59" t="s">
        <v>299</v>
      </c>
      <c r="G400" s="59" t="s">
        <v>313</v>
      </c>
      <c r="H400" s="59">
        <v>-162.9</v>
      </c>
      <c r="I400" s="59" t="s">
        <v>301</v>
      </c>
    </row>
    <row r="401" spans="1:9" hidden="1" x14ac:dyDescent="0.75">
      <c r="A401" s="59" t="s">
        <v>295</v>
      </c>
      <c r="B401" s="59" t="s">
        <v>296</v>
      </c>
      <c r="C401" s="59">
        <v>2025</v>
      </c>
      <c r="D401" s="59" t="s">
        <v>315</v>
      </c>
      <c r="E401" s="59" t="s">
        <v>306</v>
      </c>
      <c r="F401" s="59" t="s">
        <v>302</v>
      </c>
      <c r="G401" s="59" t="s">
        <v>313</v>
      </c>
      <c r="H401" s="59">
        <v>-0.1</v>
      </c>
      <c r="I401" s="59" t="s">
        <v>301</v>
      </c>
    </row>
    <row r="402" spans="1:9" hidden="1" x14ac:dyDescent="0.75">
      <c r="A402" s="59" t="s">
        <v>295</v>
      </c>
      <c r="B402" s="59" t="s">
        <v>296</v>
      </c>
      <c r="C402" s="59">
        <v>2035</v>
      </c>
      <c r="D402" s="59" t="s">
        <v>315</v>
      </c>
      <c r="E402" s="59" t="s">
        <v>306</v>
      </c>
      <c r="F402" s="59" t="s">
        <v>302</v>
      </c>
      <c r="G402" s="59" t="s">
        <v>313</v>
      </c>
      <c r="H402" s="59">
        <v>-93.6</v>
      </c>
      <c r="I402" s="59" t="s">
        <v>301</v>
      </c>
    </row>
    <row r="403" spans="1:9" hidden="1" x14ac:dyDescent="0.75">
      <c r="A403" s="59" t="s">
        <v>295</v>
      </c>
      <c r="B403" s="59" t="s">
        <v>296</v>
      </c>
      <c r="C403" s="59">
        <v>2045</v>
      </c>
      <c r="D403" s="59" t="s">
        <v>315</v>
      </c>
      <c r="E403" s="59" t="s">
        <v>306</v>
      </c>
      <c r="F403" s="59" t="s">
        <v>302</v>
      </c>
      <c r="G403" s="59" t="s">
        <v>313</v>
      </c>
      <c r="H403" s="59">
        <v>-133.30000000000001</v>
      </c>
      <c r="I403" s="59" t="s">
        <v>301</v>
      </c>
    </row>
    <row r="404" spans="1:9" hidden="1" x14ac:dyDescent="0.75">
      <c r="A404" s="59" t="s">
        <v>295</v>
      </c>
      <c r="B404" s="59" t="s">
        <v>296</v>
      </c>
      <c r="C404" s="59">
        <v>2055</v>
      </c>
      <c r="D404" s="59" t="s">
        <v>315</v>
      </c>
      <c r="E404" s="59" t="s">
        <v>306</v>
      </c>
      <c r="F404" s="59" t="s">
        <v>302</v>
      </c>
      <c r="G404" s="59" t="s">
        <v>313</v>
      </c>
      <c r="H404" s="59">
        <v>-153.30000000000001</v>
      </c>
      <c r="I404" s="59" t="s">
        <v>301</v>
      </c>
    </row>
    <row r="405" spans="1:9" hidden="1" x14ac:dyDescent="0.75">
      <c r="A405" s="59" t="s">
        <v>295</v>
      </c>
      <c r="B405" s="59" t="s">
        <v>296</v>
      </c>
      <c r="C405" s="59">
        <v>2025</v>
      </c>
      <c r="D405" s="59" t="s">
        <v>315</v>
      </c>
      <c r="E405" s="59" t="s">
        <v>306</v>
      </c>
      <c r="F405" s="59" t="s">
        <v>299</v>
      </c>
      <c r="G405" s="59" t="s">
        <v>312</v>
      </c>
      <c r="H405" s="59">
        <v>-0.6</v>
      </c>
      <c r="I405" s="59" t="s">
        <v>301</v>
      </c>
    </row>
    <row r="406" spans="1:9" hidden="1" x14ac:dyDescent="0.75">
      <c r="A406" s="59" t="s">
        <v>295</v>
      </c>
      <c r="B406" s="59" t="s">
        <v>296</v>
      </c>
      <c r="C406" s="59">
        <v>2035</v>
      </c>
      <c r="D406" s="59" t="s">
        <v>315</v>
      </c>
      <c r="E406" s="59" t="s">
        <v>306</v>
      </c>
      <c r="F406" s="59" t="s">
        <v>299</v>
      </c>
      <c r="G406" s="59" t="s">
        <v>312</v>
      </c>
      <c r="H406" s="59">
        <v>-108.4</v>
      </c>
      <c r="I406" s="59" t="s">
        <v>301</v>
      </c>
    </row>
    <row r="407" spans="1:9" hidden="1" x14ac:dyDescent="0.75">
      <c r="A407" s="59" t="s">
        <v>295</v>
      </c>
      <c r="B407" s="59" t="s">
        <v>296</v>
      </c>
      <c r="C407" s="59">
        <v>2045</v>
      </c>
      <c r="D407" s="59" t="s">
        <v>315</v>
      </c>
      <c r="E407" s="59" t="s">
        <v>306</v>
      </c>
      <c r="F407" s="59" t="s">
        <v>299</v>
      </c>
      <c r="G407" s="59" t="s">
        <v>312</v>
      </c>
      <c r="H407" s="59">
        <v>-149.80000000000001</v>
      </c>
      <c r="I407" s="59" t="s">
        <v>301</v>
      </c>
    </row>
    <row r="408" spans="1:9" hidden="1" x14ac:dyDescent="0.75">
      <c r="A408" s="59" t="s">
        <v>295</v>
      </c>
      <c r="B408" s="59" t="s">
        <v>296</v>
      </c>
      <c r="C408" s="59">
        <v>2055</v>
      </c>
      <c r="D408" s="59" t="s">
        <v>315</v>
      </c>
      <c r="E408" s="59" t="s">
        <v>306</v>
      </c>
      <c r="F408" s="59" t="s">
        <v>299</v>
      </c>
      <c r="G408" s="59" t="s">
        <v>312</v>
      </c>
      <c r="H408" s="59">
        <v>-172.8</v>
      </c>
      <c r="I408" s="59" t="s">
        <v>301</v>
      </c>
    </row>
    <row r="409" spans="1:9" hidden="1" x14ac:dyDescent="0.75">
      <c r="A409" s="59" t="s">
        <v>295</v>
      </c>
      <c r="B409" s="59" t="s">
        <v>296</v>
      </c>
      <c r="C409" s="59">
        <v>2025</v>
      </c>
      <c r="D409" s="59" t="s">
        <v>315</v>
      </c>
      <c r="E409" s="59" t="s">
        <v>306</v>
      </c>
      <c r="F409" s="59" t="s">
        <v>302</v>
      </c>
      <c r="G409" s="59" t="s">
        <v>312</v>
      </c>
      <c r="H409" s="59">
        <v>-0.6</v>
      </c>
      <c r="I409" s="59" t="s">
        <v>301</v>
      </c>
    </row>
    <row r="410" spans="1:9" hidden="1" x14ac:dyDescent="0.75">
      <c r="A410" s="59" t="s">
        <v>295</v>
      </c>
      <c r="B410" s="59" t="s">
        <v>296</v>
      </c>
      <c r="C410" s="59">
        <v>2035</v>
      </c>
      <c r="D410" s="59" t="s">
        <v>315</v>
      </c>
      <c r="E410" s="59" t="s">
        <v>306</v>
      </c>
      <c r="F410" s="59" t="s">
        <v>302</v>
      </c>
      <c r="G410" s="59" t="s">
        <v>312</v>
      </c>
      <c r="H410" s="59">
        <v>-108</v>
      </c>
      <c r="I410" s="59" t="s">
        <v>301</v>
      </c>
    </row>
    <row r="411" spans="1:9" hidden="1" x14ac:dyDescent="0.75">
      <c r="A411" s="59" t="s">
        <v>295</v>
      </c>
      <c r="B411" s="59" t="s">
        <v>296</v>
      </c>
      <c r="C411" s="59">
        <v>2045</v>
      </c>
      <c r="D411" s="59" t="s">
        <v>315</v>
      </c>
      <c r="E411" s="59" t="s">
        <v>306</v>
      </c>
      <c r="F411" s="59" t="s">
        <v>302</v>
      </c>
      <c r="G411" s="59" t="s">
        <v>312</v>
      </c>
      <c r="H411" s="59">
        <v>-148.80000000000001</v>
      </c>
      <c r="I411" s="59" t="s">
        <v>301</v>
      </c>
    </row>
    <row r="412" spans="1:9" hidden="1" x14ac:dyDescent="0.75">
      <c r="A412" s="59" t="s">
        <v>295</v>
      </c>
      <c r="B412" s="59" t="s">
        <v>296</v>
      </c>
      <c r="C412" s="59">
        <v>2055</v>
      </c>
      <c r="D412" s="59" t="s">
        <v>315</v>
      </c>
      <c r="E412" s="59" t="s">
        <v>306</v>
      </c>
      <c r="F412" s="59" t="s">
        <v>302</v>
      </c>
      <c r="G412" s="59" t="s">
        <v>312</v>
      </c>
      <c r="H412" s="59">
        <v>-169.5</v>
      </c>
      <c r="I412" s="59" t="s">
        <v>301</v>
      </c>
    </row>
    <row r="413" spans="1:9" hidden="1" x14ac:dyDescent="0.75">
      <c r="A413" s="59" t="s">
        <v>295</v>
      </c>
      <c r="B413" s="59" t="s">
        <v>296</v>
      </c>
      <c r="C413" s="59">
        <v>2025</v>
      </c>
      <c r="D413" s="59" t="s">
        <v>315</v>
      </c>
      <c r="E413" s="59" t="s">
        <v>307</v>
      </c>
      <c r="F413" s="59" t="s">
        <v>299</v>
      </c>
      <c r="G413" s="59" t="s">
        <v>300</v>
      </c>
      <c r="H413" s="59">
        <v>0.1</v>
      </c>
      <c r="I413" s="59" t="s">
        <v>301</v>
      </c>
    </row>
    <row r="414" spans="1:9" hidden="1" x14ac:dyDescent="0.75">
      <c r="A414" s="59" t="s">
        <v>295</v>
      </c>
      <c r="B414" s="59" t="s">
        <v>296</v>
      </c>
      <c r="C414" s="59">
        <v>2035</v>
      </c>
      <c r="D414" s="59" t="s">
        <v>315</v>
      </c>
      <c r="E414" s="59" t="s">
        <v>307</v>
      </c>
      <c r="F414" s="59" t="s">
        <v>299</v>
      </c>
      <c r="G414" s="59" t="s">
        <v>300</v>
      </c>
      <c r="H414" s="59">
        <v>-3.6</v>
      </c>
      <c r="I414" s="59" t="s">
        <v>301</v>
      </c>
    </row>
    <row r="415" spans="1:9" hidden="1" x14ac:dyDescent="0.75">
      <c r="A415" s="59" t="s">
        <v>295</v>
      </c>
      <c r="B415" s="59" t="s">
        <v>296</v>
      </c>
      <c r="C415" s="59">
        <v>2045</v>
      </c>
      <c r="D415" s="59" t="s">
        <v>315</v>
      </c>
      <c r="E415" s="59" t="s">
        <v>307</v>
      </c>
      <c r="F415" s="59" t="s">
        <v>299</v>
      </c>
      <c r="G415" s="59" t="s">
        <v>300</v>
      </c>
      <c r="H415" s="59">
        <v>-15.6</v>
      </c>
      <c r="I415" s="59" t="s">
        <v>301</v>
      </c>
    </row>
    <row r="416" spans="1:9" hidden="1" x14ac:dyDescent="0.75">
      <c r="A416" s="59" t="s">
        <v>295</v>
      </c>
      <c r="B416" s="59" t="s">
        <v>296</v>
      </c>
      <c r="C416" s="59">
        <v>2055</v>
      </c>
      <c r="D416" s="59" t="s">
        <v>315</v>
      </c>
      <c r="E416" s="59" t="s">
        <v>307</v>
      </c>
      <c r="F416" s="59" t="s">
        <v>299</v>
      </c>
      <c r="G416" s="59" t="s">
        <v>300</v>
      </c>
      <c r="H416" s="59">
        <v>-35.700000000000003</v>
      </c>
      <c r="I416" s="59" t="s">
        <v>301</v>
      </c>
    </row>
    <row r="417" spans="1:9" hidden="1" x14ac:dyDescent="0.75">
      <c r="A417" s="59" t="s">
        <v>295</v>
      </c>
      <c r="B417" s="59" t="s">
        <v>296</v>
      </c>
      <c r="C417" s="59">
        <v>2025</v>
      </c>
      <c r="D417" s="59" t="s">
        <v>315</v>
      </c>
      <c r="E417" s="59" t="s">
        <v>307</v>
      </c>
      <c r="F417" s="59" t="s">
        <v>302</v>
      </c>
      <c r="G417" s="59" t="s">
        <v>300</v>
      </c>
      <c r="H417" s="59">
        <v>0.1</v>
      </c>
      <c r="I417" s="59" t="s">
        <v>301</v>
      </c>
    </row>
    <row r="418" spans="1:9" hidden="1" x14ac:dyDescent="0.75">
      <c r="A418" s="59" t="s">
        <v>295</v>
      </c>
      <c r="B418" s="59" t="s">
        <v>296</v>
      </c>
      <c r="C418" s="59">
        <v>2035</v>
      </c>
      <c r="D418" s="59" t="s">
        <v>315</v>
      </c>
      <c r="E418" s="59" t="s">
        <v>307</v>
      </c>
      <c r="F418" s="59" t="s">
        <v>302</v>
      </c>
      <c r="G418" s="59" t="s">
        <v>300</v>
      </c>
      <c r="H418" s="59">
        <v>-3</v>
      </c>
      <c r="I418" s="59" t="s">
        <v>301</v>
      </c>
    </row>
    <row r="419" spans="1:9" hidden="1" x14ac:dyDescent="0.75">
      <c r="A419" s="59" t="s">
        <v>295</v>
      </c>
      <c r="B419" s="59" t="s">
        <v>296</v>
      </c>
      <c r="C419" s="59">
        <v>2045</v>
      </c>
      <c r="D419" s="59" t="s">
        <v>315</v>
      </c>
      <c r="E419" s="59" t="s">
        <v>307</v>
      </c>
      <c r="F419" s="59" t="s">
        <v>302</v>
      </c>
      <c r="G419" s="59" t="s">
        <v>300</v>
      </c>
      <c r="H419" s="59">
        <v>-13.3</v>
      </c>
      <c r="I419" s="59" t="s">
        <v>301</v>
      </c>
    </row>
    <row r="420" spans="1:9" hidden="1" x14ac:dyDescent="0.75">
      <c r="A420" s="59" t="s">
        <v>295</v>
      </c>
      <c r="B420" s="59" t="s">
        <v>296</v>
      </c>
      <c r="C420" s="59">
        <v>2055</v>
      </c>
      <c r="D420" s="59" t="s">
        <v>315</v>
      </c>
      <c r="E420" s="59" t="s">
        <v>307</v>
      </c>
      <c r="F420" s="59" t="s">
        <v>302</v>
      </c>
      <c r="G420" s="59" t="s">
        <v>300</v>
      </c>
      <c r="H420" s="59">
        <v>-30.3</v>
      </c>
      <c r="I420" s="59" t="s">
        <v>301</v>
      </c>
    </row>
    <row r="421" spans="1:9" hidden="1" x14ac:dyDescent="0.75">
      <c r="A421" s="59" t="s">
        <v>295</v>
      </c>
      <c r="B421" s="59" t="s">
        <v>296</v>
      </c>
      <c r="C421" s="59">
        <v>2025</v>
      </c>
      <c r="D421" s="59" t="s">
        <v>315</v>
      </c>
      <c r="E421" s="59" t="s">
        <v>307</v>
      </c>
      <c r="F421" s="59" t="s">
        <v>299</v>
      </c>
      <c r="G421" s="59" t="s">
        <v>303</v>
      </c>
      <c r="H421" s="59">
        <v>0.1</v>
      </c>
      <c r="I421" s="59" t="s">
        <v>301</v>
      </c>
    </row>
    <row r="422" spans="1:9" hidden="1" x14ac:dyDescent="0.75">
      <c r="A422" s="59" t="s">
        <v>295</v>
      </c>
      <c r="B422" s="59" t="s">
        <v>296</v>
      </c>
      <c r="C422" s="59">
        <v>2035</v>
      </c>
      <c r="D422" s="59" t="s">
        <v>315</v>
      </c>
      <c r="E422" s="59" t="s">
        <v>307</v>
      </c>
      <c r="F422" s="59" t="s">
        <v>299</v>
      </c>
      <c r="G422" s="59" t="s">
        <v>303</v>
      </c>
      <c r="H422" s="59">
        <v>0.3</v>
      </c>
      <c r="I422" s="59" t="s">
        <v>301</v>
      </c>
    </row>
    <row r="423" spans="1:9" hidden="1" x14ac:dyDescent="0.75">
      <c r="A423" s="59" t="s">
        <v>295</v>
      </c>
      <c r="B423" s="59" t="s">
        <v>296</v>
      </c>
      <c r="C423" s="59">
        <v>2045</v>
      </c>
      <c r="D423" s="59" t="s">
        <v>315</v>
      </c>
      <c r="E423" s="59" t="s">
        <v>307</v>
      </c>
      <c r="F423" s="59" t="s">
        <v>299</v>
      </c>
      <c r="G423" s="59" t="s">
        <v>303</v>
      </c>
      <c r="H423" s="59">
        <v>0.2</v>
      </c>
      <c r="I423" s="59" t="s">
        <v>301</v>
      </c>
    </row>
    <row r="424" spans="1:9" hidden="1" x14ac:dyDescent="0.75">
      <c r="A424" s="59" t="s">
        <v>295</v>
      </c>
      <c r="B424" s="59" t="s">
        <v>296</v>
      </c>
      <c r="C424" s="59">
        <v>2055</v>
      </c>
      <c r="D424" s="59" t="s">
        <v>315</v>
      </c>
      <c r="E424" s="59" t="s">
        <v>307</v>
      </c>
      <c r="F424" s="59" t="s">
        <v>299</v>
      </c>
      <c r="G424" s="59" t="s">
        <v>303</v>
      </c>
      <c r="H424" s="59">
        <v>-1.2</v>
      </c>
      <c r="I424" s="59" t="s">
        <v>301</v>
      </c>
    </row>
    <row r="425" spans="1:9" hidden="1" x14ac:dyDescent="0.75">
      <c r="A425" s="59" t="s">
        <v>295</v>
      </c>
      <c r="B425" s="59" t="s">
        <v>296</v>
      </c>
      <c r="C425" s="59">
        <v>2025</v>
      </c>
      <c r="D425" s="59" t="s">
        <v>315</v>
      </c>
      <c r="E425" s="59" t="s">
        <v>307</v>
      </c>
      <c r="F425" s="59" t="s">
        <v>302</v>
      </c>
      <c r="G425" s="59" t="s">
        <v>303</v>
      </c>
      <c r="H425" s="59">
        <v>0.1</v>
      </c>
      <c r="I425" s="59" t="s">
        <v>301</v>
      </c>
    </row>
    <row r="426" spans="1:9" hidden="1" x14ac:dyDescent="0.75">
      <c r="A426" s="59" t="s">
        <v>295</v>
      </c>
      <c r="B426" s="59" t="s">
        <v>296</v>
      </c>
      <c r="C426" s="59">
        <v>2035</v>
      </c>
      <c r="D426" s="59" t="s">
        <v>315</v>
      </c>
      <c r="E426" s="59" t="s">
        <v>307</v>
      </c>
      <c r="F426" s="59" t="s">
        <v>302</v>
      </c>
      <c r="G426" s="59" t="s">
        <v>303</v>
      </c>
      <c r="H426" s="59">
        <v>0.3</v>
      </c>
      <c r="I426" s="59" t="s">
        <v>301</v>
      </c>
    </row>
    <row r="427" spans="1:9" hidden="1" x14ac:dyDescent="0.75">
      <c r="A427" s="59" t="s">
        <v>295</v>
      </c>
      <c r="B427" s="59" t="s">
        <v>296</v>
      </c>
      <c r="C427" s="59">
        <v>2045</v>
      </c>
      <c r="D427" s="59" t="s">
        <v>315</v>
      </c>
      <c r="E427" s="59" t="s">
        <v>307</v>
      </c>
      <c r="F427" s="59" t="s">
        <v>302</v>
      </c>
      <c r="G427" s="59" t="s">
        <v>303</v>
      </c>
      <c r="H427" s="59">
        <v>0.4</v>
      </c>
      <c r="I427" s="59" t="s">
        <v>301</v>
      </c>
    </row>
    <row r="428" spans="1:9" hidden="1" x14ac:dyDescent="0.75">
      <c r="A428" s="59" t="s">
        <v>295</v>
      </c>
      <c r="B428" s="59" t="s">
        <v>296</v>
      </c>
      <c r="C428" s="59">
        <v>2055</v>
      </c>
      <c r="D428" s="59" t="s">
        <v>315</v>
      </c>
      <c r="E428" s="59" t="s">
        <v>307</v>
      </c>
      <c r="F428" s="59" t="s">
        <v>302</v>
      </c>
      <c r="G428" s="59" t="s">
        <v>303</v>
      </c>
      <c r="H428" s="59">
        <v>-0.2</v>
      </c>
      <c r="I428" s="59" t="s">
        <v>301</v>
      </c>
    </row>
    <row r="429" spans="1:9" hidden="1" x14ac:dyDescent="0.75">
      <c r="A429" s="59" t="s">
        <v>295</v>
      </c>
      <c r="B429" s="59" t="s">
        <v>296</v>
      </c>
      <c r="C429" s="59">
        <v>2025</v>
      </c>
      <c r="D429" s="59" t="s">
        <v>315</v>
      </c>
      <c r="E429" s="59" t="s">
        <v>307</v>
      </c>
      <c r="F429" s="59" t="s">
        <v>299</v>
      </c>
      <c r="G429" s="59" t="s">
        <v>314</v>
      </c>
      <c r="H429" s="59">
        <v>0.1</v>
      </c>
      <c r="I429" s="59" t="s">
        <v>301</v>
      </c>
    </row>
    <row r="430" spans="1:9" hidden="1" x14ac:dyDescent="0.75">
      <c r="A430" s="59" t="s">
        <v>295</v>
      </c>
      <c r="B430" s="59" t="s">
        <v>296</v>
      </c>
      <c r="C430" s="59">
        <v>2035</v>
      </c>
      <c r="D430" s="59" t="s">
        <v>315</v>
      </c>
      <c r="E430" s="59" t="s">
        <v>307</v>
      </c>
      <c r="F430" s="59" t="s">
        <v>299</v>
      </c>
      <c r="G430" s="59" t="s">
        <v>314</v>
      </c>
      <c r="H430" s="59">
        <v>-2.1</v>
      </c>
      <c r="I430" s="59" t="s">
        <v>301</v>
      </c>
    </row>
    <row r="431" spans="1:9" hidden="1" x14ac:dyDescent="0.75">
      <c r="A431" s="59" t="s">
        <v>295</v>
      </c>
      <c r="B431" s="59" t="s">
        <v>296</v>
      </c>
      <c r="C431" s="59">
        <v>2045</v>
      </c>
      <c r="D431" s="59" t="s">
        <v>315</v>
      </c>
      <c r="E431" s="59" t="s">
        <v>307</v>
      </c>
      <c r="F431" s="59" t="s">
        <v>299</v>
      </c>
      <c r="G431" s="59" t="s">
        <v>314</v>
      </c>
      <c r="H431" s="59">
        <v>-10.5</v>
      </c>
      <c r="I431" s="59" t="s">
        <v>301</v>
      </c>
    </row>
    <row r="432" spans="1:9" hidden="1" x14ac:dyDescent="0.75">
      <c r="A432" s="59" t="s">
        <v>295</v>
      </c>
      <c r="B432" s="59" t="s">
        <v>296</v>
      </c>
      <c r="C432" s="59">
        <v>2055</v>
      </c>
      <c r="D432" s="59" t="s">
        <v>315</v>
      </c>
      <c r="E432" s="59" t="s">
        <v>307</v>
      </c>
      <c r="F432" s="59" t="s">
        <v>299</v>
      </c>
      <c r="G432" s="59" t="s">
        <v>314</v>
      </c>
      <c r="H432" s="59">
        <v>-26.1</v>
      </c>
      <c r="I432" s="59" t="s">
        <v>301</v>
      </c>
    </row>
    <row r="433" spans="1:9" hidden="1" x14ac:dyDescent="0.75">
      <c r="A433" s="59" t="s">
        <v>295</v>
      </c>
      <c r="B433" s="59" t="s">
        <v>296</v>
      </c>
      <c r="C433" s="59">
        <v>2025</v>
      </c>
      <c r="D433" s="59" t="s">
        <v>315</v>
      </c>
      <c r="E433" s="59" t="s">
        <v>307</v>
      </c>
      <c r="F433" s="59" t="s">
        <v>302</v>
      </c>
      <c r="G433" s="59" t="s">
        <v>314</v>
      </c>
      <c r="H433" s="59">
        <v>0.1</v>
      </c>
      <c r="I433" s="59" t="s">
        <v>301</v>
      </c>
    </row>
    <row r="434" spans="1:9" hidden="1" x14ac:dyDescent="0.75">
      <c r="A434" s="59" t="s">
        <v>295</v>
      </c>
      <c r="B434" s="59" t="s">
        <v>296</v>
      </c>
      <c r="C434" s="59">
        <v>2035</v>
      </c>
      <c r="D434" s="59" t="s">
        <v>315</v>
      </c>
      <c r="E434" s="59" t="s">
        <v>307</v>
      </c>
      <c r="F434" s="59" t="s">
        <v>302</v>
      </c>
      <c r="G434" s="59" t="s">
        <v>314</v>
      </c>
      <c r="H434" s="59">
        <v>-1.7</v>
      </c>
      <c r="I434" s="59" t="s">
        <v>301</v>
      </c>
    </row>
    <row r="435" spans="1:9" hidden="1" x14ac:dyDescent="0.75">
      <c r="A435" s="59" t="s">
        <v>295</v>
      </c>
      <c r="B435" s="59" t="s">
        <v>296</v>
      </c>
      <c r="C435" s="59">
        <v>2045</v>
      </c>
      <c r="D435" s="59" t="s">
        <v>315</v>
      </c>
      <c r="E435" s="59" t="s">
        <v>307</v>
      </c>
      <c r="F435" s="59" t="s">
        <v>302</v>
      </c>
      <c r="G435" s="59" t="s">
        <v>314</v>
      </c>
      <c r="H435" s="59">
        <v>-8.1</v>
      </c>
      <c r="I435" s="59" t="s">
        <v>301</v>
      </c>
    </row>
    <row r="436" spans="1:9" hidden="1" x14ac:dyDescent="0.75">
      <c r="A436" s="59" t="s">
        <v>295</v>
      </c>
      <c r="B436" s="59" t="s">
        <v>296</v>
      </c>
      <c r="C436" s="59">
        <v>2055</v>
      </c>
      <c r="D436" s="59" t="s">
        <v>315</v>
      </c>
      <c r="E436" s="59" t="s">
        <v>307</v>
      </c>
      <c r="F436" s="59" t="s">
        <v>302</v>
      </c>
      <c r="G436" s="59" t="s">
        <v>314</v>
      </c>
      <c r="H436" s="59">
        <v>-19.7</v>
      </c>
      <c r="I436" s="59" t="s">
        <v>301</v>
      </c>
    </row>
    <row r="437" spans="1:9" hidden="1" x14ac:dyDescent="0.75">
      <c r="A437" s="59" t="s">
        <v>295</v>
      </c>
      <c r="B437" s="59" t="s">
        <v>296</v>
      </c>
      <c r="C437" s="59">
        <v>2025</v>
      </c>
      <c r="D437" s="59" t="s">
        <v>315</v>
      </c>
      <c r="E437" s="59" t="s">
        <v>307</v>
      </c>
      <c r="F437" s="59" t="s">
        <v>299</v>
      </c>
      <c r="G437" s="59" t="s">
        <v>313</v>
      </c>
      <c r="H437" s="59">
        <v>0.1</v>
      </c>
      <c r="I437" s="59" t="s">
        <v>301</v>
      </c>
    </row>
    <row r="438" spans="1:9" hidden="1" x14ac:dyDescent="0.75">
      <c r="A438" s="59" t="s">
        <v>295</v>
      </c>
      <c r="B438" s="59" t="s">
        <v>296</v>
      </c>
      <c r="C438" s="59">
        <v>2035</v>
      </c>
      <c r="D438" s="59" t="s">
        <v>315</v>
      </c>
      <c r="E438" s="59" t="s">
        <v>307</v>
      </c>
      <c r="F438" s="59" t="s">
        <v>299</v>
      </c>
      <c r="G438" s="59" t="s">
        <v>313</v>
      </c>
      <c r="H438" s="59">
        <v>-0.5</v>
      </c>
      <c r="I438" s="59" t="s">
        <v>301</v>
      </c>
    </row>
    <row r="439" spans="1:9" hidden="1" x14ac:dyDescent="0.75">
      <c r="A439" s="59" t="s">
        <v>295</v>
      </c>
      <c r="B439" s="59" t="s">
        <v>296</v>
      </c>
      <c r="C439" s="59">
        <v>2045</v>
      </c>
      <c r="D439" s="59" t="s">
        <v>315</v>
      </c>
      <c r="E439" s="59" t="s">
        <v>307</v>
      </c>
      <c r="F439" s="59" t="s">
        <v>299</v>
      </c>
      <c r="G439" s="59" t="s">
        <v>313</v>
      </c>
      <c r="H439" s="59">
        <v>-4.2</v>
      </c>
      <c r="I439" s="59" t="s">
        <v>301</v>
      </c>
    </row>
    <row r="440" spans="1:9" hidden="1" x14ac:dyDescent="0.75">
      <c r="A440" s="59" t="s">
        <v>295</v>
      </c>
      <c r="B440" s="59" t="s">
        <v>296</v>
      </c>
      <c r="C440" s="59">
        <v>2055</v>
      </c>
      <c r="D440" s="59" t="s">
        <v>315</v>
      </c>
      <c r="E440" s="59" t="s">
        <v>307</v>
      </c>
      <c r="F440" s="59" t="s">
        <v>299</v>
      </c>
      <c r="G440" s="59" t="s">
        <v>313</v>
      </c>
      <c r="H440" s="59">
        <v>-12.6</v>
      </c>
      <c r="I440" s="59" t="s">
        <v>301</v>
      </c>
    </row>
    <row r="441" spans="1:9" hidden="1" x14ac:dyDescent="0.75">
      <c r="A441" s="59" t="s">
        <v>295</v>
      </c>
      <c r="B441" s="59" t="s">
        <v>296</v>
      </c>
      <c r="C441" s="59">
        <v>2025</v>
      </c>
      <c r="D441" s="59" t="s">
        <v>315</v>
      </c>
      <c r="E441" s="59" t="s">
        <v>307</v>
      </c>
      <c r="F441" s="59" t="s">
        <v>302</v>
      </c>
      <c r="G441" s="59" t="s">
        <v>313</v>
      </c>
      <c r="H441" s="59">
        <v>0.1</v>
      </c>
      <c r="I441" s="59" t="s">
        <v>301</v>
      </c>
    </row>
    <row r="442" spans="1:9" hidden="1" x14ac:dyDescent="0.75">
      <c r="A442" s="59" t="s">
        <v>295</v>
      </c>
      <c r="B442" s="59" t="s">
        <v>296</v>
      </c>
      <c r="C442" s="59">
        <v>2035</v>
      </c>
      <c r="D442" s="59" t="s">
        <v>315</v>
      </c>
      <c r="E442" s="59" t="s">
        <v>307</v>
      </c>
      <c r="F442" s="59" t="s">
        <v>302</v>
      </c>
      <c r="G442" s="59" t="s">
        <v>313</v>
      </c>
      <c r="H442" s="59">
        <v>-0.2</v>
      </c>
      <c r="I442" s="59" t="s">
        <v>301</v>
      </c>
    </row>
    <row r="443" spans="1:9" hidden="1" x14ac:dyDescent="0.75">
      <c r="A443" s="59" t="s">
        <v>295</v>
      </c>
      <c r="B443" s="59" t="s">
        <v>311</v>
      </c>
      <c r="C443" s="59">
        <v>2025</v>
      </c>
      <c r="D443" s="59" t="s">
        <v>315</v>
      </c>
      <c r="E443" s="59" t="s">
        <v>259</v>
      </c>
      <c r="F443" s="59" t="s">
        <v>302</v>
      </c>
      <c r="G443" s="59" t="s">
        <v>312</v>
      </c>
      <c r="H443" s="59">
        <v>-85.6</v>
      </c>
      <c r="I443" s="59" t="s">
        <v>301</v>
      </c>
    </row>
    <row r="444" spans="1:9" hidden="1" x14ac:dyDescent="0.75">
      <c r="A444" s="59" t="s">
        <v>295</v>
      </c>
      <c r="B444" s="59" t="s">
        <v>311</v>
      </c>
      <c r="C444" s="59">
        <v>2045</v>
      </c>
      <c r="D444" s="59" t="s">
        <v>315</v>
      </c>
      <c r="E444" s="59" t="s">
        <v>259</v>
      </c>
      <c r="F444" s="59" t="s">
        <v>302</v>
      </c>
      <c r="G444" s="59" t="s">
        <v>313</v>
      </c>
      <c r="H444" s="59">
        <v>-193.3</v>
      </c>
      <c r="I444" s="59" t="s">
        <v>301</v>
      </c>
    </row>
    <row r="445" spans="1:9" hidden="1" x14ac:dyDescent="0.75">
      <c r="A445" s="59" t="s">
        <v>295</v>
      </c>
      <c r="B445" s="59" t="s">
        <v>311</v>
      </c>
      <c r="C445" s="59">
        <v>2045</v>
      </c>
      <c r="D445" s="59" t="s">
        <v>315</v>
      </c>
      <c r="E445" s="59" t="s">
        <v>259</v>
      </c>
      <c r="F445" s="59" t="s">
        <v>302</v>
      </c>
      <c r="G445" s="59" t="s">
        <v>314</v>
      </c>
      <c r="H445" s="59">
        <v>-225.8</v>
      </c>
      <c r="I445" s="59" t="s">
        <v>301</v>
      </c>
    </row>
    <row r="446" spans="1:9" hidden="1" x14ac:dyDescent="0.75">
      <c r="A446" s="59" t="s">
        <v>295</v>
      </c>
      <c r="B446" s="59" t="s">
        <v>311</v>
      </c>
      <c r="C446" s="59">
        <v>2045</v>
      </c>
      <c r="D446" s="59" t="s">
        <v>315</v>
      </c>
      <c r="E446" s="59" t="s">
        <v>259</v>
      </c>
      <c r="F446" s="59" t="s">
        <v>302</v>
      </c>
      <c r="G446" s="59" t="s">
        <v>303</v>
      </c>
      <c r="H446" s="59">
        <v>-152</v>
      </c>
      <c r="I446" s="59" t="s">
        <v>301</v>
      </c>
    </row>
    <row r="447" spans="1:9" hidden="1" x14ac:dyDescent="0.75">
      <c r="A447" s="59" t="s">
        <v>295</v>
      </c>
      <c r="B447" s="59" t="s">
        <v>311</v>
      </c>
      <c r="C447" s="59">
        <v>2045</v>
      </c>
      <c r="D447" s="59" t="s">
        <v>315</v>
      </c>
      <c r="E447" s="59" t="s">
        <v>259</v>
      </c>
      <c r="F447" s="59" t="s">
        <v>302</v>
      </c>
      <c r="G447" s="59" t="s">
        <v>300</v>
      </c>
      <c r="H447" s="59">
        <v>-240.4</v>
      </c>
      <c r="I447" s="59" t="s">
        <v>301</v>
      </c>
    </row>
    <row r="448" spans="1:9" hidden="1" x14ac:dyDescent="0.75">
      <c r="A448" s="59" t="s">
        <v>295</v>
      </c>
      <c r="B448" s="59" t="s">
        <v>311</v>
      </c>
      <c r="C448" s="59">
        <v>2035</v>
      </c>
      <c r="D448" s="59" t="s">
        <v>315</v>
      </c>
      <c r="E448" s="59" t="s">
        <v>259</v>
      </c>
      <c r="F448" s="59" t="s">
        <v>302</v>
      </c>
      <c r="G448" s="59" t="s">
        <v>312</v>
      </c>
      <c r="H448" s="59">
        <v>-204.1</v>
      </c>
      <c r="I448" s="59" t="s">
        <v>301</v>
      </c>
    </row>
    <row r="449" spans="1:11" hidden="1" x14ac:dyDescent="0.75">
      <c r="A449" s="59" t="s">
        <v>295</v>
      </c>
      <c r="B449" s="59" t="s">
        <v>311</v>
      </c>
      <c r="C449" s="59">
        <v>2045</v>
      </c>
      <c r="D449" s="59" t="s">
        <v>315</v>
      </c>
      <c r="E449" s="59" t="s">
        <v>259</v>
      </c>
      <c r="F449" s="59" t="s">
        <v>299</v>
      </c>
      <c r="G449" s="59" t="s">
        <v>313</v>
      </c>
      <c r="H449" s="59">
        <v>-208</v>
      </c>
      <c r="I449" s="59" t="s">
        <v>301</v>
      </c>
    </row>
    <row r="450" spans="1:11" hidden="1" x14ac:dyDescent="0.75">
      <c r="A450" s="59" t="s">
        <v>295</v>
      </c>
      <c r="B450" s="59" t="s">
        <v>311</v>
      </c>
      <c r="C450" s="59">
        <v>2045</v>
      </c>
      <c r="D450" s="59" t="s">
        <v>315</v>
      </c>
      <c r="E450" s="59" t="s">
        <v>259</v>
      </c>
      <c r="F450" s="59" t="s">
        <v>299</v>
      </c>
      <c r="G450" s="59" t="s">
        <v>314</v>
      </c>
      <c r="H450" s="59">
        <v>-234.1</v>
      </c>
      <c r="I450" s="59" t="s">
        <v>301</v>
      </c>
    </row>
    <row r="451" spans="1:11" hidden="1" x14ac:dyDescent="0.75">
      <c r="A451" s="59" t="s">
        <v>295</v>
      </c>
      <c r="B451" s="59" t="s">
        <v>311</v>
      </c>
      <c r="C451" s="59">
        <v>2045</v>
      </c>
      <c r="D451" s="59" t="s">
        <v>315</v>
      </c>
      <c r="E451" s="59" t="s">
        <v>259</v>
      </c>
      <c r="F451" s="59" t="s">
        <v>299</v>
      </c>
      <c r="G451" s="59" t="s">
        <v>303</v>
      </c>
      <c r="H451" s="59">
        <v>-154.1</v>
      </c>
      <c r="I451" s="59" t="s">
        <v>301</v>
      </c>
    </row>
    <row r="452" spans="1:11" hidden="1" x14ac:dyDescent="0.75">
      <c r="A452" s="59" t="s">
        <v>295</v>
      </c>
      <c r="B452" s="59" t="s">
        <v>311</v>
      </c>
      <c r="C452" s="59">
        <v>2045</v>
      </c>
      <c r="D452" s="59" t="s">
        <v>315</v>
      </c>
      <c r="E452" s="59" t="s">
        <v>259</v>
      </c>
      <c r="F452" s="59" t="s">
        <v>299</v>
      </c>
      <c r="G452" s="59" t="s">
        <v>300</v>
      </c>
      <c r="H452" s="59">
        <v>-248.7</v>
      </c>
      <c r="I452" s="59" t="s">
        <v>301</v>
      </c>
    </row>
    <row r="453" spans="1:11" hidden="1" x14ac:dyDescent="0.75">
      <c r="A453" s="59" t="s">
        <v>295</v>
      </c>
      <c r="B453" s="59" t="s">
        <v>296</v>
      </c>
      <c r="C453" s="59">
        <v>2045</v>
      </c>
      <c r="D453" s="59" t="s">
        <v>297</v>
      </c>
      <c r="E453" s="59" t="s">
        <v>298</v>
      </c>
      <c r="F453" s="59" t="s">
        <v>302</v>
      </c>
      <c r="G453" s="59" t="s">
        <v>313</v>
      </c>
      <c r="H453" s="59">
        <v>13.7</v>
      </c>
      <c r="I453" s="59" t="s">
        <v>301</v>
      </c>
    </row>
    <row r="454" spans="1:11" hidden="1" x14ac:dyDescent="0.75">
      <c r="A454" s="59" t="s">
        <v>295</v>
      </c>
      <c r="B454" s="59" t="s">
        <v>296</v>
      </c>
      <c r="C454" s="59">
        <v>2055</v>
      </c>
      <c r="D454" s="59" t="s">
        <v>297</v>
      </c>
      <c r="E454" s="59" t="s">
        <v>298</v>
      </c>
      <c r="F454" s="59" t="s">
        <v>302</v>
      </c>
      <c r="G454" s="59" t="s">
        <v>313</v>
      </c>
      <c r="H454" s="59">
        <v>7.7</v>
      </c>
      <c r="I454" s="59" t="s">
        <v>301</v>
      </c>
    </row>
    <row r="455" spans="1:11" x14ac:dyDescent="0.75">
      <c r="A455" s="59" t="s">
        <v>295</v>
      </c>
      <c r="B455" s="59" t="s">
        <v>296</v>
      </c>
      <c r="C455" s="59">
        <v>2025</v>
      </c>
      <c r="D455" s="59" t="s">
        <v>297</v>
      </c>
      <c r="E455" s="59" t="s">
        <v>298</v>
      </c>
      <c r="F455" s="59" t="s">
        <v>299</v>
      </c>
      <c r="G455" s="59" t="s">
        <v>312</v>
      </c>
      <c r="H455" s="59">
        <v>124.1</v>
      </c>
      <c r="I455" s="59" t="s">
        <v>301</v>
      </c>
      <c r="K455" s="59" t="str">
        <f>INDEX('EPA land and ag calcs'!$G$7:$G$14,MATCH('EPA land and ag potential'!E455,'EPA land and ag calcs'!$A$7:$A$15,0))</f>
        <v>afforestation and reforestation</v>
      </c>
    </row>
    <row r="456" spans="1:11" x14ac:dyDescent="0.75">
      <c r="A456" s="59" t="s">
        <v>295</v>
      </c>
      <c r="B456" s="59" t="s">
        <v>296</v>
      </c>
      <c r="C456" s="59">
        <v>2035</v>
      </c>
      <c r="D456" s="59" t="s">
        <v>297</v>
      </c>
      <c r="E456" s="59" t="s">
        <v>298</v>
      </c>
      <c r="F456" s="59" t="s">
        <v>299</v>
      </c>
      <c r="G456" s="59" t="s">
        <v>312</v>
      </c>
      <c r="H456" s="59">
        <v>109.7</v>
      </c>
      <c r="I456" s="59" t="s">
        <v>301</v>
      </c>
      <c r="K456" s="59" t="str">
        <f>INDEX('EPA land and ag calcs'!$G$7:$G$14,MATCH('EPA land and ag potential'!E456,'EPA land and ag calcs'!$A$7:$A$15,0))</f>
        <v>afforestation and reforestation</v>
      </c>
    </row>
    <row r="457" spans="1:11" x14ac:dyDescent="0.75">
      <c r="A457" s="59" t="s">
        <v>295</v>
      </c>
      <c r="B457" s="59" t="s">
        <v>296</v>
      </c>
      <c r="C457" s="59">
        <v>2045</v>
      </c>
      <c r="D457" s="59" t="s">
        <v>297</v>
      </c>
      <c r="E457" s="59" t="s">
        <v>298</v>
      </c>
      <c r="F457" s="59" t="s">
        <v>299</v>
      </c>
      <c r="G457" s="59" t="s">
        <v>312</v>
      </c>
      <c r="H457" s="59">
        <v>73.5</v>
      </c>
      <c r="I457" s="59" t="s">
        <v>301</v>
      </c>
      <c r="K457" s="59" t="str">
        <f>INDEX('EPA land and ag calcs'!$G$7:$G$14,MATCH('EPA land and ag potential'!E457,'EPA land and ag calcs'!$A$7:$A$15,0))</f>
        <v>afforestation and reforestation</v>
      </c>
    </row>
    <row r="458" spans="1:11" x14ac:dyDescent="0.75">
      <c r="A458" s="59" t="s">
        <v>295</v>
      </c>
      <c r="B458" s="59" t="s">
        <v>296</v>
      </c>
      <c r="C458" s="59">
        <v>2055</v>
      </c>
      <c r="D458" s="59" t="s">
        <v>297</v>
      </c>
      <c r="E458" s="59" t="s">
        <v>298</v>
      </c>
      <c r="F458" s="59" t="s">
        <v>299</v>
      </c>
      <c r="G458" s="59" t="s">
        <v>312</v>
      </c>
      <c r="H458" s="59">
        <v>45.3</v>
      </c>
      <c r="I458" s="59" t="s">
        <v>301</v>
      </c>
      <c r="K458" s="59" t="str">
        <f>INDEX('EPA land and ag calcs'!$G$7:$G$14,MATCH('EPA land and ag potential'!E458,'EPA land and ag calcs'!$A$7:$A$15,0))</f>
        <v>afforestation and reforestation</v>
      </c>
    </row>
    <row r="459" spans="1:11" hidden="1" x14ac:dyDescent="0.75">
      <c r="A459" s="59" t="s">
        <v>295</v>
      </c>
      <c r="B459" s="59" t="s">
        <v>296</v>
      </c>
      <c r="C459" s="59">
        <v>2025</v>
      </c>
      <c r="D459" s="59" t="s">
        <v>297</v>
      </c>
      <c r="E459" s="59" t="s">
        <v>298</v>
      </c>
      <c r="F459" s="59" t="s">
        <v>302</v>
      </c>
      <c r="G459" s="59" t="s">
        <v>312</v>
      </c>
      <c r="H459" s="59">
        <v>15.7</v>
      </c>
      <c r="I459" s="59" t="s">
        <v>301</v>
      </c>
    </row>
    <row r="460" spans="1:11" hidden="1" x14ac:dyDescent="0.75">
      <c r="A460" s="59" t="s">
        <v>295</v>
      </c>
      <c r="B460" s="59" t="s">
        <v>296</v>
      </c>
      <c r="C460" s="59">
        <v>2035</v>
      </c>
      <c r="D460" s="59" t="s">
        <v>297</v>
      </c>
      <c r="E460" s="59" t="s">
        <v>298</v>
      </c>
      <c r="F460" s="59" t="s">
        <v>302</v>
      </c>
      <c r="G460" s="59" t="s">
        <v>312</v>
      </c>
      <c r="H460" s="59">
        <v>19.7</v>
      </c>
      <c r="I460" s="59" t="s">
        <v>301</v>
      </c>
    </row>
    <row r="461" spans="1:11" hidden="1" x14ac:dyDescent="0.75">
      <c r="A461" s="59" t="s">
        <v>295</v>
      </c>
      <c r="B461" s="59" t="s">
        <v>296</v>
      </c>
      <c r="C461" s="59">
        <v>2045</v>
      </c>
      <c r="D461" s="59" t="s">
        <v>297</v>
      </c>
      <c r="E461" s="59" t="s">
        <v>298</v>
      </c>
      <c r="F461" s="59" t="s">
        <v>302</v>
      </c>
      <c r="G461" s="59" t="s">
        <v>312</v>
      </c>
      <c r="H461" s="59">
        <v>9</v>
      </c>
      <c r="I461" s="59" t="s">
        <v>301</v>
      </c>
    </row>
    <row r="462" spans="1:11" hidden="1" x14ac:dyDescent="0.75">
      <c r="A462" s="59" t="s">
        <v>295</v>
      </c>
      <c r="B462" s="59" t="s">
        <v>296</v>
      </c>
      <c r="C462" s="59">
        <v>2055</v>
      </c>
      <c r="D462" s="59" t="s">
        <v>297</v>
      </c>
      <c r="E462" s="59" t="s">
        <v>298</v>
      </c>
      <c r="F462" s="59" t="s">
        <v>302</v>
      </c>
      <c r="G462" s="59" t="s">
        <v>312</v>
      </c>
      <c r="H462" s="59">
        <v>5.0999999999999996</v>
      </c>
      <c r="I462" s="59" t="s">
        <v>301</v>
      </c>
    </row>
    <row r="463" spans="1:11" hidden="1" x14ac:dyDescent="0.75">
      <c r="A463" s="59" t="s">
        <v>295</v>
      </c>
      <c r="B463" s="59" t="s">
        <v>296</v>
      </c>
      <c r="C463" s="59">
        <v>2045</v>
      </c>
      <c r="D463" s="59" t="s">
        <v>297</v>
      </c>
      <c r="E463" s="59" t="s">
        <v>304</v>
      </c>
      <c r="F463" s="59" t="s">
        <v>302</v>
      </c>
      <c r="G463" s="59" t="s">
        <v>313</v>
      </c>
      <c r="H463" s="59">
        <v>-6.1</v>
      </c>
      <c r="I463" s="59" t="s">
        <v>301</v>
      </c>
    </row>
    <row r="464" spans="1:11" hidden="1" x14ac:dyDescent="0.75">
      <c r="A464" s="59" t="s">
        <v>295</v>
      </c>
      <c r="B464" s="59" t="s">
        <v>296</v>
      </c>
      <c r="C464" s="59">
        <v>2055</v>
      </c>
      <c r="D464" s="59" t="s">
        <v>297</v>
      </c>
      <c r="E464" s="59" t="s">
        <v>304</v>
      </c>
      <c r="F464" s="59" t="s">
        <v>302</v>
      </c>
      <c r="G464" s="59" t="s">
        <v>313</v>
      </c>
      <c r="H464" s="59">
        <v>-6.9</v>
      </c>
      <c r="I464" s="59" t="s">
        <v>301</v>
      </c>
    </row>
    <row r="465" spans="1:11" x14ac:dyDescent="0.75">
      <c r="A465" s="59" t="s">
        <v>295</v>
      </c>
      <c r="B465" s="59" t="s">
        <v>296</v>
      </c>
      <c r="C465" s="59">
        <v>2025</v>
      </c>
      <c r="D465" s="59" t="s">
        <v>297</v>
      </c>
      <c r="E465" s="59" t="s">
        <v>304</v>
      </c>
      <c r="F465" s="59" t="s">
        <v>299</v>
      </c>
      <c r="G465" s="59" t="s">
        <v>312</v>
      </c>
      <c r="H465" s="59">
        <v>-3.8</v>
      </c>
      <c r="I465" s="59" t="s">
        <v>301</v>
      </c>
      <c r="K465" s="59" t="str">
        <f>INDEX('EPA land and ag calcs'!$G$7:$G$14,MATCH('EPA land and ag potential'!E465,'EPA land and ag calcs'!$A$7:$A$15,0))</f>
        <v>*handled in agriculture files</v>
      </c>
    </row>
    <row r="466" spans="1:11" x14ac:dyDescent="0.75">
      <c r="A466" s="59" t="s">
        <v>295</v>
      </c>
      <c r="B466" s="59" t="s">
        <v>296</v>
      </c>
      <c r="C466" s="59">
        <v>2035</v>
      </c>
      <c r="D466" s="59" t="s">
        <v>297</v>
      </c>
      <c r="E466" s="59" t="s">
        <v>304</v>
      </c>
      <c r="F466" s="59" t="s">
        <v>299</v>
      </c>
      <c r="G466" s="59" t="s">
        <v>312</v>
      </c>
      <c r="H466" s="59">
        <v>-7.6</v>
      </c>
      <c r="I466" s="59" t="s">
        <v>301</v>
      </c>
      <c r="K466" s="59" t="str">
        <f>INDEX('EPA land and ag calcs'!$G$7:$G$14,MATCH('EPA land and ag potential'!E466,'EPA land and ag calcs'!$A$7:$A$15,0))</f>
        <v>*handled in agriculture files</v>
      </c>
    </row>
    <row r="467" spans="1:11" x14ac:dyDescent="0.75">
      <c r="A467" s="59" t="s">
        <v>295</v>
      </c>
      <c r="B467" s="59" t="s">
        <v>296</v>
      </c>
      <c r="C467" s="59">
        <v>2045</v>
      </c>
      <c r="D467" s="59" t="s">
        <v>297</v>
      </c>
      <c r="E467" s="59" t="s">
        <v>304</v>
      </c>
      <c r="F467" s="59" t="s">
        <v>299</v>
      </c>
      <c r="G467" s="59" t="s">
        <v>312</v>
      </c>
      <c r="H467" s="59">
        <v>-10.199999999999999</v>
      </c>
      <c r="I467" s="59" t="s">
        <v>301</v>
      </c>
      <c r="K467" s="59" t="str">
        <f>INDEX('EPA land and ag calcs'!$G$7:$G$14,MATCH('EPA land and ag potential'!E467,'EPA land and ag calcs'!$A$7:$A$15,0))</f>
        <v>*handled in agriculture files</v>
      </c>
    </row>
    <row r="468" spans="1:11" x14ac:dyDescent="0.75">
      <c r="A468" s="59" t="s">
        <v>295</v>
      </c>
      <c r="B468" s="59" t="s">
        <v>296</v>
      </c>
      <c r="C468" s="59">
        <v>2055</v>
      </c>
      <c r="D468" s="59" t="s">
        <v>297</v>
      </c>
      <c r="E468" s="59" t="s">
        <v>304</v>
      </c>
      <c r="F468" s="59" t="s">
        <v>299</v>
      </c>
      <c r="G468" s="59" t="s">
        <v>312</v>
      </c>
      <c r="H468" s="59">
        <v>-12</v>
      </c>
      <c r="I468" s="59" t="s">
        <v>301</v>
      </c>
      <c r="K468" s="59" t="str">
        <f>INDEX('EPA land and ag calcs'!$G$7:$G$14,MATCH('EPA land and ag potential'!E468,'EPA land and ag calcs'!$A$7:$A$15,0))</f>
        <v>*handled in agriculture files</v>
      </c>
    </row>
    <row r="469" spans="1:11" hidden="1" x14ac:dyDescent="0.75">
      <c r="A469" s="59" t="s">
        <v>295</v>
      </c>
      <c r="B469" s="59" t="s">
        <v>296</v>
      </c>
      <c r="C469" s="59">
        <v>2025</v>
      </c>
      <c r="D469" s="59" t="s">
        <v>297</v>
      </c>
      <c r="E469" s="59" t="s">
        <v>304</v>
      </c>
      <c r="F469" s="59" t="s">
        <v>302</v>
      </c>
      <c r="G469" s="59" t="s">
        <v>312</v>
      </c>
      <c r="H469" s="59">
        <v>-5.7</v>
      </c>
      <c r="I469" s="59" t="s">
        <v>301</v>
      </c>
    </row>
    <row r="470" spans="1:11" hidden="1" x14ac:dyDescent="0.75">
      <c r="A470" s="59" t="s">
        <v>295</v>
      </c>
      <c r="B470" s="59" t="s">
        <v>296</v>
      </c>
      <c r="C470" s="59">
        <v>2035</v>
      </c>
      <c r="D470" s="59" t="s">
        <v>297</v>
      </c>
      <c r="E470" s="59" t="s">
        <v>304</v>
      </c>
      <c r="F470" s="59" t="s">
        <v>302</v>
      </c>
      <c r="G470" s="59" t="s">
        <v>312</v>
      </c>
      <c r="H470" s="59">
        <v>-9.1</v>
      </c>
      <c r="I470" s="59" t="s">
        <v>301</v>
      </c>
    </row>
    <row r="471" spans="1:11" hidden="1" x14ac:dyDescent="0.75">
      <c r="A471" s="59" t="s">
        <v>295</v>
      </c>
      <c r="B471" s="59" t="s">
        <v>296</v>
      </c>
      <c r="C471" s="59">
        <v>2045</v>
      </c>
      <c r="D471" s="59" t="s">
        <v>297</v>
      </c>
      <c r="E471" s="59" t="s">
        <v>304</v>
      </c>
      <c r="F471" s="59" t="s">
        <v>302</v>
      </c>
      <c r="G471" s="59" t="s">
        <v>312</v>
      </c>
      <c r="H471" s="59">
        <v>-11.3</v>
      </c>
      <c r="I471" s="59" t="s">
        <v>301</v>
      </c>
    </row>
    <row r="472" spans="1:11" hidden="1" x14ac:dyDescent="0.75">
      <c r="A472" s="59" t="s">
        <v>295</v>
      </c>
      <c r="B472" s="59" t="s">
        <v>296</v>
      </c>
      <c r="C472" s="59">
        <v>2055</v>
      </c>
      <c r="D472" s="59" t="s">
        <v>297</v>
      </c>
      <c r="E472" s="59" t="s">
        <v>304</v>
      </c>
      <c r="F472" s="59" t="s">
        <v>302</v>
      </c>
      <c r="G472" s="59" t="s">
        <v>312</v>
      </c>
      <c r="H472" s="59">
        <v>-12.9</v>
      </c>
      <c r="I472" s="59" t="s">
        <v>301</v>
      </c>
    </row>
    <row r="473" spans="1:11" hidden="1" x14ac:dyDescent="0.75">
      <c r="A473" s="59" t="s">
        <v>295</v>
      </c>
      <c r="B473" s="59" t="s">
        <v>296</v>
      </c>
      <c r="C473" s="59">
        <v>2045</v>
      </c>
      <c r="D473" s="59" t="s">
        <v>297</v>
      </c>
      <c r="E473" s="59" t="s">
        <v>305</v>
      </c>
      <c r="F473" s="59" t="s">
        <v>302</v>
      </c>
      <c r="G473" s="59" t="s">
        <v>313</v>
      </c>
      <c r="H473" s="59">
        <v>-1.9</v>
      </c>
      <c r="I473" s="59" t="s">
        <v>301</v>
      </c>
    </row>
    <row r="474" spans="1:11" hidden="1" x14ac:dyDescent="0.75">
      <c r="A474" s="59" t="s">
        <v>295</v>
      </c>
      <c r="B474" s="59" t="s">
        <v>296</v>
      </c>
      <c r="C474" s="59">
        <v>2055</v>
      </c>
      <c r="D474" s="59" t="s">
        <v>297</v>
      </c>
      <c r="E474" s="59" t="s">
        <v>305</v>
      </c>
      <c r="F474" s="59" t="s">
        <v>302</v>
      </c>
      <c r="G474" s="59" t="s">
        <v>313</v>
      </c>
      <c r="H474" s="59">
        <v>-2.9</v>
      </c>
      <c r="I474" s="59" t="s">
        <v>301</v>
      </c>
    </row>
    <row r="475" spans="1:11" x14ac:dyDescent="0.75">
      <c r="A475" s="59" t="s">
        <v>295</v>
      </c>
      <c r="B475" s="59" t="s">
        <v>296</v>
      </c>
      <c r="C475" s="59">
        <v>2025</v>
      </c>
      <c r="D475" s="59" t="s">
        <v>297</v>
      </c>
      <c r="E475" s="59" t="s">
        <v>305</v>
      </c>
      <c r="F475" s="59" t="s">
        <v>299</v>
      </c>
      <c r="G475" s="59" t="s">
        <v>312</v>
      </c>
      <c r="H475" s="59">
        <v>-4</v>
      </c>
      <c r="I475" s="59" t="s">
        <v>301</v>
      </c>
      <c r="K475" s="59" t="str">
        <f>INDEX('EPA land and ag calcs'!$G$7:$G$14,MATCH('EPA land and ag potential'!E475,'EPA land and ag calcs'!$A$7:$A$15,0))</f>
        <v>*handled in agriculture files</v>
      </c>
    </row>
    <row r="476" spans="1:11" x14ac:dyDescent="0.75">
      <c r="A476" s="59" t="s">
        <v>295</v>
      </c>
      <c r="B476" s="59" t="s">
        <v>296</v>
      </c>
      <c r="C476" s="59">
        <v>2035</v>
      </c>
      <c r="D476" s="59" t="s">
        <v>297</v>
      </c>
      <c r="E476" s="59" t="s">
        <v>305</v>
      </c>
      <c r="F476" s="59" t="s">
        <v>299</v>
      </c>
      <c r="G476" s="59" t="s">
        <v>312</v>
      </c>
      <c r="H476" s="59">
        <v>-8.8000000000000007</v>
      </c>
      <c r="I476" s="59" t="s">
        <v>301</v>
      </c>
      <c r="K476" s="59" t="str">
        <f>INDEX('EPA land and ag calcs'!$G$7:$G$14,MATCH('EPA land and ag potential'!E476,'EPA land and ag calcs'!$A$7:$A$15,0))</f>
        <v>*handled in agriculture files</v>
      </c>
    </row>
    <row r="477" spans="1:11" x14ac:dyDescent="0.75">
      <c r="A477" s="59" t="s">
        <v>295</v>
      </c>
      <c r="B477" s="59" t="s">
        <v>296</v>
      </c>
      <c r="C477" s="59">
        <v>2045</v>
      </c>
      <c r="D477" s="59" t="s">
        <v>297</v>
      </c>
      <c r="E477" s="59" t="s">
        <v>305</v>
      </c>
      <c r="F477" s="59" t="s">
        <v>299</v>
      </c>
      <c r="G477" s="59" t="s">
        <v>312</v>
      </c>
      <c r="H477" s="59">
        <v>-13</v>
      </c>
      <c r="I477" s="59" t="s">
        <v>301</v>
      </c>
      <c r="K477" s="59" t="str">
        <f>INDEX('EPA land and ag calcs'!$G$7:$G$14,MATCH('EPA land and ag potential'!E477,'EPA land and ag calcs'!$A$7:$A$15,0))</f>
        <v>*handled in agriculture files</v>
      </c>
    </row>
    <row r="478" spans="1:11" x14ac:dyDescent="0.75">
      <c r="A478" s="59" t="s">
        <v>295</v>
      </c>
      <c r="B478" s="59" t="s">
        <v>296</v>
      </c>
      <c r="C478" s="59">
        <v>2055</v>
      </c>
      <c r="D478" s="59" t="s">
        <v>297</v>
      </c>
      <c r="E478" s="59" t="s">
        <v>305</v>
      </c>
      <c r="F478" s="59" t="s">
        <v>299</v>
      </c>
      <c r="G478" s="59" t="s">
        <v>312</v>
      </c>
      <c r="H478" s="59">
        <v>-15.8</v>
      </c>
      <c r="I478" s="59" t="s">
        <v>301</v>
      </c>
      <c r="K478" s="59" t="str">
        <f>INDEX('EPA land and ag calcs'!$G$7:$G$14,MATCH('EPA land and ag potential'!E478,'EPA land and ag calcs'!$A$7:$A$15,0))</f>
        <v>*handled in agriculture files</v>
      </c>
    </row>
    <row r="479" spans="1:11" hidden="1" x14ac:dyDescent="0.75">
      <c r="A479" s="59" t="s">
        <v>295</v>
      </c>
      <c r="B479" s="59" t="s">
        <v>296</v>
      </c>
      <c r="C479" s="59">
        <v>2025</v>
      </c>
      <c r="D479" s="59" t="s">
        <v>297</v>
      </c>
      <c r="E479" s="59" t="s">
        <v>305</v>
      </c>
      <c r="F479" s="59" t="s">
        <v>302</v>
      </c>
      <c r="G479" s="59" t="s">
        <v>312</v>
      </c>
      <c r="H479" s="59">
        <v>-7</v>
      </c>
      <c r="I479" s="59" t="s">
        <v>301</v>
      </c>
    </row>
    <row r="480" spans="1:11" hidden="1" x14ac:dyDescent="0.75">
      <c r="A480" s="59" t="s">
        <v>295</v>
      </c>
      <c r="B480" s="59" t="s">
        <v>296</v>
      </c>
      <c r="C480" s="59">
        <v>2035</v>
      </c>
      <c r="D480" s="59" t="s">
        <v>297</v>
      </c>
      <c r="E480" s="59" t="s">
        <v>305</v>
      </c>
      <c r="F480" s="59" t="s">
        <v>302</v>
      </c>
      <c r="G480" s="59" t="s">
        <v>312</v>
      </c>
      <c r="H480" s="59">
        <v>-10.7</v>
      </c>
      <c r="I480" s="59" t="s">
        <v>301</v>
      </c>
    </row>
    <row r="481" spans="1:11" hidden="1" x14ac:dyDescent="0.75">
      <c r="A481" s="59" t="s">
        <v>295</v>
      </c>
      <c r="B481" s="59" t="s">
        <v>296</v>
      </c>
      <c r="C481" s="59">
        <v>2045</v>
      </c>
      <c r="D481" s="59" t="s">
        <v>297</v>
      </c>
      <c r="E481" s="59" t="s">
        <v>305</v>
      </c>
      <c r="F481" s="59" t="s">
        <v>302</v>
      </c>
      <c r="G481" s="59" t="s">
        <v>312</v>
      </c>
      <c r="H481" s="59">
        <v>-14.2</v>
      </c>
      <c r="I481" s="59" t="s">
        <v>301</v>
      </c>
    </row>
    <row r="482" spans="1:11" hidden="1" x14ac:dyDescent="0.75">
      <c r="A482" s="59" t="s">
        <v>295</v>
      </c>
      <c r="B482" s="59" t="s">
        <v>296</v>
      </c>
      <c r="C482" s="59">
        <v>2055</v>
      </c>
      <c r="D482" s="59" t="s">
        <v>297</v>
      </c>
      <c r="E482" s="59" t="s">
        <v>305</v>
      </c>
      <c r="F482" s="59" t="s">
        <v>302</v>
      </c>
      <c r="G482" s="59" t="s">
        <v>312</v>
      </c>
      <c r="H482" s="59">
        <v>-16.7</v>
      </c>
      <c r="I482" s="59" t="s">
        <v>301</v>
      </c>
    </row>
    <row r="483" spans="1:11" hidden="1" x14ac:dyDescent="0.75">
      <c r="A483" s="59" t="s">
        <v>295</v>
      </c>
      <c r="B483" s="59" t="s">
        <v>296</v>
      </c>
      <c r="C483" s="59">
        <v>2045</v>
      </c>
      <c r="D483" s="59" t="s">
        <v>297</v>
      </c>
      <c r="E483" s="59" t="s">
        <v>306</v>
      </c>
      <c r="F483" s="59" t="s">
        <v>302</v>
      </c>
      <c r="G483" s="59" t="s">
        <v>313</v>
      </c>
      <c r="H483" s="59">
        <v>-31.3</v>
      </c>
      <c r="I483" s="59" t="s">
        <v>301</v>
      </c>
    </row>
    <row r="484" spans="1:11" hidden="1" x14ac:dyDescent="0.75">
      <c r="A484" s="59" t="s">
        <v>295</v>
      </c>
      <c r="B484" s="59" t="s">
        <v>296</v>
      </c>
      <c r="C484" s="59">
        <v>2055</v>
      </c>
      <c r="D484" s="59" t="s">
        <v>297</v>
      </c>
      <c r="E484" s="59" t="s">
        <v>306</v>
      </c>
      <c r="F484" s="59" t="s">
        <v>302</v>
      </c>
      <c r="G484" s="59" t="s">
        <v>313</v>
      </c>
      <c r="H484" s="59">
        <v>-32.700000000000003</v>
      </c>
      <c r="I484" s="59" t="s">
        <v>301</v>
      </c>
    </row>
    <row r="485" spans="1:11" x14ac:dyDescent="0.75">
      <c r="A485" s="59" t="s">
        <v>295</v>
      </c>
      <c r="B485" s="59" t="s">
        <v>296</v>
      </c>
      <c r="C485" s="59">
        <v>2025</v>
      </c>
      <c r="D485" s="59" t="s">
        <v>297</v>
      </c>
      <c r="E485" s="59" t="s">
        <v>306</v>
      </c>
      <c r="F485" s="59" t="s">
        <v>299</v>
      </c>
      <c r="G485" s="59" t="s">
        <v>312</v>
      </c>
      <c r="H485" s="59">
        <v>-30.3</v>
      </c>
      <c r="I485" s="59" t="s">
        <v>301</v>
      </c>
      <c r="K485" s="59" t="str">
        <f>INDEX('EPA land and ag calcs'!$G$7:$G$14,MATCH('EPA land and ag potential'!E485,'EPA land and ag calcs'!$A$7:$A$15,0))</f>
        <v>forest management</v>
      </c>
    </row>
    <row r="486" spans="1:11" x14ac:dyDescent="0.75">
      <c r="A486" s="59" t="s">
        <v>295</v>
      </c>
      <c r="B486" s="59" t="s">
        <v>296</v>
      </c>
      <c r="C486" s="59">
        <v>2035</v>
      </c>
      <c r="D486" s="59" t="s">
        <v>297</v>
      </c>
      <c r="E486" s="59" t="s">
        <v>306</v>
      </c>
      <c r="F486" s="59" t="s">
        <v>299</v>
      </c>
      <c r="G486" s="59" t="s">
        <v>312</v>
      </c>
      <c r="H486" s="59">
        <v>-67.099999999999994</v>
      </c>
      <c r="I486" s="59" t="s">
        <v>301</v>
      </c>
      <c r="K486" s="59" t="str">
        <f>INDEX('EPA land and ag calcs'!$G$7:$G$14,MATCH('EPA land and ag potential'!E486,'EPA land and ag calcs'!$A$7:$A$15,0))</f>
        <v>forest management</v>
      </c>
    </row>
    <row r="487" spans="1:11" x14ac:dyDescent="0.75">
      <c r="A487" s="59" t="s">
        <v>295</v>
      </c>
      <c r="B487" s="59" t="s">
        <v>296</v>
      </c>
      <c r="C487" s="59">
        <v>2045</v>
      </c>
      <c r="D487" s="59" t="s">
        <v>297</v>
      </c>
      <c r="E487" s="59" t="s">
        <v>306</v>
      </c>
      <c r="F487" s="59" t="s">
        <v>299</v>
      </c>
      <c r="G487" s="59" t="s">
        <v>312</v>
      </c>
      <c r="H487" s="59">
        <v>-77.8</v>
      </c>
      <c r="I487" s="59" t="s">
        <v>301</v>
      </c>
      <c r="K487" s="59" t="str">
        <f>INDEX('EPA land and ag calcs'!$G$7:$G$14,MATCH('EPA land and ag potential'!E487,'EPA land and ag calcs'!$A$7:$A$15,0))</f>
        <v>forest management</v>
      </c>
    </row>
    <row r="488" spans="1:11" x14ac:dyDescent="0.75">
      <c r="A488" s="59" t="s">
        <v>295</v>
      </c>
      <c r="B488" s="59" t="s">
        <v>296</v>
      </c>
      <c r="C488" s="59">
        <v>2055</v>
      </c>
      <c r="D488" s="59" t="s">
        <v>297</v>
      </c>
      <c r="E488" s="59" t="s">
        <v>306</v>
      </c>
      <c r="F488" s="59" t="s">
        <v>299</v>
      </c>
      <c r="G488" s="59" t="s">
        <v>312</v>
      </c>
      <c r="H488" s="59">
        <v>-91.9</v>
      </c>
      <c r="I488" s="59" t="s">
        <v>301</v>
      </c>
      <c r="K488" s="59" t="str">
        <f>INDEX('EPA land and ag calcs'!$G$7:$G$14,MATCH('EPA land and ag potential'!E488,'EPA land and ag calcs'!$A$7:$A$15,0))</f>
        <v>forest management</v>
      </c>
    </row>
    <row r="489" spans="1:11" hidden="1" x14ac:dyDescent="0.75">
      <c r="A489" s="59" t="s">
        <v>295</v>
      </c>
      <c r="B489" s="59" t="s">
        <v>296</v>
      </c>
      <c r="C489" s="59">
        <v>2025</v>
      </c>
      <c r="D489" s="59" t="s">
        <v>297</v>
      </c>
      <c r="E489" s="59" t="s">
        <v>306</v>
      </c>
      <c r="F489" s="59" t="s">
        <v>302</v>
      </c>
      <c r="G489" s="59" t="s">
        <v>312</v>
      </c>
      <c r="H489" s="59">
        <v>-54.7</v>
      </c>
      <c r="I489" s="59" t="s">
        <v>301</v>
      </c>
    </row>
    <row r="490" spans="1:11" hidden="1" x14ac:dyDescent="0.75">
      <c r="A490" s="59" t="s">
        <v>295</v>
      </c>
      <c r="B490" s="59" t="s">
        <v>296</v>
      </c>
      <c r="C490" s="59">
        <v>2035</v>
      </c>
      <c r="D490" s="59" t="s">
        <v>297</v>
      </c>
      <c r="E490" s="59" t="s">
        <v>306</v>
      </c>
      <c r="F490" s="59" t="s">
        <v>302</v>
      </c>
      <c r="G490" s="59" t="s">
        <v>312</v>
      </c>
      <c r="H490" s="59">
        <v>-91.1</v>
      </c>
      <c r="I490" s="59" t="s">
        <v>301</v>
      </c>
    </row>
    <row r="491" spans="1:11" hidden="1" x14ac:dyDescent="0.75">
      <c r="A491" s="59" t="s">
        <v>295</v>
      </c>
      <c r="B491" s="59" t="s">
        <v>296</v>
      </c>
      <c r="C491" s="59">
        <v>2045</v>
      </c>
      <c r="D491" s="59" t="s">
        <v>297</v>
      </c>
      <c r="E491" s="59" t="s">
        <v>306</v>
      </c>
      <c r="F491" s="59" t="s">
        <v>302</v>
      </c>
      <c r="G491" s="59" t="s">
        <v>312</v>
      </c>
      <c r="H491" s="59">
        <v>-93.6</v>
      </c>
      <c r="I491" s="59" t="s">
        <v>301</v>
      </c>
    </row>
    <row r="492" spans="1:11" hidden="1" x14ac:dyDescent="0.75">
      <c r="A492" s="59" t="s">
        <v>295</v>
      </c>
      <c r="B492" s="59" t="s">
        <v>296</v>
      </c>
      <c r="C492" s="59">
        <v>2055</v>
      </c>
      <c r="D492" s="59" t="s">
        <v>297</v>
      </c>
      <c r="E492" s="59" t="s">
        <v>306</v>
      </c>
      <c r="F492" s="59" t="s">
        <v>302</v>
      </c>
      <c r="G492" s="59" t="s">
        <v>312</v>
      </c>
      <c r="H492" s="59">
        <v>-89.6</v>
      </c>
      <c r="I492" s="59" t="s">
        <v>301</v>
      </c>
    </row>
    <row r="493" spans="1:11" hidden="1" x14ac:dyDescent="0.75">
      <c r="A493" s="59" t="s">
        <v>295</v>
      </c>
      <c r="B493" s="59" t="s">
        <v>296</v>
      </c>
      <c r="C493" s="59">
        <v>2045</v>
      </c>
      <c r="D493" s="59" t="s">
        <v>297</v>
      </c>
      <c r="E493" s="59" t="s">
        <v>307</v>
      </c>
      <c r="F493" s="59" t="s">
        <v>302</v>
      </c>
      <c r="G493" s="59" t="s">
        <v>313</v>
      </c>
      <c r="H493" s="59">
        <v>-42.6</v>
      </c>
      <c r="I493" s="59" t="s">
        <v>301</v>
      </c>
    </row>
    <row r="494" spans="1:11" hidden="1" x14ac:dyDescent="0.75">
      <c r="A494" s="59" t="s">
        <v>295</v>
      </c>
      <c r="B494" s="59" t="s">
        <v>296</v>
      </c>
      <c r="C494" s="59">
        <v>2055</v>
      </c>
      <c r="D494" s="59" t="s">
        <v>297</v>
      </c>
      <c r="E494" s="59" t="s">
        <v>307</v>
      </c>
      <c r="F494" s="59" t="s">
        <v>302</v>
      </c>
      <c r="G494" s="59" t="s">
        <v>313</v>
      </c>
      <c r="H494" s="59">
        <v>-47.6</v>
      </c>
      <c r="I494" s="59" t="s">
        <v>301</v>
      </c>
    </row>
    <row r="495" spans="1:11" x14ac:dyDescent="0.75">
      <c r="A495" s="59" t="s">
        <v>295</v>
      </c>
      <c r="B495" s="59" t="s">
        <v>296</v>
      </c>
      <c r="C495" s="59">
        <v>2025</v>
      </c>
      <c r="D495" s="59" t="s">
        <v>297</v>
      </c>
      <c r="E495" s="59" t="s">
        <v>307</v>
      </c>
      <c r="F495" s="59" t="s">
        <v>299</v>
      </c>
      <c r="G495" s="59" t="s">
        <v>312</v>
      </c>
      <c r="I495" s="59" t="s">
        <v>301</v>
      </c>
      <c r="K495" s="59" t="str">
        <f>INDEX('EPA land and ag calcs'!$G$7:$G$14,MATCH('EPA land and ag potential'!E495,'EPA land and ag calcs'!$A$7:$A$15,0))</f>
        <v>afforestation and reforestation</v>
      </c>
    </row>
    <row r="496" spans="1:11" x14ac:dyDescent="0.75">
      <c r="A496" s="59" t="s">
        <v>295</v>
      </c>
      <c r="B496" s="59" t="s">
        <v>296</v>
      </c>
      <c r="C496" s="59">
        <v>2035</v>
      </c>
      <c r="D496" s="59" t="s">
        <v>297</v>
      </c>
      <c r="E496" s="59" t="s">
        <v>307</v>
      </c>
      <c r="F496" s="59" t="s">
        <v>299</v>
      </c>
      <c r="G496" s="59" t="s">
        <v>312</v>
      </c>
      <c r="H496" s="59">
        <v>-59</v>
      </c>
      <c r="I496" s="59" t="s">
        <v>301</v>
      </c>
      <c r="K496" s="59" t="str">
        <f>INDEX('EPA land and ag calcs'!$G$7:$G$14,MATCH('EPA land and ag potential'!E496,'EPA land and ag calcs'!$A$7:$A$15,0))</f>
        <v>afforestation and reforestation</v>
      </c>
    </row>
    <row r="497" spans="1:11" x14ac:dyDescent="0.75">
      <c r="A497" s="59" t="s">
        <v>295</v>
      </c>
      <c r="B497" s="59" t="s">
        <v>296</v>
      </c>
      <c r="C497" s="59">
        <v>2045</v>
      </c>
      <c r="D497" s="59" t="s">
        <v>297</v>
      </c>
      <c r="E497" s="59" t="s">
        <v>307</v>
      </c>
      <c r="F497" s="59" t="s">
        <v>299</v>
      </c>
      <c r="G497" s="59" t="s">
        <v>312</v>
      </c>
      <c r="H497" s="59">
        <v>-77.599999999999994</v>
      </c>
      <c r="I497" s="59" t="s">
        <v>301</v>
      </c>
      <c r="K497" s="59" t="str">
        <f>INDEX('EPA land and ag calcs'!$G$7:$G$14,MATCH('EPA land and ag potential'!E497,'EPA land and ag calcs'!$A$7:$A$15,0))</f>
        <v>afforestation and reforestation</v>
      </c>
    </row>
    <row r="498" spans="1:11" x14ac:dyDescent="0.75">
      <c r="A498" s="59" t="s">
        <v>295</v>
      </c>
      <c r="B498" s="59" t="s">
        <v>296</v>
      </c>
      <c r="C498" s="59">
        <v>2055</v>
      </c>
      <c r="D498" s="59" t="s">
        <v>297</v>
      </c>
      <c r="E498" s="59" t="s">
        <v>307</v>
      </c>
      <c r="F498" s="59" t="s">
        <v>299</v>
      </c>
      <c r="G498" s="59" t="s">
        <v>312</v>
      </c>
      <c r="H498" s="59">
        <v>-107</v>
      </c>
      <c r="I498" s="59" t="s">
        <v>301</v>
      </c>
      <c r="K498" s="59" t="str">
        <f>INDEX('EPA land and ag calcs'!$G$7:$G$14,MATCH('EPA land and ag potential'!E498,'EPA land and ag calcs'!$A$7:$A$15,0))</f>
        <v>afforestation and reforestation</v>
      </c>
    </row>
    <row r="499" spans="1:11" hidden="1" x14ac:dyDescent="0.75">
      <c r="A499" s="59" t="s">
        <v>295</v>
      </c>
      <c r="B499" s="59" t="s">
        <v>296</v>
      </c>
      <c r="C499" s="59">
        <v>2025</v>
      </c>
      <c r="D499" s="59" t="s">
        <v>297</v>
      </c>
      <c r="E499" s="59" t="s">
        <v>307</v>
      </c>
      <c r="F499" s="59" t="s">
        <v>302</v>
      </c>
      <c r="G499" s="59" t="s">
        <v>312</v>
      </c>
      <c r="I499" s="59" t="s">
        <v>301</v>
      </c>
    </row>
    <row r="500" spans="1:11" hidden="1" x14ac:dyDescent="0.75">
      <c r="A500" s="59" t="s">
        <v>295</v>
      </c>
      <c r="B500" s="59" t="s">
        <v>296</v>
      </c>
      <c r="C500" s="59">
        <v>2035</v>
      </c>
      <c r="D500" s="59" t="s">
        <v>297</v>
      </c>
      <c r="E500" s="59" t="s">
        <v>307</v>
      </c>
      <c r="F500" s="59" t="s">
        <v>302</v>
      </c>
      <c r="G500" s="59" t="s">
        <v>312</v>
      </c>
      <c r="H500" s="59">
        <v>-60.3</v>
      </c>
      <c r="I500" s="59" t="s">
        <v>301</v>
      </c>
    </row>
    <row r="501" spans="1:11" hidden="1" x14ac:dyDescent="0.75">
      <c r="A501" s="59" t="s">
        <v>295</v>
      </c>
      <c r="B501" s="59" t="s">
        <v>296</v>
      </c>
      <c r="C501" s="59">
        <v>2045</v>
      </c>
      <c r="D501" s="59" t="s">
        <v>297</v>
      </c>
      <c r="E501" s="59" t="s">
        <v>307</v>
      </c>
      <c r="F501" s="59" t="s">
        <v>302</v>
      </c>
      <c r="G501" s="59" t="s">
        <v>312</v>
      </c>
      <c r="H501" s="59">
        <v>-87.8</v>
      </c>
      <c r="I501" s="59" t="s">
        <v>301</v>
      </c>
    </row>
    <row r="502" spans="1:11" hidden="1" x14ac:dyDescent="0.75">
      <c r="A502" s="59" t="s">
        <v>295</v>
      </c>
      <c r="B502" s="59" t="s">
        <v>296</v>
      </c>
      <c r="C502" s="59">
        <v>2055</v>
      </c>
      <c r="D502" s="59" t="s">
        <v>297</v>
      </c>
      <c r="E502" s="59" t="s">
        <v>307</v>
      </c>
      <c r="F502" s="59" t="s">
        <v>302</v>
      </c>
      <c r="G502" s="59" t="s">
        <v>312</v>
      </c>
      <c r="H502" s="59">
        <v>-115.7</v>
      </c>
      <c r="I502" s="59" t="s">
        <v>301</v>
      </c>
    </row>
    <row r="503" spans="1:11" hidden="1" x14ac:dyDescent="0.75">
      <c r="A503" s="59" t="s">
        <v>295</v>
      </c>
      <c r="B503" s="59" t="s">
        <v>296</v>
      </c>
      <c r="C503" s="59">
        <v>2045</v>
      </c>
      <c r="D503" s="59" t="s">
        <v>297</v>
      </c>
      <c r="E503" s="59" t="s">
        <v>308</v>
      </c>
      <c r="F503" s="59" t="s">
        <v>302</v>
      </c>
      <c r="G503" s="59" t="s">
        <v>313</v>
      </c>
      <c r="H503" s="59">
        <v>1.1000000000000001</v>
      </c>
      <c r="I503" s="59" t="s">
        <v>301</v>
      </c>
    </row>
    <row r="504" spans="1:11" hidden="1" x14ac:dyDescent="0.75">
      <c r="A504" s="59" t="s">
        <v>295</v>
      </c>
      <c r="B504" s="59" t="s">
        <v>296</v>
      </c>
      <c r="C504" s="59">
        <v>2055</v>
      </c>
      <c r="D504" s="59" t="s">
        <v>297</v>
      </c>
      <c r="E504" s="59" t="s">
        <v>308</v>
      </c>
      <c r="F504" s="59" t="s">
        <v>302</v>
      </c>
      <c r="G504" s="59" t="s">
        <v>313</v>
      </c>
      <c r="H504" s="59">
        <v>1</v>
      </c>
      <c r="I504" s="59" t="s">
        <v>301</v>
      </c>
    </row>
    <row r="505" spans="1:11" x14ac:dyDescent="0.75">
      <c r="A505" s="59" t="s">
        <v>295</v>
      </c>
      <c r="B505" s="59" t="s">
        <v>296</v>
      </c>
      <c r="C505" s="59">
        <v>2025</v>
      </c>
      <c r="D505" s="59" t="s">
        <v>297</v>
      </c>
      <c r="E505" s="59" t="s">
        <v>308</v>
      </c>
      <c r="F505" s="59" t="s">
        <v>299</v>
      </c>
      <c r="G505" s="59" t="s">
        <v>312</v>
      </c>
      <c r="H505" s="59">
        <v>3.6</v>
      </c>
      <c r="I505" s="59" t="s">
        <v>301</v>
      </c>
      <c r="K505" s="59" t="str">
        <f>INDEX('EPA land and ag calcs'!$G$7:$G$14,MATCH('EPA land and ag potential'!E505,'EPA land and ag calcs'!$A$7:$A$15,0))</f>
        <v>forest management</v>
      </c>
    </row>
    <row r="506" spans="1:11" x14ac:dyDescent="0.75">
      <c r="A506" s="59" t="s">
        <v>295</v>
      </c>
      <c r="B506" s="59" t="s">
        <v>296</v>
      </c>
      <c r="C506" s="59">
        <v>2035</v>
      </c>
      <c r="D506" s="59" t="s">
        <v>297</v>
      </c>
      <c r="E506" s="59" t="s">
        <v>308</v>
      </c>
      <c r="F506" s="59" t="s">
        <v>299</v>
      </c>
      <c r="G506" s="59" t="s">
        <v>312</v>
      </c>
      <c r="H506" s="59">
        <v>3</v>
      </c>
      <c r="I506" s="59" t="s">
        <v>301</v>
      </c>
      <c r="K506" s="59" t="str">
        <f>INDEX('EPA land and ag calcs'!$G$7:$G$14,MATCH('EPA land and ag potential'!E506,'EPA land and ag calcs'!$A$7:$A$15,0))</f>
        <v>forest management</v>
      </c>
    </row>
    <row r="507" spans="1:11" x14ac:dyDescent="0.75">
      <c r="A507" s="59" t="s">
        <v>295</v>
      </c>
      <c r="B507" s="59" t="s">
        <v>296</v>
      </c>
      <c r="C507" s="59">
        <v>2045</v>
      </c>
      <c r="D507" s="59" t="s">
        <v>297</v>
      </c>
      <c r="E507" s="59" t="s">
        <v>308</v>
      </c>
      <c r="F507" s="59" t="s">
        <v>299</v>
      </c>
      <c r="G507" s="59" t="s">
        <v>312</v>
      </c>
      <c r="H507" s="59">
        <v>2.6</v>
      </c>
      <c r="I507" s="59" t="s">
        <v>301</v>
      </c>
      <c r="K507" s="59" t="str">
        <f>INDEX('EPA land and ag calcs'!$G$7:$G$14,MATCH('EPA land and ag potential'!E507,'EPA land and ag calcs'!$A$7:$A$15,0))</f>
        <v>forest management</v>
      </c>
    </row>
    <row r="508" spans="1:11" x14ac:dyDescent="0.75">
      <c r="A508" s="59" t="s">
        <v>295</v>
      </c>
      <c r="B508" s="59" t="s">
        <v>296</v>
      </c>
      <c r="C508" s="59">
        <v>2055</v>
      </c>
      <c r="D508" s="59" t="s">
        <v>297</v>
      </c>
      <c r="E508" s="59" t="s">
        <v>308</v>
      </c>
      <c r="F508" s="59" t="s">
        <v>299</v>
      </c>
      <c r="G508" s="59" t="s">
        <v>312</v>
      </c>
      <c r="H508" s="59">
        <v>2.4</v>
      </c>
      <c r="I508" s="59" t="s">
        <v>301</v>
      </c>
      <c r="K508" s="59" t="str">
        <f>INDEX('EPA land and ag calcs'!$G$7:$G$14,MATCH('EPA land and ag potential'!E508,'EPA land and ag calcs'!$A$7:$A$15,0))</f>
        <v>forest management</v>
      </c>
    </row>
    <row r="509" spans="1:11" hidden="1" x14ac:dyDescent="0.75">
      <c r="A509" s="59" t="s">
        <v>295</v>
      </c>
      <c r="B509" s="59" t="s">
        <v>296</v>
      </c>
      <c r="C509" s="59">
        <v>2025</v>
      </c>
      <c r="D509" s="59" t="s">
        <v>297</v>
      </c>
      <c r="E509" s="59" t="s">
        <v>308</v>
      </c>
      <c r="F509" s="59" t="s">
        <v>302</v>
      </c>
      <c r="G509" s="59" t="s">
        <v>312</v>
      </c>
      <c r="H509" s="59">
        <v>6.9</v>
      </c>
      <c r="I509" s="59" t="s">
        <v>301</v>
      </c>
    </row>
    <row r="510" spans="1:11" hidden="1" x14ac:dyDescent="0.75">
      <c r="A510" s="59" t="s">
        <v>295</v>
      </c>
      <c r="B510" s="59" t="s">
        <v>296</v>
      </c>
      <c r="C510" s="59">
        <v>2035</v>
      </c>
      <c r="D510" s="59" t="s">
        <v>297</v>
      </c>
      <c r="E510" s="59" t="s">
        <v>308</v>
      </c>
      <c r="F510" s="59" t="s">
        <v>302</v>
      </c>
      <c r="G510" s="59" t="s">
        <v>312</v>
      </c>
      <c r="H510" s="59">
        <v>5.4</v>
      </c>
      <c r="I510" s="59" t="s">
        <v>301</v>
      </c>
    </row>
    <row r="511" spans="1:11" hidden="1" x14ac:dyDescent="0.75">
      <c r="A511" s="59" t="s">
        <v>295</v>
      </c>
      <c r="B511" s="59" t="s">
        <v>296</v>
      </c>
      <c r="C511" s="59">
        <v>2045</v>
      </c>
      <c r="D511" s="59" t="s">
        <v>297</v>
      </c>
      <c r="E511" s="59" t="s">
        <v>308</v>
      </c>
      <c r="F511" s="59" t="s">
        <v>302</v>
      </c>
      <c r="G511" s="59" t="s">
        <v>312</v>
      </c>
      <c r="H511" s="59">
        <v>5</v>
      </c>
      <c r="I511" s="59" t="s">
        <v>301</v>
      </c>
    </row>
    <row r="512" spans="1:11" hidden="1" x14ac:dyDescent="0.75">
      <c r="A512" s="59" t="s">
        <v>295</v>
      </c>
      <c r="B512" s="59" t="s">
        <v>296</v>
      </c>
      <c r="C512" s="59">
        <v>2055</v>
      </c>
      <c r="D512" s="59" t="s">
        <v>297</v>
      </c>
      <c r="E512" s="59" t="s">
        <v>308</v>
      </c>
      <c r="F512" s="59" t="s">
        <v>302</v>
      </c>
      <c r="G512" s="59" t="s">
        <v>312</v>
      </c>
      <c r="H512" s="59">
        <v>4.5999999999999996</v>
      </c>
      <c r="I512" s="59" t="s">
        <v>301</v>
      </c>
    </row>
    <row r="513" spans="1:11" hidden="1" x14ac:dyDescent="0.75">
      <c r="A513" s="59" t="s">
        <v>295</v>
      </c>
      <c r="B513" s="59" t="s">
        <v>296</v>
      </c>
      <c r="C513" s="59">
        <v>2045</v>
      </c>
      <c r="D513" s="59" t="s">
        <v>297</v>
      </c>
      <c r="E513" s="59" t="s">
        <v>309</v>
      </c>
      <c r="F513" s="59" t="s">
        <v>302</v>
      </c>
      <c r="G513" s="59" t="s">
        <v>313</v>
      </c>
      <c r="H513" s="59">
        <v>-36.4</v>
      </c>
      <c r="I513" s="59" t="s">
        <v>301</v>
      </c>
    </row>
    <row r="514" spans="1:11" hidden="1" x14ac:dyDescent="0.75">
      <c r="A514" s="59" t="s">
        <v>295</v>
      </c>
      <c r="B514" s="59" t="s">
        <v>296</v>
      </c>
      <c r="C514" s="59">
        <v>2055</v>
      </c>
      <c r="D514" s="59" t="s">
        <v>297</v>
      </c>
      <c r="E514" s="59" t="s">
        <v>309</v>
      </c>
      <c r="F514" s="59" t="s">
        <v>302</v>
      </c>
      <c r="G514" s="59" t="s">
        <v>313</v>
      </c>
      <c r="H514" s="59">
        <v>-33.9</v>
      </c>
      <c r="I514" s="59" t="s">
        <v>301</v>
      </c>
    </row>
    <row r="515" spans="1:11" x14ac:dyDescent="0.75">
      <c r="A515" s="59" t="s">
        <v>295</v>
      </c>
      <c r="B515" s="59" t="s">
        <v>296</v>
      </c>
      <c r="C515" s="59">
        <v>2025</v>
      </c>
      <c r="D515" s="59" t="s">
        <v>297</v>
      </c>
      <c r="E515" s="59" t="s">
        <v>309</v>
      </c>
      <c r="F515" s="59" t="s">
        <v>299</v>
      </c>
      <c r="G515" s="59" t="s">
        <v>312</v>
      </c>
      <c r="H515" s="59">
        <v>-153.19999999999999</v>
      </c>
      <c r="I515" s="59" t="s">
        <v>301</v>
      </c>
      <c r="K515" s="59" t="str">
        <f>INDEX('EPA land and ag calcs'!$G$7:$G$14,MATCH('EPA land and ag potential'!E515,'EPA land and ag calcs'!$A$7:$A$15,0))</f>
        <v>afforestation and reforestation</v>
      </c>
    </row>
    <row r="516" spans="1:11" x14ac:dyDescent="0.75">
      <c r="A516" s="59" t="s">
        <v>295</v>
      </c>
      <c r="B516" s="59" t="s">
        <v>296</v>
      </c>
      <c r="C516" s="59">
        <v>2035</v>
      </c>
      <c r="D516" s="59" t="s">
        <v>297</v>
      </c>
      <c r="E516" s="59" t="s">
        <v>309</v>
      </c>
      <c r="F516" s="59" t="s">
        <v>299</v>
      </c>
      <c r="G516" s="59" t="s">
        <v>312</v>
      </c>
      <c r="H516" s="59">
        <v>-173.5</v>
      </c>
      <c r="I516" s="59" t="s">
        <v>301</v>
      </c>
      <c r="K516" s="59" t="str">
        <f>INDEX('EPA land and ag calcs'!$G$7:$G$14,MATCH('EPA land and ag potential'!E516,'EPA land and ag calcs'!$A$7:$A$15,0))</f>
        <v>afforestation and reforestation</v>
      </c>
    </row>
    <row r="517" spans="1:11" x14ac:dyDescent="0.75">
      <c r="A517" s="59" t="s">
        <v>295</v>
      </c>
      <c r="B517" s="59" t="s">
        <v>296</v>
      </c>
      <c r="C517" s="59">
        <v>2045</v>
      </c>
      <c r="D517" s="59" t="s">
        <v>297</v>
      </c>
      <c r="E517" s="59" t="s">
        <v>309</v>
      </c>
      <c r="F517" s="59" t="s">
        <v>299</v>
      </c>
      <c r="G517" s="59" t="s">
        <v>312</v>
      </c>
      <c r="H517" s="59">
        <v>-154.1</v>
      </c>
      <c r="I517" s="59" t="s">
        <v>301</v>
      </c>
      <c r="K517" s="59" t="str">
        <f>INDEX('EPA land and ag calcs'!$G$7:$G$14,MATCH('EPA land and ag potential'!E517,'EPA land and ag calcs'!$A$7:$A$15,0))</f>
        <v>afforestation and reforestation</v>
      </c>
    </row>
    <row r="518" spans="1:11" x14ac:dyDescent="0.75">
      <c r="A518" s="59" t="s">
        <v>295</v>
      </c>
      <c r="B518" s="59" t="s">
        <v>296</v>
      </c>
      <c r="C518" s="59">
        <v>2055</v>
      </c>
      <c r="D518" s="59" t="s">
        <v>297</v>
      </c>
      <c r="E518" s="59" t="s">
        <v>309</v>
      </c>
      <c r="F518" s="59" t="s">
        <v>299</v>
      </c>
      <c r="G518" s="59" t="s">
        <v>312</v>
      </c>
      <c r="H518" s="59">
        <v>-130.19999999999999</v>
      </c>
      <c r="I518" s="59" t="s">
        <v>301</v>
      </c>
      <c r="K518" s="59" t="str">
        <f>INDEX('EPA land and ag calcs'!$G$7:$G$14,MATCH('EPA land and ag potential'!E518,'EPA land and ag calcs'!$A$7:$A$15,0))</f>
        <v>afforestation and reforestation</v>
      </c>
    </row>
    <row r="519" spans="1:11" hidden="1" x14ac:dyDescent="0.75">
      <c r="A519" s="59" t="s">
        <v>295</v>
      </c>
      <c r="B519" s="59" t="s">
        <v>296</v>
      </c>
      <c r="C519" s="59">
        <v>2025</v>
      </c>
      <c r="D519" s="59" t="s">
        <v>297</v>
      </c>
      <c r="E519" s="59" t="s">
        <v>309</v>
      </c>
      <c r="F519" s="59" t="s">
        <v>302</v>
      </c>
      <c r="G519" s="59" t="s">
        <v>312</v>
      </c>
      <c r="H519" s="59">
        <v>-153.1</v>
      </c>
      <c r="I519" s="59" t="s">
        <v>301</v>
      </c>
    </row>
    <row r="520" spans="1:11" hidden="1" x14ac:dyDescent="0.75">
      <c r="A520" s="59" t="s">
        <v>295</v>
      </c>
      <c r="B520" s="59" t="s">
        <v>296</v>
      </c>
      <c r="C520" s="59">
        <v>2035</v>
      </c>
      <c r="D520" s="59" t="s">
        <v>297</v>
      </c>
      <c r="E520" s="59" t="s">
        <v>309</v>
      </c>
      <c r="F520" s="59" t="s">
        <v>302</v>
      </c>
      <c r="G520" s="59" t="s">
        <v>312</v>
      </c>
      <c r="H520" s="59">
        <v>-138.6</v>
      </c>
      <c r="I520" s="59" t="s">
        <v>301</v>
      </c>
    </row>
    <row r="521" spans="1:11" hidden="1" x14ac:dyDescent="0.75">
      <c r="A521" s="59" t="s">
        <v>295</v>
      </c>
      <c r="B521" s="59" t="s">
        <v>296</v>
      </c>
      <c r="C521" s="59">
        <v>2045</v>
      </c>
      <c r="D521" s="59" t="s">
        <v>297</v>
      </c>
      <c r="E521" s="59" t="s">
        <v>309</v>
      </c>
      <c r="F521" s="59" t="s">
        <v>302</v>
      </c>
      <c r="G521" s="59" t="s">
        <v>312</v>
      </c>
      <c r="H521" s="59">
        <v>-112.8</v>
      </c>
      <c r="I521" s="59" t="s">
        <v>301</v>
      </c>
    </row>
    <row r="522" spans="1:11" hidden="1" x14ac:dyDescent="0.75">
      <c r="A522" s="59" t="s">
        <v>295</v>
      </c>
      <c r="B522" s="59" t="s">
        <v>296</v>
      </c>
      <c r="C522" s="59">
        <v>2055</v>
      </c>
      <c r="D522" s="59" t="s">
        <v>297</v>
      </c>
      <c r="E522" s="59" t="s">
        <v>309</v>
      </c>
      <c r="F522" s="59" t="s">
        <v>302</v>
      </c>
      <c r="G522" s="59" t="s">
        <v>312</v>
      </c>
      <c r="H522" s="59">
        <v>-97.8</v>
      </c>
      <c r="I522" s="59" t="s">
        <v>301</v>
      </c>
    </row>
    <row r="523" spans="1:11" hidden="1" x14ac:dyDescent="0.75">
      <c r="A523" s="59" t="s">
        <v>295</v>
      </c>
      <c r="B523" s="59" t="s">
        <v>296</v>
      </c>
      <c r="C523" s="59">
        <v>2045</v>
      </c>
      <c r="D523" s="59" t="s">
        <v>297</v>
      </c>
      <c r="E523" s="59" t="s">
        <v>310</v>
      </c>
      <c r="F523" s="59" t="s">
        <v>302</v>
      </c>
      <c r="G523" s="59" t="s">
        <v>313</v>
      </c>
      <c r="H523" s="59">
        <v>-5.5</v>
      </c>
      <c r="I523" s="59" t="s">
        <v>301</v>
      </c>
    </row>
    <row r="524" spans="1:11" hidden="1" x14ac:dyDescent="0.75">
      <c r="A524" s="59" t="s">
        <v>295</v>
      </c>
      <c r="B524" s="59" t="s">
        <v>296</v>
      </c>
      <c r="C524" s="59">
        <v>2055</v>
      </c>
      <c r="D524" s="59" t="s">
        <v>297</v>
      </c>
      <c r="E524" s="59" t="s">
        <v>310</v>
      </c>
      <c r="F524" s="59" t="s">
        <v>302</v>
      </c>
      <c r="G524" s="59" t="s">
        <v>313</v>
      </c>
      <c r="H524" s="59">
        <v>-8</v>
      </c>
      <c r="I524" s="59" t="s">
        <v>301</v>
      </c>
    </row>
    <row r="525" spans="1:11" x14ac:dyDescent="0.75">
      <c r="A525" s="59" t="s">
        <v>295</v>
      </c>
      <c r="B525" s="59" t="s">
        <v>296</v>
      </c>
      <c r="C525" s="59">
        <v>2025</v>
      </c>
      <c r="D525" s="59" t="s">
        <v>297</v>
      </c>
      <c r="E525" s="59" t="s">
        <v>310</v>
      </c>
      <c r="F525" s="59" t="s">
        <v>299</v>
      </c>
      <c r="G525" s="59" t="s">
        <v>312</v>
      </c>
      <c r="H525" s="59">
        <v>-33.299999999999997</v>
      </c>
      <c r="I525" s="59" t="s">
        <v>301</v>
      </c>
      <c r="K525" s="59" t="str">
        <f>INDEX('EPA land and ag calcs'!$G$7:$G$14,MATCH('EPA land and ag potential'!E525,'EPA land and ag calcs'!$A$7:$A$15,0))</f>
        <v>*handled in agriculture files</v>
      </c>
    </row>
    <row r="526" spans="1:11" x14ac:dyDescent="0.75">
      <c r="A526" s="59" t="s">
        <v>295</v>
      </c>
      <c r="B526" s="59" t="s">
        <v>296</v>
      </c>
      <c r="C526" s="59">
        <v>2035</v>
      </c>
      <c r="D526" s="59" t="s">
        <v>297</v>
      </c>
      <c r="E526" s="59" t="s">
        <v>310</v>
      </c>
      <c r="F526" s="59" t="s">
        <v>299</v>
      </c>
      <c r="G526" s="59" t="s">
        <v>312</v>
      </c>
      <c r="H526" s="59">
        <v>-44.3</v>
      </c>
      <c r="I526" s="59" t="s">
        <v>301</v>
      </c>
      <c r="K526" s="59" t="str">
        <f>INDEX('EPA land and ag calcs'!$G$7:$G$14,MATCH('EPA land and ag potential'!E526,'EPA land and ag calcs'!$A$7:$A$15,0))</f>
        <v>*handled in agriculture files</v>
      </c>
    </row>
    <row r="527" spans="1:11" x14ac:dyDescent="0.75">
      <c r="A527" s="59" t="s">
        <v>295</v>
      </c>
      <c r="B527" s="59" t="s">
        <v>296</v>
      </c>
      <c r="C527" s="59">
        <v>2045</v>
      </c>
      <c r="D527" s="59" t="s">
        <v>297</v>
      </c>
      <c r="E527" s="59" t="s">
        <v>310</v>
      </c>
      <c r="F527" s="59" t="s">
        <v>299</v>
      </c>
      <c r="G527" s="59" t="s">
        <v>312</v>
      </c>
      <c r="H527" s="59">
        <v>-51.2</v>
      </c>
      <c r="I527" s="59" t="s">
        <v>301</v>
      </c>
      <c r="K527" s="59" t="str">
        <f>INDEX('EPA land and ag calcs'!$G$7:$G$14,MATCH('EPA land and ag potential'!E527,'EPA land and ag calcs'!$A$7:$A$15,0))</f>
        <v>*handled in agriculture files</v>
      </c>
    </row>
    <row r="528" spans="1:11" x14ac:dyDescent="0.75">
      <c r="A528" s="59" t="s">
        <v>295</v>
      </c>
      <c r="B528" s="59" t="s">
        <v>296</v>
      </c>
      <c r="C528" s="59">
        <v>2055</v>
      </c>
      <c r="D528" s="59" t="s">
        <v>297</v>
      </c>
      <c r="E528" s="59" t="s">
        <v>310</v>
      </c>
      <c r="F528" s="59" t="s">
        <v>299</v>
      </c>
      <c r="G528" s="59" t="s">
        <v>312</v>
      </c>
      <c r="H528" s="59">
        <v>-59.2</v>
      </c>
      <c r="I528" s="59" t="s">
        <v>301</v>
      </c>
      <c r="K528" s="59" t="str">
        <f>INDEX('EPA land and ag calcs'!$G$7:$G$14,MATCH('EPA land and ag potential'!E528,'EPA land and ag calcs'!$A$7:$A$15,0))</f>
        <v>*handled in agriculture files</v>
      </c>
    </row>
    <row r="529" spans="1:11" hidden="1" x14ac:dyDescent="0.75">
      <c r="A529" s="59" t="s">
        <v>295</v>
      </c>
      <c r="B529" s="59" t="s">
        <v>296</v>
      </c>
      <c r="C529" s="59">
        <v>2025</v>
      </c>
      <c r="D529" s="59" t="s">
        <v>297</v>
      </c>
      <c r="E529" s="59" t="s">
        <v>310</v>
      </c>
      <c r="F529" s="59" t="s">
        <v>302</v>
      </c>
      <c r="G529" s="59" t="s">
        <v>312</v>
      </c>
      <c r="H529" s="59">
        <v>-34.200000000000003</v>
      </c>
      <c r="I529" s="59" t="s">
        <v>301</v>
      </c>
    </row>
    <row r="530" spans="1:11" hidden="1" x14ac:dyDescent="0.75">
      <c r="A530" s="59" t="s">
        <v>295</v>
      </c>
      <c r="B530" s="59" t="s">
        <v>296</v>
      </c>
      <c r="C530" s="59">
        <v>2035</v>
      </c>
      <c r="D530" s="59" t="s">
        <v>297</v>
      </c>
      <c r="E530" s="59" t="s">
        <v>310</v>
      </c>
      <c r="F530" s="59" t="s">
        <v>302</v>
      </c>
      <c r="G530" s="59" t="s">
        <v>312</v>
      </c>
      <c r="H530" s="59">
        <v>-43.6</v>
      </c>
      <c r="I530" s="59" t="s">
        <v>301</v>
      </c>
    </row>
    <row r="531" spans="1:11" hidden="1" x14ac:dyDescent="0.75">
      <c r="A531" s="59" t="s">
        <v>295</v>
      </c>
      <c r="B531" s="59" t="s">
        <v>296</v>
      </c>
      <c r="C531" s="59">
        <v>2045</v>
      </c>
      <c r="D531" s="59" t="s">
        <v>297</v>
      </c>
      <c r="E531" s="59" t="s">
        <v>310</v>
      </c>
      <c r="F531" s="59" t="s">
        <v>302</v>
      </c>
      <c r="G531" s="59" t="s">
        <v>312</v>
      </c>
      <c r="H531" s="59">
        <v>-47.3</v>
      </c>
      <c r="I531" s="59" t="s">
        <v>301</v>
      </c>
    </row>
    <row r="532" spans="1:11" hidden="1" x14ac:dyDescent="0.75">
      <c r="A532" s="59" t="s">
        <v>295</v>
      </c>
      <c r="B532" s="59" t="s">
        <v>296</v>
      </c>
      <c r="C532" s="59">
        <v>2055</v>
      </c>
      <c r="D532" s="59" t="s">
        <v>297</v>
      </c>
      <c r="E532" s="59" t="s">
        <v>310</v>
      </c>
      <c r="F532" s="59" t="s">
        <v>302</v>
      </c>
      <c r="G532" s="59" t="s">
        <v>312</v>
      </c>
      <c r="H532" s="59">
        <v>-52</v>
      </c>
      <c r="I532" s="59" t="s">
        <v>301</v>
      </c>
    </row>
    <row r="533" spans="1:11" hidden="1" x14ac:dyDescent="0.75">
      <c r="A533" s="59" t="s">
        <v>295</v>
      </c>
      <c r="B533" s="59" t="s">
        <v>311</v>
      </c>
      <c r="C533" s="59">
        <v>2055</v>
      </c>
      <c r="D533" s="59" t="s">
        <v>297</v>
      </c>
      <c r="E533" s="59" t="s">
        <v>259</v>
      </c>
      <c r="F533" s="59" t="s">
        <v>302</v>
      </c>
      <c r="G533" s="59" t="s">
        <v>312</v>
      </c>
      <c r="H533" s="59">
        <v>-375</v>
      </c>
      <c r="I533" s="59" t="s">
        <v>301</v>
      </c>
    </row>
    <row r="534" spans="1:11" hidden="1" x14ac:dyDescent="0.75">
      <c r="A534" s="59" t="s">
        <v>295</v>
      </c>
      <c r="B534" s="59" t="s">
        <v>311</v>
      </c>
      <c r="C534" s="59">
        <v>2055</v>
      </c>
      <c r="D534" s="59" t="s">
        <v>297</v>
      </c>
      <c r="E534" s="59" t="s">
        <v>259</v>
      </c>
      <c r="F534" s="59" t="s">
        <v>302</v>
      </c>
      <c r="G534" s="59" t="s">
        <v>313</v>
      </c>
      <c r="H534" s="59">
        <v>-123.3</v>
      </c>
      <c r="I534" s="59" t="s">
        <v>301</v>
      </c>
    </row>
    <row r="535" spans="1:11" hidden="1" x14ac:dyDescent="0.75">
      <c r="A535" s="59" t="s">
        <v>295</v>
      </c>
      <c r="B535" s="59" t="s">
        <v>311</v>
      </c>
      <c r="C535" s="59">
        <v>2055</v>
      </c>
      <c r="D535" s="59" t="s">
        <v>297</v>
      </c>
      <c r="E535" s="59" t="s">
        <v>259</v>
      </c>
      <c r="F535" s="59" t="s">
        <v>302</v>
      </c>
      <c r="G535" s="59" t="s">
        <v>314</v>
      </c>
      <c r="H535" s="59">
        <v>-255.2</v>
      </c>
      <c r="I535" s="59" t="s">
        <v>301</v>
      </c>
    </row>
    <row r="536" spans="1:11" hidden="1" x14ac:dyDescent="0.75">
      <c r="A536" s="59" t="s">
        <v>295</v>
      </c>
      <c r="B536" s="59" t="s">
        <v>311</v>
      </c>
      <c r="C536" s="59">
        <v>2055</v>
      </c>
      <c r="D536" s="59" t="s">
        <v>297</v>
      </c>
      <c r="E536" s="59" t="s">
        <v>259</v>
      </c>
      <c r="F536" s="59" t="s">
        <v>302</v>
      </c>
      <c r="G536" s="59" t="s">
        <v>303</v>
      </c>
      <c r="H536" s="59">
        <v>-42.3</v>
      </c>
      <c r="I536" s="59" t="s">
        <v>301</v>
      </c>
    </row>
    <row r="537" spans="1:11" hidden="1" x14ac:dyDescent="0.75">
      <c r="A537" s="59" t="s">
        <v>295</v>
      </c>
      <c r="B537" s="59" t="s">
        <v>311</v>
      </c>
      <c r="C537" s="59">
        <v>2055</v>
      </c>
      <c r="D537" s="59" t="s">
        <v>297</v>
      </c>
      <c r="E537" s="59" t="s">
        <v>259</v>
      </c>
      <c r="F537" s="59" t="s">
        <v>302</v>
      </c>
      <c r="G537" s="59" t="s">
        <v>300</v>
      </c>
      <c r="H537" s="59">
        <v>-314.7</v>
      </c>
      <c r="I537" s="59" t="s">
        <v>301</v>
      </c>
    </row>
    <row r="538" spans="1:11" x14ac:dyDescent="0.75">
      <c r="A538" s="59" t="s">
        <v>295</v>
      </c>
      <c r="B538" s="59" t="s">
        <v>311</v>
      </c>
      <c r="C538" s="59">
        <v>2055</v>
      </c>
      <c r="D538" s="59" t="s">
        <v>297</v>
      </c>
      <c r="E538" s="59" t="s">
        <v>259</v>
      </c>
      <c r="F538" s="59" t="s">
        <v>299</v>
      </c>
      <c r="G538" s="59" t="s">
        <v>312</v>
      </c>
      <c r="H538" s="59">
        <v>-368.4</v>
      </c>
      <c r="I538" s="59" t="s">
        <v>301</v>
      </c>
      <c r="K538" s="59" t="e">
        <f>INDEX('EPA land and ag calcs'!$G$7:$G$14,MATCH('EPA land and ag potential'!E538,'EPA land and ag calcs'!$A$7:$A$15,0))</f>
        <v>#REF!</v>
      </c>
    </row>
    <row r="539" spans="1:11" x14ac:dyDescent="0.75">
      <c r="A539" s="59" t="s">
        <v>295</v>
      </c>
      <c r="B539" s="59" t="s">
        <v>311</v>
      </c>
      <c r="C539" s="59">
        <v>2055</v>
      </c>
      <c r="D539" s="59" t="s">
        <v>297</v>
      </c>
      <c r="E539" s="59" t="s">
        <v>259</v>
      </c>
      <c r="F539" s="59" t="s">
        <v>299</v>
      </c>
      <c r="G539" s="59" t="s">
        <v>313</v>
      </c>
      <c r="H539" s="59">
        <v>-153.1</v>
      </c>
      <c r="I539" s="59" t="s">
        <v>301</v>
      </c>
      <c r="K539" s="59" t="e">
        <f>INDEX('EPA land and ag calcs'!$G$7:$G$14,MATCH('EPA land and ag potential'!E539,'EPA land and ag calcs'!$A$7:$A$15,0))</f>
        <v>#REF!</v>
      </c>
    </row>
    <row r="540" spans="1:11" x14ac:dyDescent="0.75">
      <c r="A540" s="59" t="s">
        <v>295</v>
      </c>
      <c r="B540" s="59" t="s">
        <v>311</v>
      </c>
      <c r="C540" s="59">
        <v>2055</v>
      </c>
      <c r="D540" s="59" t="s">
        <v>297</v>
      </c>
      <c r="E540" s="59" t="s">
        <v>259</v>
      </c>
      <c r="F540" s="59" t="s">
        <v>299</v>
      </c>
      <c r="G540" s="59" t="s">
        <v>314</v>
      </c>
      <c r="H540" s="59">
        <v>-248.8</v>
      </c>
      <c r="I540" s="59" t="s">
        <v>301</v>
      </c>
      <c r="K540" s="59" t="e">
        <f>INDEX('EPA land and ag calcs'!$G$7:$G$14,MATCH('EPA land and ag potential'!E540,'EPA land and ag calcs'!$A$7:$A$15,0))</f>
        <v>#REF!</v>
      </c>
    </row>
    <row r="541" spans="1:11" x14ac:dyDescent="0.75">
      <c r="A541" s="59" t="s">
        <v>295</v>
      </c>
      <c r="B541" s="59" t="s">
        <v>311</v>
      </c>
      <c r="C541" s="59">
        <v>2055</v>
      </c>
      <c r="D541" s="59" t="s">
        <v>297</v>
      </c>
      <c r="E541" s="59" t="s">
        <v>259</v>
      </c>
      <c r="F541" s="59" t="s">
        <v>299</v>
      </c>
      <c r="G541" s="59" t="s">
        <v>303</v>
      </c>
      <c r="H541" s="59">
        <v>-36.5</v>
      </c>
      <c r="I541" s="59" t="s">
        <v>301</v>
      </c>
      <c r="K541" s="59" t="e">
        <f>INDEX('EPA land and ag calcs'!$G$7:$G$14,MATCH('EPA land and ag potential'!E541,'EPA land and ag calcs'!$A$7:$A$15,0))</f>
        <v>#REF!</v>
      </c>
    </row>
    <row r="542" spans="1:11" x14ac:dyDescent="0.75">
      <c r="A542" s="59" t="s">
        <v>295</v>
      </c>
      <c r="B542" s="59" t="s">
        <v>311</v>
      </c>
      <c r="C542" s="59">
        <v>2055</v>
      </c>
      <c r="D542" s="59" t="s">
        <v>297</v>
      </c>
      <c r="E542" s="59" t="s">
        <v>259</v>
      </c>
      <c r="F542" s="59" t="s">
        <v>299</v>
      </c>
      <c r="G542" s="59" t="s">
        <v>300</v>
      </c>
      <c r="H542" s="59">
        <v>-313.89999999999998</v>
      </c>
      <c r="I542" s="59" t="s">
        <v>301</v>
      </c>
      <c r="K542" s="59" t="e">
        <f>INDEX('EPA land and ag calcs'!$G$7:$G$14,MATCH('EPA land and ag potential'!E542,'EPA land and ag calcs'!$A$7:$A$15,0))</f>
        <v>#REF!</v>
      </c>
    </row>
    <row r="543" spans="1:11" hidden="1" x14ac:dyDescent="0.75">
      <c r="A543" s="59" t="s">
        <v>295</v>
      </c>
      <c r="B543" s="59" t="s">
        <v>296</v>
      </c>
      <c r="C543" s="59">
        <v>2045</v>
      </c>
      <c r="D543" s="59" t="s">
        <v>315</v>
      </c>
      <c r="E543" s="59" t="s">
        <v>307</v>
      </c>
      <c r="F543" s="59" t="s">
        <v>302</v>
      </c>
      <c r="G543" s="59" t="s">
        <v>313</v>
      </c>
      <c r="H543" s="59">
        <v>-2.5</v>
      </c>
      <c r="I543" s="59" t="s">
        <v>301</v>
      </c>
    </row>
    <row r="544" spans="1:11" hidden="1" x14ac:dyDescent="0.75">
      <c r="A544" s="59" t="s">
        <v>295</v>
      </c>
      <c r="B544" s="59" t="s">
        <v>296</v>
      </c>
      <c r="C544" s="59">
        <v>2055</v>
      </c>
      <c r="D544" s="59" t="s">
        <v>315</v>
      </c>
      <c r="E544" s="59" t="s">
        <v>307</v>
      </c>
      <c r="F544" s="59" t="s">
        <v>302</v>
      </c>
      <c r="G544" s="59" t="s">
        <v>313</v>
      </c>
      <c r="H544" s="59">
        <v>-7.6</v>
      </c>
      <c r="I544" s="59" t="s">
        <v>301</v>
      </c>
    </row>
    <row r="545" spans="1:9" hidden="1" x14ac:dyDescent="0.75">
      <c r="A545" s="59" t="s">
        <v>295</v>
      </c>
      <c r="B545" s="59" t="s">
        <v>296</v>
      </c>
      <c r="C545" s="59">
        <v>2025</v>
      </c>
      <c r="D545" s="59" t="s">
        <v>315</v>
      </c>
      <c r="E545" s="59" t="s">
        <v>307</v>
      </c>
      <c r="F545" s="59" t="s">
        <v>299</v>
      </c>
      <c r="G545" s="59" t="s">
        <v>312</v>
      </c>
      <c r="H545" s="59">
        <v>0</v>
      </c>
      <c r="I545" s="59" t="s">
        <v>301</v>
      </c>
    </row>
    <row r="546" spans="1:9" hidden="1" x14ac:dyDescent="0.75">
      <c r="A546" s="59" t="s">
        <v>295</v>
      </c>
      <c r="B546" s="59" t="s">
        <v>296</v>
      </c>
      <c r="C546" s="59">
        <v>2035</v>
      </c>
      <c r="D546" s="59" t="s">
        <v>315</v>
      </c>
      <c r="E546" s="59" t="s">
        <v>307</v>
      </c>
      <c r="F546" s="59" t="s">
        <v>299</v>
      </c>
      <c r="G546" s="59" t="s">
        <v>312</v>
      </c>
      <c r="H546" s="59">
        <v>-5.8</v>
      </c>
      <c r="I546" s="59" t="s">
        <v>301</v>
      </c>
    </row>
    <row r="547" spans="1:9" hidden="1" x14ac:dyDescent="0.75">
      <c r="A547" s="59" t="s">
        <v>295</v>
      </c>
      <c r="B547" s="59" t="s">
        <v>296</v>
      </c>
      <c r="C547" s="59">
        <v>2045</v>
      </c>
      <c r="D547" s="59" t="s">
        <v>315</v>
      </c>
      <c r="E547" s="59" t="s">
        <v>307</v>
      </c>
      <c r="F547" s="59" t="s">
        <v>299</v>
      </c>
      <c r="G547" s="59" t="s">
        <v>312</v>
      </c>
      <c r="H547" s="59">
        <v>-22.5</v>
      </c>
      <c r="I547" s="59" t="s">
        <v>301</v>
      </c>
    </row>
    <row r="548" spans="1:9" hidden="1" x14ac:dyDescent="0.75">
      <c r="A548" s="59" t="s">
        <v>295</v>
      </c>
      <c r="B548" s="59" t="s">
        <v>296</v>
      </c>
      <c r="C548" s="59">
        <v>2055</v>
      </c>
      <c r="D548" s="59" t="s">
        <v>315</v>
      </c>
      <c r="E548" s="59" t="s">
        <v>307</v>
      </c>
      <c r="F548" s="59" t="s">
        <v>299</v>
      </c>
      <c r="G548" s="59" t="s">
        <v>312</v>
      </c>
      <c r="H548" s="59">
        <v>-48.3</v>
      </c>
      <c r="I548" s="59" t="s">
        <v>301</v>
      </c>
    </row>
    <row r="549" spans="1:9" hidden="1" x14ac:dyDescent="0.75">
      <c r="A549" s="59" t="s">
        <v>295</v>
      </c>
      <c r="B549" s="59" t="s">
        <v>296</v>
      </c>
      <c r="C549" s="59">
        <v>2025</v>
      </c>
      <c r="D549" s="59" t="s">
        <v>315</v>
      </c>
      <c r="E549" s="59" t="s">
        <v>307</v>
      </c>
      <c r="F549" s="59" t="s">
        <v>302</v>
      </c>
      <c r="G549" s="59" t="s">
        <v>312</v>
      </c>
      <c r="H549" s="59">
        <v>0</v>
      </c>
      <c r="I549" s="59" t="s">
        <v>301</v>
      </c>
    </row>
    <row r="550" spans="1:9" hidden="1" x14ac:dyDescent="0.75">
      <c r="A550" s="59" t="s">
        <v>295</v>
      </c>
      <c r="B550" s="59" t="s">
        <v>296</v>
      </c>
      <c r="C550" s="59">
        <v>2035</v>
      </c>
      <c r="D550" s="59" t="s">
        <v>315</v>
      </c>
      <c r="E550" s="59" t="s">
        <v>307</v>
      </c>
      <c r="F550" s="59" t="s">
        <v>302</v>
      </c>
      <c r="G550" s="59" t="s">
        <v>312</v>
      </c>
      <c r="H550" s="59">
        <v>-5.5</v>
      </c>
      <c r="I550" s="59" t="s">
        <v>301</v>
      </c>
    </row>
    <row r="551" spans="1:9" hidden="1" x14ac:dyDescent="0.75">
      <c r="A551" s="59" t="s">
        <v>295</v>
      </c>
      <c r="B551" s="59" t="s">
        <v>296</v>
      </c>
      <c r="C551" s="59">
        <v>2045</v>
      </c>
      <c r="D551" s="59" t="s">
        <v>315</v>
      </c>
      <c r="E551" s="59" t="s">
        <v>307</v>
      </c>
      <c r="F551" s="59" t="s">
        <v>302</v>
      </c>
      <c r="G551" s="59" t="s">
        <v>312</v>
      </c>
      <c r="H551" s="59">
        <v>-21.5</v>
      </c>
      <c r="I551" s="59" t="s">
        <v>301</v>
      </c>
    </row>
    <row r="552" spans="1:9" hidden="1" x14ac:dyDescent="0.75">
      <c r="A552" s="59" t="s">
        <v>295</v>
      </c>
      <c r="B552" s="59" t="s">
        <v>296</v>
      </c>
      <c r="C552" s="59">
        <v>2055</v>
      </c>
      <c r="D552" s="59" t="s">
        <v>315</v>
      </c>
      <c r="E552" s="59" t="s">
        <v>307</v>
      </c>
      <c r="F552" s="59" t="s">
        <v>302</v>
      </c>
      <c r="G552" s="59" t="s">
        <v>312</v>
      </c>
      <c r="H552" s="59">
        <v>-45.9</v>
      </c>
      <c r="I552" s="59" t="s">
        <v>301</v>
      </c>
    </row>
    <row r="553" spans="1:9" hidden="1" x14ac:dyDescent="0.75">
      <c r="A553" s="59" t="s">
        <v>295</v>
      </c>
      <c r="B553" s="59" t="s">
        <v>296</v>
      </c>
      <c r="C553" s="59">
        <v>2025</v>
      </c>
      <c r="D553" s="59" t="s">
        <v>315</v>
      </c>
      <c r="E553" s="59" t="s">
        <v>310</v>
      </c>
      <c r="F553" s="59" t="s">
        <v>299</v>
      </c>
      <c r="G553" s="59" t="s">
        <v>300</v>
      </c>
      <c r="H553" s="59">
        <v>-35.799999999999997</v>
      </c>
      <c r="I553" s="59" t="s">
        <v>301</v>
      </c>
    </row>
    <row r="554" spans="1:9" hidden="1" x14ac:dyDescent="0.75">
      <c r="A554" s="59" t="s">
        <v>295</v>
      </c>
      <c r="B554" s="59" t="s">
        <v>296</v>
      </c>
      <c r="C554" s="59">
        <v>2035</v>
      </c>
      <c r="D554" s="59" t="s">
        <v>315</v>
      </c>
      <c r="E554" s="59" t="s">
        <v>310</v>
      </c>
      <c r="F554" s="59" t="s">
        <v>299</v>
      </c>
      <c r="G554" s="59" t="s">
        <v>300</v>
      </c>
      <c r="H554" s="59">
        <v>-42.1</v>
      </c>
      <c r="I554" s="59" t="s">
        <v>301</v>
      </c>
    </row>
    <row r="555" spans="1:9" hidden="1" x14ac:dyDescent="0.75">
      <c r="A555" s="59" t="s">
        <v>295</v>
      </c>
      <c r="B555" s="59" t="s">
        <v>296</v>
      </c>
      <c r="C555" s="59">
        <v>2045</v>
      </c>
      <c r="D555" s="59" t="s">
        <v>315</v>
      </c>
      <c r="E555" s="59" t="s">
        <v>310</v>
      </c>
      <c r="F555" s="59" t="s">
        <v>299</v>
      </c>
      <c r="G555" s="59" t="s">
        <v>300</v>
      </c>
      <c r="H555" s="59">
        <v>-48.7</v>
      </c>
      <c r="I555" s="59" t="s">
        <v>301</v>
      </c>
    </row>
    <row r="556" spans="1:9" hidden="1" x14ac:dyDescent="0.75">
      <c r="A556" s="59" t="s">
        <v>295</v>
      </c>
      <c r="B556" s="59" t="s">
        <v>296</v>
      </c>
      <c r="C556" s="59">
        <v>2055</v>
      </c>
      <c r="D556" s="59" t="s">
        <v>315</v>
      </c>
      <c r="E556" s="59" t="s">
        <v>310</v>
      </c>
      <c r="F556" s="59" t="s">
        <v>299</v>
      </c>
      <c r="G556" s="59" t="s">
        <v>300</v>
      </c>
      <c r="H556" s="59">
        <v>-53.5</v>
      </c>
      <c r="I556" s="59" t="s">
        <v>301</v>
      </c>
    </row>
    <row r="557" spans="1:9" hidden="1" x14ac:dyDescent="0.75">
      <c r="A557" s="59" t="s">
        <v>295</v>
      </c>
      <c r="B557" s="59" t="s">
        <v>296</v>
      </c>
      <c r="C557" s="59">
        <v>2025</v>
      </c>
      <c r="D557" s="59" t="s">
        <v>315</v>
      </c>
      <c r="E557" s="59" t="s">
        <v>310</v>
      </c>
      <c r="F557" s="59" t="s">
        <v>302</v>
      </c>
      <c r="G557" s="59" t="s">
        <v>300</v>
      </c>
      <c r="H557" s="59">
        <v>-35.799999999999997</v>
      </c>
      <c r="I557" s="59" t="s">
        <v>301</v>
      </c>
    </row>
    <row r="558" spans="1:9" hidden="1" x14ac:dyDescent="0.75">
      <c r="A558" s="59" t="s">
        <v>295</v>
      </c>
      <c r="B558" s="59" t="s">
        <v>296</v>
      </c>
      <c r="C558" s="59">
        <v>2035</v>
      </c>
      <c r="D558" s="59" t="s">
        <v>315</v>
      </c>
      <c r="E558" s="59" t="s">
        <v>310</v>
      </c>
      <c r="F558" s="59" t="s">
        <v>302</v>
      </c>
      <c r="G558" s="59" t="s">
        <v>300</v>
      </c>
      <c r="H558" s="59">
        <v>-40.700000000000003</v>
      </c>
      <c r="I558" s="59" t="s">
        <v>301</v>
      </c>
    </row>
    <row r="559" spans="1:9" hidden="1" x14ac:dyDescent="0.75">
      <c r="A559" s="59" t="s">
        <v>295</v>
      </c>
      <c r="B559" s="59" t="s">
        <v>296</v>
      </c>
      <c r="C559" s="59">
        <v>2045</v>
      </c>
      <c r="D559" s="59" t="s">
        <v>315</v>
      </c>
      <c r="E559" s="59" t="s">
        <v>310</v>
      </c>
      <c r="F559" s="59" t="s">
        <v>302</v>
      </c>
      <c r="G559" s="59" t="s">
        <v>300</v>
      </c>
      <c r="H559" s="59">
        <v>-46.8</v>
      </c>
      <c r="I559" s="59" t="s">
        <v>301</v>
      </c>
    </row>
    <row r="560" spans="1:9" hidden="1" x14ac:dyDescent="0.75">
      <c r="A560" s="59" t="s">
        <v>295</v>
      </c>
      <c r="B560" s="59" t="s">
        <v>296</v>
      </c>
      <c r="C560" s="59">
        <v>2055</v>
      </c>
      <c r="D560" s="59" t="s">
        <v>315</v>
      </c>
      <c r="E560" s="59" t="s">
        <v>310</v>
      </c>
      <c r="F560" s="59" t="s">
        <v>302</v>
      </c>
      <c r="G560" s="59" t="s">
        <v>300</v>
      </c>
      <c r="H560" s="59">
        <v>-51.6</v>
      </c>
      <c r="I560" s="59" t="s">
        <v>301</v>
      </c>
    </row>
    <row r="561" spans="1:9" hidden="1" x14ac:dyDescent="0.75">
      <c r="A561" s="59" t="s">
        <v>295</v>
      </c>
      <c r="B561" s="59" t="s">
        <v>296</v>
      </c>
      <c r="C561" s="59">
        <v>2025</v>
      </c>
      <c r="D561" s="59" t="s">
        <v>315</v>
      </c>
      <c r="E561" s="59" t="s">
        <v>310</v>
      </c>
      <c r="F561" s="59" t="s">
        <v>299</v>
      </c>
      <c r="G561" s="59" t="s">
        <v>303</v>
      </c>
      <c r="H561" s="59">
        <v>-3</v>
      </c>
      <c r="I561" s="59" t="s">
        <v>301</v>
      </c>
    </row>
    <row r="562" spans="1:9" hidden="1" x14ac:dyDescent="0.75">
      <c r="A562" s="59" t="s">
        <v>295</v>
      </c>
      <c r="B562" s="59" t="s">
        <v>296</v>
      </c>
      <c r="C562" s="59">
        <v>2035</v>
      </c>
      <c r="D562" s="59" t="s">
        <v>315</v>
      </c>
      <c r="E562" s="59" t="s">
        <v>310</v>
      </c>
      <c r="F562" s="59" t="s">
        <v>299</v>
      </c>
      <c r="G562" s="59" t="s">
        <v>303</v>
      </c>
      <c r="H562" s="59">
        <v>-5.3</v>
      </c>
      <c r="I562" s="59" t="s">
        <v>301</v>
      </c>
    </row>
    <row r="563" spans="1:9" hidden="1" x14ac:dyDescent="0.75">
      <c r="A563" s="59" t="s">
        <v>295</v>
      </c>
      <c r="B563" s="59" t="s">
        <v>296</v>
      </c>
      <c r="C563" s="59">
        <v>2045</v>
      </c>
      <c r="D563" s="59" t="s">
        <v>315</v>
      </c>
      <c r="E563" s="59" t="s">
        <v>310</v>
      </c>
      <c r="F563" s="59" t="s">
        <v>299</v>
      </c>
      <c r="G563" s="59" t="s">
        <v>303</v>
      </c>
      <c r="H563" s="59">
        <v>-8.6999999999999993</v>
      </c>
      <c r="I563" s="59" t="s">
        <v>301</v>
      </c>
    </row>
    <row r="564" spans="1:9" hidden="1" x14ac:dyDescent="0.75">
      <c r="A564" s="59" t="s">
        <v>295</v>
      </c>
      <c r="B564" s="59" t="s">
        <v>296</v>
      </c>
      <c r="C564" s="59">
        <v>2055</v>
      </c>
      <c r="D564" s="59" t="s">
        <v>315</v>
      </c>
      <c r="E564" s="59" t="s">
        <v>310</v>
      </c>
      <c r="F564" s="59" t="s">
        <v>299</v>
      </c>
      <c r="G564" s="59" t="s">
        <v>303</v>
      </c>
      <c r="H564" s="59">
        <v>-17</v>
      </c>
      <c r="I564" s="59" t="s">
        <v>301</v>
      </c>
    </row>
    <row r="565" spans="1:9" hidden="1" x14ac:dyDescent="0.75">
      <c r="A565" s="59" t="s">
        <v>295</v>
      </c>
      <c r="B565" s="59" t="s">
        <v>296</v>
      </c>
      <c r="C565" s="59">
        <v>2025</v>
      </c>
      <c r="D565" s="59" t="s">
        <v>315</v>
      </c>
      <c r="E565" s="59" t="s">
        <v>310</v>
      </c>
      <c r="F565" s="59" t="s">
        <v>302</v>
      </c>
      <c r="G565" s="59" t="s">
        <v>303</v>
      </c>
      <c r="H565" s="59">
        <v>-3</v>
      </c>
      <c r="I565" s="59" t="s">
        <v>301</v>
      </c>
    </row>
    <row r="566" spans="1:9" hidden="1" x14ac:dyDescent="0.75">
      <c r="A566" s="59" t="s">
        <v>295</v>
      </c>
      <c r="B566" s="59" t="s">
        <v>296</v>
      </c>
      <c r="C566" s="59">
        <v>2035</v>
      </c>
      <c r="D566" s="59" t="s">
        <v>315</v>
      </c>
      <c r="E566" s="59" t="s">
        <v>310</v>
      </c>
      <c r="F566" s="59" t="s">
        <v>302</v>
      </c>
      <c r="G566" s="59" t="s">
        <v>303</v>
      </c>
      <c r="H566" s="59">
        <v>-5.5</v>
      </c>
      <c r="I566" s="59" t="s">
        <v>301</v>
      </c>
    </row>
    <row r="567" spans="1:9" hidden="1" x14ac:dyDescent="0.75">
      <c r="A567" s="59" t="s">
        <v>295</v>
      </c>
      <c r="B567" s="59" t="s">
        <v>296</v>
      </c>
      <c r="C567" s="59">
        <v>2045</v>
      </c>
      <c r="D567" s="59" t="s">
        <v>315</v>
      </c>
      <c r="E567" s="59" t="s">
        <v>310</v>
      </c>
      <c r="F567" s="59" t="s">
        <v>302</v>
      </c>
      <c r="G567" s="59" t="s">
        <v>303</v>
      </c>
      <c r="H567" s="59">
        <v>-8.6999999999999993</v>
      </c>
      <c r="I567" s="59" t="s">
        <v>301</v>
      </c>
    </row>
    <row r="568" spans="1:9" hidden="1" x14ac:dyDescent="0.75">
      <c r="A568" s="59" t="s">
        <v>295</v>
      </c>
      <c r="B568" s="59" t="s">
        <v>296</v>
      </c>
      <c r="C568" s="59">
        <v>2055</v>
      </c>
      <c r="D568" s="59" t="s">
        <v>315</v>
      </c>
      <c r="E568" s="59" t="s">
        <v>310</v>
      </c>
      <c r="F568" s="59" t="s">
        <v>302</v>
      </c>
      <c r="G568" s="59" t="s">
        <v>303</v>
      </c>
      <c r="H568" s="59">
        <v>-10.8</v>
      </c>
      <c r="I568" s="59" t="s">
        <v>301</v>
      </c>
    </row>
    <row r="569" spans="1:9" hidden="1" x14ac:dyDescent="0.75">
      <c r="A569" s="59" t="s">
        <v>295</v>
      </c>
      <c r="B569" s="59" t="s">
        <v>296</v>
      </c>
      <c r="C569" s="59">
        <v>2025</v>
      </c>
      <c r="D569" s="59" t="s">
        <v>315</v>
      </c>
      <c r="E569" s="59" t="s">
        <v>310</v>
      </c>
      <c r="F569" s="59" t="s">
        <v>299</v>
      </c>
      <c r="G569" s="59" t="s">
        <v>314</v>
      </c>
      <c r="H569" s="59">
        <v>-27.8</v>
      </c>
      <c r="I569" s="59" t="s">
        <v>301</v>
      </c>
    </row>
    <row r="570" spans="1:9" hidden="1" x14ac:dyDescent="0.75">
      <c r="A570" s="59" t="s">
        <v>295</v>
      </c>
      <c r="B570" s="59" t="s">
        <v>296</v>
      </c>
      <c r="C570" s="59">
        <v>2035</v>
      </c>
      <c r="D570" s="59" t="s">
        <v>315</v>
      </c>
      <c r="E570" s="59" t="s">
        <v>310</v>
      </c>
      <c r="F570" s="59" t="s">
        <v>299</v>
      </c>
      <c r="G570" s="59" t="s">
        <v>314</v>
      </c>
      <c r="H570" s="59">
        <v>-36.299999999999997</v>
      </c>
      <c r="I570" s="59" t="s">
        <v>301</v>
      </c>
    </row>
    <row r="571" spans="1:9" hidden="1" x14ac:dyDescent="0.75">
      <c r="A571" s="59" t="s">
        <v>295</v>
      </c>
      <c r="B571" s="59" t="s">
        <v>296</v>
      </c>
      <c r="C571" s="59">
        <v>2045</v>
      </c>
      <c r="D571" s="59" t="s">
        <v>315</v>
      </c>
      <c r="E571" s="59" t="s">
        <v>310</v>
      </c>
      <c r="F571" s="59" t="s">
        <v>299</v>
      </c>
      <c r="G571" s="59" t="s">
        <v>314</v>
      </c>
      <c r="H571" s="59">
        <v>-44.3</v>
      </c>
      <c r="I571" s="59" t="s">
        <v>301</v>
      </c>
    </row>
    <row r="572" spans="1:9" hidden="1" x14ac:dyDescent="0.75">
      <c r="A572" s="59" t="s">
        <v>295</v>
      </c>
      <c r="B572" s="59" t="s">
        <v>296</v>
      </c>
      <c r="C572" s="59">
        <v>2055</v>
      </c>
      <c r="D572" s="59" t="s">
        <v>315</v>
      </c>
      <c r="E572" s="59" t="s">
        <v>310</v>
      </c>
      <c r="F572" s="59" t="s">
        <v>299</v>
      </c>
      <c r="G572" s="59" t="s">
        <v>314</v>
      </c>
      <c r="H572" s="59">
        <v>-49.8</v>
      </c>
      <c r="I572" s="59" t="s">
        <v>301</v>
      </c>
    </row>
    <row r="573" spans="1:9" hidden="1" x14ac:dyDescent="0.75">
      <c r="A573" s="59" t="s">
        <v>295</v>
      </c>
      <c r="B573" s="59" t="s">
        <v>296</v>
      </c>
      <c r="C573" s="59">
        <v>2025</v>
      </c>
      <c r="D573" s="59" t="s">
        <v>315</v>
      </c>
      <c r="E573" s="59" t="s">
        <v>310</v>
      </c>
      <c r="F573" s="59" t="s">
        <v>302</v>
      </c>
      <c r="G573" s="59" t="s">
        <v>314</v>
      </c>
      <c r="H573" s="59">
        <v>-27.8</v>
      </c>
      <c r="I573" s="59" t="s">
        <v>301</v>
      </c>
    </row>
    <row r="574" spans="1:9" hidden="1" x14ac:dyDescent="0.75">
      <c r="A574" s="59" t="s">
        <v>295</v>
      </c>
      <c r="B574" s="59" t="s">
        <v>296</v>
      </c>
      <c r="C574" s="59">
        <v>2035</v>
      </c>
      <c r="D574" s="59" t="s">
        <v>315</v>
      </c>
      <c r="E574" s="59" t="s">
        <v>310</v>
      </c>
      <c r="F574" s="59" t="s">
        <v>302</v>
      </c>
      <c r="G574" s="59" t="s">
        <v>314</v>
      </c>
      <c r="H574" s="59">
        <v>-34.5</v>
      </c>
      <c r="I574" s="59" t="s">
        <v>301</v>
      </c>
    </row>
    <row r="575" spans="1:9" hidden="1" x14ac:dyDescent="0.75">
      <c r="A575" s="59" t="s">
        <v>295</v>
      </c>
      <c r="B575" s="59" t="s">
        <v>296</v>
      </c>
      <c r="C575" s="59">
        <v>2045</v>
      </c>
      <c r="D575" s="59" t="s">
        <v>315</v>
      </c>
      <c r="E575" s="59" t="s">
        <v>310</v>
      </c>
      <c r="F575" s="59" t="s">
        <v>302</v>
      </c>
      <c r="G575" s="59" t="s">
        <v>314</v>
      </c>
      <c r="H575" s="59">
        <v>-41.1</v>
      </c>
      <c r="I575" s="59" t="s">
        <v>301</v>
      </c>
    </row>
    <row r="576" spans="1:9" hidden="1" x14ac:dyDescent="0.75">
      <c r="A576" s="59" t="s">
        <v>295</v>
      </c>
      <c r="B576" s="59" t="s">
        <v>296</v>
      </c>
      <c r="C576" s="59">
        <v>2055</v>
      </c>
      <c r="D576" s="59" t="s">
        <v>315</v>
      </c>
      <c r="E576" s="59" t="s">
        <v>310</v>
      </c>
      <c r="F576" s="59" t="s">
        <v>302</v>
      </c>
      <c r="G576" s="59" t="s">
        <v>314</v>
      </c>
      <c r="H576" s="59">
        <v>-45.8</v>
      </c>
      <c r="I576" s="59" t="s">
        <v>301</v>
      </c>
    </row>
    <row r="577" spans="1:9" hidden="1" x14ac:dyDescent="0.75">
      <c r="A577" s="59" t="s">
        <v>295</v>
      </c>
      <c r="B577" s="59" t="s">
        <v>296</v>
      </c>
      <c r="C577" s="59">
        <v>2025</v>
      </c>
      <c r="D577" s="59" t="s">
        <v>315</v>
      </c>
      <c r="E577" s="59" t="s">
        <v>310</v>
      </c>
      <c r="F577" s="59" t="s">
        <v>299</v>
      </c>
      <c r="G577" s="59" t="s">
        <v>313</v>
      </c>
      <c r="H577" s="59">
        <v>-22.7</v>
      </c>
      <c r="I577" s="59" t="s">
        <v>301</v>
      </c>
    </row>
    <row r="578" spans="1:9" hidden="1" x14ac:dyDescent="0.75">
      <c r="A578" s="59" t="s">
        <v>295</v>
      </c>
      <c r="B578" s="59" t="s">
        <v>296</v>
      </c>
      <c r="C578" s="59">
        <v>2035</v>
      </c>
      <c r="D578" s="59" t="s">
        <v>315</v>
      </c>
      <c r="E578" s="59" t="s">
        <v>310</v>
      </c>
      <c r="F578" s="59" t="s">
        <v>299</v>
      </c>
      <c r="G578" s="59" t="s">
        <v>313</v>
      </c>
      <c r="H578" s="59">
        <v>-27.5</v>
      </c>
      <c r="I578" s="59" t="s">
        <v>301</v>
      </c>
    </row>
    <row r="579" spans="1:9" hidden="1" x14ac:dyDescent="0.75">
      <c r="A579" s="59" t="s">
        <v>295</v>
      </c>
      <c r="B579" s="59" t="s">
        <v>296</v>
      </c>
      <c r="C579" s="59">
        <v>2045</v>
      </c>
      <c r="D579" s="59" t="s">
        <v>315</v>
      </c>
      <c r="E579" s="59" t="s">
        <v>310</v>
      </c>
      <c r="F579" s="59" t="s">
        <v>299</v>
      </c>
      <c r="G579" s="59" t="s">
        <v>313</v>
      </c>
      <c r="H579" s="59">
        <v>-36.200000000000003</v>
      </c>
      <c r="I579" s="59" t="s">
        <v>301</v>
      </c>
    </row>
    <row r="580" spans="1:9" hidden="1" x14ac:dyDescent="0.75">
      <c r="A580" s="59" t="s">
        <v>295</v>
      </c>
      <c r="B580" s="59" t="s">
        <v>296</v>
      </c>
      <c r="C580" s="59">
        <v>2055</v>
      </c>
      <c r="D580" s="59" t="s">
        <v>315</v>
      </c>
      <c r="E580" s="59" t="s">
        <v>310</v>
      </c>
      <c r="F580" s="59" t="s">
        <v>299</v>
      </c>
      <c r="G580" s="59" t="s">
        <v>313</v>
      </c>
      <c r="H580" s="59">
        <v>-42.5</v>
      </c>
      <c r="I580" s="59" t="s">
        <v>301</v>
      </c>
    </row>
    <row r="581" spans="1:9" hidden="1" x14ac:dyDescent="0.75">
      <c r="A581" s="59" t="s">
        <v>295</v>
      </c>
      <c r="B581" s="59" t="s">
        <v>296</v>
      </c>
      <c r="C581" s="59">
        <v>2025</v>
      </c>
      <c r="D581" s="59" t="s">
        <v>315</v>
      </c>
      <c r="E581" s="59" t="s">
        <v>310</v>
      </c>
      <c r="F581" s="59" t="s">
        <v>302</v>
      </c>
      <c r="G581" s="59" t="s">
        <v>313</v>
      </c>
      <c r="H581" s="59">
        <v>-22.7</v>
      </c>
      <c r="I581" s="59" t="s">
        <v>301</v>
      </c>
    </row>
    <row r="582" spans="1:9" hidden="1" x14ac:dyDescent="0.75">
      <c r="A582" s="59" t="s">
        <v>295</v>
      </c>
      <c r="B582" s="59" t="s">
        <v>296</v>
      </c>
      <c r="C582" s="59">
        <v>2035</v>
      </c>
      <c r="D582" s="59" t="s">
        <v>315</v>
      </c>
      <c r="E582" s="59" t="s">
        <v>310</v>
      </c>
      <c r="F582" s="59" t="s">
        <v>302</v>
      </c>
      <c r="G582" s="59" t="s">
        <v>313</v>
      </c>
      <c r="H582" s="59">
        <v>-25.8</v>
      </c>
      <c r="I582" s="59" t="s">
        <v>301</v>
      </c>
    </row>
    <row r="583" spans="1:9" hidden="1" x14ac:dyDescent="0.75">
      <c r="A583" s="59" t="s">
        <v>295</v>
      </c>
      <c r="B583" s="59" t="s">
        <v>296</v>
      </c>
      <c r="C583" s="59">
        <v>2045</v>
      </c>
      <c r="D583" s="59" t="s">
        <v>315</v>
      </c>
      <c r="E583" s="59" t="s">
        <v>310</v>
      </c>
      <c r="F583" s="59" t="s">
        <v>302</v>
      </c>
      <c r="G583" s="59" t="s">
        <v>313</v>
      </c>
      <c r="H583" s="59">
        <v>-32.6</v>
      </c>
      <c r="I583" s="59" t="s">
        <v>301</v>
      </c>
    </row>
    <row r="584" spans="1:9" hidden="1" x14ac:dyDescent="0.75">
      <c r="A584" s="59" t="s">
        <v>295</v>
      </c>
      <c r="B584" s="59" t="s">
        <v>296</v>
      </c>
      <c r="C584" s="59">
        <v>2055</v>
      </c>
      <c r="D584" s="59" t="s">
        <v>315</v>
      </c>
      <c r="E584" s="59" t="s">
        <v>310</v>
      </c>
      <c r="F584" s="59" t="s">
        <v>302</v>
      </c>
      <c r="G584" s="59" t="s">
        <v>313</v>
      </c>
      <c r="H584" s="59">
        <v>-38.9</v>
      </c>
      <c r="I584" s="59" t="s">
        <v>301</v>
      </c>
    </row>
    <row r="585" spans="1:9" hidden="1" x14ac:dyDescent="0.75">
      <c r="A585" s="59" t="s">
        <v>295</v>
      </c>
      <c r="B585" s="59" t="s">
        <v>296</v>
      </c>
      <c r="C585" s="59">
        <v>2025</v>
      </c>
      <c r="D585" s="59" t="s">
        <v>315</v>
      </c>
      <c r="E585" s="59" t="s">
        <v>310</v>
      </c>
      <c r="F585" s="59" t="s">
        <v>299</v>
      </c>
      <c r="G585" s="59" t="s">
        <v>312</v>
      </c>
      <c r="H585" s="59">
        <v>-45.9</v>
      </c>
      <c r="I585" s="59" t="s">
        <v>301</v>
      </c>
    </row>
    <row r="586" spans="1:9" hidden="1" x14ac:dyDescent="0.75">
      <c r="A586" s="59" t="s">
        <v>295</v>
      </c>
      <c r="B586" s="59" t="s">
        <v>296</v>
      </c>
      <c r="C586" s="59">
        <v>2035</v>
      </c>
      <c r="D586" s="59" t="s">
        <v>315</v>
      </c>
      <c r="E586" s="59" t="s">
        <v>310</v>
      </c>
      <c r="F586" s="59" t="s">
        <v>299</v>
      </c>
      <c r="G586" s="59" t="s">
        <v>312</v>
      </c>
      <c r="H586" s="59">
        <v>-50.8</v>
      </c>
      <c r="I586" s="59" t="s">
        <v>301</v>
      </c>
    </row>
    <row r="587" spans="1:9" hidden="1" x14ac:dyDescent="0.75">
      <c r="A587" s="59" t="s">
        <v>295</v>
      </c>
      <c r="B587" s="59" t="s">
        <v>296</v>
      </c>
      <c r="C587" s="59">
        <v>2045</v>
      </c>
      <c r="D587" s="59" t="s">
        <v>315</v>
      </c>
      <c r="E587" s="59" t="s">
        <v>310</v>
      </c>
      <c r="F587" s="59" t="s">
        <v>299</v>
      </c>
      <c r="G587" s="59" t="s">
        <v>312</v>
      </c>
      <c r="H587" s="59">
        <v>-55.7</v>
      </c>
      <c r="I587" s="59" t="s">
        <v>301</v>
      </c>
    </row>
    <row r="588" spans="1:9" hidden="1" x14ac:dyDescent="0.75">
      <c r="A588" s="59" t="s">
        <v>295</v>
      </c>
      <c r="B588" s="59" t="s">
        <v>296</v>
      </c>
      <c r="C588" s="59">
        <v>2055</v>
      </c>
      <c r="D588" s="59" t="s">
        <v>315</v>
      </c>
      <c r="E588" s="59" t="s">
        <v>310</v>
      </c>
      <c r="F588" s="59" t="s">
        <v>299</v>
      </c>
      <c r="G588" s="59" t="s">
        <v>312</v>
      </c>
      <c r="H588" s="59">
        <v>-59.7</v>
      </c>
      <c r="I588" s="59" t="s">
        <v>301</v>
      </c>
    </row>
    <row r="589" spans="1:9" hidden="1" x14ac:dyDescent="0.75">
      <c r="A589" s="59" t="s">
        <v>295</v>
      </c>
      <c r="B589" s="59" t="s">
        <v>296</v>
      </c>
      <c r="C589" s="59">
        <v>2025</v>
      </c>
      <c r="D589" s="59" t="s">
        <v>315</v>
      </c>
      <c r="E589" s="59" t="s">
        <v>310</v>
      </c>
      <c r="F589" s="59" t="s">
        <v>302</v>
      </c>
      <c r="G589" s="59" t="s">
        <v>312</v>
      </c>
      <c r="H589" s="59">
        <v>-45.9</v>
      </c>
      <c r="I589" s="59" t="s">
        <v>301</v>
      </c>
    </row>
    <row r="590" spans="1:9" hidden="1" x14ac:dyDescent="0.75">
      <c r="A590" s="59" t="s">
        <v>295</v>
      </c>
      <c r="B590" s="59" t="s">
        <v>296</v>
      </c>
      <c r="C590" s="59">
        <v>2035</v>
      </c>
      <c r="D590" s="59" t="s">
        <v>315</v>
      </c>
      <c r="E590" s="59" t="s">
        <v>310</v>
      </c>
      <c r="F590" s="59" t="s">
        <v>302</v>
      </c>
      <c r="G590" s="59" t="s">
        <v>312</v>
      </c>
      <c r="H590" s="59">
        <v>-50.2</v>
      </c>
      <c r="I590" s="59" t="s">
        <v>301</v>
      </c>
    </row>
    <row r="591" spans="1:9" hidden="1" x14ac:dyDescent="0.75">
      <c r="A591" s="59" t="s">
        <v>295</v>
      </c>
      <c r="B591" s="59" t="s">
        <v>296</v>
      </c>
      <c r="C591" s="59">
        <v>2045</v>
      </c>
      <c r="D591" s="59" t="s">
        <v>315</v>
      </c>
      <c r="E591" s="59" t="s">
        <v>310</v>
      </c>
      <c r="F591" s="59" t="s">
        <v>302</v>
      </c>
      <c r="G591" s="59" t="s">
        <v>312</v>
      </c>
      <c r="H591" s="59">
        <v>-54.5</v>
      </c>
      <c r="I591" s="59" t="s">
        <v>301</v>
      </c>
    </row>
    <row r="592" spans="1:9" hidden="1" x14ac:dyDescent="0.75">
      <c r="A592" s="59" t="s">
        <v>295</v>
      </c>
      <c r="B592" s="59" t="s">
        <v>296</v>
      </c>
      <c r="C592" s="59">
        <v>2055</v>
      </c>
      <c r="D592" s="59" t="s">
        <v>315</v>
      </c>
      <c r="E592" s="59" t="s">
        <v>310</v>
      </c>
      <c r="F592" s="59" t="s">
        <v>302</v>
      </c>
      <c r="G592" s="59" t="s">
        <v>312</v>
      </c>
      <c r="H592" s="59">
        <v>-57.9</v>
      </c>
      <c r="I592" s="59" t="s">
        <v>301</v>
      </c>
    </row>
    <row r="593" spans="1:9" hidden="1" x14ac:dyDescent="0.75">
      <c r="A593" s="59" t="s">
        <v>295</v>
      </c>
      <c r="B593" s="59" t="s">
        <v>311</v>
      </c>
      <c r="C593" s="59">
        <v>2045</v>
      </c>
      <c r="D593" s="59" t="s">
        <v>315</v>
      </c>
      <c r="E593" s="59" t="s">
        <v>259</v>
      </c>
      <c r="F593" s="59" t="s">
        <v>302</v>
      </c>
      <c r="G593" s="59" t="s">
        <v>312</v>
      </c>
      <c r="H593" s="59">
        <v>-271.3</v>
      </c>
      <c r="I593" s="59" t="s">
        <v>301</v>
      </c>
    </row>
    <row r="594" spans="1:9" hidden="1" x14ac:dyDescent="0.75">
      <c r="A594" s="59" t="s">
        <v>295</v>
      </c>
      <c r="B594" s="59" t="s">
        <v>311</v>
      </c>
      <c r="C594" s="59">
        <v>2055</v>
      </c>
      <c r="D594" s="59" t="s">
        <v>315</v>
      </c>
      <c r="E594" s="59" t="s">
        <v>259</v>
      </c>
      <c r="F594" s="59" t="s">
        <v>302</v>
      </c>
      <c r="G594" s="59" t="s">
        <v>313</v>
      </c>
      <c r="H594" s="59">
        <v>-228.2</v>
      </c>
      <c r="I594" s="59" t="s">
        <v>301</v>
      </c>
    </row>
    <row r="595" spans="1:9" hidden="1" x14ac:dyDescent="0.75">
      <c r="A595" s="59" t="s">
        <v>295</v>
      </c>
      <c r="B595" s="59" t="s">
        <v>311</v>
      </c>
      <c r="C595" s="59">
        <v>2055</v>
      </c>
      <c r="D595" s="59" t="s">
        <v>315</v>
      </c>
      <c r="E595" s="59" t="s">
        <v>259</v>
      </c>
      <c r="F595" s="59" t="s">
        <v>302</v>
      </c>
      <c r="G595" s="59" t="s">
        <v>314</v>
      </c>
      <c r="H595" s="59">
        <v>-265</v>
      </c>
      <c r="I595" s="59" t="s">
        <v>301</v>
      </c>
    </row>
    <row r="596" spans="1:9" hidden="1" x14ac:dyDescent="0.75">
      <c r="A596" s="59" t="s">
        <v>295</v>
      </c>
      <c r="B596" s="59" t="s">
        <v>311</v>
      </c>
      <c r="C596" s="59">
        <v>2055</v>
      </c>
      <c r="D596" s="59" t="s">
        <v>315</v>
      </c>
      <c r="E596" s="59" t="s">
        <v>259</v>
      </c>
      <c r="F596" s="59" t="s">
        <v>302</v>
      </c>
      <c r="G596" s="59" t="s">
        <v>303</v>
      </c>
      <c r="H596" s="59">
        <v>-174.7</v>
      </c>
      <c r="I596" s="59" t="s">
        <v>301</v>
      </c>
    </row>
    <row r="597" spans="1:9" hidden="1" x14ac:dyDescent="0.75">
      <c r="A597" s="59" t="s">
        <v>295</v>
      </c>
      <c r="B597" s="59" t="s">
        <v>311</v>
      </c>
      <c r="C597" s="59">
        <v>2055</v>
      </c>
      <c r="D597" s="59" t="s">
        <v>315</v>
      </c>
      <c r="E597" s="59" t="s">
        <v>259</v>
      </c>
      <c r="F597" s="59" t="s">
        <v>302</v>
      </c>
      <c r="G597" s="59" t="s">
        <v>300</v>
      </c>
      <c r="H597" s="59">
        <v>-285.2</v>
      </c>
      <c r="I597" s="59" t="s">
        <v>301</v>
      </c>
    </row>
    <row r="598" spans="1:9" hidden="1" x14ac:dyDescent="0.75">
      <c r="A598" s="59" t="s">
        <v>295</v>
      </c>
      <c r="B598" s="59" t="s">
        <v>311</v>
      </c>
      <c r="C598" s="59">
        <v>2055</v>
      </c>
      <c r="D598" s="59" t="s">
        <v>315</v>
      </c>
      <c r="E598" s="59" t="s">
        <v>259</v>
      </c>
      <c r="F598" s="59" t="s">
        <v>302</v>
      </c>
      <c r="G598" s="59" t="s">
        <v>312</v>
      </c>
      <c r="H598" s="59">
        <v>-326.7</v>
      </c>
      <c r="I598" s="59" t="s">
        <v>301</v>
      </c>
    </row>
    <row r="599" spans="1:9" hidden="1" x14ac:dyDescent="0.75">
      <c r="A599" s="59" t="s">
        <v>295</v>
      </c>
      <c r="B599" s="59" t="s">
        <v>311</v>
      </c>
      <c r="C599" s="59">
        <v>2055</v>
      </c>
      <c r="D599" s="59" t="s">
        <v>315</v>
      </c>
      <c r="E599" s="59" t="s">
        <v>259</v>
      </c>
      <c r="F599" s="59" t="s">
        <v>299</v>
      </c>
      <c r="G599" s="59" t="s">
        <v>313</v>
      </c>
      <c r="H599" s="59">
        <v>-249.2</v>
      </c>
      <c r="I599" s="59" t="s">
        <v>301</v>
      </c>
    </row>
    <row r="600" spans="1:9" hidden="1" x14ac:dyDescent="0.75">
      <c r="A600" s="59" t="s">
        <v>295</v>
      </c>
      <c r="B600" s="59" t="s">
        <v>311</v>
      </c>
      <c r="C600" s="59">
        <v>2055</v>
      </c>
      <c r="D600" s="59" t="s">
        <v>315</v>
      </c>
      <c r="E600" s="59" t="s">
        <v>259</v>
      </c>
      <c r="F600" s="59" t="s">
        <v>299</v>
      </c>
      <c r="G600" s="59" t="s">
        <v>314</v>
      </c>
      <c r="H600" s="59">
        <v>-281.60000000000002</v>
      </c>
      <c r="I600" s="59" t="s">
        <v>301</v>
      </c>
    </row>
    <row r="601" spans="1:9" hidden="1" x14ac:dyDescent="0.75">
      <c r="A601" s="59" t="s">
        <v>295</v>
      </c>
      <c r="B601" s="59" t="s">
        <v>311</v>
      </c>
      <c r="C601" s="59">
        <v>2055</v>
      </c>
      <c r="D601" s="59" t="s">
        <v>315</v>
      </c>
      <c r="E601" s="59" t="s">
        <v>259</v>
      </c>
      <c r="F601" s="59" t="s">
        <v>299</v>
      </c>
      <c r="G601" s="59" t="s">
        <v>303</v>
      </c>
      <c r="H601" s="59">
        <v>-185.4</v>
      </c>
      <c r="I601" s="59" t="s">
        <v>301</v>
      </c>
    </row>
    <row r="602" spans="1:9" hidden="1" x14ac:dyDescent="0.75">
      <c r="A602" s="59" t="s">
        <v>295</v>
      </c>
      <c r="B602" s="59" t="s">
        <v>311</v>
      </c>
      <c r="C602" s="59">
        <v>2055</v>
      </c>
      <c r="D602" s="59" t="s">
        <v>315</v>
      </c>
      <c r="E602" s="59" t="s">
        <v>259</v>
      </c>
      <c r="F602" s="59" t="s">
        <v>299</v>
      </c>
      <c r="G602" s="59" t="s">
        <v>300</v>
      </c>
      <c r="H602" s="59">
        <v>-302.3</v>
      </c>
      <c r="I602" s="59" t="s">
        <v>301</v>
      </c>
    </row>
  </sheetData>
  <autoFilter ref="A2:I602" xr:uid="{00000000-0001-0000-0C00-000000000000}">
    <filterColumn colId="3">
      <filters>
        <filter val="FASOMGHG"/>
      </filters>
    </filterColumn>
    <filterColumn colId="5">
      <filters>
        <filter val="3% Growth"/>
      </filters>
    </filterColumn>
  </autoFilter>
  <mergeCells count="1">
    <mergeCell ref="A1:I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B926-1F0A-48DA-A285-A57511180878}">
  <dimension ref="A1:AF61"/>
  <sheetViews>
    <sheetView tabSelected="1" topLeftCell="A51" workbookViewId="0">
      <selection activeCell="F64" sqref="F64"/>
    </sheetView>
  </sheetViews>
  <sheetFormatPr defaultColWidth="8.7265625" defaultRowHeight="14.75" x14ac:dyDescent="0.75"/>
  <cols>
    <col min="1" max="1" width="37.26953125" style="59" customWidth="1"/>
    <col min="2" max="2" width="15.54296875" style="59" bestFit="1" customWidth="1"/>
    <col min="3" max="3" width="10" style="59" customWidth="1"/>
    <col min="4" max="4" width="12.54296875" style="59" bestFit="1" customWidth="1"/>
    <col min="5" max="12" width="13.7265625" style="59" bestFit="1" customWidth="1"/>
    <col min="13" max="13" width="18.1328125" style="59" customWidth="1"/>
    <col min="14" max="14" width="13.7265625" style="59" bestFit="1" customWidth="1"/>
    <col min="15" max="16" width="12.54296875" style="59" bestFit="1" customWidth="1"/>
    <col min="17" max="17" width="12" style="59" bestFit="1" customWidth="1"/>
    <col min="18" max="19" width="8.7265625" style="59"/>
    <col min="20" max="20" width="12" style="59" bestFit="1" customWidth="1"/>
    <col min="21" max="23" width="8.7265625" style="59"/>
    <col min="24" max="24" width="9.86328125" style="59" bestFit="1" customWidth="1"/>
    <col min="25" max="25" width="16.54296875" style="59" customWidth="1"/>
    <col min="26" max="26" width="17.7265625" style="59" customWidth="1"/>
    <col min="27" max="27" width="11" style="59" bestFit="1" customWidth="1"/>
    <col min="28" max="28" width="14" style="59" bestFit="1" customWidth="1"/>
    <col min="29" max="30" width="8.7265625" style="59"/>
    <col min="31" max="32" width="12" style="59" bestFit="1" customWidth="1"/>
    <col min="33" max="33" width="8.7265625" style="59"/>
    <col min="34" max="34" width="9.86328125" style="59" bestFit="1" customWidth="1"/>
    <col min="35" max="16384" width="8.7265625" style="59"/>
  </cols>
  <sheetData>
    <row r="1" spans="1:7" x14ac:dyDescent="0.75">
      <c r="A1" s="59" t="s">
        <v>289</v>
      </c>
      <c r="B1" s="59" t="s">
        <v>297</v>
      </c>
    </row>
    <row r="2" spans="1:7" x14ac:dyDescent="0.75">
      <c r="A2" s="59" t="s">
        <v>291</v>
      </c>
      <c r="B2" s="59" t="s">
        <v>299</v>
      </c>
    </row>
    <row r="3" spans="1:7" x14ac:dyDescent="0.75">
      <c r="A3" s="59" t="s">
        <v>292</v>
      </c>
      <c r="B3" s="59" t="s">
        <v>312</v>
      </c>
    </row>
    <row r="5" spans="1:7" x14ac:dyDescent="0.75">
      <c r="A5" s="59" t="s">
        <v>316</v>
      </c>
      <c r="B5" s="59" t="s">
        <v>317</v>
      </c>
    </row>
    <row r="6" spans="1:7" x14ac:dyDescent="0.75">
      <c r="A6" s="59" t="s">
        <v>318</v>
      </c>
      <c r="B6" s="59">
        <v>2025</v>
      </c>
      <c r="C6" s="59">
        <v>2035</v>
      </c>
      <c r="D6" s="59">
        <v>2045</v>
      </c>
      <c r="E6" s="59">
        <v>2055</v>
      </c>
      <c r="F6" s="59" t="s">
        <v>319</v>
      </c>
    </row>
    <row r="7" spans="1:7" x14ac:dyDescent="0.75">
      <c r="A7" s="60" t="s">
        <v>298</v>
      </c>
      <c r="B7" s="59">
        <v>124.1</v>
      </c>
      <c r="C7" s="59">
        <v>109.7</v>
      </c>
      <c r="D7" s="59">
        <v>73.5</v>
      </c>
      <c r="E7" s="59">
        <v>45.3</v>
      </c>
      <c r="F7" s="59">
        <v>352.6</v>
      </c>
      <c r="G7" s="59" t="s">
        <v>3</v>
      </c>
    </row>
    <row r="8" spans="1:7" x14ac:dyDescent="0.75">
      <c r="A8" s="60" t="s">
        <v>305</v>
      </c>
      <c r="B8" s="59">
        <v>-4</v>
      </c>
      <c r="C8" s="59">
        <v>-8.8000000000000007</v>
      </c>
      <c r="D8" s="59">
        <v>-13</v>
      </c>
      <c r="E8" s="59">
        <v>-15.8</v>
      </c>
      <c r="F8" s="59">
        <v>-41.6</v>
      </c>
      <c r="G8" s="59" t="s">
        <v>320</v>
      </c>
    </row>
    <row r="9" spans="1:7" x14ac:dyDescent="0.75">
      <c r="A9" s="60" t="s">
        <v>304</v>
      </c>
      <c r="B9" s="59">
        <v>-3.8</v>
      </c>
      <c r="C9" s="59">
        <v>-7.6</v>
      </c>
      <c r="D9" s="59">
        <v>-10.199999999999999</v>
      </c>
      <c r="E9" s="59">
        <v>-12</v>
      </c>
      <c r="F9" s="59">
        <v>-33.599999999999994</v>
      </c>
      <c r="G9" s="59" t="s">
        <v>320</v>
      </c>
    </row>
    <row r="10" spans="1:7" x14ac:dyDescent="0.75">
      <c r="A10" s="60" t="s">
        <v>306</v>
      </c>
      <c r="B10" s="59">
        <v>-30.3</v>
      </c>
      <c r="C10" s="59">
        <v>-67.099999999999994</v>
      </c>
      <c r="D10" s="59">
        <v>-77.8</v>
      </c>
      <c r="E10" s="59">
        <v>-91.9</v>
      </c>
      <c r="F10" s="59">
        <v>-267.10000000000002</v>
      </c>
      <c r="G10" s="59" t="s">
        <v>279</v>
      </c>
    </row>
    <row r="11" spans="1:7" x14ac:dyDescent="0.75">
      <c r="A11" s="60" t="s">
        <v>307</v>
      </c>
      <c r="C11" s="59">
        <v>-59</v>
      </c>
      <c r="D11" s="59">
        <v>-77.599999999999994</v>
      </c>
      <c r="E11" s="59">
        <v>-107</v>
      </c>
      <c r="F11" s="59">
        <v>-243.6</v>
      </c>
      <c r="G11" s="59" t="s">
        <v>3</v>
      </c>
    </row>
    <row r="12" spans="1:7" x14ac:dyDescent="0.75">
      <c r="A12" s="60" t="s">
        <v>308</v>
      </c>
      <c r="B12" s="59">
        <v>3.6</v>
      </c>
      <c r="C12" s="59">
        <v>3</v>
      </c>
      <c r="D12" s="59">
        <v>2.6</v>
      </c>
      <c r="E12" s="59">
        <v>2.4</v>
      </c>
      <c r="F12" s="59">
        <v>11.6</v>
      </c>
      <c r="G12" s="59" t="s">
        <v>279</v>
      </c>
    </row>
    <row r="13" spans="1:7" x14ac:dyDescent="0.75">
      <c r="A13" s="60" t="s">
        <v>309</v>
      </c>
      <c r="B13" s="59">
        <v>-153.19999999999999</v>
      </c>
      <c r="C13" s="59">
        <v>-173.5</v>
      </c>
      <c r="D13" s="59">
        <v>-154.1</v>
      </c>
      <c r="E13" s="59">
        <v>-130.19999999999999</v>
      </c>
      <c r="F13" s="59">
        <v>-611</v>
      </c>
      <c r="G13" s="59" t="s">
        <v>3</v>
      </c>
    </row>
    <row r="14" spans="1:7" x14ac:dyDescent="0.75">
      <c r="A14" s="60" t="s">
        <v>310</v>
      </c>
      <c r="B14" s="59">
        <v>-33.299999999999997</v>
      </c>
      <c r="C14" s="59">
        <v>-44.3</v>
      </c>
      <c r="D14" s="59">
        <v>-51.2</v>
      </c>
      <c r="E14" s="59">
        <v>-59.2</v>
      </c>
      <c r="F14" s="59">
        <v>-188</v>
      </c>
      <c r="G14" s="59" t="s">
        <v>320</v>
      </c>
    </row>
    <row r="15" spans="1:7" x14ac:dyDescent="0.75">
      <c r="A15" s="60" t="s">
        <v>259</v>
      </c>
      <c r="B15" s="59">
        <v>-96.9</v>
      </c>
      <c r="C15" s="59">
        <v>-247.6</v>
      </c>
      <c r="D15" s="59">
        <v>-307.8</v>
      </c>
      <c r="E15" s="59">
        <v>-368.4</v>
      </c>
      <c r="F15" s="59">
        <v>-1020.6999999999999</v>
      </c>
    </row>
    <row r="16" spans="1:7" x14ac:dyDescent="0.75">
      <c r="A16" s="60" t="s">
        <v>319</v>
      </c>
      <c r="B16" s="59">
        <v>-193.8</v>
      </c>
      <c r="C16" s="59">
        <v>-495.19999999999993</v>
      </c>
      <c r="D16" s="59">
        <v>-615.6</v>
      </c>
      <c r="E16" s="59">
        <v>-736.8</v>
      </c>
      <c r="F16" s="59">
        <v>-2041.4</v>
      </c>
    </row>
    <row r="18" spans="1:32" x14ac:dyDescent="0.75">
      <c r="A18" s="60" t="s">
        <v>321</v>
      </c>
      <c r="B18" s="59">
        <f>SUM(B7:B14)</f>
        <v>-96.899999999999991</v>
      </c>
      <c r="C18" s="59">
        <f>SUM(C7:C14)</f>
        <v>-247.59999999999997</v>
      </c>
      <c r="D18" s="59">
        <f>SUM(D7:D14)</f>
        <v>-307.8</v>
      </c>
      <c r="E18" s="59">
        <f>SUM(E7:E14)</f>
        <v>-368.4</v>
      </c>
    </row>
    <row r="20" spans="1:32" x14ac:dyDescent="0.75">
      <c r="A20" s="61" t="s">
        <v>279</v>
      </c>
    </row>
    <row r="21" spans="1:32" x14ac:dyDescent="0.75">
      <c r="A21" s="61"/>
      <c r="B21" s="59" t="s">
        <v>322</v>
      </c>
      <c r="G21" s="61"/>
      <c r="H21" s="59" t="s">
        <v>323</v>
      </c>
      <c r="M21" s="59" t="s">
        <v>324</v>
      </c>
      <c r="S21" s="59" t="s">
        <v>325</v>
      </c>
      <c r="Y21" s="59" t="s">
        <v>326</v>
      </c>
      <c r="Z21" s="62">
        <v>102049999.99999999</v>
      </c>
      <c r="AB21" s="59" t="s">
        <v>327</v>
      </c>
      <c r="AE21" s="59" t="s">
        <v>329</v>
      </c>
    </row>
    <row r="22" spans="1:32" x14ac:dyDescent="0.75">
      <c r="B22" s="59">
        <v>2025</v>
      </c>
      <c r="C22" s="59">
        <v>2035</v>
      </c>
      <c r="D22" s="59">
        <v>2045</v>
      </c>
      <c r="E22" s="59">
        <v>2055</v>
      </c>
      <c r="H22" s="59">
        <v>2025</v>
      </c>
      <c r="I22" s="59">
        <v>2035</v>
      </c>
      <c r="J22" s="59">
        <v>2045</v>
      </c>
      <c r="K22" s="59">
        <v>2055</v>
      </c>
      <c r="N22" s="59">
        <v>2025</v>
      </c>
      <c r="O22" s="59">
        <v>2035</v>
      </c>
      <c r="P22" s="59">
        <v>2045</v>
      </c>
      <c r="Q22" s="59">
        <v>2055</v>
      </c>
      <c r="T22" s="59">
        <v>2025</v>
      </c>
      <c r="U22" s="59">
        <v>2035</v>
      </c>
      <c r="V22" s="59">
        <v>2045</v>
      </c>
      <c r="W22" s="59">
        <v>2055</v>
      </c>
      <c r="Y22" s="59">
        <v>2025</v>
      </c>
      <c r="Z22" s="59">
        <v>2035</v>
      </c>
      <c r="AB22" s="59">
        <v>2025</v>
      </c>
      <c r="AC22" s="59">
        <v>2035</v>
      </c>
      <c r="AE22" s="59">
        <v>2025</v>
      </c>
      <c r="AF22" s="59">
        <v>2035</v>
      </c>
    </row>
    <row r="23" spans="1:32" x14ac:dyDescent="0.75">
      <c r="A23" s="59">
        <v>5</v>
      </c>
      <c r="B23" s="59">
        <f>SUMIFS('EPA land and ag potential'!$H:$H,'EPA land and ag potential'!$C:$C,'EPA land and ag calcs'!B$22,'EPA land and ag potential'!$G:$G,'EPA land and ag calcs'!$A23,'EPA land and ag potential'!$D:$D,"FASOMGHG",'EPA land and ag potential'!$F:$F,"3% Growth",'EPA land and ag potential'!$K:$K,'EPA land and ag calcs'!$A$20)</f>
        <v>-6.2</v>
      </c>
      <c r="C23" s="59">
        <f>SUMIFS('EPA land and ag potential'!$H:$H,'EPA land and ag potential'!$C:$C,'EPA land and ag calcs'!C$22,'EPA land and ag potential'!$G:$G,'EPA land and ag calcs'!$A23,'EPA land and ag potential'!$D:$D,"FASOMGHG",'EPA land and ag potential'!$F:$F,"3% Growth",'EPA land and ag potential'!$K:$K,'EPA land and ag calcs'!$A$20)</f>
        <v>-15.7</v>
      </c>
      <c r="D23" s="59">
        <f>SUMIFS('EPA land and ag potential'!$H:$H,'EPA land and ag potential'!$C:$C,'EPA land and ag calcs'!D$22,'EPA land and ag potential'!$G:$G,'EPA land and ag calcs'!$A23,'EPA land and ag potential'!$D:$D,"FASOMGHG",'EPA land and ag potential'!$F:$F,"3% Growth",'EPA land and ag potential'!$K:$K,'EPA land and ag calcs'!$A$20)</f>
        <v>-21.9</v>
      </c>
      <c r="E23" s="59">
        <f>SUMIFS('EPA land and ag potential'!$H:$H,'EPA land and ag potential'!$C:$C,'EPA land and ag calcs'!E$22,'EPA land and ag potential'!$G:$G,'EPA land and ag calcs'!$A23,'EPA land and ag potential'!$D:$D,"FASOMGHG",'EPA land and ag potential'!$F:$F,"3% Growth",'EPA land and ag potential'!$K:$K,'EPA land and ag calcs'!$A$20)</f>
        <v>-27.900000000000002</v>
      </c>
      <c r="G23" s="59">
        <v>5</v>
      </c>
      <c r="H23" s="59">
        <f>SUMIFS('EPA land and ag potential'!$H:$H,'EPA land and ag potential'!$C:$C,'EPA land and ag calcs'!B$22,'EPA land and ag potential'!$G:$G,'EPA land and ag calcs'!$A23,'EPA land and ag potential'!$K:$K,'EPA land and ag calcs'!$A$20,'EPA land and ag potential'!$D:$D,"FASOMGHG",'EPA land and ag potential'!$F:$F,"3% Growth")</f>
        <v>-6.2</v>
      </c>
      <c r="I23" s="59">
        <f>SUMIFS('EPA land and ag potential'!$H:$H,'EPA land and ag potential'!$C:$C,'EPA land and ag calcs'!C$22,'EPA land and ag potential'!$G:$G,'EPA land and ag calcs'!$A23,'EPA land and ag potential'!$K:$K,'EPA land and ag calcs'!$A$20,'EPA land and ag potential'!$D:$D,"FASOMGHG",'EPA land and ag potential'!$F:$F,"3% Growth")</f>
        <v>-15.7</v>
      </c>
      <c r="J23" s="59">
        <f>SUMIFS('EPA land and ag potential'!$H:$H,'EPA land and ag potential'!$C:$C,'EPA land and ag calcs'!D$22,'EPA land and ag potential'!$G:$G,'EPA land and ag calcs'!$A23,'EPA land and ag potential'!$K:$K,'EPA land and ag calcs'!$A$20,'EPA land and ag potential'!$D:$D,"FASOMGHG",'EPA land and ag potential'!$F:$F,"3% Growth")</f>
        <v>-21.9</v>
      </c>
      <c r="K23" s="59">
        <f>SUMIFS('EPA land and ag potential'!$H:$H,'EPA land and ag potential'!$C:$C,'EPA land and ag calcs'!E$22,'EPA land and ag potential'!$G:$G,'EPA land and ag calcs'!$A23,'EPA land and ag potential'!$K:$K,'EPA land and ag calcs'!$A$20,'EPA land and ag potential'!$D:$D,"FASOMGHG",'EPA land and ag potential'!$F:$F,"3% Growth")</f>
        <v>-27.900000000000002</v>
      </c>
      <c r="M23" s="59">
        <v>5</v>
      </c>
      <c r="N23" s="59">
        <v>27500430.816309974</v>
      </c>
      <c r="O23" s="59">
        <v>69638187.7122688</v>
      </c>
      <c r="P23" s="59">
        <v>97138618.528578773</v>
      </c>
      <c r="Q23" s="59">
        <v>123751938.67339489</v>
      </c>
      <c r="S23" s="59">
        <v>5</v>
      </c>
      <c r="T23" s="59">
        <f>N23</f>
        <v>27500430.816309974</v>
      </c>
      <c r="U23" s="59">
        <f t="shared" ref="U23:W23" si="0">O23</f>
        <v>69638187.7122688</v>
      </c>
      <c r="V23" s="59">
        <f t="shared" si="0"/>
        <v>97138618.528578773</v>
      </c>
      <c r="W23" s="59">
        <f t="shared" si="0"/>
        <v>123751938.67339489</v>
      </c>
      <c r="Y23" s="59">
        <f>T23/$Z$21</f>
        <v>0.26947996880264552</v>
      </c>
      <c r="Z23" s="59">
        <f>U23/$Z$21</f>
        <v>0.68239282422605396</v>
      </c>
      <c r="AB23" s="63">
        <v>1</v>
      </c>
      <c r="AC23" s="63">
        <v>1</v>
      </c>
      <c r="AE23" s="59">
        <f>AB23*H23*-1</f>
        <v>6.2</v>
      </c>
      <c r="AF23" s="59">
        <f>AC23*I23*-1</f>
        <v>15.7</v>
      </c>
    </row>
    <row r="24" spans="1:32" x14ac:dyDescent="0.75">
      <c r="A24" s="59">
        <v>20</v>
      </c>
      <c r="B24" s="59">
        <f>SUMIFS('EPA land and ag potential'!$H:$H,'EPA land and ag potential'!$C:$C,'EPA land and ag calcs'!B$22,'EPA land and ag potential'!$G:$G,'EPA land and ag calcs'!$A24,'EPA land and ag potential'!$D:$D,"FASOMGHG",'EPA land and ag potential'!$F:$F,"3% Growth",'EPA land and ag potential'!$K:$K,'EPA land and ag calcs'!$A$20)</f>
        <v>-12.299999999999999</v>
      </c>
      <c r="C24" s="59">
        <f>SUMIFS('EPA land and ag potential'!$H:$H,'EPA land and ag potential'!$C:$C,'EPA land and ag calcs'!C$22,'EPA land and ag potential'!$G:$G,'EPA land and ag calcs'!$A24,'EPA land and ag potential'!$D:$D,"FASOMGHG",'EPA land and ag potential'!$F:$F,"3% Growth",'EPA land and ag potential'!$K:$K,'EPA land and ag calcs'!$A$20)</f>
        <v>-39.1</v>
      </c>
      <c r="D24" s="59">
        <f>SUMIFS('EPA land and ag potential'!$H:$H,'EPA land and ag potential'!$C:$C,'EPA land and ag calcs'!D$22,'EPA land and ag potential'!$G:$G,'EPA land and ag calcs'!$A24,'EPA land and ag potential'!$D:$D,"FASOMGHG",'EPA land and ag potential'!$F:$F,"3% Growth",'EPA land and ag potential'!$K:$K,'EPA land and ag calcs'!$A$20)</f>
        <v>-48.1</v>
      </c>
      <c r="E24" s="59">
        <f>SUMIFS('EPA land and ag potential'!$H:$H,'EPA land and ag potential'!$C:$C,'EPA land and ag calcs'!E$22,'EPA land and ag potential'!$G:$G,'EPA land and ag calcs'!$A24,'EPA land and ag potential'!$D:$D,"FASOMGHG",'EPA land and ag potential'!$F:$F,"3% Growth",'EPA land and ag potential'!$K:$K,'EPA land and ag calcs'!$A$20)</f>
        <v>-58.3</v>
      </c>
      <c r="G24" s="59">
        <v>20</v>
      </c>
      <c r="H24" s="59">
        <f>B24-B23</f>
        <v>-6.0999999999999988</v>
      </c>
      <c r="I24" s="59">
        <f t="shared" ref="I24:K27" si="1">C24-C23</f>
        <v>-23.400000000000002</v>
      </c>
      <c r="J24" s="59">
        <f t="shared" si="1"/>
        <v>-26.200000000000003</v>
      </c>
      <c r="K24" s="59">
        <f t="shared" si="1"/>
        <v>-30.399999999999995</v>
      </c>
      <c r="M24" s="59">
        <v>20</v>
      </c>
      <c r="N24" s="59">
        <v>108227501.92225213</v>
      </c>
      <c r="O24" s="59">
        <v>415167794.25913125</v>
      </c>
      <c r="P24" s="59">
        <v>464845991.86278796</v>
      </c>
      <c r="Q24" s="59">
        <v>539363288.26827288</v>
      </c>
      <c r="S24" s="59">
        <v>20</v>
      </c>
      <c r="T24" s="59">
        <f>T23+N24</f>
        <v>135727932.73856211</v>
      </c>
      <c r="U24" s="59">
        <f t="shared" ref="U24:W27" si="2">U23+O24</f>
        <v>484805981.97140002</v>
      </c>
      <c r="V24" s="59">
        <f t="shared" si="2"/>
        <v>561984610.39136672</v>
      </c>
      <c r="W24" s="59">
        <f t="shared" si="2"/>
        <v>663115226.9416678</v>
      </c>
      <c r="Y24" s="59">
        <f>T24/$Z$21</f>
        <v>1.3300140395743472</v>
      </c>
      <c r="Z24" s="59">
        <f>U24/$Z$21</f>
        <v>4.7506710629240576</v>
      </c>
      <c r="AB24" s="63">
        <f>(Z21-N23)/N24</f>
        <v>0.68882278403916697</v>
      </c>
      <c r="AC24" s="63">
        <f>1-(U24-U23)/U24</f>
        <v>0.14364135407136325</v>
      </c>
      <c r="AE24" s="59">
        <f>AB24*H24*-1</f>
        <v>4.2018189826389181</v>
      </c>
      <c r="AF24" s="59">
        <f>AC24*I24*-1</f>
        <v>3.3612076852699002</v>
      </c>
    </row>
    <row r="25" spans="1:32" x14ac:dyDescent="0.75">
      <c r="A25" s="59">
        <v>35</v>
      </c>
      <c r="B25" s="59">
        <f>SUMIFS('EPA land and ag potential'!$H:$H,'EPA land and ag potential'!$C:$C,'EPA land and ag calcs'!B$22,'EPA land and ag potential'!$G:$G,'EPA land and ag calcs'!$A25,'EPA land and ag potential'!$D:$D,"FASOMGHG",'EPA land and ag potential'!$F:$F,"3% Growth",'EPA land and ag potential'!$K:$K,'EPA land and ag calcs'!$A$20)</f>
        <v>-14.799999999999999</v>
      </c>
      <c r="C25" s="59">
        <f>SUMIFS('EPA land and ag potential'!$H:$H,'EPA land and ag potential'!$C:$C,'EPA land and ag calcs'!C$22,'EPA land and ag potential'!$G:$G,'EPA land and ag calcs'!$A25,'EPA land and ag potential'!$D:$D,"FASOMGHG",'EPA land and ag potential'!$F:$F,"3% Growth",'EPA land and ag potential'!$K:$K,'EPA land and ag calcs'!$A$20)</f>
        <v>-49.5</v>
      </c>
      <c r="D25" s="59">
        <f>SUMIFS('EPA land and ag potential'!$H:$H,'EPA land and ag potential'!$C:$C,'EPA land and ag calcs'!D$22,'EPA land and ag potential'!$G:$G,'EPA land and ag calcs'!$A25,'EPA land and ag potential'!$D:$D,"FASOMGHG",'EPA land and ag potential'!$F:$F,"3% Growth",'EPA land and ag potential'!$K:$K,'EPA land and ag calcs'!$A$20)</f>
        <v>-59.900000000000006</v>
      </c>
      <c r="E25" s="59">
        <f>SUMIFS('EPA land and ag potential'!$H:$H,'EPA land and ag potential'!$C:$C,'EPA land and ag calcs'!E$22,'EPA land and ag potential'!$G:$G,'EPA land and ag calcs'!$A25,'EPA land and ag potential'!$D:$D,"FASOMGHG",'EPA land and ag potential'!$F:$F,"3% Growth",'EPA land and ag potential'!$K:$K,'EPA land and ag calcs'!$A$20)</f>
        <v>-72</v>
      </c>
      <c r="G25" s="59">
        <v>35</v>
      </c>
      <c r="H25" s="59">
        <f>B25-B24</f>
        <v>-2.5</v>
      </c>
      <c r="I25" s="59">
        <f t="shared" si="1"/>
        <v>-10.399999999999999</v>
      </c>
      <c r="J25" s="59">
        <f t="shared" si="1"/>
        <v>-11.800000000000004</v>
      </c>
      <c r="K25" s="59">
        <f t="shared" si="1"/>
        <v>-13.700000000000003</v>
      </c>
      <c r="M25" s="59">
        <v>35</v>
      </c>
      <c r="N25" s="59">
        <v>77622183.755713642</v>
      </c>
      <c r="O25" s="59">
        <v>322908284.4237687</v>
      </c>
      <c r="P25" s="59">
        <v>366376707.32696855</v>
      </c>
      <c r="Q25" s="59">
        <v>425369566.98131084</v>
      </c>
      <c r="S25" s="59">
        <v>35</v>
      </c>
      <c r="T25" s="59">
        <f t="shared" ref="T25:T27" si="3">T24+N25</f>
        <v>213350116.49427575</v>
      </c>
      <c r="U25" s="59">
        <f t="shared" si="2"/>
        <v>807714266.39516878</v>
      </c>
      <c r="V25" s="59">
        <f t="shared" si="2"/>
        <v>928361317.71833527</v>
      </c>
      <c r="W25" s="59">
        <f t="shared" si="2"/>
        <v>1088484793.9229786</v>
      </c>
      <c r="AB25" s="63">
        <v>0</v>
      </c>
      <c r="AC25" s="63">
        <v>0</v>
      </c>
    </row>
    <row r="26" spans="1:32" x14ac:dyDescent="0.75">
      <c r="A26" s="59">
        <v>50</v>
      </c>
      <c r="B26" s="59">
        <f>SUMIFS('EPA land and ag potential'!$H:$H,'EPA land and ag potential'!$C:$C,'EPA land and ag calcs'!B$22,'EPA land and ag potential'!$G:$G,'EPA land and ag calcs'!$A26,'EPA land and ag potential'!$D:$D,"FASOMGHG",'EPA land and ag potential'!$F:$F,"3% Growth",'EPA land and ag potential'!$K:$K,'EPA land and ag calcs'!$A$20)</f>
        <v>-17.399999999999999</v>
      </c>
      <c r="C26" s="59">
        <f>SUMIFS('EPA land and ag potential'!$H:$H,'EPA land and ag potential'!$C:$C,'EPA land and ag calcs'!C$22,'EPA land and ag potential'!$G:$G,'EPA land and ag calcs'!$A26,'EPA land and ag potential'!$D:$D,"FASOMGHG",'EPA land and ag potential'!$F:$F,"3% Growth",'EPA land and ag potential'!$K:$K,'EPA land and ag calcs'!$A$20)</f>
        <v>-53.3</v>
      </c>
      <c r="D26" s="59">
        <f>SUMIFS('EPA land and ag potential'!$H:$H,'EPA land and ag potential'!$C:$C,'EPA land and ag calcs'!D$22,'EPA land and ag potential'!$G:$G,'EPA land and ag calcs'!$A26,'EPA land and ag potential'!$D:$D,"FASOMGHG",'EPA land and ag potential'!$F:$F,"3% Growth",'EPA land and ag potential'!$K:$K,'EPA land and ag calcs'!$A$20)</f>
        <v>-64.100000000000009</v>
      </c>
      <c r="E26" s="59">
        <f>SUMIFS('EPA land and ag potential'!$H:$H,'EPA land and ag potential'!$C:$C,'EPA land and ag calcs'!E$22,'EPA land and ag potential'!$G:$G,'EPA land and ag calcs'!$A26,'EPA land and ag potential'!$D:$D,"FASOMGHG",'EPA land and ag potential'!$F:$F,"3% Growth",'EPA land and ag potential'!$K:$K,'EPA land and ag calcs'!$A$20)</f>
        <v>-76.7</v>
      </c>
      <c r="G26" s="59">
        <v>50</v>
      </c>
      <c r="H26" s="59">
        <f>B26-B25</f>
        <v>-2.5999999999999996</v>
      </c>
      <c r="I26" s="59">
        <f t="shared" si="1"/>
        <v>-3.7999999999999972</v>
      </c>
      <c r="J26" s="59">
        <f t="shared" si="1"/>
        <v>-4.2000000000000028</v>
      </c>
      <c r="K26" s="59">
        <f t="shared" si="1"/>
        <v>-4.7000000000000028</v>
      </c>
      <c r="M26" s="59">
        <v>50</v>
      </c>
      <c r="N26" s="59">
        <v>115324387.29420309</v>
      </c>
      <c r="O26" s="59">
        <v>168551027.58383518</v>
      </c>
      <c r="P26" s="59">
        <v>186293241.01371285</v>
      </c>
      <c r="Q26" s="59">
        <v>208471007.8010596</v>
      </c>
      <c r="S26" s="59">
        <v>50</v>
      </c>
      <c r="T26" s="59">
        <f t="shared" si="3"/>
        <v>328674503.78847885</v>
      </c>
      <c r="U26" s="59">
        <f t="shared" si="2"/>
        <v>976265293.97900391</v>
      </c>
      <c r="V26" s="59">
        <f t="shared" si="2"/>
        <v>1114654558.732048</v>
      </c>
      <c r="W26" s="59">
        <f t="shared" si="2"/>
        <v>1296955801.7240381</v>
      </c>
      <c r="AB26" s="63">
        <v>0</v>
      </c>
      <c r="AC26" s="63">
        <v>0</v>
      </c>
    </row>
    <row r="27" spans="1:32" x14ac:dyDescent="0.75">
      <c r="A27" s="59">
        <v>100</v>
      </c>
      <c r="B27" s="59">
        <f>SUMIFS('EPA land and ag potential'!$H:$H,'EPA land and ag potential'!$C:$C,'EPA land and ag calcs'!B$22,'EPA land and ag potential'!$G:$G,'EPA land and ag calcs'!$A27,'EPA land and ag potential'!$D:$D,"FASOMGHG",'EPA land and ag potential'!$F:$F,"3% Growth",'EPA land and ag potential'!$K:$K,'EPA land and ag calcs'!$A$20)</f>
        <v>-26.7</v>
      </c>
      <c r="C27" s="59">
        <f>SUMIFS('EPA land and ag potential'!$H:$H,'EPA land and ag potential'!$C:$C,'EPA land and ag calcs'!C$22,'EPA land and ag potential'!$G:$G,'EPA land and ag calcs'!$A27,'EPA land and ag potential'!$D:$D,"FASOMGHG",'EPA land and ag potential'!$F:$F,"3% Growth",'EPA land and ag potential'!$K:$K,'EPA land and ag calcs'!$A$20)</f>
        <v>-64.099999999999994</v>
      </c>
      <c r="D27" s="59">
        <f>SUMIFS('EPA land and ag potential'!$H:$H,'EPA land and ag potential'!$C:$C,'EPA land and ag calcs'!D$22,'EPA land and ag potential'!$G:$G,'EPA land and ag calcs'!$A27,'EPA land and ag potential'!$D:$D,"FASOMGHG",'EPA land and ag potential'!$F:$F,"3% Growth",'EPA land and ag potential'!$K:$K,'EPA land and ag calcs'!$A$20)</f>
        <v>-75.2</v>
      </c>
      <c r="E27" s="59">
        <f>SUMIFS('EPA land and ag potential'!$H:$H,'EPA land and ag potential'!$C:$C,'EPA land and ag calcs'!E$22,'EPA land and ag potential'!$G:$G,'EPA land and ag calcs'!$A27,'EPA land and ag potential'!$D:$D,"FASOMGHG",'EPA land and ag potential'!$F:$F,"3% Growth",'EPA land and ag potential'!$K:$K,'EPA land and ag calcs'!$A$20)</f>
        <v>-89.5</v>
      </c>
      <c r="G27" s="59">
        <v>100</v>
      </c>
      <c r="H27" s="59">
        <f>B27-B26</f>
        <v>-9.3000000000000007</v>
      </c>
      <c r="I27" s="59">
        <f t="shared" si="1"/>
        <v>-10.799999999999997</v>
      </c>
      <c r="J27" s="59">
        <f t="shared" si="1"/>
        <v>-11.099999999999994</v>
      </c>
      <c r="K27" s="59">
        <f t="shared" si="1"/>
        <v>-12.799999999999997</v>
      </c>
      <c r="M27" s="59">
        <v>100</v>
      </c>
      <c r="N27" s="59">
        <v>825012924.4892993</v>
      </c>
      <c r="O27" s="59">
        <v>958079525.2133795</v>
      </c>
      <c r="P27" s="59">
        <v>984692845.35819542</v>
      </c>
      <c r="Q27" s="59">
        <v>1135501659.5121536</v>
      </c>
      <c r="S27" s="59">
        <v>100</v>
      </c>
      <c r="T27" s="59">
        <f t="shared" si="3"/>
        <v>1153687428.2777781</v>
      </c>
      <c r="U27" s="59">
        <f t="shared" si="2"/>
        <v>1934344819.1923833</v>
      </c>
      <c r="V27" s="59">
        <f t="shared" si="2"/>
        <v>2099347404.0902433</v>
      </c>
      <c r="W27" s="59">
        <f t="shared" si="2"/>
        <v>2432457461.2361917</v>
      </c>
      <c r="AB27" s="63">
        <v>0</v>
      </c>
      <c r="AC27" s="63">
        <v>0</v>
      </c>
    </row>
    <row r="28" spans="1:32" x14ac:dyDescent="0.75">
      <c r="AD28" s="59" t="s">
        <v>328</v>
      </c>
      <c r="AE28" s="59">
        <f>SUM(AE23:AE27)*10^12</f>
        <v>10401818982638.918</v>
      </c>
      <c r="AF28" s="59">
        <f>SUM(AF23:AF27)*10^12</f>
        <v>19061207685269.898</v>
      </c>
    </row>
    <row r="29" spans="1:32" x14ac:dyDescent="0.75">
      <c r="A29" s="61" t="s">
        <v>3</v>
      </c>
    </row>
    <row r="30" spans="1:32" x14ac:dyDescent="0.75">
      <c r="A30" s="61"/>
      <c r="B30" s="59" t="s">
        <v>322</v>
      </c>
      <c r="G30" s="61"/>
      <c r="H30" s="59" t="s">
        <v>323</v>
      </c>
      <c r="M30" s="59" t="s">
        <v>324</v>
      </c>
      <c r="S30" s="59" t="s">
        <v>325</v>
      </c>
      <c r="Y30" s="59" t="s">
        <v>326</v>
      </c>
      <c r="Z30" s="62">
        <v>150000000</v>
      </c>
      <c r="AB30" s="59" t="s">
        <v>327</v>
      </c>
      <c r="AE30" s="59" t="s">
        <v>329</v>
      </c>
    </row>
    <row r="31" spans="1:32" x14ac:dyDescent="0.75">
      <c r="B31" s="59">
        <v>2025</v>
      </c>
      <c r="C31" s="59">
        <v>2035</v>
      </c>
      <c r="D31" s="59">
        <v>2045</v>
      </c>
      <c r="E31" s="59">
        <v>2055</v>
      </c>
      <c r="H31" s="59">
        <v>2025</v>
      </c>
      <c r="I31" s="59">
        <v>2035</v>
      </c>
      <c r="J31" s="59">
        <v>2045</v>
      </c>
      <c r="K31" s="59">
        <v>2055</v>
      </c>
      <c r="N31" s="59">
        <v>2025</v>
      </c>
      <c r="O31" s="59">
        <v>2035</v>
      </c>
      <c r="P31" s="59">
        <v>2045</v>
      </c>
      <c r="Q31" s="59">
        <v>2055</v>
      </c>
      <c r="T31" s="59">
        <v>2025</v>
      </c>
      <c r="U31" s="59">
        <v>2035</v>
      </c>
      <c r="V31" s="59">
        <v>2045</v>
      </c>
      <c r="W31" s="59">
        <v>2055</v>
      </c>
      <c r="Y31" s="59">
        <v>2025</v>
      </c>
      <c r="Z31" s="59">
        <v>2035</v>
      </c>
      <c r="AB31" s="59">
        <v>2025</v>
      </c>
      <c r="AC31" s="59">
        <v>2035</v>
      </c>
      <c r="AE31" s="59">
        <v>2025</v>
      </c>
      <c r="AF31" s="59">
        <v>2035</v>
      </c>
    </row>
    <row r="32" spans="1:32" x14ac:dyDescent="0.75">
      <c r="A32" s="59">
        <v>5</v>
      </c>
      <c r="B32" s="59">
        <f>SUMIFS('EPA land and ag potential'!$H:$H,'EPA land and ag potential'!$C:$C,'EPA land and ag calcs'!B$22,'EPA land and ag potential'!$G:$G,'EPA land and ag calcs'!$A23,'EPA land and ag potential'!$D:$D,"FASOMGHG",'EPA land and ag potential'!$F:$F,"3% Growth",'EPA land and ag potential'!$K:$K,'EPA land and ag calcs'!$A$29)</f>
        <v>15.6</v>
      </c>
      <c r="C32" s="59">
        <f>SUMIFS('EPA land and ag potential'!$H:$H,'EPA land and ag potential'!$C:$C,'EPA land and ag calcs'!C$22,'EPA land and ag potential'!$G:$G,'EPA land and ag calcs'!$A23,'EPA land and ag potential'!$D:$D,"FASOMGHG",'EPA land and ag potential'!$F:$F,"3% Growth",'EPA land and ag potential'!$K:$K,'EPA land and ag calcs'!$A$29)</f>
        <v>1.6999999999999957</v>
      </c>
      <c r="D32" s="59">
        <f>SUMIFS('EPA land and ag potential'!$H:$H,'EPA land and ag potential'!$C:$C,'EPA land and ag calcs'!D$22,'EPA land and ag potential'!$G:$G,'EPA land and ag calcs'!$A23,'EPA land and ag potential'!$D:$D,"FASOMGHG",'EPA land and ag potential'!$F:$F,"3% Growth",'EPA land and ag potential'!$K:$K,'EPA land and ag calcs'!$A$29)</f>
        <v>-1.4999999999999964</v>
      </c>
      <c r="E32" s="59">
        <f>SUMIFS('EPA land and ag potential'!$H:$H,'EPA land and ag potential'!$C:$C,'EPA land and ag calcs'!E$22,'EPA land and ag potential'!$G:$G,'EPA land and ag calcs'!$A23,'EPA land and ag potential'!$D:$D,"FASOMGHG",'EPA land and ag potential'!$F:$F,"3% Growth",'EPA land and ag potential'!$K:$K,'EPA land and ag calcs'!$A$29)</f>
        <v>-0.60000000000000142</v>
      </c>
      <c r="G32" s="59">
        <v>5</v>
      </c>
      <c r="H32" s="59">
        <f>SUMIFS('EPA land and ag potential'!$H:$H,'EPA land and ag potential'!$C:$C,'EPA land and ag calcs'!B$22,'EPA land and ag potential'!$G:$G,'EPA land and ag calcs'!$A32,'EPA land and ag potential'!$K:$K,'EPA land and ag calcs'!$A$29,'EPA land and ag potential'!$D:$D,"FASOMGHG",'EPA land and ag potential'!$F:$F,"3% Growth")</f>
        <v>15.6</v>
      </c>
      <c r="I32" s="59">
        <f>SUMIFS('EPA land and ag potential'!$H:$H,'EPA land and ag potential'!$C:$C,'EPA land and ag calcs'!C$22,'EPA land and ag potential'!$G:$G,'EPA land and ag calcs'!$A32,'EPA land and ag potential'!$K:$K,'EPA land and ag calcs'!$A$29,'EPA land and ag potential'!$D:$D,"FASOMGHG",'EPA land and ag potential'!$F:$F,"3% Growth")</f>
        <v>1.6999999999999957</v>
      </c>
      <c r="J32" s="59">
        <f>SUMIFS('EPA land and ag potential'!$H:$H,'EPA land and ag potential'!$C:$C,'EPA land and ag calcs'!D$22,'EPA land and ag potential'!$G:$G,'EPA land and ag calcs'!$A32,'EPA land and ag potential'!$K:$K,'EPA land and ag calcs'!$A$29,'EPA land and ag potential'!$D:$D,"FASOMGHG",'EPA land and ag potential'!$F:$F,"3% Growth")</f>
        <v>-1.4999999999999964</v>
      </c>
      <c r="K32" s="59">
        <f>SUMIFS('EPA land and ag potential'!$H:$H,'EPA land and ag potential'!$C:$C,'EPA land and ag calcs'!E$22,'EPA land and ag potential'!$G:$G,'EPA land and ag calcs'!$A32,'EPA land and ag potential'!$K:$K,'EPA land and ag calcs'!$A$29,'EPA land and ag potential'!$D:$D,"FASOMGHG",'EPA land and ag potential'!$F:$F,"3% Growth")</f>
        <v>-0.60000000000000142</v>
      </c>
      <c r="M32" s="59">
        <v>5</v>
      </c>
      <c r="N32" s="59">
        <v>0</v>
      </c>
      <c r="O32" s="59">
        <v>0</v>
      </c>
      <c r="P32" s="59">
        <v>6653330.0362040102</v>
      </c>
      <c r="Q32" s="59">
        <v>2661332.0144816167</v>
      </c>
      <c r="S32" s="59">
        <v>5</v>
      </c>
      <c r="T32" s="59">
        <f>N32</f>
        <v>0</v>
      </c>
      <c r="U32" s="59">
        <f t="shared" ref="U32:W32" si="4">O32</f>
        <v>0</v>
      </c>
      <c r="V32" s="59">
        <f t="shared" si="4"/>
        <v>6653330.0362040102</v>
      </c>
      <c r="W32" s="59">
        <f t="shared" si="4"/>
        <v>2661332.0144816167</v>
      </c>
      <c r="Y32" s="59">
        <f t="shared" ref="Y32:Z35" si="5">T32/$Z$21</f>
        <v>0</v>
      </c>
      <c r="Z32" s="59">
        <f t="shared" si="5"/>
        <v>0</v>
      </c>
      <c r="AB32" s="63">
        <v>1</v>
      </c>
      <c r="AC32" s="63">
        <v>1</v>
      </c>
      <c r="AE32" s="59">
        <f>IF(AB32*H32*-1&lt;0,0,AB32*H32*-1)</f>
        <v>0</v>
      </c>
      <c r="AF32" s="59">
        <f>IF(AC32*I32*-1&lt;0,0,AC32*I32*-1)</f>
        <v>0</v>
      </c>
    </row>
    <row r="33" spans="1:32" x14ac:dyDescent="0.75">
      <c r="A33" s="59">
        <v>20</v>
      </c>
      <c r="B33" s="59">
        <f>SUMIFS('EPA land and ag potential'!$H:$H,'EPA land and ag potential'!$C:$C,'EPA land and ag calcs'!B$22,'EPA land and ag potential'!$G:$G,'EPA land and ag calcs'!$A24,'EPA land and ag potential'!$D:$D,"FASOMGHG",'EPA land and ag potential'!$F:$F,"3% Growth",'EPA land and ag potential'!$K:$K,'EPA land and ag calcs'!$A$29)</f>
        <v>15.099999999999994</v>
      </c>
      <c r="C33" s="59">
        <f>SUMIFS('EPA land and ag potential'!$H:$H,'EPA land and ag potential'!$C:$C,'EPA land and ag calcs'!C$22,'EPA land and ag potential'!$G:$G,'EPA land and ag calcs'!$A24,'EPA land and ag potential'!$D:$D,"FASOMGHG",'EPA land and ag potential'!$F:$F,"3% Growth",'EPA land and ag potential'!$K:$K,'EPA land and ag calcs'!$A$29)</f>
        <v>-25.5</v>
      </c>
      <c r="D33" s="59">
        <f>SUMIFS('EPA land and ag potential'!$H:$H,'EPA land and ag potential'!$C:$C,'EPA land and ag calcs'!D$22,'EPA land and ag potential'!$G:$G,'EPA land and ag calcs'!$A24,'EPA land and ag potential'!$D:$D,"FASOMGHG",'EPA land and ag potential'!$F:$F,"3% Growth",'EPA land and ag potential'!$K:$K,'EPA land and ag calcs'!$A$29)</f>
        <v>-40.099999999999994</v>
      </c>
      <c r="E33" s="59">
        <f>SUMIFS('EPA land and ag potential'!$H:$H,'EPA land and ag potential'!$C:$C,'EPA land and ag calcs'!E$22,'EPA land and ag potential'!$G:$G,'EPA land and ag calcs'!$A24,'EPA land and ag potential'!$D:$D,"FASOMGHG",'EPA land and ag potential'!$F:$F,"3% Growth",'EPA land and ag potential'!$K:$K,'EPA land and ag calcs'!$A$29)</f>
        <v>-62.5</v>
      </c>
      <c r="G33" s="59">
        <v>20</v>
      </c>
      <c r="H33" s="59">
        <f t="shared" ref="H33:K36" si="6">B33-B32</f>
        <v>-0.50000000000000533</v>
      </c>
      <c r="I33" s="59">
        <f t="shared" si="6"/>
        <v>-27.199999999999996</v>
      </c>
      <c r="J33" s="59">
        <f t="shared" si="6"/>
        <v>-38.599999999999994</v>
      </c>
      <c r="K33" s="59">
        <f t="shared" si="6"/>
        <v>-61.9</v>
      </c>
      <c r="M33" s="59">
        <v>20</v>
      </c>
      <c r="N33" s="59">
        <v>8871106.7149387952</v>
      </c>
      <c r="O33" s="59">
        <v>482588205.29266524</v>
      </c>
      <c r="P33" s="59">
        <v>684849438.39326763</v>
      </c>
      <c r="Q33" s="59">
        <v>1098243011.3094113</v>
      </c>
      <c r="S33" s="59">
        <v>20</v>
      </c>
      <c r="T33" s="59">
        <f>T32+N33</f>
        <v>8871106.7149387952</v>
      </c>
      <c r="U33" s="59">
        <f t="shared" ref="U33:W36" si="7">U32+O33</f>
        <v>482588205.29266524</v>
      </c>
      <c r="V33" s="59">
        <f t="shared" si="7"/>
        <v>691502768.42947161</v>
      </c>
      <c r="W33" s="59">
        <f t="shared" si="7"/>
        <v>1100904343.3238928</v>
      </c>
      <c r="Y33" s="59">
        <f t="shared" si="5"/>
        <v>8.6929022194402711E-2</v>
      </c>
      <c r="Z33" s="59">
        <f t="shared" si="5"/>
        <v>4.7289388073754566</v>
      </c>
      <c r="AB33" s="63">
        <v>1</v>
      </c>
      <c r="AC33" s="63">
        <f>(Z30-U32)/O33</f>
        <v>0.31082400762163803</v>
      </c>
      <c r="AE33" s="59">
        <f t="shared" ref="AE33:AF36" si="8">IF(AB33*H33*-1&lt;0,0,AB33*H33*-1)</f>
        <v>0.50000000000000533</v>
      </c>
      <c r="AF33" s="59">
        <f t="shared" si="8"/>
        <v>8.4544130073085526</v>
      </c>
    </row>
    <row r="34" spans="1:32" x14ac:dyDescent="0.75">
      <c r="A34" s="59">
        <v>35</v>
      </c>
      <c r="B34" s="59">
        <f>SUMIFS('EPA land and ag potential'!$H:$H,'EPA land and ag potential'!$C:$C,'EPA land and ag calcs'!B$22,'EPA land and ag potential'!$G:$G,'EPA land and ag calcs'!$A25,'EPA land and ag potential'!$D:$D,"FASOMGHG",'EPA land and ag potential'!$F:$F,"3% Growth",'EPA land and ag potential'!$K:$K,'EPA land and ag calcs'!$A$29)</f>
        <v>20.5</v>
      </c>
      <c r="C34" s="59">
        <f>SUMIFS('EPA land and ag potential'!$H:$H,'EPA land and ag potential'!$C:$C,'EPA land and ag calcs'!C$22,'EPA land and ag potential'!$G:$G,'EPA land and ag calcs'!$A25,'EPA land and ag potential'!$D:$D,"FASOMGHG",'EPA land and ag potential'!$F:$F,"3% Growth",'EPA land and ag potential'!$K:$K,'EPA land and ag calcs'!$A$29)</f>
        <v>-59.3</v>
      </c>
      <c r="D34" s="59">
        <f>SUMIFS('EPA land and ag potential'!$H:$H,'EPA land and ag potential'!$C:$C,'EPA land and ag calcs'!D$22,'EPA land and ag potential'!$G:$G,'EPA land and ag calcs'!$A25,'EPA land and ag potential'!$D:$D,"FASOMGHG",'EPA land and ag potential'!$F:$F,"3% Growth",'EPA land and ag potential'!$K:$K,'EPA land and ag calcs'!$A$29)</f>
        <v>-99.2</v>
      </c>
      <c r="E34" s="59">
        <f>SUMIFS('EPA land and ag potential'!$H:$H,'EPA land and ag potential'!$C:$C,'EPA land and ag calcs'!E$22,'EPA land and ag potential'!$G:$G,'EPA land and ag calcs'!$A25,'EPA land and ag potential'!$D:$D,"FASOMGHG",'EPA land and ag potential'!$F:$F,"3% Growth",'EPA land and ag potential'!$K:$K,'EPA land and ag calcs'!$A$29)</f>
        <v>-124.1</v>
      </c>
      <c r="G34" s="59">
        <v>35</v>
      </c>
      <c r="H34" s="59">
        <f t="shared" si="6"/>
        <v>5.4000000000000057</v>
      </c>
      <c r="I34" s="59">
        <f t="shared" si="6"/>
        <v>-33.799999999999997</v>
      </c>
      <c r="J34" s="59">
        <f t="shared" si="6"/>
        <v>-59.100000000000009</v>
      </c>
      <c r="K34" s="59">
        <f t="shared" si="6"/>
        <v>-61.599999999999994</v>
      </c>
      <c r="M34" s="59">
        <v>35</v>
      </c>
      <c r="N34" s="59">
        <v>0</v>
      </c>
      <c r="O34" s="59">
        <v>1049451924.3772484</v>
      </c>
      <c r="P34" s="59">
        <v>1834988423.9850707</v>
      </c>
      <c r="Q34" s="59">
        <v>1912610607.7407839</v>
      </c>
      <c r="S34" s="59">
        <v>35</v>
      </c>
      <c r="T34" s="59">
        <f t="shared" ref="T34:T36" si="9">T33+N34</f>
        <v>8871106.7149387952</v>
      </c>
      <c r="U34" s="59">
        <f t="shared" si="7"/>
        <v>1532040129.6699138</v>
      </c>
      <c r="V34" s="59">
        <f t="shared" si="7"/>
        <v>2526491192.4145422</v>
      </c>
      <c r="W34" s="59">
        <f t="shared" si="7"/>
        <v>3013514951.0646768</v>
      </c>
      <c r="Y34" s="59">
        <f t="shared" si="5"/>
        <v>8.6929022194402711E-2</v>
      </c>
      <c r="Z34" s="59">
        <f t="shared" si="5"/>
        <v>15.012642132973189</v>
      </c>
      <c r="AB34" s="63">
        <v>1</v>
      </c>
      <c r="AC34" s="63">
        <v>0</v>
      </c>
      <c r="AE34" s="59">
        <f t="shared" si="8"/>
        <v>0</v>
      </c>
      <c r="AF34" s="59">
        <f t="shared" si="8"/>
        <v>0</v>
      </c>
    </row>
    <row r="35" spans="1:32" x14ac:dyDescent="0.75">
      <c r="A35" s="59">
        <v>50</v>
      </c>
      <c r="B35" s="59">
        <f>SUMIFS('EPA land and ag potential'!$H:$H,'EPA land and ag potential'!$C:$C,'EPA land and ag calcs'!B$22,'EPA land and ag potential'!$G:$G,'EPA land and ag calcs'!$A26,'EPA land and ag potential'!$D:$D,"FASOMGHG",'EPA land and ag potential'!$F:$F,"3% Growth",'EPA land and ag potential'!$K:$K,'EPA land and ag calcs'!$A$29)</f>
        <v>-26.5</v>
      </c>
      <c r="C35" s="59">
        <f>SUMIFS('EPA land and ag potential'!$H:$H,'EPA land and ag potential'!$C:$C,'EPA land and ag calcs'!C$22,'EPA land and ag potential'!$G:$G,'EPA land and ag calcs'!$A26,'EPA land and ag potential'!$D:$D,"FASOMGHG",'EPA land and ag potential'!$F:$F,"3% Growth",'EPA land and ag potential'!$K:$K,'EPA land and ag calcs'!$A$29)</f>
        <v>-103.49999999999999</v>
      </c>
      <c r="D35" s="59">
        <f>SUMIFS('EPA land and ag potential'!$H:$H,'EPA land and ag potential'!$C:$C,'EPA land and ag calcs'!D$22,'EPA land and ag potential'!$G:$G,'EPA land and ag calcs'!$A26,'EPA land and ag potential'!$D:$D,"FASOMGHG",'EPA land and ag potential'!$F:$F,"3% Growth",'EPA land and ag potential'!$K:$K,'EPA land and ag calcs'!$A$29)</f>
        <v>-141.90000000000003</v>
      </c>
      <c r="E35" s="59">
        <f>SUMIFS('EPA land and ag potential'!$H:$H,'EPA land and ag potential'!$C:$C,'EPA land and ag calcs'!E$22,'EPA land and ag potential'!$G:$G,'EPA land and ag calcs'!$A26,'EPA land and ag potential'!$D:$D,"FASOMGHG",'EPA land and ag potential'!$F:$F,"3% Growth",'EPA land and ag potential'!$K:$K,'EPA land and ag calcs'!$A$29)</f>
        <v>-168.4</v>
      </c>
      <c r="G35" s="59">
        <v>50</v>
      </c>
      <c r="H35" s="59">
        <f t="shared" si="6"/>
        <v>-47</v>
      </c>
      <c r="I35" s="59">
        <f t="shared" si="6"/>
        <v>-44.199999999999989</v>
      </c>
      <c r="J35" s="59">
        <f t="shared" si="6"/>
        <v>-42.700000000000031</v>
      </c>
      <c r="K35" s="59">
        <f t="shared" si="6"/>
        <v>-44.300000000000011</v>
      </c>
      <c r="M35" s="59">
        <v>50</v>
      </c>
      <c r="N35" s="59">
        <v>2084710078.0105948</v>
      </c>
      <c r="O35" s="59">
        <v>1960514584.0014524</v>
      </c>
      <c r="P35" s="59">
        <v>1893981283.6394141</v>
      </c>
      <c r="Q35" s="59">
        <v>1964950137.3589227</v>
      </c>
      <c r="S35" s="59">
        <v>50</v>
      </c>
      <c r="T35" s="59">
        <f t="shared" si="9"/>
        <v>2093581184.7255337</v>
      </c>
      <c r="U35" s="59">
        <f t="shared" si="7"/>
        <v>3492554713.6713662</v>
      </c>
      <c r="V35" s="59">
        <f t="shared" si="7"/>
        <v>4420472476.053956</v>
      </c>
      <c r="W35" s="59">
        <f t="shared" si="7"/>
        <v>4978465088.4235992</v>
      </c>
      <c r="Y35" s="59">
        <f t="shared" si="5"/>
        <v>20.515249237878823</v>
      </c>
      <c r="Z35" s="59">
        <f t="shared" si="5"/>
        <v>34.223956037935977</v>
      </c>
      <c r="AB35" s="64">
        <f>(Z30-T34)/N35</f>
        <v>6.7697131977094024E-2</v>
      </c>
      <c r="AC35" s="63">
        <v>0</v>
      </c>
      <c r="AE35" s="59">
        <f t="shared" si="8"/>
        <v>3.1817652029234194</v>
      </c>
      <c r="AF35" s="59">
        <f t="shared" si="8"/>
        <v>0</v>
      </c>
    </row>
    <row r="36" spans="1:32" x14ac:dyDescent="0.75">
      <c r="A36" s="59">
        <v>100</v>
      </c>
      <c r="B36" s="59">
        <f>SUMIFS('EPA land and ag potential'!$H:$H,'EPA land and ag potential'!$C:$C,'EPA land and ag calcs'!B$22,'EPA land and ag potential'!$G:$G,'EPA land and ag calcs'!$A27,'EPA land and ag potential'!$D:$D,"FASOMGHG",'EPA land and ag potential'!$F:$F,"3% Growth",'EPA land and ag potential'!$K:$K,'EPA land and ag calcs'!$A$29)</f>
        <v>-29.099999999999994</v>
      </c>
      <c r="C36" s="59">
        <f>SUMIFS('EPA land and ag potential'!$H:$H,'EPA land and ag potential'!$C:$C,'EPA land and ag calcs'!C$22,'EPA land and ag potential'!$G:$G,'EPA land and ag calcs'!$A27,'EPA land and ag potential'!$D:$D,"FASOMGHG",'EPA land and ag potential'!$F:$F,"3% Growth",'EPA land and ag potential'!$K:$K,'EPA land and ag calcs'!$A$29)</f>
        <v>-122.8</v>
      </c>
      <c r="D36" s="59">
        <f>SUMIFS('EPA land and ag potential'!$H:$H,'EPA land and ag potential'!$C:$C,'EPA land and ag calcs'!D$22,'EPA land and ag potential'!$G:$G,'EPA land and ag calcs'!$A27,'EPA land and ag potential'!$D:$D,"FASOMGHG",'EPA land and ag potential'!$F:$F,"3% Growth",'EPA land and ag potential'!$K:$K,'EPA land and ag calcs'!$A$29)</f>
        <v>-158.19999999999999</v>
      </c>
      <c r="E36" s="59">
        <f>SUMIFS('EPA land and ag potential'!$H:$H,'EPA land and ag potential'!$C:$C,'EPA land and ag calcs'!E$22,'EPA land and ag potential'!$G:$G,'EPA land and ag calcs'!$A27,'EPA land and ag potential'!$D:$D,"FASOMGHG",'EPA land and ag potential'!$F:$F,"3% Growth",'EPA land and ag potential'!$K:$K,'EPA land and ag calcs'!$A$29)</f>
        <v>-191.89999999999998</v>
      </c>
      <c r="G36" s="59">
        <v>100</v>
      </c>
      <c r="H36" s="59">
        <f t="shared" si="6"/>
        <v>-2.5999999999999943</v>
      </c>
      <c r="I36" s="59">
        <f t="shared" si="6"/>
        <v>-19.300000000000011</v>
      </c>
      <c r="J36" s="59">
        <f t="shared" si="6"/>
        <v>-16.299999999999955</v>
      </c>
      <c r="K36" s="59">
        <f t="shared" si="6"/>
        <v>-23.499999999999972</v>
      </c>
      <c r="M36" s="59">
        <v>100</v>
      </c>
      <c r="N36" s="59">
        <v>230648774.58840573</v>
      </c>
      <c r="O36" s="59">
        <v>1712123595.9831705</v>
      </c>
      <c r="P36" s="59">
        <v>1445990394.5350044</v>
      </c>
      <c r="Q36" s="59">
        <v>2084710078.0105922</v>
      </c>
      <c r="S36" s="59">
        <v>100</v>
      </c>
      <c r="T36" s="59">
        <f t="shared" si="9"/>
        <v>2324229959.3139396</v>
      </c>
      <c r="U36" s="59">
        <f t="shared" si="7"/>
        <v>5204678309.6545372</v>
      </c>
      <c r="V36" s="59">
        <f t="shared" si="7"/>
        <v>5866462870.5889606</v>
      </c>
      <c r="W36" s="59">
        <f t="shared" si="7"/>
        <v>7063175166.4341917</v>
      </c>
      <c r="AB36" s="63">
        <v>0</v>
      </c>
      <c r="AC36" s="63">
        <v>0</v>
      </c>
      <c r="AE36" s="59">
        <f t="shared" si="8"/>
        <v>0</v>
      </c>
      <c r="AF36" s="59">
        <f t="shared" si="8"/>
        <v>0</v>
      </c>
    </row>
    <row r="37" spans="1:32" x14ac:dyDescent="0.75">
      <c r="A37" s="61"/>
      <c r="AD37" s="59" t="s">
        <v>328</v>
      </c>
      <c r="AE37" s="59">
        <f>SUM(AE32:AE36)*10^12</f>
        <v>3681765202923.4248</v>
      </c>
      <c r="AF37" s="59">
        <f>SUM(AF32:AF36)*10^12</f>
        <v>8454413007308.5527</v>
      </c>
    </row>
    <row r="38" spans="1:32" x14ac:dyDescent="0.75">
      <c r="A38" s="61" t="s">
        <v>353</v>
      </c>
    </row>
    <row r="39" spans="1:32" x14ac:dyDescent="0.75">
      <c r="B39" s="59">
        <v>2021</v>
      </c>
      <c r="C39" s="59">
        <v>2022</v>
      </c>
      <c r="D39" s="59">
        <v>2023</v>
      </c>
      <c r="E39" s="59">
        <v>2024</v>
      </c>
      <c r="F39" s="59">
        <v>2025</v>
      </c>
      <c r="G39" s="59">
        <v>2026</v>
      </c>
      <c r="H39" s="59">
        <v>2027</v>
      </c>
      <c r="I39" s="59">
        <v>2028</v>
      </c>
      <c r="J39" s="59">
        <v>2029</v>
      </c>
      <c r="K39" s="59">
        <v>2030</v>
      </c>
      <c r="L39" s="59">
        <v>2031</v>
      </c>
      <c r="M39" s="59">
        <v>2032</v>
      </c>
      <c r="N39" s="59">
        <v>2033</v>
      </c>
      <c r="O39" s="59">
        <v>2034</v>
      </c>
      <c r="P39" s="59">
        <v>2035</v>
      </c>
      <c r="Q39" s="59">
        <v>2036</v>
      </c>
      <c r="R39" s="59">
        <v>2037</v>
      </c>
      <c r="S39" s="59">
        <v>2038</v>
      </c>
      <c r="T39" s="59">
        <v>2039</v>
      </c>
      <c r="U39" s="59">
        <v>2040</v>
      </c>
      <c r="V39" s="59">
        <v>2041</v>
      </c>
      <c r="W39" s="59">
        <v>2042</v>
      </c>
      <c r="X39" s="59">
        <v>2043</v>
      </c>
      <c r="Y39" s="59">
        <v>2044</v>
      </c>
      <c r="Z39" s="59">
        <v>2045</v>
      </c>
      <c r="AA39" s="59">
        <v>2046</v>
      </c>
      <c r="AB39" s="59">
        <v>2047</v>
      </c>
      <c r="AC39" s="59">
        <v>2048</v>
      </c>
      <c r="AD39" s="59">
        <v>2049</v>
      </c>
      <c r="AE39" s="59">
        <v>2050</v>
      </c>
    </row>
    <row r="40" spans="1:32" x14ac:dyDescent="0.75">
      <c r="A40" s="59" t="s">
        <v>279</v>
      </c>
      <c r="B40" s="59">
        <v>0</v>
      </c>
      <c r="C40" s="59">
        <v>0</v>
      </c>
      <c r="D40" s="59">
        <v>4957409381663.0781</v>
      </c>
      <c r="E40" s="59">
        <v>8926839019189.7656</v>
      </c>
      <c r="F40" s="59">
        <v>12203304904051.205</v>
      </c>
      <c r="G40" s="59">
        <v>15384377094121.08</v>
      </c>
      <c r="H40" s="59">
        <v>17578198294243</v>
      </c>
      <c r="I40" s="59">
        <v>17459141791044.742</v>
      </c>
      <c r="J40" s="59">
        <v>15815565031982.941</v>
      </c>
      <c r="K40" s="59">
        <v>14795655650319.861</v>
      </c>
      <c r="L40" s="59">
        <v>12251226012793.074</v>
      </c>
      <c r="M40" s="59">
        <v>9978678038379.5293</v>
      </c>
      <c r="N40" s="59">
        <v>6652452025586.3525</v>
      </c>
      <c r="O40" s="59">
        <v>3326226012793.1763</v>
      </c>
      <c r="P40" s="59">
        <v>0</v>
      </c>
      <c r="Q40" s="59">
        <v>0</v>
      </c>
      <c r="R40" s="59">
        <v>0</v>
      </c>
      <c r="S40" s="59">
        <v>0</v>
      </c>
      <c r="T40" s="59">
        <v>0</v>
      </c>
      <c r="U40" s="59">
        <v>0</v>
      </c>
      <c r="V40" s="59">
        <v>0</v>
      </c>
      <c r="W40" s="59">
        <v>0</v>
      </c>
      <c r="X40" s="59">
        <v>0</v>
      </c>
      <c r="Y40" s="59">
        <v>0</v>
      </c>
      <c r="Z40" s="59">
        <v>0</v>
      </c>
      <c r="AA40" s="59">
        <v>0</v>
      </c>
      <c r="AB40" s="59">
        <v>0</v>
      </c>
      <c r="AC40" s="59">
        <v>0</v>
      </c>
      <c r="AD40" s="59">
        <v>0</v>
      </c>
      <c r="AE40" s="59">
        <v>0</v>
      </c>
    </row>
    <row r="41" spans="1:32" x14ac:dyDescent="0.75">
      <c r="A41" s="59" t="s">
        <v>3</v>
      </c>
      <c r="B41" s="59">
        <v>0</v>
      </c>
      <c r="C41" s="59">
        <v>0</v>
      </c>
      <c r="D41" s="59">
        <v>0</v>
      </c>
      <c r="E41" s="59">
        <v>0</v>
      </c>
      <c r="F41" s="59">
        <v>0</v>
      </c>
      <c r="G41" s="59">
        <v>0</v>
      </c>
      <c r="H41" s="59">
        <v>508293245022.12891</v>
      </c>
      <c r="I41" s="59">
        <v>7053534757719.293</v>
      </c>
      <c r="J41" s="59">
        <v>10179858186482.16</v>
      </c>
      <c r="K41" s="59">
        <v>10179858186482.16</v>
      </c>
      <c r="L41" s="59">
        <v>10179858186482.16</v>
      </c>
      <c r="M41" s="59">
        <v>10179858186482.16</v>
      </c>
      <c r="N41" s="59">
        <v>10179858186482.16</v>
      </c>
      <c r="O41" s="59">
        <v>10179858186482.16</v>
      </c>
      <c r="P41" s="59">
        <v>10179858186482.16</v>
      </c>
      <c r="Q41" s="59">
        <f>P41</f>
        <v>10179858186482.16</v>
      </c>
      <c r="R41" s="59">
        <f t="shared" ref="R41:AE41" si="10">Q41</f>
        <v>10179858186482.16</v>
      </c>
      <c r="S41" s="59">
        <f t="shared" si="10"/>
        <v>10179858186482.16</v>
      </c>
      <c r="T41" s="59">
        <f t="shared" si="10"/>
        <v>10179858186482.16</v>
      </c>
      <c r="U41" s="59">
        <f t="shared" si="10"/>
        <v>10179858186482.16</v>
      </c>
      <c r="V41" s="59">
        <f t="shared" si="10"/>
        <v>10179858186482.16</v>
      </c>
      <c r="W41" s="59">
        <f t="shared" si="10"/>
        <v>10179858186482.16</v>
      </c>
      <c r="X41" s="59">
        <f t="shared" si="10"/>
        <v>10179858186482.16</v>
      </c>
      <c r="Y41" s="59">
        <f t="shared" si="10"/>
        <v>10179858186482.16</v>
      </c>
      <c r="Z41" s="59">
        <f t="shared" si="10"/>
        <v>10179858186482.16</v>
      </c>
      <c r="AA41" s="59">
        <f t="shared" si="10"/>
        <v>10179858186482.16</v>
      </c>
      <c r="AB41" s="59">
        <f t="shared" si="10"/>
        <v>10179858186482.16</v>
      </c>
      <c r="AC41" s="59">
        <f t="shared" si="10"/>
        <v>10179858186482.16</v>
      </c>
      <c r="AD41" s="59">
        <f t="shared" si="10"/>
        <v>10179858186482.16</v>
      </c>
      <c r="AE41" s="59">
        <f t="shared" si="10"/>
        <v>10179858186482.16</v>
      </c>
    </row>
    <row r="42" spans="1:32" x14ac:dyDescent="0.75">
      <c r="A42" s="61"/>
    </row>
    <row r="43" spans="1:32" x14ac:dyDescent="0.75">
      <c r="A43" s="61" t="s">
        <v>330</v>
      </c>
    </row>
    <row r="44" spans="1:32" x14ac:dyDescent="0.75">
      <c r="B44" s="59">
        <v>2021</v>
      </c>
      <c r="C44" s="59">
        <v>2022</v>
      </c>
      <c r="D44" s="59">
        <v>2023</v>
      </c>
      <c r="E44" s="59">
        <v>2024</v>
      </c>
      <c r="F44" s="59">
        <v>2025</v>
      </c>
      <c r="G44" s="59">
        <v>2026</v>
      </c>
      <c r="H44" s="59">
        <v>2027</v>
      </c>
      <c r="I44" s="59">
        <v>2028</v>
      </c>
      <c r="J44" s="59">
        <v>2029</v>
      </c>
      <c r="K44" s="59">
        <v>2030</v>
      </c>
      <c r="L44" s="59">
        <v>2031</v>
      </c>
      <c r="M44" s="59">
        <v>2032</v>
      </c>
      <c r="N44" s="59">
        <v>2033</v>
      </c>
      <c r="O44" s="59">
        <v>2034</v>
      </c>
      <c r="P44" s="59">
        <v>2035</v>
      </c>
      <c r="Q44" s="59">
        <v>2036</v>
      </c>
      <c r="R44" s="59">
        <v>2037</v>
      </c>
      <c r="S44" s="59">
        <v>2038</v>
      </c>
      <c r="T44" s="59">
        <v>2039</v>
      </c>
      <c r="U44" s="59">
        <v>2040</v>
      </c>
      <c r="V44" s="59">
        <v>2041</v>
      </c>
      <c r="W44" s="59">
        <v>2042</v>
      </c>
      <c r="X44" s="59">
        <v>2043</v>
      </c>
      <c r="Y44" s="59">
        <v>2044</v>
      </c>
      <c r="Z44" s="59">
        <v>2045</v>
      </c>
      <c r="AA44" s="59">
        <v>2046</v>
      </c>
      <c r="AB44" s="59">
        <v>2047</v>
      </c>
      <c r="AC44" s="59">
        <v>2048</v>
      </c>
      <c r="AD44" s="59">
        <v>2049</v>
      </c>
      <c r="AE44" s="59">
        <v>2050</v>
      </c>
    </row>
    <row r="45" spans="1:32" x14ac:dyDescent="0.75">
      <c r="A45" s="59" t="s">
        <v>279</v>
      </c>
      <c r="B45" s="59" cm="1">
        <f t="array" ref="B45">-TREND($B$27:$C$27,$B$22:$C$22,B44)*10^12</f>
        <v>11739999999999.781</v>
      </c>
      <c r="C45" s="59" cm="1">
        <f t="array" ref="C45">-TREND($B$27:$C$27,$B$22:$C$22,C44)*10^12</f>
        <v>15479999999999.563</v>
      </c>
      <c r="D45" s="59" cm="1">
        <f t="array" ref="D45">-TREND($B$27:$C$27,$B$22:$C$22,D44)*10^12</f>
        <v>19219999999999.344</v>
      </c>
      <c r="E45" s="59" cm="1">
        <f t="array" ref="E45">-TREND($B$27:$C$27,$B$22:$C$22,E44)*10^12</f>
        <v>22959999999999.125</v>
      </c>
      <c r="F45" s="59" cm="1">
        <f t="array" ref="F45">-TREND($B$27:$C$27,$B$22:$C$22,F44)*10^12</f>
        <v>26699999999999.816</v>
      </c>
      <c r="G45" s="59" cm="1">
        <f t="array" ref="G45">-TREND($B$27:$C$27,$B$22:$C$22,G44)*10^12</f>
        <v>30439999999999.602</v>
      </c>
      <c r="H45" s="59" cm="1">
        <f t="array" ref="H45">-TREND($B$27:$C$27,$B$22:$C$22,H44)*10^12</f>
        <v>34179999999999.383</v>
      </c>
      <c r="I45" s="59" cm="1">
        <f t="array" ref="I45">-TREND($B$27:$C$27,$B$22:$C$22,I44)*10^12</f>
        <v>37919999999999.164</v>
      </c>
      <c r="J45" s="59" cm="1">
        <f t="array" ref="J45">-TREND($B$27:$C$27,$B$22:$C$22,J44)*10^12</f>
        <v>41659999999998.945</v>
      </c>
      <c r="K45" s="59" cm="1">
        <f t="array" ref="K45">-TREND($B$27:$C$27,$B$22:$C$22,K44)*10^12</f>
        <v>45399999999999.633</v>
      </c>
      <c r="L45" s="59" cm="1">
        <f t="array" ref="L45">-TREND($B$27:$C$27,$B$22:$C$22,L44)*10^12</f>
        <v>49139999999999.414</v>
      </c>
      <c r="M45" s="59" cm="1">
        <f t="array" ref="M45">-TREND($B$27:$C$27,$B$22:$C$22,M44)*10^12</f>
        <v>52879999999999.203</v>
      </c>
      <c r="N45" s="59" cm="1">
        <f t="array" ref="N45">-TREND($B$27:$C$27,$B$22:$C$22,N44)*10^12</f>
        <v>56619999999998.984</v>
      </c>
      <c r="O45" s="59" cm="1">
        <f t="array" ref="O45">-TREND($B$27:$C$27,$B$22:$C$22,O44)*10^12</f>
        <v>60359999999999.672</v>
      </c>
      <c r="P45" s="59" cm="1">
        <f t="array" ref="P45">-TREND($B$27:$C$27,$B$22:$C$22,P44)*10^12</f>
        <v>64099999999999.453</v>
      </c>
      <c r="Q45" s="59" cm="1">
        <f t="array" ref="Q45">-TREND($C$27:$D$27,$C$22:$D$22,Q44)*10^12</f>
        <v>65210000000000.039</v>
      </c>
      <c r="R45" s="59" cm="1">
        <f t="array" ref="R45">-TREND($C$27:$D$27,$C$22:$D$22,R44)*10^12</f>
        <v>66320000000000.164</v>
      </c>
      <c r="S45" s="59" cm="1">
        <f t="array" ref="S45">-TREND($C$27:$D$27,$C$22:$D$22,S44)*10^12</f>
        <v>67430000000000.289</v>
      </c>
      <c r="T45" s="59" cm="1">
        <f t="array" ref="T45">-TREND($C$27:$D$27,$C$22:$D$22,T44)*10^12</f>
        <v>68540000000000.422</v>
      </c>
      <c r="U45" s="59" cm="1">
        <f t="array" ref="U45">-TREND($C$27:$D$27,$C$22:$D$22,U44)*10^12</f>
        <v>69650000000000.094</v>
      </c>
      <c r="V45" s="59" cm="1">
        <f t="array" ref="V45">-TREND($C$27:$D$27,$C$22:$D$22,V44)*10^12</f>
        <v>70760000000000.219</v>
      </c>
      <c r="W45" s="59" cm="1">
        <f t="array" ref="W45">-TREND($C$27:$D$27,$C$22:$D$22,W44)*10^12</f>
        <v>71870000000000.344</v>
      </c>
      <c r="X45" s="59" cm="1">
        <f t="array" ref="X45">-TREND($C$27:$D$27,$C$22:$D$22,X44)*10^12</f>
        <v>72980000000000.016</v>
      </c>
      <c r="Y45" s="59" cm="1">
        <f t="array" ref="Y45">-TREND($C$27:$D$27,$C$22:$D$22,Y44)*10^12</f>
        <v>74090000000000.141</v>
      </c>
      <c r="Z45" s="59" cm="1">
        <f t="array" ref="Z45">-TREND($C$27:$D$27,$C$22:$D$22,Z44)*10^12</f>
        <v>75200000000000.266</v>
      </c>
      <c r="AA45" s="59" cm="1">
        <f t="array" ref="AA45">-TREND($D$27:$E$27,$D$22:$E$22,AA44)*10^12</f>
        <v>76629999999999.656</v>
      </c>
      <c r="AB45" s="59" cm="1">
        <f t="array" ref="AB45">-TREND($D$27:$E$27,$D$22:$E$22,AB44)*10^12</f>
        <v>78059999999999.953</v>
      </c>
      <c r="AC45" s="59" cm="1">
        <f t="array" ref="AC45">-TREND($D$27:$E$27,$D$22:$E$22,AC44)*10^12</f>
        <v>79489999999999.781</v>
      </c>
      <c r="AD45" s="59" cm="1">
        <f t="array" ref="AD45">-TREND($D$27:$E$27,$D$22:$E$22,AD44)*10^12</f>
        <v>80919999999999.625</v>
      </c>
      <c r="AE45" s="59" cm="1">
        <f t="array" ref="AE45">-TREND($D$27:$E$27,$D$22:$E$22,AE44)*10^12</f>
        <v>82349999999999.906</v>
      </c>
    </row>
    <row r="46" spans="1:32" x14ac:dyDescent="0.75">
      <c r="A46" s="59" t="s">
        <v>3</v>
      </c>
      <c r="B46" s="59" cm="1">
        <f t="array" ref="B46">MAX(-TREND($B$36:$C$36,$B$31:$C$31,B44)*10^12,0)</f>
        <v>0</v>
      </c>
      <c r="C46" s="59" cm="1">
        <f t="array" ref="C46">MAX(-TREND($B$36:$C$36,$B$31:$C$31,C44)*10^12,0)</f>
        <v>990000000001.60071</v>
      </c>
      <c r="D46" s="59" cm="1">
        <f t="array" ref="D46">MAX(-TREND($B$36:$C$36,$B$31:$C$31,D44)*10^12,0)</f>
        <v>10360000000000.582</v>
      </c>
      <c r="E46" s="59" cm="1">
        <f t="array" ref="E46">MAX(-TREND($B$36:$C$36,$B$31:$C$31,E44)*10^12,0)</f>
        <v>19729999999999.563</v>
      </c>
      <c r="F46" s="59" cm="1">
        <f t="array" ref="F46">MAX(-TREND($B$36:$C$36,$B$31:$C$31,F44)*10^12,0)</f>
        <v>29100000000002.184</v>
      </c>
      <c r="G46" s="59" cm="1">
        <f t="array" ref="G46">MAX(-TREND($B$36:$C$36,$B$31:$C$31,G44)*10^12,0)</f>
        <v>38470000000001.164</v>
      </c>
      <c r="H46" s="59" cm="1">
        <f t="array" ref="H46">MAX(-TREND($B$36:$C$36,$B$31:$C$31,H44)*10^12,0)</f>
        <v>47840000000000.148</v>
      </c>
      <c r="I46" s="59" cm="1">
        <f t="array" ref="I46">MAX(-TREND($B$36:$C$36,$B$31:$C$31,I44)*10^12,0)</f>
        <v>57209999999999.125</v>
      </c>
      <c r="J46" s="59" cm="1">
        <f t="array" ref="J46">MAX(-TREND($B$36:$C$36,$B$31:$C$31,J44)*10^12,0)</f>
        <v>66580000000001.75</v>
      </c>
      <c r="K46" s="59" cm="1">
        <f t="array" ref="K46">MAX(-TREND($B$36:$C$36,$B$31:$C$31,K44)*10^12,0)</f>
        <v>75950000000000.734</v>
      </c>
      <c r="L46" s="59" cm="1">
        <f t="array" ref="L46">MAX(-TREND($B$36:$C$36,$B$31:$C$31,L44)*10^12,0)</f>
        <v>85319999999999.703</v>
      </c>
      <c r="M46" s="59" cm="1">
        <f t="array" ref="M46">MAX(-TREND($B$36:$C$36,$B$31:$C$31,M44)*10^12,0)</f>
        <v>94690000000002.328</v>
      </c>
      <c r="N46" s="59" cm="1">
        <f t="array" ref="N46">MAX(-TREND($B$36:$C$36,$B$31:$C$31,N44)*10^12,0)</f>
        <v>104060000000001.31</v>
      </c>
      <c r="O46" s="59" cm="1">
        <f t="array" ref="O46">MAX(-TREND($B$36:$C$36,$B$31:$C$31,O44)*10^12,0)</f>
        <v>113430000000000.3</v>
      </c>
      <c r="P46" s="59" cm="1">
        <f t="array" ref="P46">MAX(-TREND($B$36:$C$36,$B$31:$C$31,P44)*10^12,0)</f>
        <v>122799999999999.27</v>
      </c>
      <c r="Q46" s="59" cm="1">
        <f t="array" ref="Q46">MAX(-TREND($C$36:$D$36,$C$31:$D$31,Q44)*10^12,0)</f>
        <v>126340000000000.14</v>
      </c>
      <c r="R46" s="59" cm="1">
        <f t="array" ref="R46">MAX(-TREND($C$36:$D$36,$C$31:$D$31,R44)*10^12,0)</f>
        <v>129880000000000.11</v>
      </c>
      <c r="S46" s="59" cm="1">
        <f t="array" ref="S46">MAX(-TREND($C$36:$D$36,$C$31:$D$31,S44)*10^12,0)</f>
        <v>133420000000000.08</v>
      </c>
      <c r="T46" s="59" cm="1">
        <f t="array" ref="T46">MAX(-TREND($C$36:$D$36,$C$31:$D$31,T44)*10^12,0)</f>
        <v>136960000000000.03</v>
      </c>
      <c r="U46" s="59" cm="1">
        <f t="array" ref="U46">MAX(-TREND($C$36:$D$36,$C$31:$D$31,U44)*10^12,0)</f>
        <v>140500000000000</v>
      </c>
      <c r="V46" s="59" cm="1">
        <f t="array" ref="V46">MAX(-TREND($C$36:$D$36,$C$31:$D$31,V44)*10^12,0)</f>
        <v>144039999999999.97</v>
      </c>
      <c r="W46" s="59" cm="1">
        <f t="array" ref="W46">MAX(-TREND($C$36:$D$36,$C$31:$D$31,W44)*10^12,0)</f>
        <v>147579999999999.94</v>
      </c>
      <c r="X46" s="59" cm="1">
        <f t="array" ref="X46">MAX(-TREND($C$36:$D$36,$C$31:$D$31,X44)*10^12,0)</f>
        <v>151119999999999.91</v>
      </c>
      <c r="Y46" s="59" cm="1">
        <f t="array" ref="Y46">MAX(-TREND($C$36:$D$36,$C$31:$D$31,Y44)*10^12,0)</f>
        <v>154659999999999.84</v>
      </c>
      <c r="Z46" s="59" cm="1">
        <f t="array" ref="Z46">MAX(-TREND($C$36:$D$36,$C$31:$D$31,Z44)*10^12,0)</f>
        <v>158199999999999.81</v>
      </c>
      <c r="AA46" s="59" cm="1">
        <f t="array" ref="AA46">MAX(-TREND($D$36:$E$36,$D$31:$E$31,AA44)*10^12,0)</f>
        <v>161570000000000.63</v>
      </c>
      <c r="AB46" s="59" cm="1">
        <f t="array" ref="AB46">MAX(-TREND($D$36:$E$36,$D$31:$E$31,AB44)*10^12,0)</f>
        <v>164940000000000.5</v>
      </c>
      <c r="AC46" s="59" cm="1">
        <f t="array" ref="AC46">MAX(-TREND($D$36:$E$36,$D$31:$E$31,AC44)*10^12,0)</f>
        <v>168310000000000.41</v>
      </c>
      <c r="AD46" s="59" cm="1">
        <f t="array" ref="AD46">MAX(-TREND($D$36:$E$36,$D$31:$E$31,AD44)*10^12,0)</f>
        <v>171680000000000.28</v>
      </c>
      <c r="AE46" s="59" cm="1">
        <f t="array" ref="AE46">MAX(-TREND($D$36:$E$36,$D$31:$E$31,AE44)*10^12,0)</f>
        <v>175050000000000.19</v>
      </c>
    </row>
    <row r="48" spans="1:32" x14ac:dyDescent="0.75">
      <c r="A48" s="61" t="s">
        <v>331</v>
      </c>
    </row>
    <row r="49" spans="1:31" x14ac:dyDescent="0.75">
      <c r="B49" s="59">
        <v>2021</v>
      </c>
      <c r="C49" s="59">
        <v>2022</v>
      </c>
      <c r="D49" s="59">
        <v>2023</v>
      </c>
      <c r="E49" s="59">
        <v>2024</v>
      </c>
      <c r="F49" s="59">
        <v>2025</v>
      </c>
      <c r="G49" s="59">
        <v>2026</v>
      </c>
      <c r="H49" s="59">
        <v>2027</v>
      </c>
      <c r="I49" s="59">
        <v>2028</v>
      </c>
      <c r="J49" s="59">
        <v>2029</v>
      </c>
      <c r="K49" s="59">
        <v>2030</v>
      </c>
      <c r="L49" s="59">
        <v>2031</v>
      </c>
      <c r="M49" s="59">
        <v>2032</v>
      </c>
      <c r="N49" s="59">
        <v>2033</v>
      </c>
      <c r="O49" s="59">
        <v>2034</v>
      </c>
      <c r="P49" s="59">
        <v>2035</v>
      </c>
      <c r="Q49" s="59">
        <v>2036</v>
      </c>
      <c r="R49" s="59">
        <v>2037</v>
      </c>
      <c r="S49" s="59">
        <v>2038</v>
      </c>
      <c r="T49" s="59">
        <v>2039</v>
      </c>
      <c r="U49" s="59">
        <v>2040</v>
      </c>
      <c r="V49" s="59">
        <v>2041</v>
      </c>
      <c r="W49" s="59">
        <v>2042</v>
      </c>
      <c r="X49" s="59">
        <v>2043</v>
      </c>
      <c r="Y49" s="59">
        <v>2044</v>
      </c>
      <c r="Z49" s="59">
        <v>2045</v>
      </c>
      <c r="AA49" s="59">
        <v>2046</v>
      </c>
      <c r="AB49" s="59">
        <v>2047</v>
      </c>
      <c r="AC49" s="59">
        <v>2048</v>
      </c>
      <c r="AD49" s="59">
        <v>2049</v>
      </c>
      <c r="AE49" s="59">
        <v>2050</v>
      </c>
    </row>
    <row r="50" spans="1:31" x14ac:dyDescent="0.75">
      <c r="A50" s="59" t="s">
        <v>279</v>
      </c>
      <c r="B50" s="59">
        <f>B45</f>
        <v>11739999999999.781</v>
      </c>
      <c r="C50" s="59">
        <f t="shared" ref="C50:AE50" si="11">C45</f>
        <v>15479999999999.563</v>
      </c>
      <c r="D50" s="59">
        <f t="shared" si="11"/>
        <v>19219999999999.344</v>
      </c>
      <c r="E50" s="59">
        <f t="shared" si="11"/>
        <v>22959999999999.125</v>
      </c>
      <c r="F50" s="59">
        <f t="shared" si="11"/>
        <v>26699999999999.816</v>
      </c>
      <c r="G50" s="59">
        <f t="shared" si="11"/>
        <v>30439999999999.602</v>
      </c>
      <c r="H50" s="59">
        <f t="shared" si="11"/>
        <v>34179999999999.383</v>
      </c>
      <c r="I50" s="59">
        <f t="shared" si="11"/>
        <v>37919999999999.164</v>
      </c>
      <c r="J50" s="59">
        <f t="shared" si="11"/>
        <v>41659999999998.945</v>
      </c>
      <c r="K50" s="59">
        <f t="shared" si="11"/>
        <v>45399999999999.633</v>
      </c>
      <c r="L50" s="59">
        <f t="shared" si="11"/>
        <v>49139999999999.414</v>
      </c>
      <c r="M50" s="59">
        <f t="shared" si="11"/>
        <v>52879999999999.203</v>
      </c>
      <c r="N50" s="59">
        <f t="shared" si="11"/>
        <v>56619999999998.984</v>
      </c>
      <c r="O50" s="59">
        <f t="shared" si="11"/>
        <v>60359999999999.672</v>
      </c>
      <c r="P50" s="59">
        <f t="shared" si="11"/>
        <v>64099999999999.453</v>
      </c>
      <c r="Q50" s="59">
        <f t="shared" si="11"/>
        <v>65210000000000.039</v>
      </c>
      <c r="R50" s="59">
        <f t="shared" si="11"/>
        <v>66320000000000.164</v>
      </c>
      <c r="S50" s="59">
        <f t="shared" si="11"/>
        <v>67430000000000.289</v>
      </c>
      <c r="T50" s="59">
        <f t="shared" si="11"/>
        <v>68540000000000.422</v>
      </c>
      <c r="U50" s="59">
        <f t="shared" si="11"/>
        <v>69650000000000.094</v>
      </c>
      <c r="V50" s="59">
        <f t="shared" si="11"/>
        <v>70760000000000.219</v>
      </c>
      <c r="W50" s="59">
        <f t="shared" si="11"/>
        <v>71870000000000.344</v>
      </c>
      <c r="X50" s="59">
        <f t="shared" si="11"/>
        <v>72980000000000.016</v>
      </c>
      <c r="Y50" s="59">
        <f t="shared" si="11"/>
        <v>74090000000000.141</v>
      </c>
      <c r="Z50" s="59">
        <f t="shared" si="11"/>
        <v>75200000000000.266</v>
      </c>
      <c r="AA50" s="59">
        <f t="shared" si="11"/>
        <v>76629999999999.656</v>
      </c>
      <c r="AB50" s="59">
        <f t="shared" si="11"/>
        <v>78059999999999.953</v>
      </c>
      <c r="AC50" s="59">
        <f t="shared" si="11"/>
        <v>79489999999999.781</v>
      </c>
      <c r="AD50" s="59">
        <f t="shared" si="11"/>
        <v>80919999999999.625</v>
      </c>
      <c r="AE50" s="59">
        <f t="shared" si="11"/>
        <v>82349999999999.906</v>
      </c>
    </row>
    <row r="51" spans="1:31" x14ac:dyDescent="0.75">
      <c r="A51" s="59" t="s">
        <v>3</v>
      </c>
      <c r="B51" s="59">
        <f>B46</f>
        <v>0</v>
      </c>
      <c r="C51" s="59">
        <f t="shared" ref="C51:AE51" si="12">C46</f>
        <v>990000000001.60071</v>
      </c>
      <c r="D51" s="59">
        <f t="shared" si="12"/>
        <v>10360000000000.582</v>
      </c>
      <c r="E51" s="59">
        <f t="shared" si="12"/>
        <v>19729999999999.563</v>
      </c>
      <c r="F51" s="59">
        <f t="shared" si="12"/>
        <v>29100000000002.184</v>
      </c>
      <c r="G51" s="59">
        <f t="shared" si="12"/>
        <v>38470000000001.164</v>
      </c>
      <c r="H51" s="59">
        <f t="shared" si="12"/>
        <v>47840000000000.148</v>
      </c>
      <c r="I51" s="59">
        <f t="shared" si="12"/>
        <v>57209999999999.125</v>
      </c>
      <c r="J51" s="59">
        <f t="shared" si="12"/>
        <v>66580000000001.75</v>
      </c>
      <c r="K51" s="59">
        <f t="shared" si="12"/>
        <v>75950000000000.734</v>
      </c>
      <c r="L51" s="59">
        <f t="shared" si="12"/>
        <v>85319999999999.703</v>
      </c>
      <c r="M51" s="59">
        <f t="shared" si="12"/>
        <v>94690000000002.328</v>
      </c>
      <c r="N51" s="59">
        <f t="shared" si="12"/>
        <v>104060000000001.31</v>
      </c>
      <c r="O51" s="59">
        <f t="shared" si="12"/>
        <v>113430000000000.3</v>
      </c>
      <c r="P51" s="59">
        <f t="shared" si="12"/>
        <v>122799999999999.27</v>
      </c>
      <c r="Q51" s="59">
        <f t="shared" si="12"/>
        <v>126340000000000.14</v>
      </c>
      <c r="R51" s="59">
        <f t="shared" si="12"/>
        <v>129880000000000.11</v>
      </c>
      <c r="S51" s="59">
        <f t="shared" si="12"/>
        <v>133420000000000.08</v>
      </c>
      <c r="T51" s="59">
        <f t="shared" si="12"/>
        <v>136960000000000.03</v>
      </c>
      <c r="U51" s="59">
        <f t="shared" si="12"/>
        <v>140500000000000</v>
      </c>
      <c r="V51" s="59">
        <f t="shared" si="12"/>
        <v>144039999999999.97</v>
      </c>
      <c r="W51" s="59">
        <f t="shared" si="12"/>
        <v>147579999999999.94</v>
      </c>
      <c r="X51" s="59">
        <f t="shared" si="12"/>
        <v>151119999999999.91</v>
      </c>
      <c r="Y51" s="59">
        <f t="shared" si="12"/>
        <v>154659999999999.84</v>
      </c>
      <c r="Z51" s="59">
        <f t="shared" si="12"/>
        <v>158199999999999.81</v>
      </c>
      <c r="AA51" s="59">
        <f t="shared" si="12"/>
        <v>161570000000000.63</v>
      </c>
      <c r="AB51" s="59">
        <f t="shared" si="12"/>
        <v>164940000000000.5</v>
      </c>
      <c r="AC51" s="59">
        <f t="shared" si="12"/>
        <v>168310000000000.41</v>
      </c>
      <c r="AD51" s="59">
        <f t="shared" si="12"/>
        <v>171680000000000.28</v>
      </c>
      <c r="AE51" s="59">
        <f t="shared" si="12"/>
        <v>175050000000000.19</v>
      </c>
    </row>
    <row r="53" spans="1:31" x14ac:dyDescent="0.75">
      <c r="A53" s="61" t="s">
        <v>333</v>
      </c>
    </row>
    <row r="54" spans="1:31" x14ac:dyDescent="0.75">
      <c r="B54" s="59">
        <v>2021</v>
      </c>
      <c r="C54" s="59">
        <v>2022</v>
      </c>
      <c r="D54" s="59">
        <v>2023</v>
      </c>
      <c r="E54" s="59">
        <v>2024</v>
      </c>
      <c r="F54" s="59">
        <v>2025</v>
      </c>
      <c r="G54" s="59">
        <v>2026</v>
      </c>
      <c r="H54" s="59">
        <v>2027</v>
      </c>
      <c r="I54" s="59">
        <v>2028</v>
      </c>
      <c r="J54" s="59">
        <v>2029</v>
      </c>
      <c r="K54" s="59">
        <v>2030</v>
      </c>
      <c r="L54" s="59">
        <v>2031</v>
      </c>
      <c r="M54" s="59">
        <v>2032</v>
      </c>
      <c r="N54" s="59">
        <v>2033</v>
      </c>
      <c r="O54" s="59">
        <v>2034</v>
      </c>
      <c r="P54" s="59">
        <v>2035</v>
      </c>
      <c r="Q54" s="59">
        <v>2036</v>
      </c>
      <c r="R54" s="59">
        <v>2037</v>
      </c>
      <c r="S54" s="59">
        <v>2038</v>
      </c>
      <c r="T54" s="59">
        <v>2039</v>
      </c>
      <c r="U54" s="59">
        <v>2040</v>
      </c>
      <c r="V54" s="59">
        <v>2041</v>
      </c>
      <c r="W54" s="59">
        <v>2042</v>
      </c>
      <c r="X54" s="59">
        <v>2043</v>
      </c>
      <c r="Y54" s="59">
        <v>2044</v>
      </c>
      <c r="Z54" s="59">
        <v>2045</v>
      </c>
      <c r="AA54" s="59">
        <v>2046</v>
      </c>
      <c r="AB54" s="59">
        <v>2047</v>
      </c>
      <c r="AC54" s="59">
        <v>2048</v>
      </c>
      <c r="AD54" s="59">
        <v>2049</v>
      </c>
      <c r="AE54" s="59">
        <v>2050</v>
      </c>
    </row>
    <row r="55" spans="1:31" x14ac:dyDescent="0.75">
      <c r="A55" s="59" t="s">
        <v>279</v>
      </c>
      <c r="B55" s="66">
        <f>B50/CApULAbIFM!$B$2</f>
        <v>7826666.6666665208</v>
      </c>
      <c r="C55" s="66">
        <f>C50/CApULAbIFM!$B$2</f>
        <v>10319999.999999708</v>
      </c>
      <c r="D55" s="66">
        <f>D50/CApULAbIFM!$B$2</f>
        <v>12813333.333332896</v>
      </c>
      <c r="E55" s="66">
        <f>E50/CApULAbIFM!$B$2</f>
        <v>15306666.666666083</v>
      </c>
      <c r="F55" s="66">
        <f>F50/CApULAbIFM!$B$2</f>
        <v>17799999.999999877</v>
      </c>
      <c r="G55" s="66">
        <f>G50/CApULAbIFM!$B$2</f>
        <v>20293333.333333068</v>
      </c>
      <c r="H55" s="66">
        <f>H50/CApULAbIFM!$B$2</f>
        <v>22786666.666666254</v>
      </c>
      <c r="I55" s="66">
        <f>I50/CApULAbIFM!$B$2</f>
        <v>25279999.999999441</v>
      </c>
      <c r="J55" s="66">
        <f>J50/CApULAbIFM!$B$2</f>
        <v>27773333.333332632</v>
      </c>
      <c r="K55" s="66">
        <f>K50/CApULAbIFM!$B$2</f>
        <v>30266666.666666422</v>
      </c>
      <c r="L55" s="66">
        <f>L50/CApULAbIFM!$B$2</f>
        <v>32759999.999999609</v>
      </c>
      <c r="M55" s="66">
        <f>M50/CApULAbIFM!$B$2</f>
        <v>35253333.333332799</v>
      </c>
      <c r="N55" s="66">
        <f>N50/CApULAbIFM!$B$2</f>
        <v>37746666.666665986</v>
      </c>
      <c r="O55" s="66">
        <f>O50/CApULAbIFM!$B$2</f>
        <v>40239999.999999784</v>
      </c>
      <c r="P55" s="66">
        <f>P50/CApULAbIFM!$B$2</f>
        <v>42733333.333332971</v>
      </c>
      <c r="Q55" s="66">
        <f>Q50/CApULAbIFM!$B$2</f>
        <v>43473333.333333358</v>
      </c>
      <c r="R55" s="66">
        <f>R50/CApULAbIFM!$B$2</f>
        <v>44213333.33333344</v>
      </c>
      <c r="S55" s="66">
        <f>S50/CApULAbIFM!$B$2</f>
        <v>44953333.33333353</v>
      </c>
      <c r="T55" s="66">
        <f>T50/CApULAbIFM!$B$2</f>
        <v>45693333.333333611</v>
      </c>
      <c r="U55" s="66">
        <f>U50/CApULAbIFM!$B$2</f>
        <v>46433333.333333395</v>
      </c>
      <c r="V55" s="66">
        <f>V50/CApULAbIFM!$B$2</f>
        <v>47173333.333333477</v>
      </c>
      <c r="W55" s="66">
        <f>W50/CApULAbIFM!$B$2</f>
        <v>47913333.333333559</v>
      </c>
      <c r="X55" s="66">
        <f>X50/CApULAbIFM!$B$2</f>
        <v>48653333.333333343</v>
      </c>
      <c r="Y55" s="66">
        <f>Y50/CApULAbIFM!$B$2</f>
        <v>49393333.333333425</v>
      </c>
      <c r="Z55" s="66">
        <f>Z50/CApULAbIFM!$B$2</f>
        <v>50133333.333333507</v>
      </c>
      <c r="AA55" s="66">
        <f>AA50/CApULAbIFM!$B$2</f>
        <v>51086666.666666441</v>
      </c>
      <c r="AB55" s="66">
        <f>AB50/CApULAbIFM!$B$2</f>
        <v>52039999.99999997</v>
      </c>
      <c r="AC55" s="66">
        <f>AC50/CApULAbIFM!$B$2</f>
        <v>52993333.333333187</v>
      </c>
      <c r="AD55" s="66">
        <f>AD50/CApULAbIFM!$B$2</f>
        <v>53946666.666666418</v>
      </c>
      <c r="AE55" s="66">
        <f>AE50/CApULAbIFM!$B$2</f>
        <v>54899999.99999994</v>
      </c>
    </row>
    <row r="56" spans="1:31" x14ac:dyDescent="0.75">
      <c r="A56" s="59" t="s">
        <v>3</v>
      </c>
      <c r="B56" s="59">
        <f>B51/TNC_summary!$C$10</f>
        <v>0</v>
      </c>
      <c r="C56" s="59">
        <f>C51/TNC_summary!$C$10</f>
        <v>501757.69626059307</v>
      </c>
      <c r="D56" s="59">
        <f>D51/TNC_summary!$C$10</f>
        <v>5250716.9022743749</v>
      </c>
      <c r="E56" s="59">
        <f>E51/TNC_summary!$C$10</f>
        <v>9999676.1082881559</v>
      </c>
      <c r="F56" s="59">
        <f>F51/TNC_summary!$C$10</f>
        <v>14748635.314303784</v>
      </c>
      <c r="G56" s="59">
        <f>G51/TNC_summary!$C$10</f>
        <v>19497594.520317566</v>
      </c>
      <c r="H56" s="59">
        <f>H51/TNC_summary!$C$10</f>
        <v>24246553.726331349</v>
      </c>
      <c r="I56" s="59">
        <f>I51/TNC_summary!$C$10</f>
        <v>28995512.93234513</v>
      </c>
      <c r="J56" s="59">
        <f>J51/TNC_summary!$C$10</f>
        <v>33744472.138360754</v>
      </c>
      <c r="K56" s="59">
        <f>K51/TNC_summary!$C$10</f>
        <v>38493431.344374537</v>
      </c>
      <c r="L56" s="59">
        <f>L51/TNC_summary!$C$10</f>
        <v>43242390.550388314</v>
      </c>
      <c r="M56" s="59">
        <f>M51/TNC_summary!$C$10</f>
        <v>47991349.756403945</v>
      </c>
      <c r="N56" s="59">
        <f>N51/TNC_summary!$C$10</f>
        <v>52740308.962417729</v>
      </c>
      <c r="O56" s="59">
        <f>O51/TNC_summary!$C$10</f>
        <v>57489268.168431513</v>
      </c>
      <c r="P56" s="59">
        <f>P51/TNC_summary!$C$10</f>
        <v>62238227.374445289</v>
      </c>
      <c r="Q56" s="59">
        <f>Q51/TNC_summary!$C$10</f>
        <v>64032391.258041315</v>
      </c>
      <c r="R56" s="59">
        <f>R51/TNC_summary!$C$10</f>
        <v>65826555.141636886</v>
      </c>
      <c r="S56" s="59">
        <f>S51/TNC_summary!$C$10</f>
        <v>67620719.025232449</v>
      </c>
      <c r="T56" s="59">
        <f>T51/TNC_summary!$C$10</f>
        <v>69414882.908828005</v>
      </c>
      <c r="U56" s="59">
        <f>U51/TNC_summary!$C$10</f>
        <v>71209046.792423576</v>
      </c>
      <c r="V56" s="59">
        <f>V51/TNC_summary!$C$10</f>
        <v>73003210.676019147</v>
      </c>
      <c r="W56" s="59">
        <f>W51/TNC_summary!$C$10</f>
        <v>74797374.559614718</v>
      </c>
      <c r="X56" s="59">
        <f>X51/TNC_summary!$C$10</f>
        <v>76591538.443210274</v>
      </c>
      <c r="Y56" s="59">
        <f>Y51/TNC_summary!$C$10</f>
        <v>78385702.32680583</v>
      </c>
      <c r="Z56" s="59">
        <f>Z51/TNC_summary!$C$10</f>
        <v>80179866.210401401</v>
      </c>
      <c r="AA56" s="59">
        <f>AA51/TNC_summary!$C$10</f>
        <v>81887869.681508347</v>
      </c>
      <c r="AB56" s="59">
        <f>AB51/TNC_summary!$C$10</f>
        <v>83595873.152614802</v>
      </c>
      <c r="AC56" s="59">
        <f>AC51/TNC_summary!$C$10</f>
        <v>85303876.623721287</v>
      </c>
      <c r="AD56" s="59">
        <f>AD51/TNC_summary!$C$10</f>
        <v>87011880.094827756</v>
      </c>
      <c r="AE56" s="59">
        <f>AE51/TNC_summary!$C$10</f>
        <v>88719883.565934241</v>
      </c>
    </row>
    <row r="58" spans="1:31" x14ac:dyDescent="0.75">
      <c r="A58" s="61" t="s">
        <v>339</v>
      </c>
    </row>
    <row r="59" spans="1:31" x14ac:dyDescent="0.75">
      <c r="B59" s="59">
        <v>2021</v>
      </c>
      <c r="C59" s="59">
        <v>2022</v>
      </c>
      <c r="D59" s="59">
        <v>2023</v>
      </c>
      <c r="E59" s="59">
        <v>2024</v>
      </c>
      <c r="F59" s="59">
        <v>2025</v>
      </c>
      <c r="G59" s="59">
        <v>2026</v>
      </c>
      <c r="H59" s="59">
        <v>2027</v>
      </c>
      <c r="I59" s="59">
        <v>2028</v>
      </c>
      <c r="J59" s="59">
        <v>2029</v>
      </c>
      <c r="K59" s="59">
        <v>2030</v>
      </c>
      <c r="L59" s="59">
        <v>2031</v>
      </c>
      <c r="M59" s="59">
        <v>2032</v>
      </c>
      <c r="N59" s="59">
        <v>2033</v>
      </c>
      <c r="O59" s="59">
        <v>2034</v>
      </c>
      <c r="P59" s="59">
        <v>2035</v>
      </c>
      <c r="Q59" s="59">
        <v>2036</v>
      </c>
      <c r="R59" s="59">
        <v>2037</v>
      </c>
      <c r="S59" s="59">
        <v>2038</v>
      </c>
      <c r="T59" s="59">
        <v>2039</v>
      </c>
      <c r="U59" s="59">
        <v>2040</v>
      </c>
      <c r="V59" s="59">
        <v>2041</v>
      </c>
      <c r="W59" s="59">
        <v>2042</v>
      </c>
      <c r="X59" s="59">
        <v>2043</v>
      </c>
      <c r="Y59" s="59">
        <v>2044</v>
      </c>
      <c r="Z59" s="59">
        <v>2045</v>
      </c>
      <c r="AA59" s="59">
        <v>2046</v>
      </c>
      <c r="AB59" s="59">
        <v>2047</v>
      </c>
      <c r="AC59" s="59">
        <v>2048</v>
      </c>
      <c r="AD59" s="59">
        <v>2049</v>
      </c>
      <c r="AE59" s="59">
        <v>2050</v>
      </c>
    </row>
    <row r="60" spans="1:31" x14ac:dyDescent="0.75">
      <c r="A60" s="59" t="s">
        <v>279</v>
      </c>
      <c r="B60" s="66">
        <f>B55</f>
        <v>7826666.6666665208</v>
      </c>
      <c r="C60" s="66">
        <f t="shared" ref="C60:AE60" si="13">C55</f>
        <v>10319999.999999708</v>
      </c>
      <c r="D60" s="66">
        <f t="shared" si="13"/>
        <v>12813333.333332896</v>
      </c>
      <c r="E60" s="66">
        <f t="shared" si="13"/>
        <v>15306666.666666083</v>
      </c>
      <c r="F60" s="66">
        <f t="shared" si="13"/>
        <v>17799999.999999877</v>
      </c>
      <c r="G60" s="66">
        <f t="shared" si="13"/>
        <v>20293333.333333068</v>
      </c>
      <c r="H60" s="66">
        <f t="shared" si="13"/>
        <v>22786666.666666254</v>
      </c>
      <c r="I60" s="66">
        <f>I55</f>
        <v>25279999.999999441</v>
      </c>
      <c r="J60" s="66">
        <f t="shared" si="13"/>
        <v>27773333.333332632</v>
      </c>
      <c r="K60" s="66">
        <f t="shared" si="13"/>
        <v>30266666.666666422</v>
      </c>
      <c r="L60" s="66">
        <f t="shared" si="13"/>
        <v>32759999.999999609</v>
      </c>
      <c r="M60" s="66">
        <f t="shared" si="13"/>
        <v>35253333.333332799</v>
      </c>
      <c r="N60" s="66">
        <f t="shared" si="13"/>
        <v>37746666.666665986</v>
      </c>
      <c r="O60" s="66">
        <f t="shared" si="13"/>
        <v>40239999.999999784</v>
      </c>
      <c r="P60" s="66">
        <f t="shared" si="13"/>
        <v>42733333.333332971</v>
      </c>
      <c r="Q60" s="66">
        <f t="shared" si="13"/>
        <v>43473333.333333358</v>
      </c>
      <c r="R60" s="66">
        <f t="shared" si="13"/>
        <v>44213333.33333344</v>
      </c>
      <c r="S60" s="66">
        <f t="shared" si="13"/>
        <v>44953333.33333353</v>
      </c>
      <c r="T60" s="66">
        <f t="shared" si="13"/>
        <v>45693333.333333611</v>
      </c>
      <c r="U60" s="66">
        <f t="shared" si="13"/>
        <v>46433333.333333395</v>
      </c>
      <c r="V60" s="66">
        <f t="shared" si="13"/>
        <v>47173333.333333477</v>
      </c>
      <c r="W60" s="66">
        <f t="shared" si="13"/>
        <v>47913333.333333559</v>
      </c>
      <c r="X60" s="66">
        <f t="shared" si="13"/>
        <v>48653333.333333343</v>
      </c>
      <c r="Y60" s="66">
        <f t="shared" si="13"/>
        <v>49393333.333333425</v>
      </c>
      <c r="Z60" s="66">
        <f t="shared" si="13"/>
        <v>50133333.333333507</v>
      </c>
      <c r="AA60" s="66">
        <f t="shared" si="13"/>
        <v>51086666.666666441</v>
      </c>
      <c r="AB60" s="66">
        <f t="shared" si="13"/>
        <v>52039999.99999997</v>
      </c>
      <c r="AC60" s="66">
        <f t="shared" si="13"/>
        <v>52993333.333333187</v>
      </c>
      <c r="AD60" s="66">
        <f t="shared" si="13"/>
        <v>53946666.666666418</v>
      </c>
      <c r="AE60" s="66">
        <f t="shared" si="13"/>
        <v>54899999.99999994</v>
      </c>
    </row>
    <row r="61" spans="1:31" x14ac:dyDescent="0.75">
      <c r="A61" s="59" t="s">
        <v>3</v>
      </c>
      <c r="B61" s="59">
        <f>B56</f>
        <v>0</v>
      </c>
      <c r="C61" s="59">
        <f>C56-B56</f>
        <v>501757.69626059307</v>
      </c>
      <c r="D61" s="59">
        <f t="shared" ref="D61:AE61" si="14">D56-C56</f>
        <v>4748959.2060137819</v>
      </c>
      <c r="E61" s="59">
        <f t="shared" si="14"/>
        <v>4748959.206013781</v>
      </c>
      <c r="F61" s="59">
        <f t="shared" si="14"/>
        <v>4748959.2060156278</v>
      </c>
      <c r="G61" s="59">
        <f t="shared" si="14"/>
        <v>4748959.2060137819</v>
      </c>
      <c r="H61" s="59">
        <f t="shared" si="14"/>
        <v>4748959.2060137838</v>
      </c>
      <c r="I61" s="59">
        <f t="shared" si="14"/>
        <v>4748959.2060137801</v>
      </c>
      <c r="J61" s="59">
        <f t="shared" si="14"/>
        <v>4748959.2060156241</v>
      </c>
      <c r="K61" s="59">
        <f t="shared" si="14"/>
        <v>4748959.2060137838</v>
      </c>
      <c r="L61" s="59">
        <f t="shared" si="14"/>
        <v>4748959.2060137764</v>
      </c>
      <c r="M61" s="59">
        <f t="shared" si="14"/>
        <v>4748959.2060156316</v>
      </c>
      <c r="N61" s="59">
        <f t="shared" si="14"/>
        <v>4748959.2060137838</v>
      </c>
      <c r="O61" s="59">
        <f t="shared" si="14"/>
        <v>4748959.2060137838</v>
      </c>
      <c r="P61" s="59">
        <f t="shared" si="14"/>
        <v>4748959.2060137764</v>
      </c>
      <c r="Q61" s="59">
        <f t="shared" si="14"/>
        <v>1794163.8835960254</v>
      </c>
      <c r="R61" s="59">
        <f t="shared" si="14"/>
        <v>1794163.8835955709</v>
      </c>
      <c r="S61" s="59">
        <f t="shared" si="14"/>
        <v>1794163.8835955635</v>
      </c>
      <c r="T61" s="59">
        <f t="shared" si="14"/>
        <v>1794163.883595556</v>
      </c>
      <c r="U61" s="59">
        <f t="shared" si="14"/>
        <v>1794163.8835955709</v>
      </c>
      <c r="V61" s="59">
        <f t="shared" si="14"/>
        <v>1794163.8835955709</v>
      </c>
      <c r="W61" s="59">
        <f t="shared" si="14"/>
        <v>1794163.8835955709</v>
      </c>
      <c r="X61" s="59">
        <f t="shared" si="14"/>
        <v>1794163.883595556</v>
      </c>
      <c r="Y61" s="59">
        <f t="shared" si="14"/>
        <v>1794163.883595556</v>
      </c>
      <c r="Z61" s="59">
        <f t="shared" si="14"/>
        <v>1794163.8835955709</v>
      </c>
      <c r="AA61" s="59">
        <f t="shared" si="14"/>
        <v>1708003.4711069465</v>
      </c>
      <c r="AB61" s="59">
        <f t="shared" si="14"/>
        <v>1708003.4711064547</v>
      </c>
      <c r="AC61" s="59">
        <f t="shared" si="14"/>
        <v>1708003.4711064845</v>
      </c>
      <c r="AD61" s="59">
        <f t="shared" si="14"/>
        <v>1708003.4711064696</v>
      </c>
      <c r="AE61" s="59">
        <f t="shared" si="14"/>
        <v>1708003.4711064845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879A6-D0D6-49AA-B160-18EBF002316C}">
  <dimension ref="A1:B5"/>
  <sheetViews>
    <sheetView workbookViewId="0">
      <selection activeCell="A6" sqref="A6"/>
    </sheetView>
  </sheetViews>
  <sheetFormatPr defaultRowHeight="14.75" x14ac:dyDescent="0.75"/>
  <cols>
    <col min="1" max="1" width="15.1328125" customWidth="1"/>
  </cols>
  <sheetData>
    <row r="1" spans="1:2" x14ac:dyDescent="0.75">
      <c r="B1" s="2" t="s">
        <v>334</v>
      </c>
    </row>
    <row r="2" spans="1:2" x14ac:dyDescent="0.75">
      <c r="A2" t="s">
        <v>335</v>
      </c>
      <c r="B2" s="6">
        <f>1.5*10^6</f>
        <v>1500000</v>
      </c>
    </row>
    <row r="4" spans="1:2" x14ac:dyDescent="0.75">
      <c r="A4" s="1" t="s">
        <v>336</v>
      </c>
      <c r="B4" t="s">
        <v>337</v>
      </c>
    </row>
    <row r="5" spans="1:2" x14ac:dyDescent="0.75">
      <c r="A5" t="s">
        <v>338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F694-673B-4399-A04F-DA1E9EEB856B}">
  <dimension ref="A1:EC52"/>
  <sheetViews>
    <sheetView topLeftCell="CO1" workbookViewId="0">
      <pane ySplit="3" topLeftCell="A39" activePane="bottomLeft" state="frozen"/>
      <selection activeCell="B1" sqref="B1"/>
      <selection pane="bottomLeft" activeCell="CZ53" sqref="CZ53"/>
    </sheetView>
  </sheetViews>
  <sheetFormatPr defaultColWidth="11.54296875" defaultRowHeight="16" x14ac:dyDescent="0.8"/>
  <cols>
    <col min="1" max="2" width="11.54296875" style="10"/>
    <col min="3" max="3" width="11.86328125" style="10" bestFit="1" customWidth="1"/>
    <col min="4" max="5" width="14.86328125" style="10" bestFit="1" customWidth="1"/>
    <col min="6" max="6" width="11.7265625" style="16" bestFit="1" customWidth="1"/>
    <col min="7" max="7" width="11.7265625" style="16" hidden="1" customWidth="1"/>
    <col min="8" max="8" width="11.86328125" style="16" hidden="1" customWidth="1"/>
    <col min="9" max="9" width="15.86328125" style="37" bestFit="1" customWidth="1"/>
    <col min="10" max="10" width="15.86328125" style="16" hidden="1" customWidth="1"/>
    <col min="11" max="11" width="0" style="10" hidden="1" customWidth="1"/>
    <col min="12" max="12" width="11.7265625" style="16" hidden="1" customWidth="1"/>
    <col min="13" max="13" width="13.54296875" style="16" hidden="1" customWidth="1"/>
    <col min="14" max="14" width="16.1328125" style="37" customWidth="1"/>
    <col min="15" max="15" width="13.54296875" style="10" hidden="1" customWidth="1"/>
    <col min="16" max="18" width="13.54296875" style="10" customWidth="1"/>
    <col min="19" max="19" width="0" style="10" hidden="1" customWidth="1"/>
    <col min="20" max="21" width="11.7265625" style="10" hidden="1" customWidth="1"/>
    <col min="22" max="22" width="15.26953125" style="16" customWidth="1"/>
    <col min="23" max="23" width="11.7265625" style="10" hidden="1" customWidth="1"/>
    <col min="24" max="24" width="0" style="10" hidden="1" customWidth="1"/>
    <col min="25" max="26" width="11.7265625" style="10" hidden="1" customWidth="1"/>
    <col min="27" max="27" width="16" style="16" customWidth="1"/>
    <col min="28" max="28" width="11.7265625" style="10" hidden="1" customWidth="1"/>
    <col min="29" max="31" width="11.7265625" style="10" customWidth="1"/>
    <col min="32" max="41" width="11.86328125" style="10" bestFit="1" customWidth="1"/>
    <col min="42" max="43" width="11.7265625" style="10" customWidth="1"/>
    <col min="44" max="44" width="13.86328125" style="38" customWidth="1"/>
    <col min="45" max="51" width="11.86328125" style="10" bestFit="1" customWidth="1"/>
    <col min="52" max="54" width="12" style="10" bestFit="1" customWidth="1"/>
    <col min="55" max="57" width="11.7265625" style="10" customWidth="1"/>
    <col min="58" max="67" width="11.86328125" style="10" bestFit="1" customWidth="1"/>
    <col min="68" max="68" width="11.54296875" style="10"/>
    <col min="69" max="72" width="12" style="10" bestFit="1" customWidth="1"/>
    <col min="73" max="73" width="11.54296875" style="10"/>
    <col min="74" max="77" width="12" style="10" bestFit="1" customWidth="1"/>
    <col min="78" max="78" width="11.54296875" style="10"/>
    <col min="79" max="82" width="11.86328125" style="10" bestFit="1" customWidth="1"/>
    <col min="83" max="83" width="11.54296875" style="10"/>
    <col min="84" max="87" width="11.86328125" style="10" bestFit="1" customWidth="1"/>
    <col min="88" max="88" width="11.7265625" style="10" bestFit="1" customWidth="1"/>
    <col min="89" max="90" width="12" style="10" bestFit="1" customWidth="1"/>
    <col min="91" max="91" width="15.86328125" style="10" bestFit="1" customWidth="1"/>
    <col min="92" max="92" width="12" style="10" bestFit="1" customWidth="1"/>
    <col min="93" max="93" width="11.7265625" style="10" bestFit="1" customWidth="1"/>
    <col min="94" max="95" width="11.86328125" style="10" bestFit="1" customWidth="1"/>
    <col min="96" max="96" width="13.54296875" style="10" bestFit="1" customWidth="1"/>
    <col min="97" max="97" width="11.86328125" style="10" bestFit="1" customWidth="1"/>
    <col min="98" max="100" width="11.7265625" style="10" customWidth="1"/>
    <col min="101" max="101" width="11.54296875" style="10"/>
    <col min="102" max="103" width="11.86328125" style="10" bestFit="1" customWidth="1"/>
    <col min="104" max="104" width="13.54296875" style="10" bestFit="1" customWidth="1"/>
    <col min="105" max="105" width="11.86328125" style="10" bestFit="1" customWidth="1"/>
    <col min="106" max="106" width="11.54296875" style="10"/>
    <col min="107" max="108" width="11.86328125" style="10" bestFit="1" customWidth="1"/>
    <col min="109" max="109" width="13.54296875" style="10" bestFit="1" customWidth="1"/>
    <col min="110" max="110" width="11.86328125" style="10" bestFit="1" customWidth="1"/>
    <col min="111" max="113" width="11.7265625" style="10" customWidth="1"/>
    <col min="114" max="114" width="11.7265625" style="10" bestFit="1" customWidth="1"/>
    <col min="115" max="123" width="11.86328125" style="10" bestFit="1" customWidth="1"/>
    <col min="124" max="124" width="11.7265625" style="10" bestFit="1" customWidth="1"/>
    <col min="125" max="133" width="11.86328125" style="10" bestFit="1" customWidth="1"/>
    <col min="134" max="16384" width="11.54296875" style="10"/>
  </cols>
  <sheetData>
    <row r="1" spans="1:133" x14ac:dyDescent="0.8">
      <c r="F1" s="10"/>
      <c r="G1" s="10" t="s">
        <v>59</v>
      </c>
      <c r="H1" s="10" t="s">
        <v>60</v>
      </c>
      <c r="I1" s="11" t="s">
        <v>61</v>
      </c>
      <c r="J1" s="12" t="s">
        <v>62</v>
      </c>
      <c r="K1" s="13" t="s">
        <v>63</v>
      </c>
      <c r="L1" s="13"/>
      <c r="M1" s="13"/>
      <c r="N1" s="14"/>
      <c r="O1" s="13" t="s">
        <v>64</v>
      </c>
      <c r="P1" s="15" t="s">
        <v>65</v>
      </c>
      <c r="Q1" s="15" t="s">
        <v>66</v>
      </c>
      <c r="R1" s="15" t="s">
        <v>67</v>
      </c>
      <c r="X1" s="13"/>
      <c r="Y1" s="13"/>
      <c r="Z1" s="13"/>
      <c r="AA1" s="17"/>
      <c r="AB1" s="13"/>
      <c r="AC1" s="15" t="s">
        <v>68</v>
      </c>
      <c r="AD1" s="15" t="s">
        <v>66</v>
      </c>
      <c r="AE1" s="15" t="s">
        <v>67</v>
      </c>
      <c r="AK1" s="18"/>
      <c r="AL1" s="18"/>
      <c r="AM1" s="18"/>
      <c r="AN1" s="18"/>
      <c r="AO1" s="18"/>
      <c r="AP1" s="15" t="s">
        <v>69</v>
      </c>
      <c r="AQ1" s="15" t="s">
        <v>66</v>
      </c>
      <c r="AR1" s="19" t="s">
        <v>67</v>
      </c>
      <c r="AX1" s="18"/>
      <c r="AY1" s="18"/>
      <c r="AZ1" s="18"/>
      <c r="BA1" s="18"/>
      <c r="BB1" s="18"/>
      <c r="BC1" s="15" t="s">
        <v>70</v>
      </c>
      <c r="BD1" s="15" t="s">
        <v>66</v>
      </c>
      <c r="BE1" s="15" t="s">
        <v>67</v>
      </c>
      <c r="CT1" s="15" t="s">
        <v>261</v>
      </c>
      <c r="CU1" s="15" t="s">
        <v>66</v>
      </c>
      <c r="CV1" s="15" t="s">
        <v>67</v>
      </c>
      <c r="DG1" s="15" t="s">
        <v>262</v>
      </c>
      <c r="DH1" s="15" t="s">
        <v>66</v>
      </c>
      <c r="DI1" s="15" t="s">
        <v>67</v>
      </c>
    </row>
    <row r="2" spans="1:133" x14ac:dyDescent="0.8">
      <c r="F2" s="10"/>
      <c r="G2" s="10"/>
      <c r="H2" s="10"/>
      <c r="I2" s="16"/>
      <c r="J2" s="10"/>
      <c r="K2" s="13"/>
      <c r="L2" s="13"/>
      <c r="M2" s="13"/>
      <c r="N2" s="14"/>
      <c r="O2" s="13"/>
      <c r="P2" s="15"/>
      <c r="Q2" s="15"/>
      <c r="R2" s="15"/>
      <c r="X2" s="13"/>
      <c r="Y2" s="13"/>
      <c r="Z2" s="13"/>
      <c r="AA2" s="17"/>
      <c r="AB2" s="13"/>
      <c r="AC2" s="15"/>
      <c r="AD2" s="15"/>
      <c r="AE2" s="15"/>
      <c r="AK2" s="18"/>
      <c r="AL2" s="18"/>
      <c r="AM2" s="18"/>
      <c r="AN2" s="18"/>
      <c r="AO2" s="18"/>
      <c r="AP2" s="15"/>
      <c r="AQ2" s="15"/>
      <c r="AR2" s="19"/>
      <c r="AX2" s="18"/>
      <c r="AY2" s="18"/>
      <c r="AZ2" s="18"/>
      <c r="BA2" s="18"/>
      <c r="BB2" s="18"/>
      <c r="BC2" s="15"/>
      <c r="BD2" s="15"/>
      <c r="BE2" s="15"/>
      <c r="CT2" s="15"/>
      <c r="CU2" s="15"/>
      <c r="CV2" s="15"/>
      <c r="DG2" s="15"/>
      <c r="DH2" s="15"/>
      <c r="DI2" s="15"/>
    </row>
    <row r="3" spans="1:133" x14ac:dyDescent="0.8">
      <c r="A3" s="10" t="s">
        <v>71</v>
      </c>
      <c r="B3" s="10" t="s">
        <v>72</v>
      </c>
      <c r="C3" s="10" t="s">
        <v>73</v>
      </c>
      <c r="D3" s="10" t="s">
        <v>74</v>
      </c>
      <c r="E3" s="10" t="s">
        <v>75</v>
      </c>
      <c r="F3" s="10" t="s">
        <v>76</v>
      </c>
      <c r="G3" s="10" t="s">
        <v>77</v>
      </c>
      <c r="H3" s="10" t="s">
        <v>78</v>
      </c>
      <c r="I3" s="11" t="s">
        <v>79</v>
      </c>
      <c r="J3" s="10" t="s">
        <v>80</v>
      </c>
      <c r="K3" s="13" t="s">
        <v>81</v>
      </c>
      <c r="L3" s="13" t="s">
        <v>82</v>
      </c>
      <c r="M3" s="13" t="s">
        <v>83</v>
      </c>
      <c r="N3" s="14" t="s">
        <v>84</v>
      </c>
      <c r="O3" s="13" t="s">
        <v>85</v>
      </c>
      <c r="P3" s="15" t="s">
        <v>86</v>
      </c>
      <c r="Q3" s="15" t="s">
        <v>87</v>
      </c>
      <c r="R3" s="15" t="s">
        <v>88</v>
      </c>
      <c r="S3" s="10" t="s">
        <v>89</v>
      </c>
      <c r="T3" s="10" t="s">
        <v>90</v>
      </c>
      <c r="U3" s="10" t="s">
        <v>91</v>
      </c>
      <c r="V3" s="16" t="s">
        <v>92</v>
      </c>
      <c r="W3" s="10" t="s">
        <v>93</v>
      </c>
      <c r="X3" s="13" t="s">
        <v>94</v>
      </c>
      <c r="Y3" s="13" t="s">
        <v>95</v>
      </c>
      <c r="Z3" s="13" t="s">
        <v>96</v>
      </c>
      <c r="AA3" s="17" t="s">
        <v>97</v>
      </c>
      <c r="AB3" s="13" t="s">
        <v>98</v>
      </c>
      <c r="AC3" s="15" t="s">
        <v>99</v>
      </c>
      <c r="AD3" s="15" t="s">
        <v>100</v>
      </c>
      <c r="AE3" s="15" t="s">
        <v>88</v>
      </c>
      <c r="AF3" s="10" t="s">
        <v>101</v>
      </c>
      <c r="AG3" s="10" t="s">
        <v>102</v>
      </c>
      <c r="AH3" s="10" t="s">
        <v>103</v>
      </c>
      <c r="AI3" s="10" t="s">
        <v>104</v>
      </c>
      <c r="AJ3" s="10" t="s">
        <v>105</v>
      </c>
      <c r="AK3" s="18" t="s">
        <v>106</v>
      </c>
      <c r="AL3" s="18" t="s">
        <v>107</v>
      </c>
      <c r="AM3" s="18" t="s">
        <v>108</v>
      </c>
      <c r="AN3" s="18" t="s">
        <v>109</v>
      </c>
      <c r="AO3" s="18" t="s">
        <v>110</v>
      </c>
      <c r="AP3" s="15" t="s">
        <v>99</v>
      </c>
      <c r="AQ3" s="15" t="s">
        <v>100</v>
      </c>
      <c r="AR3" s="19" t="s">
        <v>88</v>
      </c>
      <c r="AS3" s="10" t="s">
        <v>111</v>
      </c>
      <c r="AT3" s="10" t="s">
        <v>112</v>
      </c>
      <c r="AU3" s="10" t="s">
        <v>113</v>
      </c>
      <c r="AV3" s="10" t="s">
        <v>114</v>
      </c>
      <c r="AW3" s="10" t="s">
        <v>115</v>
      </c>
      <c r="AX3" s="18" t="s">
        <v>116</v>
      </c>
      <c r="AY3" s="18" t="s">
        <v>117</v>
      </c>
      <c r="AZ3" s="18" t="s">
        <v>118</v>
      </c>
      <c r="BA3" s="18" t="s">
        <v>119</v>
      </c>
      <c r="BB3" s="18" t="s">
        <v>120</v>
      </c>
      <c r="BC3" s="15" t="s">
        <v>99</v>
      </c>
      <c r="BD3" s="15" t="s">
        <v>100</v>
      </c>
      <c r="BE3" s="15" t="s">
        <v>88</v>
      </c>
      <c r="BF3" s="10" t="s">
        <v>121</v>
      </c>
      <c r="BG3" s="10" t="s">
        <v>122</v>
      </c>
      <c r="BH3" s="10" t="s">
        <v>123</v>
      </c>
      <c r="BI3" s="10" t="s">
        <v>124</v>
      </c>
      <c r="BJ3" s="10" t="s">
        <v>125</v>
      </c>
      <c r="BK3" s="10" t="s">
        <v>126</v>
      </c>
      <c r="BL3" s="10" t="s">
        <v>127</v>
      </c>
      <c r="BM3" s="10" t="s">
        <v>128</v>
      </c>
      <c r="BN3" s="10" t="s">
        <v>129</v>
      </c>
      <c r="BO3" s="10" t="s">
        <v>130</v>
      </c>
      <c r="BP3" s="10" t="s">
        <v>131</v>
      </c>
      <c r="BQ3" s="10" t="s">
        <v>132</v>
      </c>
      <c r="BR3" s="10" t="s">
        <v>133</v>
      </c>
      <c r="BS3" s="10" t="s">
        <v>134</v>
      </c>
      <c r="BT3" s="10" t="s">
        <v>135</v>
      </c>
      <c r="BU3" s="10" t="s">
        <v>136</v>
      </c>
      <c r="BV3" s="10" t="s">
        <v>137</v>
      </c>
      <c r="BW3" s="10" t="s">
        <v>138</v>
      </c>
      <c r="BX3" s="10" t="s">
        <v>139</v>
      </c>
      <c r="BY3" s="10" t="s">
        <v>140</v>
      </c>
      <c r="BZ3" s="10" t="s">
        <v>141</v>
      </c>
      <c r="CA3" s="10" t="s">
        <v>142</v>
      </c>
      <c r="CB3" s="10" t="s">
        <v>143</v>
      </c>
      <c r="CC3" s="10" t="s">
        <v>144</v>
      </c>
      <c r="CD3" s="10" t="s">
        <v>145</v>
      </c>
      <c r="CE3" s="10" t="s">
        <v>146</v>
      </c>
      <c r="CF3" s="10" t="s">
        <v>147</v>
      </c>
      <c r="CG3" s="10" t="s">
        <v>148</v>
      </c>
      <c r="CH3" s="10" t="s">
        <v>149</v>
      </c>
      <c r="CI3" s="10" t="s">
        <v>150</v>
      </c>
      <c r="CJ3" s="10" t="s">
        <v>151</v>
      </c>
      <c r="CK3" s="10" t="s">
        <v>152</v>
      </c>
      <c r="CL3" s="10" t="s">
        <v>153</v>
      </c>
      <c r="CM3" s="10" t="s">
        <v>154</v>
      </c>
      <c r="CN3" s="10" t="s">
        <v>155</v>
      </c>
      <c r="CO3" s="10" t="s">
        <v>156</v>
      </c>
      <c r="CP3" s="10" t="s">
        <v>157</v>
      </c>
      <c r="CQ3" s="10" t="s">
        <v>158</v>
      </c>
      <c r="CR3" s="10" t="s">
        <v>159</v>
      </c>
      <c r="CS3" s="10" t="s">
        <v>160</v>
      </c>
      <c r="CT3" s="15" t="s">
        <v>99</v>
      </c>
      <c r="CU3" s="15" t="s">
        <v>100</v>
      </c>
      <c r="CV3" s="15" t="s">
        <v>88</v>
      </c>
      <c r="CW3" s="10" t="s">
        <v>161</v>
      </c>
      <c r="CX3" s="10" t="s">
        <v>162</v>
      </c>
      <c r="CY3" s="10" t="s">
        <v>163</v>
      </c>
      <c r="CZ3" s="10" t="s">
        <v>164</v>
      </c>
      <c r="DA3" s="10" t="s">
        <v>165</v>
      </c>
      <c r="DB3" s="10" t="s">
        <v>166</v>
      </c>
      <c r="DC3" s="10" t="s">
        <v>167</v>
      </c>
      <c r="DD3" s="10" t="s">
        <v>168</v>
      </c>
      <c r="DE3" s="10" t="s">
        <v>169</v>
      </c>
      <c r="DF3" s="10" t="s">
        <v>170</v>
      </c>
      <c r="DG3" s="15" t="s">
        <v>99</v>
      </c>
      <c r="DH3" s="15" t="s">
        <v>100</v>
      </c>
      <c r="DI3" s="15" t="s">
        <v>88</v>
      </c>
      <c r="DJ3" s="10" t="s">
        <v>171</v>
      </c>
      <c r="DK3" s="10" t="s">
        <v>172</v>
      </c>
      <c r="DL3" s="10" t="s">
        <v>173</v>
      </c>
      <c r="DM3" s="10" t="s">
        <v>174</v>
      </c>
      <c r="DN3" s="10" t="s">
        <v>175</v>
      </c>
      <c r="DO3" s="10" t="s">
        <v>176</v>
      </c>
      <c r="DP3" s="10" t="s">
        <v>177</v>
      </c>
      <c r="DQ3" s="10" t="s">
        <v>178</v>
      </c>
      <c r="DR3" s="10" t="s">
        <v>179</v>
      </c>
      <c r="DS3" s="10" t="s">
        <v>180</v>
      </c>
      <c r="DT3" s="10" t="s">
        <v>181</v>
      </c>
      <c r="DU3" s="10" t="s">
        <v>182</v>
      </c>
      <c r="DV3" s="10" t="s">
        <v>183</v>
      </c>
      <c r="DW3" s="10" t="s">
        <v>184</v>
      </c>
      <c r="DX3" s="10" t="s">
        <v>185</v>
      </c>
      <c r="DY3" s="10" t="s">
        <v>186</v>
      </c>
      <c r="DZ3" s="10" t="s">
        <v>187</v>
      </c>
      <c r="EA3" s="10" t="s">
        <v>188</v>
      </c>
      <c r="EB3" s="10" t="s">
        <v>189</v>
      </c>
      <c r="EC3" s="10" t="s">
        <v>190</v>
      </c>
    </row>
    <row r="4" spans="1:133" x14ac:dyDescent="0.8">
      <c r="A4" s="10" t="s">
        <v>10</v>
      </c>
      <c r="B4" s="10" t="s">
        <v>191</v>
      </c>
      <c r="C4" s="10">
        <v>1</v>
      </c>
      <c r="D4" s="10">
        <v>151330861.5</v>
      </c>
      <c r="E4" s="10">
        <v>98863106.930000007</v>
      </c>
      <c r="F4" s="10"/>
      <c r="G4" s="10">
        <v>500021.35930000001</v>
      </c>
      <c r="H4" s="10">
        <v>11757645.109999999</v>
      </c>
      <c r="I4" s="11">
        <v>11757645.109999999</v>
      </c>
      <c r="J4" s="10">
        <v>14286324.550000001</v>
      </c>
      <c r="K4" s="13"/>
      <c r="L4" s="13">
        <v>155206.1257</v>
      </c>
      <c r="M4" s="13">
        <v>3649561.1839999999</v>
      </c>
      <c r="N4" s="14">
        <v>3649561.1839999999</v>
      </c>
      <c r="O4" s="13">
        <v>4434460.7340000002</v>
      </c>
      <c r="P4" s="15">
        <f>((G4*10+(H4-G4)*50+(I4-H4)*100)/I4)</f>
        <v>48.298906440458133</v>
      </c>
      <c r="Q4" s="20">
        <f>I4/N4</f>
        <v>3.2216599523105844</v>
      </c>
      <c r="R4" s="21">
        <f>N4</f>
        <v>3649561.1839999999</v>
      </c>
      <c r="T4" s="10">
        <v>2113474.0359999998</v>
      </c>
      <c r="U4" s="10">
        <v>2201535.4539999999</v>
      </c>
      <c r="V4" s="16">
        <v>2201535.4539999999</v>
      </c>
      <c r="W4" s="10">
        <v>2201535.4539999999</v>
      </c>
      <c r="X4" s="13"/>
      <c r="Y4" s="13">
        <v>415964.39870000002</v>
      </c>
      <c r="Z4" s="13">
        <v>433296.24859999999</v>
      </c>
      <c r="AA4" s="17">
        <v>433296.24859999999</v>
      </c>
      <c r="AB4" s="13">
        <v>433296.24859999999</v>
      </c>
      <c r="AC4" s="15">
        <f>((T4*10+(U4-T4)*50+(V4-U4)*100)/V4)</f>
        <v>11.599999997092938</v>
      </c>
      <c r="AD4" s="20">
        <f>V4/AA4</f>
        <v>5.0809012566189109</v>
      </c>
      <c r="AE4" s="22">
        <f>AA4</f>
        <v>433296.24859999999</v>
      </c>
      <c r="AF4" s="10">
        <v>-9999</v>
      </c>
      <c r="AG4" s="10">
        <v>-9999</v>
      </c>
      <c r="AH4" s="10">
        <v>-9999</v>
      </c>
      <c r="AI4" s="10">
        <v>-9999</v>
      </c>
      <c r="AJ4" s="10">
        <v>-9999</v>
      </c>
      <c r="AK4" s="18">
        <v>-9999</v>
      </c>
      <c r="AL4" s="18">
        <v>-9999</v>
      </c>
      <c r="AM4" s="18">
        <v>-9999</v>
      </c>
      <c r="AN4" s="18">
        <v>-9999</v>
      </c>
      <c r="AO4" s="18">
        <v>0</v>
      </c>
      <c r="AP4" s="15">
        <f>(IF(AK4=-9999,0,(AG4*10+(AH4-AG4)*50+(AI4-AH4)*100)/AI4))</f>
        <v>0</v>
      </c>
      <c r="AQ4" s="20">
        <f>IF(AK4=-9999,0,AI4/AN4)</f>
        <v>0</v>
      </c>
      <c r="AR4" s="21">
        <f>IF(AK4=-9999,0,AN4)</f>
        <v>0</v>
      </c>
      <c r="AS4" s="10">
        <v>-9999</v>
      </c>
      <c r="AT4" s="10">
        <v>-9999</v>
      </c>
      <c r="AU4" s="10">
        <v>-9999</v>
      </c>
      <c r="AV4" s="10">
        <v>-9999</v>
      </c>
      <c r="AW4" s="10">
        <v>-9999</v>
      </c>
      <c r="AX4" s="18">
        <v>-9999</v>
      </c>
      <c r="AY4" s="18">
        <v>-9999</v>
      </c>
      <c r="AZ4" s="18">
        <v>-9999</v>
      </c>
      <c r="BA4" s="18">
        <v>-9999</v>
      </c>
      <c r="BB4" s="18">
        <v>-9999</v>
      </c>
      <c r="BC4" s="23">
        <f>(IF(AY4=-9999,0,(AT4*10+(AU4-AT4)*50+(AV4-AU4)*100)/AV4))</f>
        <v>0</v>
      </c>
      <c r="BD4" s="20">
        <f>IF(AY4=-9999,0,AV4/BA4)</f>
        <v>0</v>
      </c>
      <c r="BE4" s="20">
        <f>IF(AY4=-9999,0,BA4)</f>
        <v>0</v>
      </c>
      <c r="BF4" s="10">
        <v>0</v>
      </c>
      <c r="BG4" s="10">
        <v>0</v>
      </c>
      <c r="BH4" s="10">
        <v>0</v>
      </c>
      <c r="BI4" s="10">
        <v>0</v>
      </c>
      <c r="BJ4" s="10">
        <v>521818.1483</v>
      </c>
      <c r="BK4" s="10">
        <v>0</v>
      </c>
      <c r="BL4" s="10">
        <v>0</v>
      </c>
      <c r="BM4" s="10">
        <v>0</v>
      </c>
      <c r="BN4" s="10">
        <v>0</v>
      </c>
      <c r="BO4" s="10">
        <v>145838.11730000001</v>
      </c>
      <c r="BQ4" s="10">
        <v>732209.45389999996</v>
      </c>
      <c r="BR4" s="10">
        <v>732209.45389999996</v>
      </c>
      <c r="BS4" s="10">
        <v>755634.11129999999</v>
      </c>
      <c r="BT4" s="10">
        <v>755634.11129999999</v>
      </c>
      <c r="BV4" s="10">
        <v>1542008.148</v>
      </c>
      <c r="BW4" s="10">
        <v>1542008.148</v>
      </c>
      <c r="BX4" s="10">
        <v>1591339.6780000001</v>
      </c>
      <c r="BY4" s="10">
        <v>1591339.6780000001</v>
      </c>
      <c r="CA4" s="10">
        <v>29891.775979999999</v>
      </c>
      <c r="CB4" s="10">
        <v>478268.41570000001</v>
      </c>
      <c r="CC4" s="10">
        <v>597835.5196</v>
      </c>
      <c r="CD4" s="10">
        <v>597835.5196</v>
      </c>
      <c r="CF4" s="10">
        <v>13892.64798</v>
      </c>
      <c r="CG4" s="10">
        <v>222282.36780000001</v>
      </c>
      <c r="CH4" s="10">
        <v>277852.95970000001</v>
      </c>
      <c r="CI4" s="10">
        <v>277852.95970000001</v>
      </c>
      <c r="CK4" s="10">
        <v>151246.23009999999</v>
      </c>
      <c r="CL4" s="10">
        <v>1279373.0449999999</v>
      </c>
      <c r="CM4" s="10">
        <v>1159706.388</v>
      </c>
      <c r="CN4" s="10">
        <v>1159706.388</v>
      </c>
      <c r="CP4" s="10">
        <v>699.26671190000002</v>
      </c>
      <c r="CQ4" s="10">
        <v>19062.677759999999</v>
      </c>
      <c r="CR4" s="10">
        <v>19062.677759999999</v>
      </c>
      <c r="CS4" s="10">
        <v>19062.677759999999</v>
      </c>
      <c r="CT4" s="23">
        <f>(IF(CP4=-9999,0,(CK4*10+(CL4-CK4)*50+(CM4-CL4)*100)/CM4))</f>
        <v>39.623940871144022</v>
      </c>
      <c r="CU4" s="20">
        <f>IF(CP4=-9999,0,CM4/CR4)</f>
        <v>60.836489112429931</v>
      </c>
      <c r="CV4" s="20">
        <f>IF(CP4=-9999,0,CR4)</f>
        <v>19062.677759999999</v>
      </c>
      <c r="CX4" s="10">
        <v>1973.658054</v>
      </c>
      <c r="CY4" s="10">
        <v>94481.311619999993</v>
      </c>
      <c r="CZ4" s="10">
        <v>119436.5831</v>
      </c>
      <c r="DA4" s="10">
        <v>121083.3162</v>
      </c>
      <c r="DC4" s="10">
        <v>1211.6188070000001</v>
      </c>
      <c r="DD4" s="10">
        <v>45882.656210000001</v>
      </c>
      <c r="DE4" s="10">
        <v>57212.782800000001</v>
      </c>
      <c r="DF4" s="10">
        <v>58001.604619999998</v>
      </c>
      <c r="DG4" s="23">
        <f>(IF(DC4=-9999,0,(CX4*10+(CY4-CX4)*50+(CZ4-CY4)*100)/CZ4))</f>
        <v>59.786090840035101</v>
      </c>
      <c r="DH4" s="20">
        <f>IF(DC4=-9999,0,CZ4/DE4)</f>
        <v>2.0875856278048408</v>
      </c>
      <c r="DI4" s="20">
        <f>IF(DC4=-9999,0,DE4)</f>
        <v>57212.782800000001</v>
      </c>
      <c r="DK4" s="10">
        <v>163418.85380000001</v>
      </c>
      <c r="DL4" s="10">
        <v>184504.92069999999</v>
      </c>
      <c r="DM4" s="10">
        <v>197615.7115</v>
      </c>
      <c r="DN4" s="10">
        <v>247552.04810000001</v>
      </c>
      <c r="DO4" s="10">
        <v>-9999</v>
      </c>
      <c r="DP4" s="10">
        <v>-9999</v>
      </c>
      <c r="DQ4" s="10">
        <v>-9999</v>
      </c>
      <c r="DR4" s="10">
        <v>-9999</v>
      </c>
      <c r="DS4" s="10">
        <v>-9999</v>
      </c>
      <c r="DU4" s="10">
        <v>7127</v>
      </c>
      <c r="DV4" s="10">
        <v>20108</v>
      </c>
      <c r="DW4" s="10">
        <v>25903</v>
      </c>
      <c r="DX4" s="10">
        <v>25903</v>
      </c>
      <c r="DY4" s="10">
        <v>-9999</v>
      </c>
      <c r="DZ4" s="10">
        <v>-9999</v>
      </c>
      <c r="EA4" s="10">
        <v>-9999</v>
      </c>
      <c r="EB4" s="10">
        <v>-9999</v>
      </c>
      <c r="EC4" s="10">
        <v>-9999</v>
      </c>
    </row>
    <row r="5" spans="1:133" x14ac:dyDescent="0.8">
      <c r="A5" s="10" t="s">
        <v>12</v>
      </c>
      <c r="B5" s="10" t="s">
        <v>192</v>
      </c>
      <c r="C5" s="10">
        <v>4</v>
      </c>
      <c r="D5" s="10">
        <v>91536411.890000001</v>
      </c>
      <c r="E5" s="10">
        <v>55797032.210000001</v>
      </c>
      <c r="F5" s="10"/>
      <c r="G5" s="10">
        <v>39172.043960000003</v>
      </c>
      <c r="H5" s="10">
        <v>921102.63379999995</v>
      </c>
      <c r="I5" s="11">
        <v>921102.63379999995</v>
      </c>
      <c r="J5" s="10">
        <v>1119201.2560000001</v>
      </c>
      <c r="K5" s="13"/>
      <c r="L5" s="13">
        <v>87162.764670000004</v>
      </c>
      <c r="M5" s="13">
        <v>2049570.152</v>
      </c>
      <c r="N5" s="14">
        <v>2049570.152</v>
      </c>
      <c r="O5" s="13">
        <v>2490364.7050000001</v>
      </c>
      <c r="P5" s="15">
        <f t="shared" ref="P5:P51" si="0">((G5*10+(H5-G5)*50+(I5-H5)*100)/I5)</f>
        <v>48.298906440061032</v>
      </c>
      <c r="Q5" s="20">
        <f t="shared" ref="Q5:Q51" si="1">I5/N5</f>
        <v>0.44941259166034142</v>
      </c>
      <c r="R5" s="21">
        <f t="shared" ref="R5:R51" si="2">N5</f>
        <v>2049570.152</v>
      </c>
      <c r="T5" s="10">
        <v>85449.954230000003</v>
      </c>
      <c r="U5" s="10">
        <v>89010.368990000003</v>
      </c>
      <c r="V5" s="16">
        <v>89010.368990000003</v>
      </c>
      <c r="W5" s="10">
        <v>89010.368990000003</v>
      </c>
      <c r="X5" s="13"/>
      <c r="Y5" s="13">
        <v>41397.658860000003</v>
      </c>
      <c r="Z5" s="13">
        <v>43122.561309999997</v>
      </c>
      <c r="AA5" s="17">
        <v>43122.561309999997</v>
      </c>
      <c r="AB5" s="13">
        <v>43122.561309999997</v>
      </c>
      <c r="AC5" s="15">
        <f t="shared" ref="AC5:AC51" si="3">((T5*10+(U5-T5)*50+(V5-U5)*100)/V5)</f>
        <v>11.600000000179755</v>
      </c>
      <c r="AD5" s="20">
        <f t="shared" ref="AD5:AD51" si="4">V5/AA5</f>
        <v>2.0641252811984234</v>
      </c>
      <c r="AE5" s="22">
        <f t="shared" ref="AE5:AE51" si="5">AA5</f>
        <v>43122.561309999997</v>
      </c>
      <c r="AF5" s="10">
        <v>-9999</v>
      </c>
      <c r="AG5" s="10">
        <v>-9999</v>
      </c>
      <c r="AH5" s="10">
        <v>-9999</v>
      </c>
      <c r="AI5" s="10">
        <v>-9999</v>
      </c>
      <c r="AJ5" s="10">
        <v>-9999</v>
      </c>
      <c r="AK5" s="18">
        <v>-9999</v>
      </c>
      <c r="AL5" s="18">
        <v>-9999</v>
      </c>
      <c r="AM5" s="18">
        <v>-9999</v>
      </c>
      <c r="AN5" s="18">
        <v>-9999</v>
      </c>
      <c r="AO5" s="18">
        <v>-9999</v>
      </c>
      <c r="AP5" s="15">
        <f t="shared" ref="AP5:AP51" si="6">(IF(AK5=-9999,0,(AG5*10+(AH5-AG5)*50+(AI5-AH5)*100)/AI5))</f>
        <v>0</v>
      </c>
      <c r="AQ5" s="20">
        <f t="shared" ref="AQ5:AQ51" si="7">IF(AK5=-9999,0,AI5/AN5)</f>
        <v>0</v>
      </c>
      <c r="AR5" s="21">
        <f t="shared" ref="AR5:AR51" si="8">IF(AK5=-9999,0,AN5)</f>
        <v>0</v>
      </c>
      <c r="AS5" s="10">
        <v>0</v>
      </c>
      <c r="AT5" s="10">
        <v>0</v>
      </c>
      <c r="AU5" s="10">
        <v>1808983.9609999999</v>
      </c>
      <c r="AV5" s="10">
        <v>1808983.9609999999</v>
      </c>
      <c r="AW5" s="10">
        <v>1808983.9609999999</v>
      </c>
      <c r="AX5" s="18">
        <v>-9999</v>
      </c>
      <c r="AY5" s="18">
        <v>0</v>
      </c>
      <c r="AZ5" s="18">
        <v>2830272.645</v>
      </c>
      <c r="BA5" s="18">
        <v>2830272.645</v>
      </c>
      <c r="BB5" s="18">
        <v>2830272.645</v>
      </c>
      <c r="BC5" s="23">
        <f t="shared" ref="BC5:BC51" si="9">(IF(AY5=-9999,0,(AT5*10+(AU5-AT5)*50+(AV5-AU5)*100)/AV5))</f>
        <v>50</v>
      </c>
      <c r="BD5" s="20">
        <f t="shared" ref="BD5:BD51" si="10">IF(AY5=-9999,0,AV5/BA5)</f>
        <v>0.63915537048905047</v>
      </c>
      <c r="BE5" s="20">
        <f t="shared" ref="BE5:BE51" si="11">IF(AY5=-9999,0,BA5)</f>
        <v>2830272.645</v>
      </c>
      <c r="BF5" s="10">
        <v>0</v>
      </c>
      <c r="BG5" s="10">
        <v>0</v>
      </c>
      <c r="BH5" s="10">
        <v>0</v>
      </c>
      <c r="BI5" s="10">
        <v>0</v>
      </c>
      <c r="BJ5" s="10">
        <v>497483.94770000002</v>
      </c>
      <c r="BK5" s="10">
        <v>0</v>
      </c>
      <c r="BL5" s="10">
        <v>0</v>
      </c>
      <c r="BM5" s="10">
        <v>0</v>
      </c>
      <c r="BN5" s="10">
        <v>0</v>
      </c>
      <c r="BO5" s="10">
        <v>134716.81289999999</v>
      </c>
      <c r="BQ5" s="10">
        <v>220294.05119999999</v>
      </c>
      <c r="BR5" s="10">
        <v>220294.05119999999</v>
      </c>
      <c r="BS5" s="10">
        <v>227341.6421</v>
      </c>
      <c r="BT5" s="10">
        <v>227341.6421</v>
      </c>
      <c r="BV5" s="10">
        <v>463931.76179999998</v>
      </c>
      <c r="BW5" s="10">
        <v>463931.76179999998</v>
      </c>
      <c r="BX5" s="10">
        <v>478773.74800000002</v>
      </c>
      <c r="BY5" s="10">
        <v>478773.74800000002</v>
      </c>
      <c r="CA5" s="10">
        <v>8993.3015670000004</v>
      </c>
      <c r="CB5" s="10">
        <v>143892.82509999999</v>
      </c>
      <c r="CC5" s="10">
        <v>179866.0313</v>
      </c>
      <c r="CD5" s="10">
        <v>179866.0313</v>
      </c>
      <c r="CF5" s="10">
        <v>4179.7708160000002</v>
      </c>
      <c r="CG5" s="10">
        <v>66876.333060000004</v>
      </c>
      <c r="CH5" s="10">
        <v>83595.416320000004</v>
      </c>
      <c r="CI5" s="10">
        <v>83595.416320000004</v>
      </c>
      <c r="CK5" s="10">
        <v>87136.650850000005</v>
      </c>
      <c r="CL5" s="10">
        <v>128053.3649</v>
      </c>
      <c r="CM5" s="10">
        <v>116076.6995</v>
      </c>
      <c r="CN5" s="10">
        <v>116076.6995</v>
      </c>
      <c r="CP5" s="10">
        <v>10.34646774</v>
      </c>
      <c r="CQ5" s="10">
        <v>3957.2497210000001</v>
      </c>
      <c r="CR5" s="10">
        <v>4200.1309440000005</v>
      </c>
      <c r="CS5" s="10">
        <v>4227.303774</v>
      </c>
      <c r="CT5" s="23">
        <f t="shared" ref="CT5:CT51" si="12">(IF(CP5=-9999,0,(CK5*10+(CL5-CK5)*50+(CM5-CL5)*100)/CM5))</f>
        <v>14.813788455451387</v>
      </c>
      <c r="CU5" s="20">
        <f t="shared" ref="CU5:CU51" si="13">IF(CP5=-9999,0,CM5/CR5)</f>
        <v>27.636447779281422</v>
      </c>
      <c r="CV5" s="20">
        <f t="shared" ref="CV5:CV51" si="14">IF(CP5=-9999,0,CR5)</f>
        <v>4200.1309440000005</v>
      </c>
      <c r="CX5" s="10">
        <v>106.9642632</v>
      </c>
      <c r="CY5" s="10">
        <v>5120.50396</v>
      </c>
      <c r="CZ5" s="10">
        <v>6472.978478</v>
      </c>
      <c r="DA5" s="10">
        <v>6562.2247340000004</v>
      </c>
      <c r="DC5" s="10">
        <v>268.68632109999999</v>
      </c>
      <c r="DD5" s="10">
        <v>10174.85204</v>
      </c>
      <c r="DE5" s="10">
        <v>12687.399729999999</v>
      </c>
      <c r="DF5" s="10">
        <v>12862.327380000001</v>
      </c>
      <c r="DG5" s="23">
        <f t="shared" ref="DG5:DG51" si="15">(IF(DC5=-9999,0,(CX5*10+(CY5-CX5)*50+(CZ5-CY5)*100)/CZ5))</f>
        <v>59.78609083705345</v>
      </c>
      <c r="DH5" s="20">
        <f t="shared" ref="DH5:DH51" si="16">IF(DC5=-9999,0,CZ5/DE5)</f>
        <v>0.51018952785844007</v>
      </c>
      <c r="DI5" s="20">
        <f t="shared" ref="DI5:DI51" si="17">IF(DC5=-9999,0,DE5)</f>
        <v>12687.399729999999</v>
      </c>
      <c r="DK5" s="10">
        <v>173735.03169999999</v>
      </c>
      <c r="DL5" s="10">
        <v>196142.3223</v>
      </c>
      <c r="DM5" s="10">
        <v>213151.23360000001</v>
      </c>
      <c r="DN5" s="10">
        <v>266173.03700000001</v>
      </c>
      <c r="DO5" s="10">
        <v>-9999</v>
      </c>
      <c r="DP5" s="10">
        <v>-9999</v>
      </c>
      <c r="DQ5" s="10">
        <v>-9999</v>
      </c>
      <c r="DR5" s="10">
        <v>-9999</v>
      </c>
      <c r="DS5" s="10">
        <v>-9999</v>
      </c>
      <c r="DU5" s="10">
        <v>11962</v>
      </c>
      <c r="DV5" s="10">
        <v>48324</v>
      </c>
      <c r="DW5" s="10">
        <v>61252</v>
      </c>
      <c r="DX5" s="10">
        <v>61252</v>
      </c>
      <c r="DY5" s="10">
        <v>-9999</v>
      </c>
      <c r="DZ5" s="10">
        <v>-9999</v>
      </c>
      <c r="EA5" s="10">
        <v>-9999</v>
      </c>
      <c r="EB5" s="10">
        <v>-9999</v>
      </c>
      <c r="EC5" s="10">
        <v>-9999</v>
      </c>
    </row>
    <row r="6" spans="1:133" x14ac:dyDescent="0.8">
      <c r="A6" s="10" t="s">
        <v>11</v>
      </c>
      <c r="B6" s="10" t="s">
        <v>193</v>
      </c>
      <c r="C6" s="10">
        <v>5</v>
      </c>
      <c r="D6" s="10">
        <v>105436198.59999999</v>
      </c>
      <c r="E6" s="10">
        <v>107261920.2</v>
      </c>
      <c r="F6" s="10"/>
      <c r="G6" s="10">
        <v>427670.45689999999</v>
      </c>
      <c r="H6" s="10">
        <v>10056365.32</v>
      </c>
      <c r="I6" s="11">
        <v>10056365.32</v>
      </c>
      <c r="J6" s="10">
        <v>12219155.91</v>
      </c>
      <c r="K6" s="13"/>
      <c r="L6" s="13">
        <v>136499.74909999999</v>
      </c>
      <c r="M6" s="13">
        <v>3209694.1009999998</v>
      </c>
      <c r="N6" s="14">
        <v>3209694.1009999998</v>
      </c>
      <c r="O6" s="13">
        <v>3899992.8319999999</v>
      </c>
      <c r="P6" s="15">
        <f t="shared" si="0"/>
        <v>48.298906440682089</v>
      </c>
      <c r="Q6" s="20">
        <f t="shared" si="1"/>
        <v>3.1331226601522175</v>
      </c>
      <c r="R6" s="21">
        <f t="shared" si="2"/>
        <v>3209694.1009999998</v>
      </c>
      <c r="T6" s="10">
        <v>1467744.933</v>
      </c>
      <c r="U6" s="10">
        <v>1528900.9720000001</v>
      </c>
      <c r="V6" s="16">
        <v>1528900.9720000001</v>
      </c>
      <c r="W6" s="10">
        <v>1528900.9720000001</v>
      </c>
      <c r="X6" s="13"/>
      <c r="Y6" s="13">
        <v>280617.97810000001</v>
      </c>
      <c r="Z6" s="13">
        <v>292310.39390000002</v>
      </c>
      <c r="AA6" s="17">
        <v>292310.39390000002</v>
      </c>
      <c r="AB6" s="13">
        <v>292310.39390000002</v>
      </c>
      <c r="AC6" s="15">
        <f t="shared" si="3"/>
        <v>11.600000003139513</v>
      </c>
      <c r="AD6" s="20">
        <f t="shared" si="4"/>
        <v>5.2304023527916019</v>
      </c>
      <c r="AE6" s="22">
        <f t="shared" si="5"/>
        <v>292310.39390000002</v>
      </c>
      <c r="AF6" s="10">
        <v>0</v>
      </c>
      <c r="AG6" s="10">
        <v>631622.96669999999</v>
      </c>
      <c r="AH6" s="10">
        <v>1316897.3049999999</v>
      </c>
      <c r="AI6" s="10">
        <v>1609541.1510000001</v>
      </c>
      <c r="AJ6" s="10">
        <v>1804637.048</v>
      </c>
      <c r="AK6" s="18">
        <v>0</v>
      </c>
      <c r="AL6" s="18">
        <v>1339333.3330000001</v>
      </c>
      <c r="AM6" s="18">
        <v>1339333.3330000001</v>
      </c>
      <c r="AN6" s="18">
        <v>1339333.3330000001</v>
      </c>
      <c r="AO6" s="18">
        <v>1339333.3330000001</v>
      </c>
      <c r="AP6" s="15">
        <f t="shared" si="6"/>
        <v>43.393939408511592</v>
      </c>
      <c r="AQ6" s="20">
        <f t="shared" si="7"/>
        <v>1.2017479975614107</v>
      </c>
      <c r="AR6" s="21">
        <f t="shared" si="8"/>
        <v>1339333.3330000001</v>
      </c>
      <c r="AS6" s="10">
        <v>-9999</v>
      </c>
      <c r="AT6" s="10">
        <v>-9999</v>
      </c>
      <c r="AU6" s="10">
        <v>-9999</v>
      </c>
      <c r="AV6" s="10">
        <v>-9999</v>
      </c>
      <c r="AW6" s="10">
        <v>-9999</v>
      </c>
      <c r="AX6" s="18">
        <v>-9999</v>
      </c>
      <c r="AY6" s="18">
        <v>-9999</v>
      </c>
      <c r="AZ6" s="18">
        <v>-9999</v>
      </c>
      <c r="BA6" s="18">
        <v>-9999</v>
      </c>
      <c r="BB6" s="18">
        <v>-9999</v>
      </c>
      <c r="BC6" s="23">
        <f t="shared" si="9"/>
        <v>0</v>
      </c>
      <c r="BD6" s="20">
        <f t="shared" si="10"/>
        <v>0</v>
      </c>
      <c r="BE6" s="20">
        <f t="shared" si="11"/>
        <v>0</v>
      </c>
      <c r="BF6" s="10">
        <v>0</v>
      </c>
      <c r="BG6" s="10">
        <v>0</v>
      </c>
      <c r="BH6" s="10">
        <v>0</v>
      </c>
      <c r="BI6" s="10">
        <v>0</v>
      </c>
      <c r="BJ6" s="10">
        <v>249732.8124</v>
      </c>
      <c r="BK6" s="10">
        <v>0</v>
      </c>
      <c r="BL6" s="10">
        <v>0</v>
      </c>
      <c r="BM6" s="10">
        <v>0</v>
      </c>
      <c r="BN6" s="10">
        <v>0</v>
      </c>
      <c r="BO6" s="10">
        <v>72325.859649999999</v>
      </c>
      <c r="BQ6" s="10">
        <v>2270585.7250000001</v>
      </c>
      <c r="BR6" s="10">
        <v>2270585.7250000001</v>
      </c>
      <c r="BS6" s="10">
        <v>2343225.7220000001</v>
      </c>
      <c r="BT6" s="10">
        <v>2343225.7220000001</v>
      </c>
      <c r="BV6" s="10">
        <v>4781776.13</v>
      </c>
      <c r="BW6" s="10">
        <v>4781776.13</v>
      </c>
      <c r="BX6" s="10">
        <v>4934753.4879999999</v>
      </c>
      <c r="BY6" s="10">
        <v>4934753.4879999999</v>
      </c>
      <c r="CA6" s="10">
        <v>92694.569109999997</v>
      </c>
      <c r="CB6" s="10">
        <v>1483113.1059999999</v>
      </c>
      <c r="CC6" s="10">
        <v>1853891.382</v>
      </c>
      <c r="CD6" s="10">
        <v>1853891.382</v>
      </c>
      <c r="CF6" s="10">
        <v>43081.181239999998</v>
      </c>
      <c r="CG6" s="10">
        <v>689298.89989999996</v>
      </c>
      <c r="CH6" s="10">
        <v>861623.62490000005</v>
      </c>
      <c r="CI6" s="10">
        <v>861623.62490000005</v>
      </c>
      <c r="CK6" s="10">
        <v>242199.15030000001</v>
      </c>
      <c r="CL6" s="10">
        <v>447446.304</v>
      </c>
      <c r="CM6" s="10">
        <v>405594.23920000001</v>
      </c>
      <c r="CN6" s="10">
        <v>405594.23920000001</v>
      </c>
      <c r="CP6" s="10">
        <v>30.363845529999999</v>
      </c>
      <c r="CQ6" s="10">
        <v>6628.1550500000003</v>
      </c>
      <c r="CR6" s="10">
        <v>6628.1550500000003</v>
      </c>
      <c r="CS6" s="10">
        <v>6628.1550500000003</v>
      </c>
      <c r="CT6" s="23">
        <f t="shared" si="12"/>
        <v>20.954791480184319</v>
      </c>
      <c r="CU6" s="20">
        <f t="shared" si="13"/>
        <v>61.192629946096389</v>
      </c>
      <c r="CV6" s="20">
        <f t="shared" si="14"/>
        <v>6628.1550500000003</v>
      </c>
      <c r="CX6" s="10">
        <v>607.60661889999994</v>
      </c>
      <c r="CY6" s="10">
        <v>29086.837100000001</v>
      </c>
      <c r="CZ6" s="10">
        <v>36769.519560000001</v>
      </c>
      <c r="DA6" s="10">
        <v>37276.47969</v>
      </c>
      <c r="DC6" s="10">
        <v>421.28379949999999</v>
      </c>
      <c r="DD6" s="10">
        <v>15953.548779999999</v>
      </c>
      <c r="DE6" s="10">
        <v>19893.070640000002</v>
      </c>
      <c r="DF6" s="10">
        <v>20167.346549999998</v>
      </c>
      <c r="DG6" s="23">
        <f t="shared" si="15"/>
        <v>59.786090831478901</v>
      </c>
      <c r="DH6" s="20">
        <f t="shared" si="16"/>
        <v>1.8483581657859129</v>
      </c>
      <c r="DI6" s="20">
        <f t="shared" si="17"/>
        <v>19893.070640000002</v>
      </c>
      <c r="DK6" s="10">
        <v>705625.20079999999</v>
      </c>
      <c r="DL6" s="10">
        <v>796694.31869999995</v>
      </c>
      <c r="DM6" s="10">
        <v>846553.68530000001</v>
      </c>
      <c r="DN6" s="10">
        <v>1062320.5179999999</v>
      </c>
      <c r="DO6" s="10">
        <v>-9999</v>
      </c>
      <c r="DP6" s="10">
        <v>-9999</v>
      </c>
      <c r="DQ6" s="10">
        <v>-9999</v>
      </c>
      <c r="DR6" s="10">
        <v>-9999</v>
      </c>
      <c r="DS6" s="10">
        <v>-9999</v>
      </c>
      <c r="DU6" s="10">
        <v>276204</v>
      </c>
      <c r="DV6" s="10">
        <v>523790</v>
      </c>
      <c r="DW6" s="10">
        <v>551481</v>
      </c>
      <c r="DX6" s="10">
        <v>551481</v>
      </c>
      <c r="DY6" s="10">
        <v>-9999</v>
      </c>
      <c r="DZ6" s="10">
        <v>-9999</v>
      </c>
      <c r="EA6" s="10">
        <v>-9999</v>
      </c>
      <c r="EB6" s="10">
        <v>-9999</v>
      </c>
      <c r="EC6" s="10">
        <v>-9999</v>
      </c>
    </row>
    <row r="7" spans="1:133" s="16" customFormat="1" x14ac:dyDescent="0.8">
      <c r="A7" s="10" t="s">
        <v>15</v>
      </c>
      <c r="B7" s="10" t="s">
        <v>194</v>
      </c>
      <c r="C7" s="10">
        <v>6</v>
      </c>
      <c r="D7" s="10">
        <v>454521453.60000002</v>
      </c>
      <c r="E7" s="10">
        <v>427693094</v>
      </c>
      <c r="F7" s="10">
        <v>0</v>
      </c>
      <c r="G7" s="10">
        <v>194039.57279999999</v>
      </c>
      <c r="H7" s="10">
        <v>4562701.9539999999</v>
      </c>
      <c r="I7" s="11">
        <v>4562701.9539999999</v>
      </c>
      <c r="J7" s="10">
        <v>5543987.7939999998</v>
      </c>
      <c r="K7" s="13">
        <v>0</v>
      </c>
      <c r="L7" s="13">
        <v>288428.70809999999</v>
      </c>
      <c r="M7" s="13">
        <v>6782195.0520000001</v>
      </c>
      <c r="N7" s="14">
        <v>6782195.0520000001</v>
      </c>
      <c r="O7" s="13">
        <v>8240820.233</v>
      </c>
      <c r="P7" s="15">
        <f t="shared" si="0"/>
        <v>48.298906439594269</v>
      </c>
      <c r="Q7" s="20">
        <f t="shared" si="1"/>
        <v>0.6727470854225146</v>
      </c>
      <c r="R7" s="21">
        <f t="shared" si="2"/>
        <v>6782195.0520000001</v>
      </c>
      <c r="S7" s="10">
        <v>0</v>
      </c>
      <c r="T7" s="10">
        <v>1536798.8470000001</v>
      </c>
      <c r="U7" s="10">
        <v>1600832.132</v>
      </c>
      <c r="V7" s="16">
        <v>1600832.132</v>
      </c>
      <c r="W7" s="10">
        <v>1600832.132</v>
      </c>
      <c r="X7" s="13">
        <v>0</v>
      </c>
      <c r="Y7" s="13">
        <v>208118.11079999999</v>
      </c>
      <c r="Z7" s="13">
        <v>216789.69880000001</v>
      </c>
      <c r="AA7" s="17">
        <v>216789.69880000001</v>
      </c>
      <c r="AB7" s="13">
        <v>216789.69880000001</v>
      </c>
      <c r="AC7" s="15">
        <f t="shared" si="3"/>
        <v>11.599999993003635</v>
      </c>
      <c r="AD7" s="20">
        <f t="shared" si="4"/>
        <v>7.3842629094514889</v>
      </c>
      <c r="AE7" s="22">
        <f t="shared" si="5"/>
        <v>216789.69880000001</v>
      </c>
      <c r="AF7" s="10">
        <v>0</v>
      </c>
      <c r="AG7" s="10">
        <v>222435.66399999999</v>
      </c>
      <c r="AH7" s="10">
        <v>463765.47710000002</v>
      </c>
      <c r="AI7" s="10">
        <v>566824.47199999995</v>
      </c>
      <c r="AJ7" s="10">
        <v>635530.46860000002</v>
      </c>
      <c r="AK7" s="18">
        <v>0</v>
      </c>
      <c r="AL7" s="18">
        <v>471666.6667</v>
      </c>
      <c r="AM7" s="18">
        <v>471666.6667</v>
      </c>
      <c r="AN7" s="18">
        <v>471666.6667</v>
      </c>
      <c r="AO7" s="18">
        <v>471666.6667</v>
      </c>
      <c r="AP7" s="15">
        <f t="shared" si="6"/>
        <v>43.393939393992852</v>
      </c>
      <c r="AQ7" s="20">
        <f t="shared" si="7"/>
        <v>1.2017479970882157</v>
      </c>
      <c r="AR7" s="21">
        <f t="shared" si="8"/>
        <v>471666.6667</v>
      </c>
      <c r="AS7" s="10">
        <v>0</v>
      </c>
      <c r="AT7" s="10">
        <v>0</v>
      </c>
      <c r="AU7" s="10">
        <v>3187496.4169999999</v>
      </c>
      <c r="AV7" s="10">
        <v>5109342.0319999997</v>
      </c>
      <c r="AW7" s="10">
        <v>5109342.0319999997</v>
      </c>
      <c r="AX7" s="18">
        <v>-9999</v>
      </c>
      <c r="AY7" s="18">
        <v>0</v>
      </c>
      <c r="AZ7" s="18">
        <v>16636427.130000001</v>
      </c>
      <c r="BA7" s="18">
        <v>20091506.460000001</v>
      </c>
      <c r="BB7" s="18">
        <v>20091506.460000001</v>
      </c>
      <c r="BC7" s="23">
        <f t="shared" si="9"/>
        <v>68.807173242302127</v>
      </c>
      <c r="BD7" s="20">
        <f t="shared" si="10"/>
        <v>0.25430358057879543</v>
      </c>
      <c r="BE7" s="20">
        <f t="shared" si="11"/>
        <v>20091506.460000001</v>
      </c>
      <c r="BF7" s="10">
        <v>0</v>
      </c>
      <c r="BG7" s="10">
        <v>0</v>
      </c>
      <c r="BH7" s="10">
        <v>0</v>
      </c>
      <c r="BI7" s="10">
        <v>0</v>
      </c>
      <c r="BJ7" s="10">
        <v>1814651.06</v>
      </c>
      <c r="BK7" s="10">
        <v>0</v>
      </c>
      <c r="BL7" s="10">
        <v>0</v>
      </c>
      <c r="BM7" s="10">
        <v>0</v>
      </c>
      <c r="BN7" s="10">
        <v>0</v>
      </c>
      <c r="BO7" s="10">
        <v>447187.35570000001</v>
      </c>
      <c r="BP7" s="10"/>
      <c r="BQ7" s="10">
        <v>984485.0675</v>
      </c>
      <c r="BR7" s="10">
        <v>984485.0675</v>
      </c>
      <c r="BS7" s="10">
        <v>1015980.4620000001</v>
      </c>
      <c r="BT7" s="10">
        <v>1015980.4620000001</v>
      </c>
      <c r="BU7" s="10"/>
      <c r="BV7" s="10">
        <v>2073291.99</v>
      </c>
      <c r="BW7" s="10">
        <v>2073291.99</v>
      </c>
      <c r="BX7" s="10">
        <v>2139620.2170000002</v>
      </c>
      <c r="BY7" s="10">
        <v>2139620.2170000002</v>
      </c>
      <c r="BZ7" s="10"/>
      <c r="CA7" s="10">
        <v>40190.695350000002</v>
      </c>
      <c r="CB7" s="10">
        <v>643051.12560000003</v>
      </c>
      <c r="CC7" s="10">
        <v>803813.90700000001</v>
      </c>
      <c r="CD7" s="10">
        <v>803813.90700000001</v>
      </c>
      <c r="CE7" s="10"/>
      <c r="CF7" s="10">
        <v>18679.224109999999</v>
      </c>
      <c r="CG7" s="10">
        <v>298867.5858</v>
      </c>
      <c r="CH7" s="10">
        <v>373584.48229999997</v>
      </c>
      <c r="CI7" s="10">
        <v>373584.48229999997</v>
      </c>
      <c r="CJ7" s="10">
        <v>0</v>
      </c>
      <c r="CK7" s="10">
        <v>615968.76040000003</v>
      </c>
      <c r="CL7" s="10">
        <v>2545068.69</v>
      </c>
      <c r="CM7" s="10">
        <v>2352081.1060000001</v>
      </c>
      <c r="CN7" s="10">
        <v>2352081.1060000001</v>
      </c>
      <c r="CO7" s="10">
        <v>0</v>
      </c>
      <c r="CP7" s="10">
        <v>3446.6088209999998</v>
      </c>
      <c r="CQ7" s="10">
        <v>50091.674469999998</v>
      </c>
      <c r="CR7" s="10">
        <v>50475.811840000002</v>
      </c>
      <c r="CS7" s="10">
        <v>50481.031589999999</v>
      </c>
      <c r="CT7" s="23">
        <f t="shared" si="12"/>
        <v>35.422216296651811</v>
      </c>
      <c r="CU7" s="20">
        <f t="shared" si="13"/>
        <v>46.598182778232655</v>
      </c>
      <c r="CV7" s="20">
        <f t="shared" si="14"/>
        <v>50475.811840000002</v>
      </c>
      <c r="CW7" s="10"/>
      <c r="CX7" s="10">
        <v>3109.9093849999999</v>
      </c>
      <c r="CY7" s="10">
        <v>148874.98730000001</v>
      </c>
      <c r="CZ7" s="10">
        <v>188197.21580000001</v>
      </c>
      <c r="DA7" s="10">
        <v>190791.98680000001</v>
      </c>
      <c r="DB7" s="10"/>
      <c r="DC7" s="10">
        <v>3208.56115</v>
      </c>
      <c r="DD7" s="10">
        <v>121504.641</v>
      </c>
      <c r="DE7" s="10">
        <v>151508.6355</v>
      </c>
      <c r="DF7" s="10">
        <v>153597.56229999999</v>
      </c>
      <c r="DG7" s="23">
        <f t="shared" si="15"/>
        <v>59.786090839713687</v>
      </c>
      <c r="DH7" s="20">
        <f t="shared" si="16"/>
        <v>1.2421550440271769</v>
      </c>
      <c r="DI7" s="20">
        <f t="shared" si="17"/>
        <v>151508.6355</v>
      </c>
      <c r="DJ7" s="10">
        <v>1232971.152</v>
      </c>
      <c r="DK7" s="10">
        <v>1274395.6370000001</v>
      </c>
      <c r="DL7" s="10">
        <v>1437329.9310000001</v>
      </c>
      <c r="DM7" s="10">
        <v>2006306.9569999999</v>
      </c>
      <c r="DN7" s="10">
        <v>2385561.8930000002</v>
      </c>
      <c r="DO7" s="10">
        <v>-9999</v>
      </c>
      <c r="DP7" s="10">
        <v>-9999</v>
      </c>
      <c r="DQ7" s="10">
        <v>-9999</v>
      </c>
      <c r="DR7" s="10">
        <v>-9999</v>
      </c>
      <c r="DS7" s="10">
        <v>-9999</v>
      </c>
      <c r="DT7" s="10">
        <v>0</v>
      </c>
      <c r="DU7" s="10">
        <v>2327889</v>
      </c>
      <c r="DV7" s="10">
        <v>4475325</v>
      </c>
      <c r="DW7" s="10">
        <v>4766315</v>
      </c>
      <c r="DX7" s="10">
        <v>4766315</v>
      </c>
      <c r="DY7" s="10">
        <v>-9999</v>
      </c>
      <c r="DZ7" s="10">
        <v>-9999</v>
      </c>
      <c r="EA7" s="10">
        <v>-9999</v>
      </c>
      <c r="EB7" s="10">
        <v>-9999</v>
      </c>
      <c r="EC7" s="10">
        <v>-9999</v>
      </c>
    </row>
    <row r="8" spans="1:133" x14ac:dyDescent="0.8">
      <c r="A8" s="10" t="s">
        <v>18</v>
      </c>
      <c r="B8" s="10" t="s">
        <v>195</v>
      </c>
      <c r="C8" s="10">
        <v>8</v>
      </c>
      <c r="D8" s="10">
        <v>127249219.3</v>
      </c>
      <c r="E8" s="10">
        <v>118206585.5</v>
      </c>
      <c r="F8" s="10">
        <v>0</v>
      </c>
      <c r="G8" s="10">
        <v>156714.807</v>
      </c>
      <c r="H8" s="10">
        <v>3685036.747</v>
      </c>
      <c r="I8" s="11">
        <v>3685036.747</v>
      </c>
      <c r="J8" s="10">
        <v>4477565.9139999999</v>
      </c>
      <c r="K8" s="13">
        <v>0</v>
      </c>
      <c r="L8" s="13">
        <v>280035.7464</v>
      </c>
      <c r="M8" s="13">
        <v>6584840.5520000001</v>
      </c>
      <c r="N8" s="14">
        <v>6584840.5520000001</v>
      </c>
      <c r="O8" s="13">
        <v>8001021.3269999996</v>
      </c>
      <c r="P8" s="15">
        <f t="shared" si="0"/>
        <v>48.298906439643162</v>
      </c>
      <c r="Q8" s="20">
        <f t="shared" si="1"/>
        <v>0.5596242943013634</v>
      </c>
      <c r="R8" s="21">
        <f t="shared" si="2"/>
        <v>6584840.5520000001</v>
      </c>
      <c r="S8" s="10">
        <v>0</v>
      </c>
      <c r="T8" s="10">
        <v>165798.0172</v>
      </c>
      <c r="U8" s="10">
        <v>172706.26790000001</v>
      </c>
      <c r="V8" s="16">
        <v>172706.26790000001</v>
      </c>
      <c r="W8" s="10">
        <v>172706.26790000001</v>
      </c>
      <c r="X8" s="13">
        <v>0</v>
      </c>
      <c r="Y8" s="13">
        <v>52078.227019999998</v>
      </c>
      <c r="Z8" s="13">
        <v>54248.153149999998</v>
      </c>
      <c r="AA8" s="17">
        <v>54248.153149999998</v>
      </c>
      <c r="AB8" s="13">
        <v>54248.153149999998</v>
      </c>
      <c r="AC8" s="15">
        <f t="shared" si="3"/>
        <v>11.599999996294287</v>
      </c>
      <c r="AD8" s="20">
        <f t="shared" si="4"/>
        <v>3.1836340570425485</v>
      </c>
      <c r="AE8" s="22">
        <f t="shared" si="5"/>
        <v>54248.153149999998</v>
      </c>
      <c r="AF8" s="10">
        <v>-9999</v>
      </c>
      <c r="AG8" s="10">
        <v>-9999</v>
      </c>
      <c r="AH8" s="10">
        <v>-9999</v>
      </c>
      <c r="AI8" s="10">
        <v>-9999</v>
      </c>
      <c r="AJ8" s="10">
        <v>-9999</v>
      </c>
      <c r="AK8" s="18">
        <v>-9999</v>
      </c>
      <c r="AL8" s="18">
        <v>-9999</v>
      </c>
      <c r="AM8" s="18">
        <v>-9999</v>
      </c>
      <c r="AN8" s="18">
        <v>-9999</v>
      </c>
      <c r="AO8" s="18">
        <v>-9999</v>
      </c>
      <c r="AP8" s="15">
        <f t="shared" si="6"/>
        <v>0</v>
      </c>
      <c r="AQ8" s="20">
        <f t="shared" si="7"/>
        <v>0</v>
      </c>
      <c r="AR8" s="21">
        <f t="shared" si="8"/>
        <v>0</v>
      </c>
      <c r="AS8" s="10">
        <v>0</v>
      </c>
      <c r="AT8" s="10">
        <v>0</v>
      </c>
      <c r="AU8" s="10">
        <v>1098.3728080000001</v>
      </c>
      <c r="AV8" s="10">
        <v>1098.3728080000001</v>
      </c>
      <c r="AW8" s="10">
        <v>38947.483269999997</v>
      </c>
      <c r="AX8" s="18">
        <v>-9999</v>
      </c>
      <c r="AY8" s="18">
        <v>0</v>
      </c>
      <c r="AZ8" s="18">
        <v>1718.4754419999999</v>
      </c>
      <c r="BA8" s="18">
        <v>1718.4754419999999</v>
      </c>
      <c r="BB8" s="18">
        <v>2945355.4360000002</v>
      </c>
      <c r="BC8" s="23">
        <f t="shared" si="9"/>
        <v>50</v>
      </c>
      <c r="BD8" s="20">
        <f t="shared" si="10"/>
        <v>0.6391553706008678</v>
      </c>
      <c r="BE8" s="20">
        <f t="shared" si="11"/>
        <v>1718.4754419999999</v>
      </c>
      <c r="BF8" s="10">
        <v>0</v>
      </c>
      <c r="BG8" s="10">
        <v>0</v>
      </c>
      <c r="BH8" s="10">
        <v>0</v>
      </c>
      <c r="BI8" s="10">
        <v>0</v>
      </c>
      <c r="BJ8" s="10">
        <v>221528.88510000001</v>
      </c>
      <c r="BK8" s="10">
        <v>0</v>
      </c>
      <c r="BL8" s="10">
        <v>0</v>
      </c>
      <c r="BM8" s="10">
        <v>0</v>
      </c>
      <c r="BN8" s="10">
        <v>0</v>
      </c>
      <c r="BO8" s="10">
        <v>107797.8566</v>
      </c>
      <c r="BQ8" s="10">
        <v>1941301.875</v>
      </c>
      <c r="BR8" s="10">
        <v>1941301.875</v>
      </c>
      <c r="BS8" s="10">
        <v>2003407.5079999999</v>
      </c>
      <c r="BT8" s="10">
        <v>2003407.5079999999</v>
      </c>
      <c r="BV8" s="10">
        <v>4088315.5690000001</v>
      </c>
      <c r="BW8" s="10">
        <v>4088315.5690000001</v>
      </c>
      <c r="BX8" s="10">
        <v>4219107.9139999999</v>
      </c>
      <c r="BY8" s="10">
        <v>4219107.9139999999</v>
      </c>
      <c r="CA8" s="10">
        <v>79251.859509999995</v>
      </c>
      <c r="CB8" s="10">
        <v>1268029.7520000001</v>
      </c>
      <c r="CC8" s="10">
        <v>1585037.19</v>
      </c>
      <c r="CD8" s="10">
        <v>1585037.19</v>
      </c>
      <c r="CF8" s="10">
        <v>36833.481789999998</v>
      </c>
      <c r="CG8" s="10">
        <v>589335.70860000001</v>
      </c>
      <c r="CH8" s="10">
        <v>736669.63580000005</v>
      </c>
      <c r="CI8" s="10">
        <v>736669.63580000005</v>
      </c>
      <c r="CJ8" s="10">
        <v>0</v>
      </c>
      <c r="CK8" s="10">
        <v>1851913.118</v>
      </c>
      <c r="CL8" s="10">
        <v>4129008.048</v>
      </c>
      <c r="CM8" s="10">
        <v>3742799.6680000001</v>
      </c>
      <c r="CN8" s="10">
        <v>3742799.6680000001</v>
      </c>
      <c r="CO8" s="10">
        <v>0</v>
      </c>
      <c r="CP8" s="10">
        <v>5463.0051489999996</v>
      </c>
      <c r="CQ8" s="10">
        <v>74410.310240000006</v>
      </c>
      <c r="CR8" s="10">
        <v>74410.310240000006</v>
      </c>
      <c r="CS8" s="10">
        <v>74410.310240000006</v>
      </c>
      <c r="CT8" s="23">
        <f t="shared" si="12"/>
        <v>25.048906699860268</v>
      </c>
      <c r="CU8" s="20">
        <f t="shared" si="13"/>
        <v>50.299476724772752</v>
      </c>
      <c r="CV8" s="20">
        <f t="shared" si="14"/>
        <v>74410.310240000006</v>
      </c>
      <c r="CX8" s="10">
        <v>4701.8756279999998</v>
      </c>
      <c r="CY8" s="10">
        <v>225084.26699999999</v>
      </c>
      <c r="CZ8" s="10">
        <v>284535.59009999997</v>
      </c>
      <c r="DA8" s="10">
        <v>288458.6275</v>
      </c>
      <c r="DC8" s="10">
        <v>4729.499836</v>
      </c>
      <c r="DD8" s="10">
        <v>179100.89679999999</v>
      </c>
      <c r="DE8" s="10">
        <v>223327.53940000001</v>
      </c>
      <c r="DF8" s="10">
        <v>226406.67009999999</v>
      </c>
      <c r="DG8" s="23">
        <f t="shared" si="15"/>
        <v>59.786090832789625</v>
      </c>
      <c r="DH8" s="20">
        <f t="shared" si="16"/>
        <v>1.2740730089286962</v>
      </c>
      <c r="DI8" s="20">
        <f t="shared" si="17"/>
        <v>223327.53940000001</v>
      </c>
      <c r="DJ8" s="10">
        <v>324336.53639999998</v>
      </c>
      <c r="DK8" s="10">
        <v>335399.82400000002</v>
      </c>
      <c r="DL8" s="10">
        <v>378502.41310000001</v>
      </c>
      <c r="DM8" s="10">
        <v>459579.70409999997</v>
      </c>
      <c r="DN8" s="10">
        <v>560888.92180000001</v>
      </c>
      <c r="DO8" s="10">
        <v>-9999</v>
      </c>
      <c r="DP8" s="10">
        <v>-9999</v>
      </c>
      <c r="DQ8" s="10">
        <v>-9999</v>
      </c>
      <c r="DR8" s="10">
        <v>-9999</v>
      </c>
      <c r="DS8" s="10">
        <v>-9999</v>
      </c>
      <c r="DT8" s="10">
        <v>0</v>
      </c>
      <c r="DU8" s="10">
        <v>193218</v>
      </c>
      <c r="DV8" s="10">
        <v>389298</v>
      </c>
      <c r="DW8" s="10">
        <v>455516</v>
      </c>
      <c r="DX8" s="10">
        <v>455516</v>
      </c>
      <c r="DY8" s="10">
        <v>-9999</v>
      </c>
      <c r="DZ8" s="10">
        <v>-9999</v>
      </c>
      <c r="EA8" s="10">
        <v>-9999</v>
      </c>
      <c r="EB8" s="10">
        <v>-9999</v>
      </c>
      <c r="EC8" s="10">
        <v>-9999</v>
      </c>
    </row>
    <row r="9" spans="1:133" x14ac:dyDescent="0.8">
      <c r="A9" s="10" t="s">
        <v>9</v>
      </c>
      <c r="B9" s="10" t="s">
        <v>196</v>
      </c>
      <c r="C9" s="10">
        <v>9</v>
      </c>
      <c r="D9" s="10">
        <v>40713158.020000003</v>
      </c>
      <c r="E9" s="10">
        <v>35152743.469999999</v>
      </c>
      <c r="F9" s="10">
        <v>0</v>
      </c>
      <c r="G9" s="10">
        <v>19744.634719999998</v>
      </c>
      <c r="H9" s="10">
        <v>464280.98210000002</v>
      </c>
      <c r="I9" s="11">
        <v>464280.98210000002</v>
      </c>
      <c r="J9" s="10">
        <v>564132.42050000001</v>
      </c>
      <c r="K9" s="13">
        <v>0</v>
      </c>
      <c r="L9" s="13">
        <v>4423.6864729999998</v>
      </c>
      <c r="M9" s="13">
        <v>104019.8276</v>
      </c>
      <c r="N9" s="14">
        <v>104019.8276</v>
      </c>
      <c r="O9" s="13">
        <v>126391.04210000001</v>
      </c>
      <c r="P9" s="15">
        <f t="shared" si="0"/>
        <v>48.298906439743227</v>
      </c>
      <c r="Q9" s="20">
        <f t="shared" si="1"/>
        <v>4.4633892673361828</v>
      </c>
      <c r="R9" s="21">
        <f t="shared" si="2"/>
        <v>104019.8276</v>
      </c>
      <c r="S9" s="10">
        <v>0</v>
      </c>
      <c r="T9" s="10">
        <v>172451.82459999999</v>
      </c>
      <c r="U9" s="10">
        <v>179637.3173</v>
      </c>
      <c r="V9" s="16">
        <v>179637.3173</v>
      </c>
      <c r="W9" s="10">
        <v>179637.3173</v>
      </c>
      <c r="X9" s="13">
        <v>0</v>
      </c>
      <c r="Y9" s="13">
        <v>17425.28656</v>
      </c>
      <c r="Z9" s="13">
        <v>18151.340169999999</v>
      </c>
      <c r="AA9" s="17">
        <v>18151.340169999999</v>
      </c>
      <c r="AB9" s="13">
        <v>18151.340169999999</v>
      </c>
      <c r="AC9" s="15">
        <f t="shared" si="3"/>
        <v>11.600000001781368</v>
      </c>
      <c r="AD9" s="20">
        <f t="shared" si="4"/>
        <v>9.8966421001188252</v>
      </c>
      <c r="AE9" s="22">
        <f t="shared" si="5"/>
        <v>18151.340169999999</v>
      </c>
      <c r="AF9" s="10">
        <v>-9999</v>
      </c>
      <c r="AG9" s="10">
        <v>-9999</v>
      </c>
      <c r="AH9" s="10">
        <v>-9999</v>
      </c>
      <c r="AI9" s="10">
        <v>-9999</v>
      </c>
      <c r="AJ9" s="10">
        <v>-9999</v>
      </c>
      <c r="AK9" s="18">
        <v>-9999</v>
      </c>
      <c r="AL9" s="18">
        <v>-9999</v>
      </c>
      <c r="AM9" s="18">
        <v>-9999</v>
      </c>
      <c r="AN9" s="18">
        <v>-9999</v>
      </c>
      <c r="AO9" s="18">
        <v>-9999</v>
      </c>
      <c r="AP9" s="15">
        <f t="shared" si="6"/>
        <v>0</v>
      </c>
      <c r="AQ9" s="20">
        <f t="shared" si="7"/>
        <v>0</v>
      </c>
      <c r="AR9" s="21">
        <f t="shared" si="8"/>
        <v>0</v>
      </c>
      <c r="AS9" s="10">
        <v>-9999</v>
      </c>
      <c r="AT9" s="10">
        <v>-9999</v>
      </c>
      <c r="AU9" s="10">
        <v>-9999</v>
      </c>
      <c r="AV9" s="10">
        <v>-9999</v>
      </c>
      <c r="AW9" s="10">
        <v>-9999</v>
      </c>
      <c r="AX9" s="18">
        <v>-9999</v>
      </c>
      <c r="AY9" s="18">
        <v>-9999</v>
      </c>
      <c r="AZ9" s="18">
        <v>-9999</v>
      </c>
      <c r="BA9" s="18">
        <v>-9999</v>
      </c>
      <c r="BB9" s="18">
        <v>-9999</v>
      </c>
      <c r="BC9" s="23">
        <f t="shared" si="9"/>
        <v>0</v>
      </c>
      <c r="BD9" s="20">
        <f t="shared" si="10"/>
        <v>0</v>
      </c>
      <c r="BE9" s="20">
        <f t="shared" si="11"/>
        <v>0</v>
      </c>
      <c r="BF9" s="10">
        <v>0</v>
      </c>
      <c r="BG9" s="10">
        <v>0</v>
      </c>
      <c r="BH9" s="10">
        <v>0</v>
      </c>
      <c r="BI9" s="10">
        <v>0</v>
      </c>
      <c r="BJ9" s="10">
        <v>325993.85560000001</v>
      </c>
      <c r="BK9" s="10">
        <v>0</v>
      </c>
      <c r="BL9" s="10">
        <v>0</v>
      </c>
      <c r="BM9" s="10">
        <v>0</v>
      </c>
      <c r="BN9" s="10">
        <v>0</v>
      </c>
      <c r="BO9" s="10">
        <v>130754.75870000001</v>
      </c>
      <c r="BQ9" s="10">
        <v>23144.5517</v>
      </c>
      <c r="BR9" s="10">
        <v>23144.5517</v>
      </c>
      <c r="BS9" s="10">
        <v>23884.986280000001</v>
      </c>
      <c r="BT9" s="10">
        <v>23884.986280000001</v>
      </c>
      <c r="BV9" s="10">
        <v>48741.636870000002</v>
      </c>
      <c r="BW9" s="10">
        <v>48741.636870000002</v>
      </c>
      <c r="BX9" s="10">
        <v>50300.966840000001</v>
      </c>
      <c r="BY9" s="10">
        <v>50300.966840000001</v>
      </c>
      <c r="CA9" s="10">
        <v>944.85498789999997</v>
      </c>
      <c r="CB9" s="10">
        <v>15117.67981</v>
      </c>
      <c r="CC9" s="10">
        <v>18897.099760000001</v>
      </c>
      <c r="CD9" s="10">
        <v>18897.099760000001</v>
      </c>
      <c r="CF9" s="10">
        <v>439.13542480000001</v>
      </c>
      <c r="CG9" s="10">
        <v>7026.1667969999999</v>
      </c>
      <c r="CH9" s="10">
        <v>8782.7084959999993</v>
      </c>
      <c r="CI9" s="10">
        <v>8782.7084959999993</v>
      </c>
      <c r="CJ9" s="10">
        <v>0</v>
      </c>
      <c r="CK9" s="10">
        <v>0</v>
      </c>
      <c r="CL9" s="10">
        <v>2696.9799050000001</v>
      </c>
      <c r="CM9" s="10">
        <v>2444.7168369999999</v>
      </c>
      <c r="CN9" s="10">
        <v>2444.7168369999999</v>
      </c>
      <c r="CO9" s="10">
        <v>0</v>
      </c>
      <c r="CP9" s="10">
        <v>0</v>
      </c>
      <c r="CQ9" s="10">
        <v>28.284054399999999</v>
      </c>
      <c r="CR9" s="10">
        <v>28.284054399999999</v>
      </c>
      <c r="CS9" s="10">
        <v>28.284054399999999</v>
      </c>
      <c r="CT9" s="23">
        <f t="shared" si="12"/>
        <v>44.840648532744567</v>
      </c>
      <c r="CU9" s="20">
        <f t="shared" si="13"/>
        <v>86.434455344563332</v>
      </c>
      <c r="CV9" s="20">
        <f t="shared" si="14"/>
        <v>28.284054399999999</v>
      </c>
      <c r="CX9" s="10">
        <v>3.3966874059999999</v>
      </c>
      <c r="CY9" s="10">
        <v>162.60338540000001</v>
      </c>
      <c r="CZ9" s="10">
        <v>205.55168449999999</v>
      </c>
      <c r="DA9" s="10">
        <v>208.3857304</v>
      </c>
      <c r="DC9" s="10">
        <v>1.7977270919999999</v>
      </c>
      <c r="DD9" s="10">
        <v>68.077924859999996</v>
      </c>
      <c r="DE9" s="10">
        <v>84.888885040000005</v>
      </c>
      <c r="DF9" s="10">
        <v>86.05929141</v>
      </c>
      <c r="DG9" s="23">
        <f t="shared" si="15"/>
        <v>59.786090849379534</v>
      </c>
      <c r="DH9" s="20">
        <f t="shared" si="16"/>
        <v>2.4214204769345615</v>
      </c>
      <c r="DI9" s="20">
        <f t="shared" si="17"/>
        <v>84.888885040000005</v>
      </c>
      <c r="DJ9" s="10">
        <v>13142.72695</v>
      </c>
      <c r="DK9" s="10">
        <v>13596.58756</v>
      </c>
      <c r="DL9" s="10">
        <v>15351.270839999999</v>
      </c>
      <c r="DM9" s="10">
        <v>16347.45199</v>
      </c>
      <c r="DN9" s="10">
        <v>20504.25909</v>
      </c>
      <c r="DO9" s="10">
        <v>-9999</v>
      </c>
      <c r="DP9" s="10">
        <v>-9999</v>
      </c>
      <c r="DQ9" s="10">
        <v>-9999</v>
      </c>
      <c r="DR9" s="10">
        <v>-9999</v>
      </c>
      <c r="DS9" s="10">
        <v>-9999</v>
      </c>
      <c r="DT9" s="10">
        <v>0</v>
      </c>
      <c r="DU9" s="10">
        <v>0</v>
      </c>
      <c r="DV9" s="10">
        <v>1776</v>
      </c>
      <c r="DW9" s="10">
        <v>1776</v>
      </c>
      <c r="DX9" s="10">
        <v>1776</v>
      </c>
      <c r="DY9" s="10">
        <v>-9999</v>
      </c>
      <c r="DZ9" s="10">
        <v>-9999</v>
      </c>
      <c r="EA9" s="10">
        <v>-9999</v>
      </c>
      <c r="EB9" s="10">
        <v>-9999</v>
      </c>
      <c r="EC9" s="10">
        <v>-9999</v>
      </c>
    </row>
    <row r="10" spans="1:133" x14ac:dyDescent="0.8">
      <c r="A10" s="10" t="s">
        <v>13</v>
      </c>
      <c r="B10" s="10" t="s">
        <v>197</v>
      </c>
      <c r="C10" s="10">
        <v>10</v>
      </c>
      <c r="D10" s="10">
        <v>14913536.199999999</v>
      </c>
      <c r="E10" s="10">
        <v>13717565.109999999</v>
      </c>
      <c r="F10" s="10">
        <v>0</v>
      </c>
      <c r="G10" s="10">
        <v>15489.023080000001</v>
      </c>
      <c r="H10" s="10">
        <v>364213.31400000001</v>
      </c>
      <c r="I10" s="11">
        <v>364213.31400000001</v>
      </c>
      <c r="J10" s="10">
        <v>442543.51640000002</v>
      </c>
      <c r="K10" s="13">
        <v>0</v>
      </c>
      <c r="L10" s="13">
        <v>3838.282968</v>
      </c>
      <c r="M10" s="13">
        <v>90254.482369999998</v>
      </c>
      <c r="N10" s="14">
        <v>90254.482369999998</v>
      </c>
      <c r="O10" s="13">
        <v>109665.2277</v>
      </c>
      <c r="P10" s="15">
        <f t="shared" si="0"/>
        <v>48.298906439208309</v>
      </c>
      <c r="Q10" s="20">
        <f t="shared" si="1"/>
        <v>4.0354041642707612</v>
      </c>
      <c r="R10" s="21">
        <f t="shared" si="2"/>
        <v>90254.482369999998</v>
      </c>
      <c r="S10" s="10">
        <v>0</v>
      </c>
      <c r="T10" s="10">
        <v>56029.701699999998</v>
      </c>
      <c r="U10" s="10">
        <v>58364.27261</v>
      </c>
      <c r="V10" s="16">
        <v>58364.27261</v>
      </c>
      <c r="W10" s="10">
        <v>58364.27261</v>
      </c>
      <c r="X10" s="13">
        <v>0</v>
      </c>
      <c r="Y10" s="13">
        <v>6290.6310290000001</v>
      </c>
      <c r="Z10" s="13">
        <v>6552.7406549999996</v>
      </c>
      <c r="AA10" s="17">
        <v>6552.7406549999996</v>
      </c>
      <c r="AB10" s="13">
        <v>6552.7406549999996</v>
      </c>
      <c r="AC10" s="15">
        <f t="shared" si="3"/>
        <v>11.600000003837966</v>
      </c>
      <c r="AD10" s="20">
        <f t="shared" si="4"/>
        <v>8.9068491617268197</v>
      </c>
      <c r="AE10" s="22">
        <f t="shared" si="5"/>
        <v>6552.7406549999996</v>
      </c>
      <c r="AF10" s="10">
        <v>-9999</v>
      </c>
      <c r="AG10" s="10">
        <v>-9999</v>
      </c>
      <c r="AH10" s="10">
        <v>-9999</v>
      </c>
      <c r="AI10" s="10">
        <v>-9999</v>
      </c>
      <c r="AJ10" s="10">
        <v>-9999</v>
      </c>
      <c r="AK10" s="18">
        <v>-9999</v>
      </c>
      <c r="AL10" s="18">
        <v>-9999</v>
      </c>
      <c r="AM10" s="18">
        <v>-9999</v>
      </c>
      <c r="AN10" s="18">
        <v>-9999</v>
      </c>
      <c r="AO10" s="18">
        <v>-9999</v>
      </c>
      <c r="AP10" s="15">
        <f t="shared" si="6"/>
        <v>0</v>
      </c>
      <c r="AQ10" s="20">
        <f t="shared" si="7"/>
        <v>0</v>
      </c>
      <c r="AR10" s="21">
        <f t="shared" si="8"/>
        <v>0</v>
      </c>
      <c r="AS10" s="10">
        <v>-9999</v>
      </c>
      <c r="AT10" s="10">
        <v>-9999</v>
      </c>
      <c r="AU10" s="10">
        <v>-9999</v>
      </c>
      <c r="AV10" s="10">
        <v>-9999</v>
      </c>
      <c r="AW10" s="10">
        <v>-9999</v>
      </c>
      <c r="AX10" s="18">
        <v>-9999</v>
      </c>
      <c r="AY10" s="18">
        <v>-9999</v>
      </c>
      <c r="AZ10" s="18">
        <v>-9999</v>
      </c>
      <c r="BA10" s="18">
        <v>-9999</v>
      </c>
      <c r="BB10" s="18">
        <v>-9999</v>
      </c>
      <c r="BC10" s="23">
        <f t="shared" si="9"/>
        <v>0</v>
      </c>
      <c r="BD10" s="20">
        <f t="shared" si="10"/>
        <v>0</v>
      </c>
      <c r="BE10" s="20">
        <f t="shared" si="11"/>
        <v>0</v>
      </c>
      <c r="BF10" s="10">
        <v>0</v>
      </c>
      <c r="BG10" s="10">
        <v>0</v>
      </c>
      <c r="BH10" s="10">
        <v>0</v>
      </c>
      <c r="BI10" s="10">
        <v>0</v>
      </c>
      <c r="BJ10" s="10">
        <v>45662.070390000001</v>
      </c>
      <c r="BK10" s="10">
        <v>0</v>
      </c>
      <c r="BL10" s="10">
        <v>0</v>
      </c>
      <c r="BM10" s="10">
        <v>0</v>
      </c>
      <c r="BN10" s="10">
        <v>0</v>
      </c>
      <c r="BO10" s="10">
        <v>13066.42506</v>
      </c>
      <c r="BQ10" s="10">
        <v>145495.06820000001</v>
      </c>
      <c r="BR10" s="10">
        <v>145495.06820000001</v>
      </c>
      <c r="BS10" s="10">
        <v>150149.70920000001</v>
      </c>
      <c r="BT10" s="10">
        <v>150149.70920000001</v>
      </c>
      <c r="BV10" s="10">
        <v>306407.65360000002</v>
      </c>
      <c r="BW10" s="10">
        <v>306407.65360000002</v>
      </c>
      <c r="BX10" s="10">
        <v>316210.16879999998</v>
      </c>
      <c r="BY10" s="10">
        <v>316210.16879999998</v>
      </c>
      <c r="CA10" s="10">
        <v>5939.7020380000004</v>
      </c>
      <c r="CB10" s="10">
        <v>95035.232600000003</v>
      </c>
      <c r="CC10" s="10">
        <v>118794.0408</v>
      </c>
      <c r="CD10" s="10">
        <v>118794.0408</v>
      </c>
      <c r="CF10" s="10">
        <v>2760.5649659999999</v>
      </c>
      <c r="CG10" s="10">
        <v>44169.039449999997</v>
      </c>
      <c r="CH10" s="10">
        <v>55211.299319999998</v>
      </c>
      <c r="CI10" s="10">
        <v>55211.299319999998</v>
      </c>
      <c r="CJ10" s="10">
        <v>0</v>
      </c>
      <c r="CK10" s="10">
        <v>889.61154199999999</v>
      </c>
      <c r="CL10" s="10">
        <v>11469.963540000001</v>
      </c>
      <c r="CM10" s="10">
        <v>10397.116019999999</v>
      </c>
      <c r="CN10" s="10">
        <v>10397.116019999999</v>
      </c>
      <c r="CO10" s="10">
        <v>0</v>
      </c>
      <c r="CP10" s="10">
        <v>0</v>
      </c>
      <c r="CQ10" s="10">
        <v>142.388904</v>
      </c>
      <c r="CR10" s="10">
        <v>142.388904</v>
      </c>
      <c r="CS10" s="10">
        <v>142.388904</v>
      </c>
      <c r="CT10" s="23">
        <f t="shared" si="12"/>
        <v>41.418116571137389</v>
      </c>
      <c r="CU10" s="20">
        <f t="shared" si="13"/>
        <v>73.019144946856244</v>
      </c>
      <c r="CV10" s="20">
        <f t="shared" si="14"/>
        <v>142.388904</v>
      </c>
      <c r="CX10" s="10">
        <v>13.264913200000001</v>
      </c>
      <c r="CY10" s="10">
        <v>635.0068569</v>
      </c>
      <c r="CZ10" s="10">
        <v>802.73069810000004</v>
      </c>
      <c r="DA10" s="10">
        <v>813.7983557</v>
      </c>
      <c r="DC10" s="10">
        <v>9.050201457</v>
      </c>
      <c r="DD10" s="10">
        <v>342.72106009999999</v>
      </c>
      <c r="DE10" s="10">
        <v>427.35157880000003</v>
      </c>
      <c r="DF10" s="10">
        <v>433.24369300000001</v>
      </c>
      <c r="DG10" s="23">
        <f t="shared" si="15"/>
        <v>59.786090840419547</v>
      </c>
      <c r="DH10" s="20">
        <f t="shared" si="16"/>
        <v>1.8783847724490961</v>
      </c>
      <c r="DI10" s="20">
        <f t="shared" si="17"/>
        <v>427.35157880000003</v>
      </c>
      <c r="DJ10" s="10">
        <v>44876.6659</v>
      </c>
      <c r="DK10" s="10">
        <v>46426.809670000002</v>
      </c>
      <c r="DL10" s="10">
        <v>52418.879979999998</v>
      </c>
      <c r="DM10" s="10">
        <v>55652.178910000002</v>
      </c>
      <c r="DN10" s="10">
        <v>69849.647010000001</v>
      </c>
      <c r="DO10" s="10">
        <v>-9999</v>
      </c>
      <c r="DP10" s="10">
        <v>-9999</v>
      </c>
      <c r="DQ10" s="10">
        <v>-9999</v>
      </c>
      <c r="DR10" s="10">
        <v>-9999</v>
      </c>
      <c r="DS10" s="10">
        <v>-9999</v>
      </c>
      <c r="DT10" s="10">
        <v>0</v>
      </c>
      <c r="DU10" s="10">
        <v>0</v>
      </c>
      <c r="DV10" s="10">
        <v>247</v>
      </c>
      <c r="DW10" s="10">
        <v>247</v>
      </c>
      <c r="DX10" s="10">
        <v>247</v>
      </c>
      <c r="DY10" s="10">
        <v>-9999</v>
      </c>
      <c r="DZ10" s="10">
        <v>-9999</v>
      </c>
      <c r="EA10" s="10">
        <v>-9999</v>
      </c>
      <c r="EB10" s="10">
        <v>-9999</v>
      </c>
      <c r="EC10" s="10">
        <v>-9999</v>
      </c>
    </row>
    <row r="11" spans="1:133" x14ac:dyDescent="0.8">
      <c r="A11" s="10" t="s">
        <v>14</v>
      </c>
      <c r="B11" s="10" t="s">
        <v>198</v>
      </c>
      <c r="C11" s="10">
        <v>12</v>
      </c>
      <c r="D11" s="10">
        <v>268231817.30000001</v>
      </c>
      <c r="E11" s="10">
        <v>233442559.19999999</v>
      </c>
      <c r="F11" s="10"/>
      <c r="G11" s="10">
        <v>277530.89030000003</v>
      </c>
      <c r="H11" s="10">
        <v>6525940.6500000004</v>
      </c>
      <c r="I11" s="11">
        <v>6525940.6500000004</v>
      </c>
      <c r="J11" s="10">
        <v>7929454.0099999998</v>
      </c>
      <c r="K11" s="13"/>
      <c r="L11" s="13">
        <v>126629.5808</v>
      </c>
      <c r="M11" s="13">
        <v>2977604.1430000002</v>
      </c>
      <c r="N11" s="14">
        <v>2977604.1430000002</v>
      </c>
      <c r="O11" s="13">
        <v>3617988.023</v>
      </c>
      <c r="P11" s="15">
        <f t="shared" si="0"/>
        <v>48.298906440100708</v>
      </c>
      <c r="Q11" s="20">
        <f t="shared" si="1"/>
        <v>2.1916750301888603</v>
      </c>
      <c r="R11" s="21">
        <f t="shared" si="2"/>
        <v>2977604.1430000002</v>
      </c>
      <c r="T11" s="10">
        <v>1019620.997</v>
      </c>
      <c r="U11" s="10">
        <v>1062105.2050000001</v>
      </c>
      <c r="V11" s="16">
        <v>1062105.2050000001</v>
      </c>
      <c r="W11" s="10">
        <v>1062105.2050000001</v>
      </c>
      <c r="X11" s="13"/>
      <c r="Y11" s="13">
        <v>263558.22739999997</v>
      </c>
      <c r="Z11" s="13">
        <v>274539.82020000002</v>
      </c>
      <c r="AA11" s="17">
        <v>274539.82020000002</v>
      </c>
      <c r="AB11" s="13">
        <v>274539.82020000002</v>
      </c>
      <c r="AC11" s="15">
        <f t="shared" si="3"/>
        <v>11.599999992467794</v>
      </c>
      <c r="AD11" s="20">
        <f t="shared" si="4"/>
        <v>3.8686745122301933</v>
      </c>
      <c r="AE11" s="22">
        <f t="shared" si="5"/>
        <v>274539.82020000002</v>
      </c>
      <c r="AF11" s="10">
        <v>-9999</v>
      </c>
      <c r="AG11" s="10">
        <v>-9999</v>
      </c>
      <c r="AH11" s="10">
        <v>-9999</v>
      </c>
      <c r="AI11" s="10">
        <v>-9999</v>
      </c>
      <c r="AJ11" s="10">
        <v>-9999</v>
      </c>
      <c r="AK11" s="18">
        <v>-9999</v>
      </c>
      <c r="AL11" s="18">
        <v>-9999</v>
      </c>
      <c r="AM11" s="18">
        <v>-9999</v>
      </c>
      <c r="AN11" s="18">
        <v>-9999</v>
      </c>
      <c r="AO11" s="18">
        <v>-9999</v>
      </c>
      <c r="AP11" s="15">
        <f t="shared" si="6"/>
        <v>0</v>
      </c>
      <c r="AQ11" s="20">
        <f t="shared" si="7"/>
        <v>0</v>
      </c>
      <c r="AR11" s="21">
        <f t="shared" si="8"/>
        <v>0</v>
      </c>
      <c r="AS11" s="10">
        <v>-9999</v>
      </c>
      <c r="AT11" s="10">
        <v>-9999</v>
      </c>
      <c r="AU11" s="10">
        <v>-9999</v>
      </c>
      <c r="AV11" s="10">
        <v>-9999</v>
      </c>
      <c r="AW11" s="10">
        <v>-9999</v>
      </c>
      <c r="AX11" s="18">
        <v>-9999</v>
      </c>
      <c r="AY11" s="18">
        <v>-9999</v>
      </c>
      <c r="AZ11" s="18">
        <v>-9999</v>
      </c>
      <c r="BA11" s="18">
        <v>-9999</v>
      </c>
      <c r="BB11" s="18">
        <v>-9999</v>
      </c>
      <c r="BC11" s="23">
        <f t="shared" si="9"/>
        <v>0</v>
      </c>
      <c r="BD11" s="20">
        <f t="shared" si="10"/>
        <v>0</v>
      </c>
      <c r="BE11" s="20">
        <f t="shared" si="11"/>
        <v>0</v>
      </c>
      <c r="BF11" s="10">
        <v>0</v>
      </c>
      <c r="BG11" s="10">
        <v>0</v>
      </c>
      <c r="BH11" s="10">
        <v>0</v>
      </c>
      <c r="BI11" s="10">
        <v>0</v>
      </c>
      <c r="BJ11" s="10">
        <v>2333798.7609999999</v>
      </c>
      <c r="BK11" s="10">
        <v>0</v>
      </c>
      <c r="BL11" s="10">
        <v>0</v>
      </c>
      <c r="BM11" s="10">
        <v>0</v>
      </c>
      <c r="BN11" s="10">
        <v>0</v>
      </c>
      <c r="BO11" s="10">
        <v>470994.44530000002</v>
      </c>
      <c r="BQ11" s="10">
        <v>360423.79149999999</v>
      </c>
      <c r="BR11" s="10">
        <v>360423.79149999999</v>
      </c>
      <c r="BS11" s="10">
        <v>371954.37719999999</v>
      </c>
      <c r="BT11" s="10">
        <v>371954.37719999999</v>
      </c>
      <c r="BV11" s="10">
        <v>759040.21779999998</v>
      </c>
      <c r="BW11" s="10">
        <v>759040.21779999998</v>
      </c>
      <c r="BX11" s="10">
        <v>783323.23820000002</v>
      </c>
      <c r="BY11" s="10">
        <v>783323.23820000002</v>
      </c>
      <c r="CA11" s="10">
        <v>14713.96904</v>
      </c>
      <c r="CB11" s="10">
        <v>235423.50459999999</v>
      </c>
      <c r="CC11" s="10">
        <v>294279.38079999998</v>
      </c>
      <c r="CD11" s="10">
        <v>294279.38079999998</v>
      </c>
      <c r="CF11" s="10">
        <v>6838.5362059999998</v>
      </c>
      <c r="CG11" s="10">
        <v>109416.5793</v>
      </c>
      <c r="CH11" s="10">
        <v>136770.72409999999</v>
      </c>
      <c r="CI11" s="10">
        <v>136770.72409999999</v>
      </c>
      <c r="CK11" s="10">
        <v>724484.78</v>
      </c>
      <c r="CL11" s="10">
        <v>1346896.9790000001</v>
      </c>
      <c r="CM11" s="10">
        <v>1220914.4439999999</v>
      </c>
      <c r="CN11" s="10">
        <v>1220914.4439999999</v>
      </c>
      <c r="CP11" s="10">
        <v>8889.5278330000001</v>
      </c>
      <c r="CQ11" s="10">
        <v>12325.26102</v>
      </c>
      <c r="CR11" s="10">
        <v>12325.26102</v>
      </c>
      <c r="CS11" s="10">
        <v>12325.26102</v>
      </c>
      <c r="CT11" s="23">
        <f t="shared" si="12"/>
        <v>21.104840209425834</v>
      </c>
      <c r="CU11" s="20">
        <f t="shared" si="13"/>
        <v>99.057897598991374</v>
      </c>
      <c r="CV11" s="20">
        <f t="shared" si="14"/>
        <v>12325.26102</v>
      </c>
      <c r="CX11" s="10">
        <v>4238.9399569999996</v>
      </c>
      <c r="CY11" s="10">
        <v>202922.99679999999</v>
      </c>
      <c r="CZ11" s="10">
        <v>256520.8818</v>
      </c>
      <c r="DA11" s="10">
        <v>260057.6661</v>
      </c>
      <c r="DC11" s="10">
        <v>783.39036339999996</v>
      </c>
      <c r="DD11" s="10">
        <v>29666.121480000002</v>
      </c>
      <c r="DE11" s="10">
        <v>36991.785230000001</v>
      </c>
      <c r="DF11" s="10">
        <v>37501.809849999998</v>
      </c>
      <c r="DG11" s="23">
        <f t="shared" si="15"/>
        <v>59.78609084026624</v>
      </c>
      <c r="DH11" s="20">
        <f t="shared" si="16"/>
        <v>6.9345364168032608</v>
      </c>
      <c r="DI11" s="20">
        <f t="shared" si="17"/>
        <v>36991.785230000001</v>
      </c>
      <c r="DK11" s="10">
        <v>322463.88250000001</v>
      </c>
      <c r="DL11" s="10">
        <v>364064.21970000002</v>
      </c>
      <c r="DM11" s="10">
        <v>392246.29639999999</v>
      </c>
      <c r="DN11" s="10">
        <v>490732.10560000001</v>
      </c>
      <c r="DO11" s="10">
        <v>-9999</v>
      </c>
      <c r="DP11" s="10">
        <v>-9999</v>
      </c>
      <c r="DQ11" s="10">
        <v>-9999</v>
      </c>
      <c r="DR11" s="10">
        <v>-9999</v>
      </c>
      <c r="DS11" s="10">
        <v>-9999</v>
      </c>
      <c r="DU11" s="10">
        <v>17130</v>
      </c>
      <c r="DV11" s="10">
        <v>34271</v>
      </c>
      <c r="DW11" s="10">
        <v>34923</v>
      </c>
      <c r="DX11" s="10">
        <v>34923</v>
      </c>
      <c r="DY11" s="10">
        <v>-9999</v>
      </c>
      <c r="DZ11" s="10">
        <v>-9999</v>
      </c>
      <c r="EA11" s="10">
        <v>-9999</v>
      </c>
      <c r="EB11" s="10">
        <v>-9999</v>
      </c>
      <c r="EC11" s="10">
        <v>-9999</v>
      </c>
    </row>
    <row r="12" spans="1:133" x14ac:dyDescent="0.8">
      <c r="A12" s="10" t="s">
        <v>17</v>
      </c>
      <c r="B12" s="10" t="s">
        <v>199</v>
      </c>
      <c r="C12" s="10">
        <v>13</v>
      </c>
      <c r="D12" s="10">
        <v>160784011.80000001</v>
      </c>
      <c r="E12" s="10">
        <v>114302918.09999999</v>
      </c>
      <c r="F12" s="10"/>
      <c r="G12" s="10">
        <v>401662.47690000001</v>
      </c>
      <c r="H12" s="10">
        <v>9444806.2420000006</v>
      </c>
      <c r="I12" s="11">
        <v>9444806.2420000006</v>
      </c>
      <c r="J12" s="10">
        <v>11476070.77</v>
      </c>
      <c r="K12" s="13"/>
      <c r="L12" s="13">
        <v>155695.56529999999</v>
      </c>
      <c r="M12" s="13">
        <v>3661070.0070000002</v>
      </c>
      <c r="N12" s="14">
        <v>3661070.0070000002</v>
      </c>
      <c r="O12" s="13">
        <v>4448444.7220000001</v>
      </c>
      <c r="P12" s="15">
        <f t="shared" si="0"/>
        <v>48.298906439757957</v>
      </c>
      <c r="Q12" s="20">
        <f t="shared" si="1"/>
        <v>2.5797939465624644</v>
      </c>
      <c r="R12" s="21">
        <f t="shared" si="2"/>
        <v>3661070.0070000002</v>
      </c>
      <c r="T12" s="10">
        <v>3244602.4279999998</v>
      </c>
      <c r="U12" s="10">
        <v>3379794.196</v>
      </c>
      <c r="V12" s="16">
        <v>3379794.196</v>
      </c>
      <c r="W12" s="10">
        <v>3379794.196</v>
      </c>
      <c r="X12" s="13"/>
      <c r="Y12" s="13">
        <v>586892.37789999996</v>
      </c>
      <c r="Z12" s="13">
        <v>611346.22699999996</v>
      </c>
      <c r="AA12" s="17">
        <v>611346.22699999996</v>
      </c>
      <c r="AB12" s="13">
        <v>611346.22699999996</v>
      </c>
      <c r="AC12" s="15">
        <f t="shared" si="3"/>
        <v>11.600000001893608</v>
      </c>
      <c r="AD12" s="20">
        <f t="shared" si="4"/>
        <v>5.5284453338091843</v>
      </c>
      <c r="AE12" s="22">
        <f t="shared" si="5"/>
        <v>611346.22699999996</v>
      </c>
      <c r="AF12" s="10">
        <v>-9999</v>
      </c>
      <c r="AG12" s="10">
        <v>-9999</v>
      </c>
      <c r="AH12" s="10">
        <v>-9999</v>
      </c>
      <c r="AI12" s="10">
        <v>-9999</v>
      </c>
      <c r="AJ12" s="10">
        <v>-9999</v>
      </c>
      <c r="AK12" s="18">
        <v>-9999</v>
      </c>
      <c r="AL12" s="18">
        <v>-9999</v>
      </c>
      <c r="AM12" s="18">
        <v>-9999</v>
      </c>
      <c r="AN12" s="18">
        <v>-9999</v>
      </c>
      <c r="AO12" s="18">
        <v>-9999</v>
      </c>
      <c r="AP12" s="15">
        <f t="shared" si="6"/>
        <v>0</v>
      </c>
      <c r="AQ12" s="20">
        <f t="shared" si="7"/>
        <v>0</v>
      </c>
      <c r="AR12" s="21">
        <f t="shared" si="8"/>
        <v>0</v>
      </c>
      <c r="AS12" s="10">
        <v>-9999</v>
      </c>
      <c r="AT12" s="10">
        <v>-9999</v>
      </c>
      <c r="AU12" s="10">
        <v>-9999</v>
      </c>
      <c r="AV12" s="10">
        <v>-9999</v>
      </c>
      <c r="AW12" s="10">
        <v>-9999</v>
      </c>
      <c r="AX12" s="18">
        <v>-9999</v>
      </c>
      <c r="AY12" s="18">
        <v>-9999</v>
      </c>
      <c r="AZ12" s="18">
        <v>-9999</v>
      </c>
      <c r="BA12" s="18">
        <v>-9999</v>
      </c>
      <c r="BB12" s="18">
        <v>-9999</v>
      </c>
      <c r="BC12" s="23">
        <f t="shared" si="9"/>
        <v>0</v>
      </c>
      <c r="BD12" s="20">
        <f t="shared" si="10"/>
        <v>0</v>
      </c>
      <c r="BE12" s="20">
        <f t="shared" si="11"/>
        <v>0</v>
      </c>
      <c r="BF12" s="10">
        <v>0</v>
      </c>
      <c r="BG12" s="10">
        <v>0</v>
      </c>
      <c r="BH12" s="10">
        <v>0</v>
      </c>
      <c r="BI12" s="10">
        <v>0</v>
      </c>
      <c r="BJ12" s="10">
        <v>1208091.919</v>
      </c>
      <c r="BK12" s="10">
        <v>0</v>
      </c>
      <c r="BL12" s="10">
        <v>0</v>
      </c>
      <c r="BM12" s="10">
        <v>0</v>
      </c>
      <c r="BN12" s="10">
        <v>0</v>
      </c>
      <c r="BO12" s="10">
        <v>328073.5845</v>
      </c>
      <c r="BQ12" s="10">
        <v>1152598.675</v>
      </c>
      <c r="BR12" s="10">
        <v>1152598.675</v>
      </c>
      <c r="BS12" s="10">
        <v>1189472.317</v>
      </c>
      <c r="BT12" s="10">
        <v>1189472.317</v>
      </c>
      <c r="BV12" s="10">
        <v>2427333.5159999998</v>
      </c>
      <c r="BW12" s="10">
        <v>2427333.5159999998</v>
      </c>
      <c r="BX12" s="10">
        <v>2504988.1490000002</v>
      </c>
      <c r="BY12" s="10">
        <v>2504988.1490000002</v>
      </c>
      <c r="CA12" s="10">
        <v>47053.778400000003</v>
      </c>
      <c r="CB12" s="10">
        <v>752860.45440000005</v>
      </c>
      <c r="CC12" s="10">
        <v>941075.56799999997</v>
      </c>
      <c r="CD12" s="10">
        <v>941075.56799999997</v>
      </c>
      <c r="CF12" s="10">
        <v>21868.944149999999</v>
      </c>
      <c r="CG12" s="10">
        <v>349903.10649999999</v>
      </c>
      <c r="CH12" s="10">
        <v>437378.88309999998</v>
      </c>
      <c r="CI12" s="10">
        <v>437378.88309999998</v>
      </c>
      <c r="CK12" s="10">
        <v>54842.543019999997</v>
      </c>
      <c r="CL12" s="10">
        <v>1071085.605</v>
      </c>
      <c r="CM12" s="10">
        <v>970901.19460000005</v>
      </c>
      <c r="CN12" s="10">
        <v>970901.19460000005</v>
      </c>
      <c r="CP12" s="10">
        <v>788.84311030000003</v>
      </c>
      <c r="CQ12" s="10">
        <v>17069.620559999999</v>
      </c>
      <c r="CR12" s="10">
        <v>17069.620559999999</v>
      </c>
      <c r="CS12" s="10">
        <v>17069.620559999999</v>
      </c>
      <c r="CT12" s="23">
        <f t="shared" si="12"/>
        <v>42.581199527962767</v>
      </c>
      <c r="CU12" s="20">
        <f t="shared" si="13"/>
        <v>56.878897289325572</v>
      </c>
      <c r="CV12" s="20">
        <f t="shared" si="14"/>
        <v>17069.620559999999</v>
      </c>
      <c r="CX12" s="10">
        <v>1528.893288</v>
      </c>
      <c r="CY12" s="10">
        <v>73189.903839999999</v>
      </c>
      <c r="CZ12" s="10">
        <v>92521.493210000001</v>
      </c>
      <c r="DA12" s="10">
        <v>93797.134239999999</v>
      </c>
      <c r="DC12" s="10">
        <v>1084.940613</v>
      </c>
      <c r="DD12" s="10">
        <v>41085.49394</v>
      </c>
      <c r="DE12" s="10">
        <v>51231.023549999998</v>
      </c>
      <c r="DF12" s="10">
        <v>51937.371809999997</v>
      </c>
      <c r="DG12" s="23">
        <f t="shared" si="15"/>
        <v>59.786090837562689</v>
      </c>
      <c r="DH12" s="20">
        <f t="shared" si="16"/>
        <v>1.8059661275301615</v>
      </c>
      <c r="DI12" s="20">
        <f t="shared" si="17"/>
        <v>51231.023549999998</v>
      </c>
      <c r="DK12" s="10">
        <v>330987.01169999997</v>
      </c>
      <c r="DL12" s="10">
        <v>373661.67609999998</v>
      </c>
      <c r="DM12" s="10">
        <v>410426.29950000002</v>
      </c>
      <c r="DN12" s="10">
        <v>511344.50809999998</v>
      </c>
      <c r="DO12" s="10">
        <v>-9999</v>
      </c>
      <c r="DP12" s="10">
        <v>-9999</v>
      </c>
      <c r="DQ12" s="10">
        <v>-9999</v>
      </c>
      <c r="DR12" s="10">
        <v>-9999</v>
      </c>
      <c r="DS12" s="10">
        <v>-9999</v>
      </c>
      <c r="DU12" s="10">
        <v>13908</v>
      </c>
      <c r="DV12" s="10">
        <v>37422</v>
      </c>
      <c r="DW12" s="10">
        <v>46360</v>
      </c>
      <c r="DX12" s="10">
        <v>46360</v>
      </c>
      <c r="DY12" s="10">
        <v>-9999</v>
      </c>
      <c r="DZ12" s="10">
        <v>-9999</v>
      </c>
      <c r="EA12" s="10">
        <v>-9999</v>
      </c>
      <c r="EB12" s="10">
        <v>-9999</v>
      </c>
      <c r="EC12" s="10">
        <v>-9999</v>
      </c>
    </row>
    <row r="13" spans="1:133" x14ac:dyDescent="0.8">
      <c r="A13" s="10" t="s">
        <v>25</v>
      </c>
      <c r="B13" s="10" t="s">
        <v>200</v>
      </c>
      <c r="C13" s="10">
        <v>16</v>
      </c>
      <c r="D13" s="10">
        <v>30143100.379999999</v>
      </c>
      <c r="E13" s="10">
        <v>29457755.359999999</v>
      </c>
      <c r="F13" s="10"/>
      <c r="G13" s="10">
        <v>148578.43849999999</v>
      </c>
      <c r="H13" s="10">
        <v>3493715.855</v>
      </c>
      <c r="I13" s="11">
        <v>3493715.855</v>
      </c>
      <c r="J13" s="10">
        <v>4245098.2439999999</v>
      </c>
      <c r="K13" s="13"/>
      <c r="L13" s="13">
        <v>254788.62150000001</v>
      </c>
      <c r="M13" s="13">
        <v>5991172.4419999998</v>
      </c>
      <c r="N13" s="14">
        <v>5991172.4419999998</v>
      </c>
      <c r="O13" s="13">
        <v>7279674.9000000004</v>
      </c>
      <c r="P13" s="15">
        <f t="shared" si="0"/>
        <v>48.298906440403691</v>
      </c>
      <c r="Q13" s="20">
        <f t="shared" si="1"/>
        <v>0.58314393198031744</v>
      </c>
      <c r="R13" s="21">
        <f t="shared" si="2"/>
        <v>5991172.4419999998</v>
      </c>
      <c r="T13" s="10">
        <v>430075.40139999997</v>
      </c>
      <c r="U13" s="10">
        <v>447995.20980000001</v>
      </c>
      <c r="V13" s="16">
        <v>447995.20980000001</v>
      </c>
      <c r="W13" s="10">
        <v>447995.20980000001</v>
      </c>
      <c r="X13" s="13"/>
      <c r="Y13" s="13">
        <v>110002.05070000001</v>
      </c>
      <c r="Z13" s="13">
        <v>114585.4694</v>
      </c>
      <c r="AA13" s="17">
        <v>114585.4694</v>
      </c>
      <c r="AB13" s="13">
        <v>114585.4694</v>
      </c>
      <c r="AC13" s="15">
        <f t="shared" si="3"/>
        <v>11.600000000714296</v>
      </c>
      <c r="AD13" s="20">
        <f t="shared" si="4"/>
        <v>3.9097034916017024</v>
      </c>
      <c r="AE13" s="22">
        <f t="shared" si="5"/>
        <v>114585.4694</v>
      </c>
      <c r="AF13" s="10">
        <v>-9999</v>
      </c>
      <c r="AG13" s="10">
        <v>-9999</v>
      </c>
      <c r="AH13" s="10">
        <v>-9999</v>
      </c>
      <c r="AI13" s="10">
        <v>-9999</v>
      </c>
      <c r="AJ13" s="10">
        <v>-9999</v>
      </c>
      <c r="AK13" s="18">
        <v>-9999</v>
      </c>
      <c r="AL13" s="18">
        <v>-9999</v>
      </c>
      <c r="AM13" s="18">
        <v>-9999</v>
      </c>
      <c r="AN13" s="18">
        <v>-9999</v>
      </c>
      <c r="AO13" s="18">
        <v>-9999</v>
      </c>
      <c r="AP13" s="15">
        <f t="shared" si="6"/>
        <v>0</v>
      </c>
      <c r="AQ13" s="20">
        <f t="shared" si="7"/>
        <v>0</v>
      </c>
      <c r="AR13" s="21">
        <f t="shared" si="8"/>
        <v>0</v>
      </c>
      <c r="AS13" s="10">
        <v>0</v>
      </c>
      <c r="AT13" s="10">
        <v>0</v>
      </c>
      <c r="AU13" s="10">
        <v>0</v>
      </c>
      <c r="AV13" s="10">
        <v>0</v>
      </c>
      <c r="AW13" s="10">
        <v>1023606.269</v>
      </c>
      <c r="AX13" s="18">
        <v>-9999</v>
      </c>
      <c r="AY13" s="18">
        <v>0</v>
      </c>
      <c r="AZ13" s="18">
        <v>0</v>
      </c>
      <c r="BA13" s="18">
        <v>0</v>
      </c>
      <c r="BB13" s="18">
        <v>1389497.122</v>
      </c>
      <c r="BC13" s="23" t="e">
        <f t="shared" si="9"/>
        <v>#DIV/0!</v>
      </c>
      <c r="BD13" s="20" t="e">
        <f t="shared" si="10"/>
        <v>#DIV/0!</v>
      </c>
      <c r="BE13" s="20">
        <f t="shared" si="11"/>
        <v>0</v>
      </c>
      <c r="BF13" s="10">
        <v>0</v>
      </c>
      <c r="BG13" s="10">
        <v>0</v>
      </c>
      <c r="BH13" s="10">
        <v>0</v>
      </c>
      <c r="BI13" s="10">
        <v>0</v>
      </c>
      <c r="BJ13" s="10">
        <v>55054.211190000002</v>
      </c>
      <c r="BK13" s="10">
        <v>0</v>
      </c>
      <c r="BL13" s="10">
        <v>0</v>
      </c>
      <c r="BM13" s="10">
        <v>0</v>
      </c>
      <c r="BN13" s="10">
        <v>0</v>
      </c>
      <c r="BO13" s="10">
        <v>28682.612880000001</v>
      </c>
      <c r="BQ13" s="10">
        <v>1317977.017</v>
      </c>
      <c r="BR13" s="10">
        <v>1317977.017</v>
      </c>
      <c r="BS13" s="10">
        <v>1360141.4</v>
      </c>
      <c r="BT13" s="10">
        <v>1360141.4</v>
      </c>
      <c r="BV13" s="10">
        <v>2775614.6669999999</v>
      </c>
      <c r="BW13" s="10">
        <v>2775614.6669999999</v>
      </c>
      <c r="BX13" s="10">
        <v>2864411.4210000001</v>
      </c>
      <c r="BY13" s="10">
        <v>2864411.4210000001</v>
      </c>
      <c r="CA13" s="10">
        <v>53805.196770000002</v>
      </c>
      <c r="CB13" s="10">
        <v>860883.1483</v>
      </c>
      <c r="CC13" s="10">
        <v>1076103.9350000001</v>
      </c>
      <c r="CD13" s="10">
        <v>1076103.9350000001</v>
      </c>
      <c r="CF13" s="10">
        <v>25006.766370000001</v>
      </c>
      <c r="CG13" s="10">
        <v>400108.26199999999</v>
      </c>
      <c r="CH13" s="10">
        <v>500135.32740000001</v>
      </c>
      <c r="CI13" s="10">
        <v>500135.32740000001</v>
      </c>
      <c r="CK13" s="10">
        <v>496010.08140000002</v>
      </c>
      <c r="CL13" s="10">
        <v>1300427.3149999999</v>
      </c>
      <c r="CM13" s="10">
        <v>1178791.338</v>
      </c>
      <c r="CN13" s="10">
        <v>1178791.338</v>
      </c>
      <c r="CP13" s="10">
        <v>2603.0745689999999</v>
      </c>
      <c r="CQ13" s="10">
        <v>19140.3138</v>
      </c>
      <c r="CR13" s="10">
        <v>19284.300759999998</v>
      </c>
      <c r="CS13" s="10">
        <v>19284.300759999998</v>
      </c>
      <c r="CT13" s="23">
        <f t="shared" si="12"/>
        <v>28.009507475698808</v>
      </c>
      <c r="CU13" s="20">
        <f t="shared" si="13"/>
        <v>61.126994059596903</v>
      </c>
      <c r="CV13" s="20">
        <f t="shared" si="14"/>
        <v>19284.300759999998</v>
      </c>
      <c r="CX13" s="10">
        <v>1690.7663680000001</v>
      </c>
      <c r="CY13" s="10">
        <v>80938.956890000001</v>
      </c>
      <c r="CZ13" s="10">
        <v>102317.29730000001</v>
      </c>
      <c r="DA13" s="10">
        <v>103727.9981</v>
      </c>
      <c r="DC13" s="10">
        <v>1225.705107</v>
      </c>
      <c r="DD13" s="10">
        <v>46416.08872</v>
      </c>
      <c r="DE13" s="10">
        <v>57877.939539999999</v>
      </c>
      <c r="DF13" s="10">
        <v>58675.932220000002</v>
      </c>
      <c r="DG13" s="23">
        <f t="shared" si="15"/>
        <v>59.786090839012033</v>
      </c>
      <c r="DH13" s="20">
        <f t="shared" si="16"/>
        <v>1.767811675971767</v>
      </c>
      <c r="DI13" s="20">
        <f t="shared" si="17"/>
        <v>57877.939539999999</v>
      </c>
      <c r="DK13" s="10">
        <v>451123.55089999997</v>
      </c>
      <c r="DL13" s="10">
        <v>509237.17849999998</v>
      </c>
      <c r="DM13" s="10">
        <v>575015.3432</v>
      </c>
      <c r="DN13" s="10">
        <v>712222.00069999998</v>
      </c>
      <c r="DO13" s="10">
        <v>-9999</v>
      </c>
      <c r="DP13" s="10">
        <v>-9999</v>
      </c>
      <c r="DQ13" s="10">
        <v>-9999</v>
      </c>
      <c r="DR13" s="10">
        <v>-9999</v>
      </c>
      <c r="DS13" s="10">
        <v>-9999</v>
      </c>
      <c r="DU13" s="10">
        <v>680363</v>
      </c>
      <c r="DV13" s="10">
        <v>1372296</v>
      </c>
      <c r="DW13" s="10">
        <v>1453924</v>
      </c>
      <c r="DX13" s="10">
        <v>1453924</v>
      </c>
      <c r="DY13" s="10">
        <v>-9999</v>
      </c>
      <c r="DZ13" s="10">
        <v>-9999</v>
      </c>
      <c r="EA13" s="10">
        <v>-9999</v>
      </c>
      <c r="EB13" s="10">
        <v>-9999</v>
      </c>
      <c r="EC13" s="10">
        <v>-9999</v>
      </c>
    </row>
    <row r="14" spans="1:133" x14ac:dyDescent="0.8">
      <c r="A14" s="10" t="s">
        <v>19</v>
      </c>
      <c r="B14" s="10" t="s">
        <v>201</v>
      </c>
      <c r="C14" s="10">
        <v>17</v>
      </c>
      <c r="D14" s="10">
        <v>289050799.60000002</v>
      </c>
      <c r="E14" s="10">
        <v>264915823.5</v>
      </c>
      <c r="F14" s="10"/>
      <c r="G14" s="10">
        <v>199613.60750000001</v>
      </c>
      <c r="H14" s="10">
        <v>4693771.3990000002</v>
      </c>
      <c r="I14" s="11">
        <v>4693771.3990000002</v>
      </c>
      <c r="J14" s="10">
        <v>5703245.9280000003</v>
      </c>
      <c r="K14" s="13"/>
      <c r="L14" s="13">
        <v>87613.932709999994</v>
      </c>
      <c r="M14" s="13">
        <v>2060179.0460000001</v>
      </c>
      <c r="N14" s="14">
        <v>2060179.0460000001</v>
      </c>
      <c r="O14" s="13">
        <v>2503255.2200000002</v>
      </c>
      <c r="P14" s="15">
        <f t="shared" si="0"/>
        <v>48.29890643977653</v>
      </c>
      <c r="Q14" s="20">
        <f t="shared" si="1"/>
        <v>2.2783317829163088</v>
      </c>
      <c r="R14" s="21">
        <f t="shared" si="2"/>
        <v>2060179.0460000001</v>
      </c>
      <c r="T14" s="10">
        <v>271812.6556</v>
      </c>
      <c r="U14" s="10">
        <v>283138.18290000001</v>
      </c>
      <c r="V14" s="16">
        <v>283138.18290000001</v>
      </c>
      <c r="W14" s="10">
        <v>283138.18290000001</v>
      </c>
      <c r="X14" s="13"/>
      <c r="Y14" s="13">
        <v>41574.498399999997</v>
      </c>
      <c r="Z14" s="13">
        <v>43306.76917</v>
      </c>
      <c r="AA14" s="17">
        <v>43306.76917</v>
      </c>
      <c r="AB14" s="13">
        <v>43306.76917</v>
      </c>
      <c r="AC14" s="15">
        <f t="shared" si="3"/>
        <v>11.599999997739621</v>
      </c>
      <c r="AD14" s="20">
        <f t="shared" si="4"/>
        <v>6.5379659652869924</v>
      </c>
      <c r="AE14" s="22">
        <f t="shared" si="5"/>
        <v>43306.76917</v>
      </c>
      <c r="AF14" s="10">
        <v>-9999</v>
      </c>
      <c r="AG14" s="10">
        <v>-9999</v>
      </c>
      <c r="AH14" s="10">
        <v>-9999</v>
      </c>
      <c r="AI14" s="10">
        <v>-9999</v>
      </c>
      <c r="AJ14" s="10">
        <v>-9999</v>
      </c>
      <c r="AK14" s="18">
        <v>-9999</v>
      </c>
      <c r="AL14" s="18">
        <v>-9999</v>
      </c>
      <c r="AM14" s="18">
        <v>-9999</v>
      </c>
      <c r="AN14" s="18">
        <v>-9999</v>
      </c>
      <c r="AO14" s="18">
        <v>-9999</v>
      </c>
      <c r="AP14" s="15">
        <f t="shared" si="6"/>
        <v>0</v>
      </c>
      <c r="AQ14" s="20">
        <f t="shared" si="7"/>
        <v>0</v>
      </c>
      <c r="AR14" s="21">
        <f t="shared" si="8"/>
        <v>0</v>
      </c>
      <c r="AS14" s="10">
        <v>-9999</v>
      </c>
      <c r="AT14" s="10">
        <v>-9999</v>
      </c>
      <c r="AU14" s="10">
        <v>-9999</v>
      </c>
      <c r="AV14" s="10">
        <v>-9999</v>
      </c>
      <c r="AW14" s="10">
        <v>-9999</v>
      </c>
      <c r="AX14" s="18">
        <v>-9999</v>
      </c>
      <c r="AY14" s="18">
        <v>-9999</v>
      </c>
      <c r="AZ14" s="18">
        <v>-9999</v>
      </c>
      <c r="BA14" s="18">
        <v>-9999</v>
      </c>
      <c r="BB14" s="18">
        <v>-9999</v>
      </c>
      <c r="BC14" s="23">
        <f t="shared" si="9"/>
        <v>0</v>
      </c>
      <c r="BD14" s="20">
        <f t="shared" si="10"/>
        <v>0</v>
      </c>
      <c r="BE14" s="20">
        <f t="shared" si="11"/>
        <v>0</v>
      </c>
      <c r="BF14" s="10">
        <v>0</v>
      </c>
      <c r="BG14" s="10">
        <v>0</v>
      </c>
      <c r="BH14" s="10">
        <v>0</v>
      </c>
      <c r="BI14" s="10">
        <v>0</v>
      </c>
      <c r="BJ14" s="10">
        <v>770695.59669999999</v>
      </c>
      <c r="BK14" s="10">
        <v>0</v>
      </c>
      <c r="BL14" s="10">
        <v>0</v>
      </c>
      <c r="BM14" s="10">
        <v>0</v>
      </c>
      <c r="BN14" s="10">
        <v>0</v>
      </c>
      <c r="BO14" s="10">
        <v>261061.26139999999</v>
      </c>
      <c r="BQ14" s="10">
        <v>7178598.318</v>
      </c>
      <c r="BR14" s="10">
        <v>7178598.318</v>
      </c>
      <c r="BS14" s="10">
        <v>7408254.1979999999</v>
      </c>
      <c r="BT14" s="10">
        <v>7408254.1979999999</v>
      </c>
      <c r="BV14" s="10">
        <v>15117883.33</v>
      </c>
      <c r="BW14" s="10">
        <v>15117883.33</v>
      </c>
      <c r="BX14" s="10">
        <v>15601530.789999999</v>
      </c>
      <c r="BY14" s="10">
        <v>15601530.789999999</v>
      </c>
      <c r="CA14" s="10">
        <v>293059.65889999998</v>
      </c>
      <c r="CB14" s="10">
        <v>4688954.5420000004</v>
      </c>
      <c r="CC14" s="10">
        <v>5861193.1780000003</v>
      </c>
      <c r="CD14" s="10">
        <v>5861193.1780000003</v>
      </c>
      <c r="CF14" s="10">
        <v>136203.84020000001</v>
      </c>
      <c r="CG14" s="10">
        <v>2179261.443</v>
      </c>
      <c r="CH14" s="10">
        <v>2724076.804</v>
      </c>
      <c r="CI14" s="10">
        <v>2724076.804</v>
      </c>
      <c r="CK14" s="10">
        <v>0</v>
      </c>
      <c r="CL14" s="10">
        <v>359788.63390000002</v>
      </c>
      <c r="CM14" s="10">
        <v>1705976.442</v>
      </c>
      <c r="CN14" s="10">
        <v>1705976.442</v>
      </c>
      <c r="CP14" s="10">
        <v>0</v>
      </c>
      <c r="CQ14" s="10">
        <v>28918.574489999999</v>
      </c>
      <c r="CR14" s="10">
        <v>31003.97306</v>
      </c>
      <c r="CS14" s="10">
        <v>31003.97306</v>
      </c>
      <c r="CT14" s="23">
        <f t="shared" si="12"/>
        <v>89.455052688822533</v>
      </c>
      <c r="CU14" s="20">
        <f t="shared" si="13"/>
        <v>55.024446018532309</v>
      </c>
      <c r="CV14" s="20">
        <f t="shared" si="14"/>
        <v>31003.97306</v>
      </c>
      <c r="CX14" s="10">
        <v>2725.4000120000001</v>
      </c>
      <c r="CY14" s="10">
        <v>130468.0754</v>
      </c>
      <c r="CZ14" s="10">
        <v>164928.5013</v>
      </c>
      <c r="DA14" s="10">
        <v>167202.4547</v>
      </c>
      <c r="DC14" s="10">
        <v>1970.6044099999999</v>
      </c>
      <c r="DD14" s="10">
        <v>74624.596539999999</v>
      </c>
      <c r="DE14" s="10">
        <v>93052.172349999993</v>
      </c>
      <c r="DF14" s="10">
        <v>94335.130109999998</v>
      </c>
      <c r="DG14" s="23">
        <f t="shared" si="15"/>
        <v>59.786090832076219</v>
      </c>
      <c r="DH14" s="20">
        <f t="shared" si="16"/>
        <v>1.7724304240813353</v>
      </c>
      <c r="DI14" s="20">
        <f t="shared" si="17"/>
        <v>93052.172349999993</v>
      </c>
      <c r="DK14" s="10">
        <v>2595411.7510000002</v>
      </c>
      <c r="DL14" s="10">
        <v>2925357.3029999998</v>
      </c>
      <c r="DM14" s="10">
        <v>4669426.4950000001</v>
      </c>
      <c r="DN14" s="10">
        <v>5429062.4950000001</v>
      </c>
      <c r="DO14" s="10">
        <v>-9999</v>
      </c>
      <c r="DP14" s="10">
        <v>-9999</v>
      </c>
      <c r="DQ14" s="10">
        <v>-9999</v>
      </c>
      <c r="DR14" s="10">
        <v>-9999</v>
      </c>
      <c r="DS14" s="10">
        <v>-9999</v>
      </c>
      <c r="DU14" s="10">
        <v>596839</v>
      </c>
      <c r="DV14" s="10">
        <v>674807</v>
      </c>
      <c r="DW14" s="10">
        <v>849748</v>
      </c>
      <c r="DX14" s="10">
        <v>849748</v>
      </c>
      <c r="DY14" s="10">
        <v>-9999</v>
      </c>
      <c r="DZ14" s="10">
        <v>-9999</v>
      </c>
      <c r="EA14" s="10">
        <v>-9999</v>
      </c>
      <c r="EB14" s="10">
        <v>-9999</v>
      </c>
      <c r="EC14" s="10">
        <v>-9999</v>
      </c>
    </row>
    <row r="15" spans="1:133" x14ac:dyDescent="0.8">
      <c r="A15" s="10" t="s">
        <v>21</v>
      </c>
      <c r="B15" s="10" t="s">
        <v>202</v>
      </c>
      <c r="C15" s="10">
        <v>18</v>
      </c>
      <c r="D15" s="10">
        <v>251501677</v>
      </c>
      <c r="E15" s="10">
        <v>238454159.90000001</v>
      </c>
      <c r="F15" s="10"/>
      <c r="G15" s="10">
        <v>330015.1618</v>
      </c>
      <c r="H15" s="10">
        <v>7760070.8049999997</v>
      </c>
      <c r="I15" s="11">
        <v>7760070.8049999997</v>
      </c>
      <c r="J15" s="10">
        <v>9429004.6229999997</v>
      </c>
      <c r="K15" s="13"/>
      <c r="L15" s="13">
        <v>112247.9013</v>
      </c>
      <c r="M15" s="13">
        <v>2639429.2220000001</v>
      </c>
      <c r="N15" s="14">
        <v>2639429.2220000001</v>
      </c>
      <c r="O15" s="13">
        <v>3207082.8939999999</v>
      </c>
      <c r="P15" s="15">
        <f t="shared" si="0"/>
        <v>48.298906439939365</v>
      </c>
      <c r="Q15" s="20">
        <f t="shared" si="1"/>
        <v>2.9400564108022897</v>
      </c>
      <c r="R15" s="21">
        <f t="shared" si="2"/>
        <v>2639429.2220000001</v>
      </c>
      <c r="T15" s="10">
        <v>306677.85629999998</v>
      </c>
      <c r="U15" s="10">
        <v>319456.10029999999</v>
      </c>
      <c r="V15" s="16">
        <v>319456.10029999999</v>
      </c>
      <c r="W15" s="10">
        <v>319456.10029999999</v>
      </c>
      <c r="X15" s="13"/>
      <c r="Y15" s="13">
        <v>36699.200960000002</v>
      </c>
      <c r="Z15" s="13">
        <v>38228.334340000001</v>
      </c>
      <c r="AA15" s="17">
        <v>38228.334340000001</v>
      </c>
      <c r="AB15" s="13">
        <v>38228.334340000001</v>
      </c>
      <c r="AC15" s="15">
        <f t="shared" si="3"/>
        <v>11.599999998497447</v>
      </c>
      <c r="AD15" s="20">
        <f t="shared" si="4"/>
        <v>8.3565267965583026</v>
      </c>
      <c r="AE15" s="22">
        <f t="shared" si="5"/>
        <v>38228.334340000001</v>
      </c>
      <c r="AF15" s="10">
        <v>-9999</v>
      </c>
      <c r="AG15" s="10">
        <v>-9999</v>
      </c>
      <c r="AH15" s="10">
        <v>-9999</v>
      </c>
      <c r="AI15" s="10">
        <v>-9999</v>
      </c>
      <c r="AJ15" s="10">
        <v>-9999</v>
      </c>
      <c r="AK15" s="18">
        <v>-9999</v>
      </c>
      <c r="AL15" s="18">
        <v>-9999</v>
      </c>
      <c r="AM15" s="18">
        <v>-9999</v>
      </c>
      <c r="AN15" s="18">
        <v>-9999</v>
      </c>
      <c r="AO15" s="18">
        <v>-9999</v>
      </c>
      <c r="AP15" s="15">
        <f t="shared" si="6"/>
        <v>0</v>
      </c>
      <c r="AQ15" s="20">
        <f t="shared" si="7"/>
        <v>0</v>
      </c>
      <c r="AR15" s="21">
        <f t="shared" si="8"/>
        <v>0</v>
      </c>
      <c r="AS15" s="10">
        <v>-9999</v>
      </c>
      <c r="AT15" s="10">
        <v>-9999</v>
      </c>
      <c r="AU15" s="10">
        <v>-9999</v>
      </c>
      <c r="AV15" s="10">
        <v>-9999</v>
      </c>
      <c r="AW15" s="10">
        <v>-9999</v>
      </c>
      <c r="AX15" s="18">
        <v>-9999</v>
      </c>
      <c r="AY15" s="18">
        <v>-9999</v>
      </c>
      <c r="AZ15" s="18">
        <v>-9999</v>
      </c>
      <c r="BA15" s="18">
        <v>-9999</v>
      </c>
      <c r="BB15" s="18">
        <v>-9999</v>
      </c>
      <c r="BC15" s="23">
        <f t="shared" si="9"/>
        <v>0</v>
      </c>
      <c r="BD15" s="20">
        <f t="shared" si="10"/>
        <v>0</v>
      </c>
      <c r="BE15" s="20">
        <f t="shared" si="11"/>
        <v>0</v>
      </c>
      <c r="BF15" s="10">
        <v>0</v>
      </c>
      <c r="BG15" s="10">
        <v>0</v>
      </c>
      <c r="BH15" s="10">
        <v>0</v>
      </c>
      <c r="BI15" s="10">
        <v>0</v>
      </c>
      <c r="BJ15" s="10">
        <v>412730.95189999999</v>
      </c>
      <c r="BK15" s="10">
        <v>0</v>
      </c>
      <c r="BL15" s="10">
        <v>0</v>
      </c>
      <c r="BM15" s="10">
        <v>0</v>
      </c>
      <c r="BN15" s="10">
        <v>0</v>
      </c>
      <c r="BO15" s="10">
        <v>158260.67739999999</v>
      </c>
      <c r="BQ15" s="10">
        <v>3820429.0690000001</v>
      </c>
      <c r="BR15" s="10">
        <v>3820429.0690000001</v>
      </c>
      <c r="BS15" s="10">
        <v>3942651.2579999999</v>
      </c>
      <c r="BT15" s="10">
        <v>3942651.2579999999</v>
      </c>
      <c r="BV15" s="10">
        <v>8045693.3770000003</v>
      </c>
      <c r="BW15" s="10">
        <v>8045693.3770000003</v>
      </c>
      <c r="BX15" s="10">
        <v>8303089.1399999997</v>
      </c>
      <c r="BY15" s="10">
        <v>8303089.1399999997</v>
      </c>
      <c r="CA15" s="10">
        <v>155965.49489999999</v>
      </c>
      <c r="CB15" s="10">
        <v>2495447.9190000002</v>
      </c>
      <c r="CC15" s="10">
        <v>3119309.8990000002</v>
      </c>
      <c r="CD15" s="10">
        <v>3119309.8990000002</v>
      </c>
      <c r="CF15" s="10">
        <v>72487.286139999997</v>
      </c>
      <c r="CG15" s="10">
        <v>1159796.578</v>
      </c>
      <c r="CH15" s="10">
        <v>1449745.723</v>
      </c>
      <c r="CI15" s="10">
        <v>1449745.723</v>
      </c>
      <c r="CK15" s="10">
        <v>0</v>
      </c>
      <c r="CL15" s="10">
        <v>514658.9276</v>
      </c>
      <c r="CM15" s="10">
        <v>808318.09290000005</v>
      </c>
      <c r="CN15" s="10">
        <v>808318.09290000005</v>
      </c>
      <c r="CP15" s="10">
        <v>48.012577350000001</v>
      </c>
      <c r="CQ15" s="10">
        <v>11229.65029</v>
      </c>
      <c r="CR15" s="10">
        <v>11476.54566</v>
      </c>
      <c r="CS15" s="10">
        <v>11476.54566</v>
      </c>
      <c r="CT15" s="23">
        <f t="shared" si="12"/>
        <v>68.164826933815135</v>
      </c>
      <c r="CU15" s="20">
        <f t="shared" si="13"/>
        <v>70.432176793169319</v>
      </c>
      <c r="CV15" s="20">
        <f t="shared" si="14"/>
        <v>11476.54566</v>
      </c>
      <c r="CX15" s="10">
        <v>1094.3592140000001</v>
      </c>
      <c r="CY15" s="10">
        <v>52388.251199999999</v>
      </c>
      <c r="CZ15" s="10">
        <v>66225.517080000005</v>
      </c>
      <c r="DA15" s="10">
        <v>67138.602069999994</v>
      </c>
      <c r="DC15" s="10">
        <v>729.44623739999997</v>
      </c>
      <c r="DD15" s="10">
        <v>27623.317439999999</v>
      </c>
      <c r="DE15" s="10">
        <v>34444.537250000001</v>
      </c>
      <c r="DF15" s="10">
        <v>34919.441659999997</v>
      </c>
      <c r="DG15" s="23">
        <f t="shared" si="15"/>
        <v>59.786090830474194</v>
      </c>
      <c r="DH15" s="20">
        <f t="shared" si="16"/>
        <v>1.92267112196434</v>
      </c>
      <c r="DI15" s="20">
        <f t="shared" si="17"/>
        <v>34444.537250000001</v>
      </c>
      <c r="DK15" s="10">
        <v>1564992.8060000001</v>
      </c>
      <c r="DL15" s="10">
        <v>1764800.5</v>
      </c>
      <c r="DM15" s="10">
        <v>2550554.8250000002</v>
      </c>
      <c r="DN15" s="10">
        <v>3014394.6570000001</v>
      </c>
      <c r="DO15" s="10">
        <v>-9999</v>
      </c>
      <c r="DP15" s="10">
        <v>-9999</v>
      </c>
      <c r="DQ15" s="10">
        <v>-9999</v>
      </c>
      <c r="DR15" s="10">
        <v>-9999</v>
      </c>
      <c r="DS15" s="10">
        <v>-9999</v>
      </c>
      <c r="DU15" s="10">
        <v>498068</v>
      </c>
      <c r="DV15" s="10">
        <v>609062</v>
      </c>
      <c r="DW15" s="10">
        <v>778428</v>
      </c>
      <c r="DX15" s="10">
        <v>778428</v>
      </c>
      <c r="DY15" s="10">
        <v>-9999</v>
      </c>
      <c r="DZ15" s="10">
        <v>-9999</v>
      </c>
      <c r="EA15" s="10">
        <v>-9999</v>
      </c>
      <c r="EB15" s="10">
        <v>-9999</v>
      </c>
      <c r="EC15" s="10">
        <v>-9999</v>
      </c>
    </row>
    <row r="16" spans="1:133" x14ac:dyDescent="0.8">
      <c r="A16" s="10" t="s">
        <v>16</v>
      </c>
      <c r="B16" s="10" t="s">
        <v>203</v>
      </c>
      <c r="C16" s="10">
        <v>19</v>
      </c>
      <c r="D16" s="10">
        <v>153369489.5</v>
      </c>
      <c r="E16" s="10">
        <v>148519311.09999999</v>
      </c>
      <c r="F16" s="10"/>
      <c r="G16" s="10">
        <v>149308.01360000001</v>
      </c>
      <c r="H16" s="10">
        <v>3510871.2910000002</v>
      </c>
      <c r="I16" s="11">
        <v>3510871.2910000002</v>
      </c>
      <c r="J16" s="10">
        <v>4265943.2450000001</v>
      </c>
      <c r="K16" s="13"/>
      <c r="L16" s="13">
        <v>82708.047900000005</v>
      </c>
      <c r="M16" s="13">
        <v>1944820.669</v>
      </c>
      <c r="N16" s="14">
        <v>1944820.669</v>
      </c>
      <c r="O16" s="13">
        <v>2363087.0830000001</v>
      </c>
      <c r="P16" s="15">
        <f t="shared" si="0"/>
        <v>48.298906439746212</v>
      </c>
      <c r="Q16" s="20">
        <f t="shared" si="1"/>
        <v>1.8052416590189992</v>
      </c>
      <c r="R16" s="21">
        <f t="shared" si="2"/>
        <v>1944820.669</v>
      </c>
      <c r="T16" s="10">
        <v>82450.92022</v>
      </c>
      <c r="U16" s="10">
        <v>85886.375230000005</v>
      </c>
      <c r="V16" s="16">
        <v>85886.375230000005</v>
      </c>
      <c r="W16" s="10">
        <v>85886.375230000005</v>
      </c>
      <c r="X16" s="13"/>
      <c r="Y16" s="13">
        <v>13813.021269999999</v>
      </c>
      <c r="Z16" s="13">
        <v>14388.563829999999</v>
      </c>
      <c r="AA16" s="17">
        <v>14388.563829999999</v>
      </c>
      <c r="AB16" s="13">
        <v>14388.563829999999</v>
      </c>
      <c r="AC16" s="15">
        <f t="shared" si="3"/>
        <v>11.600000000372587</v>
      </c>
      <c r="AD16" s="20">
        <f t="shared" si="4"/>
        <v>5.9690721217726992</v>
      </c>
      <c r="AE16" s="22">
        <f t="shared" si="5"/>
        <v>14388.563829999999</v>
      </c>
      <c r="AF16" s="10">
        <v>-9999</v>
      </c>
      <c r="AG16" s="10">
        <v>-9999</v>
      </c>
      <c r="AH16" s="10">
        <v>-9999</v>
      </c>
      <c r="AI16" s="10">
        <v>-9999</v>
      </c>
      <c r="AJ16" s="10">
        <v>-9999</v>
      </c>
      <c r="AK16" s="18">
        <v>-9999</v>
      </c>
      <c r="AL16" s="18">
        <v>-9999</v>
      </c>
      <c r="AM16" s="18">
        <v>-9999</v>
      </c>
      <c r="AN16" s="18">
        <v>-9999</v>
      </c>
      <c r="AO16" s="18">
        <v>-9999</v>
      </c>
      <c r="AP16" s="15">
        <f t="shared" si="6"/>
        <v>0</v>
      </c>
      <c r="AQ16" s="20">
        <f t="shared" si="7"/>
        <v>0</v>
      </c>
      <c r="AR16" s="21">
        <f t="shared" si="8"/>
        <v>0</v>
      </c>
      <c r="AS16" s="10">
        <v>-9999</v>
      </c>
      <c r="AT16" s="10">
        <v>-9999</v>
      </c>
      <c r="AU16" s="10">
        <v>-9999</v>
      </c>
      <c r="AV16" s="10">
        <v>-9999</v>
      </c>
      <c r="AW16" s="10">
        <v>-9999</v>
      </c>
      <c r="AX16" s="18">
        <v>-9999</v>
      </c>
      <c r="AY16" s="18">
        <v>-9999</v>
      </c>
      <c r="AZ16" s="18">
        <v>-9999</v>
      </c>
      <c r="BA16" s="18">
        <v>-9999</v>
      </c>
      <c r="BB16" s="18">
        <v>-9999</v>
      </c>
      <c r="BC16" s="23">
        <f t="shared" si="9"/>
        <v>0</v>
      </c>
      <c r="BD16" s="20">
        <f t="shared" si="10"/>
        <v>0</v>
      </c>
      <c r="BE16" s="20">
        <f t="shared" si="11"/>
        <v>0</v>
      </c>
      <c r="BF16" s="10">
        <v>0</v>
      </c>
      <c r="BG16" s="10">
        <v>0</v>
      </c>
      <c r="BH16" s="10">
        <v>0</v>
      </c>
      <c r="BI16" s="10">
        <v>0</v>
      </c>
      <c r="BJ16" s="10">
        <v>135729.47899999999</v>
      </c>
      <c r="BK16" s="10">
        <v>0</v>
      </c>
      <c r="BL16" s="10">
        <v>0</v>
      </c>
      <c r="BM16" s="10">
        <v>0</v>
      </c>
      <c r="BN16" s="10">
        <v>0</v>
      </c>
      <c r="BO16" s="10">
        <v>54213.685290000001</v>
      </c>
      <c r="BQ16" s="10">
        <v>7745113.8219999997</v>
      </c>
      <c r="BR16" s="10">
        <v>7745113.8219999997</v>
      </c>
      <c r="BS16" s="10">
        <v>7992893.5219999999</v>
      </c>
      <c r="BT16" s="10">
        <v>7992893.5219999999</v>
      </c>
      <c r="BV16" s="10">
        <v>16310945.67</v>
      </c>
      <c r="BW16" s="10">
        <v>16310945.67</v>
      </c>
      <c r="BX16" s="10">
        <v>16832761.27</v>
      </c>
      <c r="BY16" s="10">
        <v>16832761.27</v>
      </c>
      <c r="CA16" s="10">
        <v>316187.13209999999</v>
      </c>
      <c r="CB16" s="10">
        <v>5058994.1140000001</v>
      </c>
      <c r="CC16" s="10">
        <v>6323742.642</v>
      </c>
      <c r="CD16" s="10">
        <v>6323742.642</v>
      </c>
      <c r="CF16" s="10">
        <v>146952.6778</v>
      </c>
      <c r="CG16" s="10">
        <v>2351242.844</v>
      </c>
      <c r="CH16" s="10">
        <v>2939053.5550000002</v>
      </c>
      <c r="CI16" s="10">
        <v>2939053.5550000002</v>
      </c>
      <c r="CK16" s="10">
        <v>0</v>
      </c>
      <c r="CL16" s="10">
        <v>1621221.8489999999</v>
      </c>
      <c r="CM16" s="10">
        <v>5668901.2189999996</v>
      </c>
      <c r="CN16" s="10">
        <v>5668901.2189999996</v>
      </c>
      <c r="CP16" s="10">
        <v>0</v>
      </c>
      <c r="CQ16" s="10">
        <v>86395.639020000002</v>
      </c>
      <c r="CR16" s="10">
        <v>87376.805640000006</v>
      </c>
      <c r="CS16" s="10">
        <v>87376.805640000006</v>
      </c>
      <c r="CT16" s="23">
        <f t="shared" si="12"/>
        <v>85.700739999082344</v>
      </c>
      <c r="CU16" s="20">
        <f t="shared" si="13"/>
        <v>64.878787653972637</v>
      </c>
      <c r="CV16" s="20">
        <f t="shared" si="14"/>
        <v>87376.805640000006</v>
      </c>
      <c r="CX16" s="10">
        <v>8271.2554670000009</v>
      </c>
      <c r="CY16" s="10">
        <v>395954.64049999998</v>
      </c>
      <c r="CZ16" s="10">
        <v>500537.81550000003</v>
      </c>
      <c r="DA16" s="10">
        <v>507438.98570000002</v>
      </c>
      <c r="DC16" s="10">
        <v>5553.6468889999996</v>
      </c>
      <c r="DD16" s="10">
        <v>210310.42879999999</v>
      </c>
      <c r="DE16" s="10">
        <v>262243.8603</v>
      </c>
      <c r="DF16" s="10">
        <v>265859.55009999999</v>
      </c>
      <c r="DG16" s="23">
        <f t="shared" si="15"/>
        <v>59.78609083996372</v>
      </c>
      <c r="DH16" s="20">
        <f t="shared" si="16"/>
        <v>1.9086731522614031</v>
      </c>
      <c r="DI16" s="20">
        <f t="shared" si="17"/>
        <v>262243.8603</v>
      </c>
      <c r="DK16" s="10">
        <v>3070372.003</v>
      </c>
      <c r="DL16" s="10">
        <v>3460929.6639999999</v>
      </c>
      <c r="DM16" s="10">
        <v>5452044.983</v>
      </c>
      <c r="DN16" s="10">
        <v>6352265.0930000003</v>
      </c>
      <c r="DO16" s="10">
        <v>-9999</v>
      </c>
      <c r="DP16" s="10">
        <v>-9999</v>
      </c>
      <c r="DQ16" s="10">
        <v>-9999</v>
      </c>
      <c r="DR16" s="10">
        <v>-9999</v>
      </c>
      <c r="DS16" s="10">
        <v>-9999</v>
      </c>
      <c r="DU16" s="10">
        <v>2623710</v>
      </c>
      <c r="DV16" s="10">
        <v>3015268</v>
      </c>
      <c r="DW16" s="10">
        <v>3793206</v>
      </c>
      <c r="DX16" s="10">
        <v>3793206</v>
      </c>
      <c r="DY16" s="10">
        <v>-9999</v>
      </c>
      <c r="DZ16" s="10">
        <v>-9999</v>
      </c>
      <c r="EA16" s="10">
        <v>-9999</v>
      </c>
      <c r="EB16" s="10">
        <v>-9999</v>
      </c>
      <c r="EC16" s="10">
        <v>-9999</v>
      </c>
    </row>
    <row r="17" spans="1:133" x14ac:dyDescent="0.8">
      <c r="A17" s="10" t="s">
        <v>28</v>
      </c>
      <c r="B17" s="10" t="s">
        <v>204</v>
      </c>
      <c r="C17" s="10">
        <v>20</v>
      </c>
      <c r="D17" s="10">
        <v>110380808.7</v>
      </c>
      <c r="E17" s="10">
        <v>97814382.189999998</v>
      </c>
      <c r="F17" s="10"/>
      <c r="G17" s="10">
        <v>150433.90909999999</v>
      </c>
      <c r="H17" s="10">
        <v>3537345.9190000002</v>
      </c>
      <c r="I17" s="11">
        <v>3537345.9190000002</v>
      </c>
      <c r="J17" s="10">
        <v>4298111.6880000001</v>
      </c>
      <c r="K17" s="13"/>
      <c r="L17" s="13">
        <v>67623.829880000005</v>
      </c>
      <c r="M17" s="13">
        <v>1590126.057</v>
      </c>
      <c r="N17" s="14">
        <v>1590126.057</v>
      </c>
      <c r="O17" s="13">
        <v>1932109.425</v>
      </c>
      <c r="P17" s="15">
        <f t="shared" si="0"/>
        <v>48.298906439520316</v>
      </c>
      <c r="Q17" s="20">
        <f t="shared" si="1"/>
        <v>2.2245694946183754</v>
      </c>
      <c r="R17" s="21">
        <f t="shared" si="2"/>
        <v>1590126.057</v>
      </c>
      <c r="T17" s="10">
        <v>74597.681419999994</v>
      </c>
      <c r="U17" s="10">
        <v>77705.918139999994</v>
      </c>
      <c r="V17" s="16">
        <v>77705.918139999994</v>
      </c>
      <c r="W17" s="10">
        <v>77705.918139999994</v>
      </c>
      <c r="X17" s="13"/>
      <c r="Y17" s="13">
        <v>14610.80788</v>
      </c>
      <c r="Z17" s="13">
        <v>15219.591539999999</v>
      </c>
      <c r="AA17" s="17">
        <v>15219.591539999999</v>
      </c>
      <c r="AB17" s="13">
        <v>15219.591539999999</v>
      </c>
      <c r="AC17" s="15">
        <f t="shared" si="3"/>
        <v>11.599999997117337</v>
      </c>
      <c r="AD17" s="20">
        <f t="shared" si="4"/>
        <v>5.1056506960632921</v>
      </c>
      <c r="AE17" s="22">
        <f t="shared" si="5"/>
        <v>15219.591539999999</v>
      </c>
      <c r="AF17" s="10">
        <v>-9999</v>
      </c>
      <c r="AG17" s="10">
        <v>-9999</v>
      </c>
      <c r="AH17" s="10">
        <v>-9999</v>
      </c>
      <c r="AI17" s="10">
        <v>-9999</v>
      </c>
      <c r="AJ17" s="10">
        <v>-9999</v>
      </c>
      <c r="AK17" s="18">
        <v>-9999</v>
      </c>
      <c r="AL17" s="18">
        <v>-9999</v>
      </c>
      <c r="AM17" s="18">
        <v>-9999</v>
      </c>
      <c r="AN17" s="18">
        <v>-9999</v>
      </c>
      <c r="AO17" s="18">
        <v>-9999</v>
      </c>
      <c r="AP17" s="15">
        <f t="shared" si="6"/>
        <v>0</v>
      </c>
      <c r="AQ17" s="20">
        <f t="shared" si="7"/>
        <v>0</v>
      </c>
      <c r="AR17" s="21">
        <f t="shared" si="8"/>
        <v>0</v>
      </c>
      <c r="AS17" s="10">
        <v>-9999</v>
      </c>
      <c r="AT17" s="10">
        <v>-9999</v>
      </c>
      <c r="AU17" s="10">
        <v>-9999</v>
      </c>
      <c r="AV17" s="10">
        <v>-9999</v>
      </c>
      <c r="AW17" s="10">
        <v>-9999</v>
      </c>
      <c r="AX17" s="18">
        <v>-9999</v>
      </c>
      <c r="AY17" s="18">
        <v>-9999</v>
      </c>
      <c r="AZ17" s="18">
        <v>-9999</v>
      </c>
      <c r="BA17" s="18">
        <v>-9999</v>
      </c>
      <c r="BB17" s="18">
        <v>-9999</v>
      </c>
      <c r="BC17" s="23">
        <f t="shared" si="9"/>
        <v>0</v>
      </c>
      <c r="BD17" s="20">
        <f t="shared" si="10"/>
        <v>0</v>
      </c>
      <c r="BE17" s="20">
        <f t="shared" si="11"/>
        <v>0</v>
      </c>
      <c r="BF17" s="10">
        <v>0</v>
      </c>
      <c r="BG17" s="10">
        <v>0</v>
      </c>
      <c r="BH17" s="10">
        <v>0</v>
      </c>
      <c r="BI17" s="10">
        <v>0</v>
      </c>
      <c r="BJ17" s="10">
        <v>106731.72470000001</v>
      </c>
      <c r="BK17" s="10">
        <v>0</v>
      </c>
      <c r="BL17" s="10">
        <v>0</v>
      </c>
      <c r="BM17" s="10">
        <v>0</v>
      </c>
      <c r="BN17" s="10">
        <v>0</v>
      </c>
      <c r="BO17" s="10">
        <v>36153.727630000001</v>
      </c>
      <c r="BQ17" s="10">
        <v>7442761.8150000004</v>
      </c>
      <c r="BR17" s="10">
        <v>7442761.8150000004</v>
      </c>
      <c r="BS17" s="10">
        <v>7680868.7460000003</v>
      </c>
      <c r="BT17" s="10">
        <v>7680868.7460000003</v>
      </c>
      <c r="BV17" s="10">
        <v>15674202.65</v>
      </c>
      <c r="BW17" s="10">
        <v>15674202.65</v>
      </c>
      <c r="BX17" s="10">
        <v>16175647.73</v>
      </c>
      <c r="BY17" s="10">
        <v>16175647.73</v>
      </c>
      <c r="CA17" s="10">
        <v>303843.89010000002</v>
      </c>
      <c r="CB17" s="10">
        <v>4861502.2419999996</v>
      </c>
      <c r="CC17" s="10">
        <v>6076877.8030000003</v>
      </c>
      <c r="CD17" s="10">
        <v>6076877.8030000003</v>
      </c>
      <c r="CF17" s="10">
        <v>141215.97229999999</v>
      </c>
      <c r="CG17" s="10">
        <v>2259455.5559999999</v>
      </c>
      <c r="CH17" s="10">
        <v>2824319.4449999998</v>
      </c>
      <c r="CI17" s="10">
        <v>2824319.4449999998</v>
      </c>
      <c r="CK17" s="10">
        <v>10333.983899999999</v>
      </c>
      <c r="CL17" s="10">
        <v>7720081.7560000001</v>
      </c>
      <c r="CM17" s="10">
        <v>7029505.5209999997</v>
      </c>
      <c r="CN17" s="10">
        <v>7029505.5209999997</v>
      </c>
      <c r="CP17" s="10">
        <v>24.842994130000001</v>
      </c>
      <c r="CQ17" s="10">
        <v>141601.21249999999</v>
      </c>
      <c r="CR17" s="10">
        <v>141601.21249999999</v>
      </c>
      <c r="CS17" s="10">
        <v>141601.21249999999</v>
      </c>
      <c r="CT17" s="23">
        <f t="shared" si="12"/>
        <v>45.029213505613789</v>
      </c>
      <c r="CU17" s="20">
        <f t="shared" si="13"/>
        <v>49.642975486526993</v>
      </c>
      <c r="CV17" s="20">
        <f t="shared" si="14"/>
        <v>141601.21249999999</v>
      </c>
      <c r="CX17" s="10">
        <v>9440.6363860000001</v>
      </c>
      <c r="CY17" s="10">
        <v>451934.26819999999</v>
      </c>
      <c r="CZ17" s="10">
        <v>571303.29639999999</v>
      </c>
      <c r="DA17" s="10">
        <v>579180.14639999997</v>
      </c>
      <c r="DC17" s="10">
        <v>9000.135988</v>
      </c>
      <c r="DD17" s="10">
        <v>340825.13650000002</v>
      </c>
      <c r="DE17" s="10">
        <v>424987.48149999999</v>
      </c>
      <c r="DF17" s="10">
        <v>430847.00069999998</v>
      </c>
      <c r="DG17" s="23">
        <f t="shared" si="15"/>
        <v>59.786090837896303</v>
      </c>
      <c r="DH17" s="20">
        <f t="shared" si="16"/>
        <v>1.3442826465936739</v>
      </c>
      <c r="DI17" s="20">
        <f t="shared" si="17"/>
        <v>424987.48149999999</v>
      </c>
      <c r="DK17" s="10">
        <v>1956947.2690000001</v>
      </c>
      <c r="DL17" s="10">
        <v>2207197.1889999998</v>
      </c>
      <c r="DM17" s="10">
        <v>3065407.2110000001</v>
      </c>
      <c r="DN17" s="10">
        <v>3648124.415</v>
      </c>
      <c r="DO17" s="10">
        <v>-9999</v>
      </c>
      <c r="DP17" s="10">
        <v>-9999</v>
      </c>
      <c r="DQ17" s="10">
        <v>-9999</v>
      </c>
      <c r="DR17" s="10">
        <v>-9999</v>
      </c>
      <c r="DS17" s="10">
        <v>-9999</v>
      </c>
      <c r="DU17" s="10">
        <v>287327</v>
      </c>
      <c r="DV17" s="10">
        <v>334152</v>
      </c>
      <c r="DW17" s="10">
        <v>357242</v>
      </c>
      <c r="DX17" s="10">
        <v>357242</v>
      </c>
      <c r="DY17" s="10">
        <v>-9999</v>
      </c>
      <c r="DZ17" s="10">
        <v>-9999</v>
      </c>
      <c r="EA17" s="10">
        <v>-9999</v>
      </c>
      <c r="EB17" s="10">
        <v>-9999</v>
      </c>
      <c r="EC17" s="10">
        <v>-9999</v>
      </c>
    </row>
    <row r="18" spans="1:133" x14ac:dyDescent="0.8">
      <c r="A18" s="10" t="s">
        <v>20</v>
      </c>
      <c r="B18" s="10" t="s">
        <v>205</v>
      </c>
      <c r="C18" s="10">
        <v>21</v>
      </c>
      <c r="D18" s="10">
        <v>164085947.80000001</v>
      </c>
      <c r="E18" s="10">
        <v>141319877.30000001</v>
      </c>
      <c r="F18" s="10"/>
      <c r="G18" s="10">
        <v>427292.2304</v>
      </c>
      <c r="H18" s="10">
        <v>10047471.59</v>
      </c>
      <c r="I18" s="11">
        <v>10047471.59</v>
      </c>
      <c r="J18" s="10">
        <v>12208349.439999999</v>
      </c>
      <c r="K18" s="13"/>
      <c r="L18" s="13">
        <v>131750.09770000001</v>
      </c>
      <c r="M18" s="13">
        <v>3098009.44</v>
      </c>
      <c r="N18" s="14">
        <v>3098009.44</v>
      </c>
      <c r="O18" s="13">
        <v>3764288.5049999999</v>
      </c>
      <c r="P18" s="15">
        <f t="shared" si="0"/>
        <v>48.298906440003186</v>
      </c>
      <c r="Q18" s="20">
        <f t="shared" si="1"/>
        <v>3.2432023803000418</v>
      </c>
      <c r="R18" s="21">
        <f t="shared" si="2"/>
        <v>3098009.44</v>
      </c>
      <c r="T18" s="10">
        <v>1189556.0519999999</v>
      </c>
      <c r="U18" s="10">
        <v>1239120.888</v>
      </c>
      <c r="V18" s="16">
        <v>1239120.888</v>
      </c>
      <c r="W18" s="10">
        <v>1239120.888</v>
      </c>
      <c r="X18" s="13"/>
      <c r="Y18" s="13">
        <v>141117.59469999999</v>
      </c>
      <c r="Z18" s="13">
        <v>146997.4945</v>
      </c>
      <c r="AA18" s="17">
        <v>146997.4945</v>
      </c>
      <c r="AB18" s="13">
        <v>146997.4945</v>
      </c>
      <c r="AC18" s="15">
        <f t="shared" si="3"/>
        <v>11.60000001549486</v>
      </c>
      <c r="AD18" s="20">
        <f t="shared" si="4"/>
        <v>8.4295374707900219</v>
      </c>
      <c r="AE18" s="22">
        <f t="shared" si="5"/>
        <v>146997.4945</v>
      </c>
      <c r="AF18" s="10">
        <v>-9999</v>
      </c>
      <c r="AG18" s="10">
        <v>-9999</v>
      </c>
      <c r="AH18" s="10">
        <v>-9999</v>
      </c>
      <c r="AI18" s="10">
        <v>-9999</v>
      </c>
      <c r="AJ18" s="10">
        <v>-9999</v>
      </c>
      <c r="AK18" s="18">
        <v>-9999</v>
      </c>
      <c r="AL18" s="18">
        <v>-9999</v>
      </c>
      <c r="AM18" s="18">
        <v>-9999</v>
      </c>
      <c r="AN18" s="18">
        <v>-9999</v>
      </c>
      <c r="AO18" s="18">
        <v>-9999</v>
      </c>
      <c r="AP18" s="15">
        <f t="shared" si="6"/>
        <v>0</v>
      </c>
      <c r="AQ18" s="20">
        <f t="shared" si="7"/>
        <v>0</v>
      </c>
      <c r="AR18" s="21">
        <f t="shared" si="8"/>
        <v>0</v>
      </c>
      <c r="AS18" s="10">
        <v>-9999</v>
      </c>
      <c r="AT18" s="10">
        <v>-9999</v>
      </c>
      <c r="AU18" s="10">
        <v>-9999</v>
      </c>
      <c r="AV18" s="10">
        <v>-9999</v>
      </c>
      <c r="AW18" s="10">
        <v>-9999</v>
      </c>
      <c r="AX18" s="18">
        <v>-9999</v>
      </c>
      <c r="AY18" s="18">
        <v>-9999</v>
      </c>
      <c r="AZ18" s="18">
        <v>-9999</v>
      </c>
      <c r="BA18" s="18">
        <v>-9999</v>
      </c>
      <c r="BB18" s="18">
        <v>-9999</v>
      </c>
      <c r="BC18" s="23">
        <f t="shared" si="9"/>
        <v>0</v>
      </c>
      <c r="BD18" s="20">
        <f t="shared" si="10"/>
        <v>0</v>
      </c>
      <c r="BE18" s="20">
        <f t="shared" si="11"/>
        <v>0</v>
      </c>
      <c r="BF18" s="10">
        <v>0</v>
      </c>
      <c r="BG18" s="10">
        <v>0</v>
      </c>
      <c r="BH18" s="10">
        <v>0</v>
      </c>
      <c r="BI18" s="10">
        <v>0</v>
      </c>
      <c r="BJ18" s="10">
        <v>267515.25140000001</v>
      </c>
      <c r="BK18" s="10">
        <v>0</v>
      </c>
      <c r="BL18" s="10">
        <v>0</v>
      </c>
      <c r="BM18" s="10">
        <v>0</v>
      </c>
      <c r="BN18" s="10">
        <v>0</v>
      </c>
      <c r="BO18" s="10">
        <v>89666.146030000004</v>
      </c>
      <c r="BQ18" s="10">
        <v>1930360.8149999999</v>
      </c>
      <c r="BR18" s="10">
        <v>1930360.8149999999</v>
      </c>
      <c r="BS18" s="10">
        <v>1992116.4240000001</v>
      </c>
      <c r="BT18" s="10">
        <v>1992116.4240000001</v>
      </c>
      <c r="BV18" s="10">
        <v>4065274.068</v>
      </c>
      <c r="BW18" s="10">
        <v>4065274.068</v>
      </c>
      <c r="BX18" s="10">
        <v>4195329.2750000004</v>
      </c>
      <c r="BY18" s="10">
        <v>4195329.2750000004</v>
      </c>
      <c r="CA18" s="10">
        <v>78805.200790000003</v>
      </c>
      <c r="CB18" s="10">
        <v>1260883.213</v>
      </c>
      <c r="CC18" s="10">
        <v>1576104.0160000001</v>
      </c>
      <c r="CD18" s="10">
        <v>1576104.0160000001</v>
      </c>
      <c r="CF18" s="10">
        <v>36625.890500000001</v>
      </c>
      <c r="CG18" s="10">
        <v>586014.24800000002</v>
      </c>
      <c r="CH18" s="10">
        <v>732517.81</v>
      </c>
      <c r="CI18" s="10">
        <v>732517.81</v>
      </c>
      <c r="CK18" s="10">
        <v>1529.8260769999999</v>
      </c>
      <c r="CL18" s="10">
        <v>1318532.986</v>
      </c>
      <c r="CM18" s="10">
        <v>1901294.9010000001</v>
      </c>
      <c r="CN18" s="10">
        <v>1901294.9010000001</v>
      </c>
      <c r="CP18" s="10">
        <v>0</v>
      </c>
      <c r="CQ18" s="10">
        <v>28630.027989999999</v>
      </c>
      <c r="CR18" s="10">
        <v>32602.797040000001</v>
      </c>
      <c r="CS18" s="10">
        <v>32602.797040000001</v>
      </c>
      <c r="CT18" s="23">
        <f t="shared" si="12"/>
        <v>65.293210270340907</v>
      </c>
      <c r="CU18" s="20">
        <f t="shared" si="13"/>
        <v>58.316925957834933</v>
      </c>
      <c r="CV18" s="20">
        <f t="shared" si="14"/>
        <v>32602.797040000001</v>
      </c>
      <c r="CX18" s="10">
        <v>2804.5636909999998</v>
      </c>
      <c r="CY18" s="10">
        <v>134257.73300000001</v>
      </c>
      <c r="CZ18" s="10">
        <v>169719.11809999999</v>
      </c>
      <c r="DA18" s="10">
        <v>172059.12210000001</v>
      </c>
      <c r="DC18" s="10">
        <v>2072.2252429999999</v>
      </c>
      <c r="DD18" s="10">
        <v>78472.864449999994</v>
      </c>
      <c r="DE18" s="10">
        <v>97850.720069999996</v>
      </c>
      <c r="DF18" s="10">
        <v>99199.837870000003</v>
      </c>
      <c r="DG18" s="23">
        <f t="shared" si="15"/>
        <v>59.786090842054634</v>
      </c>
      <c r="DH18" s="20">
        <f t="shared" si="16"/>
        <v>1.7344697921342542</v>
      </c>
      <c r="DI18" s="20">
        <f t="shared" si="17"/>
        <v>97850.720069999996</v>
      </c>
      <c r="DK18" s="10">
        <v>578018.30799999996</v>
      </c>
      <c r="DL18" s="10">
        <v>652129.09100000001</v>
      </c>
      <c r="DM18" s="10">
        <v>844981.53509999998</v>
      </c>
      <c r="DN18" s="10">
        <v>1018417.8</v>
      </c>
      <c r="DO18" s="10">
        <v>-9999</v>
      </c>
      <c r="DP18" s="10">
        <v>-9999</v>
      </c>
      <c r="DQ18" s="10">
        <v>-9999</v>
      </c>
      <c r="DR18" s="10">
        <v>-9999</v>
      </c>
      <c r="DS18" s="10">
        <v>-9999</v>
      </c>
      <c r="DU18" s="10">
        <v>25863</v>
      </c>
      <c r="DV18" s="10">
        <v>78429</v>
      </c>
      <c r="DW18" s="10">
        <v>86640</v>
      </c>
      <c r="DX18" s="10">
        <v>86640</v>
      </c>
      <c r="DY18" s="10">
        <v>-9999</v>
      </c>
      <c r="DZ18" s="10">
        <v>-9999</v>
      </c>
      <c r="EA18" s="10">
        <v>-9999</v>
      </c>
      <c r="EB18" s="10">
        <v>-9999</v>
      </c>
      <c r="EC18" s="10">
        <v>-9999</v>
      </c>
    </row>
    <row r="19" spans="1:133" x14ac:dyDescent="0.8">
      <c r="A19" s="10" t="s">
        <v>22</v>
      </c>
      <c r="B19" s="10" t="s">
        <v>206</v>
      </c>
      <c r="C19" s="10">
        <v>22</v>
      </c>
      <c r="D19" s="10">
        <v>233589749.59999999</v>
      </c>
      <c r="E19" s="10">
        <v>209295512.80000001</v>
      </c>
      <c r="F19" s="10"/>
      <c r="G19" s="10">
        <v>281322.81329999998</v>
      </c>
      <c r="H19" s="10">
        <v>6615105.0089999996</v>
      </c>
      <c r="I19" s="11">
        <v>6615105.0089999996</v>
      </c>
      <c r="J19" s="10">
        <v>8037794.665</v>
      </c>
      <c r="K19" s="13"/>
      <c r="L19" s="13">
        <v>93790.94356</v>
      </c>
      <c r="M19" s="13">
        <v>2205427.0440000002</v>
      </c>
      <c r="N19" s="14">
        <v>2205427.0440000002</v>
      </c>
      <c r="O19" s="13">
        <v>2679741.2450000001</v>
      </c>
      <c r="P19" s="15">
        <f t="shared" si="0"/>
        <v>48.298906439627174</v>
      </c>
      <c r="Q19" s="20">
        <f t="shared" si="1"/>
        <v>2.9994667141662199</v>
      </c>
      <c r="R19" s="21">
        <f t="shared" si="2"/>
        <v>2205427.0440000002</v>
      </c>
      <c r="T19" s="10">
        <v>1014135.474</v>
      </c>
      <c r="U19" s="10">
        <v>1056391.1189999999</v>
      </c>
      <c r="V19" s="16">
        <v>1056391.1189999999</v>
      </c>
      <c r="W19" s="10">
        <v>1056391.1189999999</v>
      </c>
      <c r="X19" s="13"/>
      <c r="Y19" s="13">
        <v>205378.96660000001</v>
      </c>
      <c r="Z19" s="13">
        <v>213936.4235</v>
      </c>
      <c r="AA19" s="17">
        <v>213936.4235</v>
      </c>
      <c r="AB19" s="13">
        <v>213936.4235</v>
      </c>
      <c r="AC19" s="15">
        <f t="shared" si="3"/>
        <v>11.600000009087539</v>
      </c>
      <c r="AD19" s="20">
        <f t="shared" si="4"/>
        <v>4.937874073602992</v>
      </c>
      <c r="AE19" s="22">
        <f t="shared" si="5"/>
        <v>213936.4235</v>
      </c>
      <c r="AF19" s="10">
        <v>0</v>
      </c>
      <c r="AG19" s="10">
        <v>197598.3248</v>
      </c>
      <c r="AH19" s="10">
        <v>411981.06339999998</v>
      </c>
      <c r="AI19" s="10">
        <v>503532.41080000001</v>
      </c>
      <c r="AJ19" s="10">
        <v>564566.64240000001</v>
      </c>
      <c r="AK19" s="18">
        <v>0</v>
      </c>
      <c r="AL19" s="18">
        <v>419000</v>
      </c>
      <c r="AM19" s="18">
        <v>419000</v>
      </c>
      <c r="AN19" s="18">
        <v>419000</v>
      </c>
      <c r="AO19" s="18">
        <v>419000</v>
      </c>
      <c r="AP19" s="15">
        <f t="shared" si="6"/>
        <v>43.39393939564853</v>
      </c>
      <c r="AQ19" s="20">
        <f t="shared" si="7"/>
        <v>1.2017479971360383</v>
      </c>
      <c r="AR19" s="21">
        <f t="shared" si="8"/>
        <v>419000</v>
      </c>
      <c r="AS19" s="10">
        <v>-9999</v>
      </c>
      <c r="AT19" s="10">
        <v>-9999</v>
      </c>
      <c r="AU19" s="10">
        <v>-9999</v>
      </c>
      <c r="AV19" s="10">
        <v>-9999</v>
      </c>
      <c r="AW19" s="10">
        <v>-9999</v>
      </c>
      <c r="AX19" s="18">
        <v>-9999</v>
      </c>
      <c r="AY19" s="18">
        <v>-9999</v>
      </c>
      <c r="AZ19" s="18">
        <v>-9999</v>
      </c>
      <c r="BA19" s="18">
        <v>-9999</v>
      </c>
      <c r="BB19" s="18">
        <v>-9999</v>
      </c>
      <c r="BC19" s="23">
        <f t="shared" si="9"/>
        <v>0</v>
      </c>
      <c r="BD19" s="20">
        <f t="shared" si="10"/>
        <v>0</v>
      </c>
      <c r="BE19" s="20">
        <f t="shared" si="11"/>
        <v>0</v>
      </c>
      <c r="BF19" s="10">
        <v>0</v>
      </c>
      <c r="BG19" s="10">
        <v>0</v>
      </c>
      <c r="BH19" s="10">
        <v>0</v>
      </c>
      <c r="BI19" s="10">
        <v>0</v>
      </c>
      <c r="BJ19" s="10">
        <v>524443.27130000002</v>
      </c>
      <c r="BK19" s="10">
        <v>0</v>
      </c>
      <c r="BL19" s="10">
        <v>0</v>
      </c>
      <c r="BM19" s="10">
        <v>0</v>
      </c>
      <c r="BN19" s="10">
        <v>0</v>
      </c>
      <c r="BO19" s="10">
        <v>126635.07180000001</v>
      </c>
      <c r="BQ19" s="10">
        <v>1045923.3320000001</v>
      </c>
      <c r="BR19" s="10">
        <v>1045923.3320000001</v>
      </c>
      <c r="BS19" s="10">
        <v>1079384.2439999999</v>
      </c>
      <c r="BT19" s="10">
        <v>1079384.2439999999</v>
      </c>
      <c r="BV19" s="10">
        <v>2202678.8810000001</v>
      </c>
      <c r="BW19" s="10">
        <v>2202678.8810000001</v>
      </c>
      <c r="BX19" s="10">
        <v>2273146.42</v>
      </c>
      <c r="BY19" s="10">
        <v>2273146.42</v>
      </c>
      <c r="CA19" s="10">
        <v>42698.855860000003</v>
      </c>
      <c r="CB19" s="10">
        <v>683181.69380000001</v>
      </c>
      <c r="CC19" s="10">
        <v>853977.11730000004</v>
      </c>
      <c r="CD19" s="10">
        <v>853977.11730000004</v>
      </c>
      <c r="CF19" s="10">
        <v>19844.929059999999</v>
      </c>
      <c r="CG19" s="10">
        <v>317518.86499999999</v>
      </c>
      <c r="CH19" s="10">
        <v>396898.58120000002</v>
      </c>
      <c r="CI19" s="10">
        <v>396898.58120000002</v>
      </c>
      <c r="CK19" s="10">
        <v>391113.59649999999</v>
      </c>
      <c r="CL19" s="10">
        <v>1002795.493</v>
      </c>
      <c r="CM19" s="10">
        <v>908998.62450000003</v>
      </c>
      <c r="CN19" s="10">
        <v>908998.62450000003</v>
      </c>
      <c r="CP19" s="10">
        <v>5836.5153979999995</v>
      </c>
      <c r="CQ19" s="10">
        <v>11878.721670000001</v>
      </c>
      <c r="CR19" s="10">
        <v>11878.721670000001</v>
      </c>
      <c r="CS19" s="10">
        <v>11878.721670000001</v>
      </c>
      <c r="CT19" s="23">
        <f t="shared" si="12"/>
        <v>27.629903129737912</v>
      </c>
      <c r="CU19" s="20">
        <f t="shared" si="13"/>
        <v>76.523269906701998</v>
      </c>
      <c r="CV19" s="20">
        <f t="shared" si="14"/>
        <v>11878.721670000001</v>
      </c>
      <c r="CX19" s="10">
        <v>1534.399844</v>
      </c>
      <c r="CY19" s="10">
        <v>73453.509080000003</v>
      </c>
      <c r="CZ19" s="10">
        <v>92854.724279999995</v>
      </c>
      <c r="DA19" s="10">
        <v>94134.959740000006</v>
      </c>
      <c r="DC19" s="10">
        <v>755.00843910000003</v>
      </c>
      <c r="DD19" s="10">
        <v>28591.329580000001</v>
      </c>
      <c r="DE19" s="10">
        <v>35651.58743</v>
      </c>
      <c r="DF19" s="10">
        <v>36143.134050000001</v>
      </c>
      <c r="DG19" s="23">
        <f t="shared" si="15"/>
        <v>59.786090834752727</v>
      </c>
      <c r="DH19" s="20">
        <f t="shared" si="16"/>
        <v>2.6045046230357993</v>
      </c>
      <c r="DI19" s="20">
        <f t="shared" si="17"/>
        <v>35651.58743</v>
      </c>
      <c r="DK19" s="10">
        <v>467514.53769999999</v>
      </c>
      <c r="DL19" s="10">
        <v>527774.2659</v>
      </c>
      <c r="DM19" s="10">
        <v>585185.26430000004</v>
      </c>
      <c r="DN19" s="10">
        <v>727611.43889999995</v>
      </c>
      <c r="DO19" s="10">
        <v>-9999</v>
      </c>
      <c r="DP19" s="10">
        <v>-9999</v>
      </c>
      <c r="DQ19" s="10">
        <v>-9999</v>
      </c>
      <c r="DR19" s="10">
        <v>-9999</v>
      </c>
      <c r="DS19" s="10">
        <v>-9999</v>
      </c>
      <c r="DU19" s="10">
        <v>650</v>
      </c>
      <c r="DV19" s="10">
        <v>1836</v>
      </c>
      <c r="DW19" s="10">
        <v>2610</v>
      </c>
      <c r="DX19" s="10">
        <v>2610</v>
      </c>
      <c r="DY19" s="10">
        <v>-9999</v>
      </c>
      <c r="DZ19" s="10">
        <v>-9999</v>
      </c>
      <c r="EA19" s="10">
        <v>-9999</v>
      </c>
      <c r="EB19" s="10">
        <v>-9999</v>
      </c>
      <c r="EC19" s="10">
        <v>-9999</v>
      </c>
    </row>
    <row r="20" spans="1:133" x14ac:dyDescent="0.8">
      <c r="A20" s="10" t="s">
        <v>29</v>
      </c>
      <c r="B20" s="10" t="s">
        <v>207</v>
      </c>
      <c r="C20" s="10">
        <v>23</v>
      </c>
      <c r="D20" s="10">
        <v>19282637.59</v>
      </c>
      <c r="E20" s="10">
        <v>1877831.091</v>
      </c>
      <c r="F20" s="10"/>
      <c r="G20" s="10">
        <v>112202.7322</v>
      </c>
      <c r="H20" s="10">
        <v>2638367.1030000001</v>
      </c>
      <c r="I20" s="11">
        <v>2638367.1030000001</v>
      </c>
      <c r="J20" s="10">
        <v>3205792.3489999999</v>
      </c>
      <c r="K20" s="13"/>
      <c r="L20" s="13">
        <v>45637.505389999998</v>
      </c>
      <c r="M20" s="13">
        <v>1073133.341</v>
      </c>
      <c r="N20" s="14">
        <v>1073133.341</v>
      </c>
      <c r="O20" s="13">
        <v>1303928.7250000001</v>
      </c>
      <c r="P20" s="15">
        <f t="shared" si="0"/>
        <v>48.298906439935244</v>
      </c>
      <c r="Q20" s="20">
        <f t="shared" si="1"/>
        <v>2.4585640965561986</v>
      </c>
      <c r="R20" s="21">
        <f t="shared" si="2"/>
        <v>1073133.341</v>
      </c>
      <c r="T20" s="10">
        <v>491795.19150000002</v>
      </c>
      <c r="U20" s="10">
        <v>512286.65779999999</v>
      </c>
      <c r="V20" s="16">
        <v>512286.65779999999</v>
      </c>
      <c r="W20" s="10">
        <v>512286.65779999999</v>
      </c>
      <c r="X20" s="13"/>
      <c r="Y20" s="13">
        <v>77986.859710000004</v>
      </c>
      <c r="Z20" s="13">
        <v>81236.3122</v>
      </c>
      <c r="AA20" s="17">
        <v>81236.3122</v>
      </c>
      <c r="AB20" s="13">
        <v>81236.3122</v>
      </c>
      <c r="AC20" s="15">
        <f t="shared" si="3"/>
        <v>11.599999999063023</v>
      </c>
      <c r="AD20" s="20">
        <f t="shared" si="4"/>
        <v>6.306128921002399</v>
      </c>
      <c r="AE20" s="22">
        <f t="shared" si="5"/>
        <v>81236.3122</v>
      </c>
      <c r="AF20" s="10">
        <v>-9999</v>
      </c>
      <c r="AG20" s="10">
        <v>-9999</v>
      </c>
      <c r="AH20" s="10">
        <v>-9999</v>
      </c>
      <c r="AI20" s="10">
        <v>-9999</v>
      </c>
      <c r="AJ20" s="10">
        <v>-9999</v>
      </c>
      <c r="AK20" s="18">
        <v>-9999</v>
      </c>
      <c r="AL20" s="18">
        <v>-9999</v>
      </c>
      <c r="AM20" s="18">
        <v>-9999</v>
      </c>
      <c r="AN20" s="18">
        <v>-9999</v>
      </c>
      <c r="AO20" s="18">
        <v>-9999</v>
      </c>
      <c r="AP20" s="15">
        <f t="shared" si="6"/>
        <v>0</v>
      </c>
      <c r="AQ20" s="20">
        <f t="shared" si="7"/>
        <v>0</v>
      </c>
      <c r="AR20" s="21">
        <f t="shared" si="8"/>
        <v>0</v>
      </c>
      <c r="AS20" s="10">
        <v>-9999</v>
      </c>
      <c r="AT20" s="10">
        <v>-9999</v>
      </c>
      <c r="AU20" s="10">
        <v>-9999</v>
      </c>
      <c r="AV20" s="10">
        <v>-9999</v>
      </c>
      <c r="AW20" s="10">
        <v>-9999</v>
      </c>
      <c r="AX20" s="18">
        <v>-9999</v>
      </c>
      <c r="AY20" s="18">
        <v>-9999</v>
      </c>
      <c r="AZ20" s="18">
        <v>-9999</v>
      </c>
      <c r="BA20" s="18">
        <v>-9999</v>
      </c>
      <c r="BB20" s="18">
        <v>-9999</v>
      </c>
      <c r="BC20" s="23">
        <f t="shared" si="9"/>
        <v>0</v>
      </c>
      <c r="BD20" s="20">
        <f t="shared" si="10"/>
        <v>0</v>
      </c>
      <c r="BE20" s="20">
        <f t="shared" si="11"/>
        <v>0</v>
      </c>
      <c r="BF20" s="10">
        <v>0</v>
      </c>
      <c r="BG20" s="10">
        <v>0</v>
      </c>
      <c r="BH20" s="10">
        <v>0</v>
      </c>
      <c r="BI20" s="10">
        <v>0</v>
      </c>
      <c r="BJ20" s="10">
        <v>59187.660109999997</v>
      </c>
      <c r="BK20" s="10">
        <v>0</v>
      </c>
      <c r="BL20" s="10">
        <v>0</v>
      </c>
      <c r="BM20" s="10">
        <v>0</v>
      </c>
      <c r="BN20" s="10">
        <v>0</v>
      </c>
      <c r="BO20" s="10">
        <v>25673.488679999999</v>
      </c>
      <c r="BQ20" s="10">
        <v>77323.84319</v>
      </c>
      <c r="BR20" s="10">
        <v>77323.84319</v>
      </c>
      <c r="BS20" s="10">
        <v>79797.567790000001</v>
      </c>
      <c r="BT20" s="10">
        <v>79797.567790000001</v>
      </c>
      <c r="BV20" s="10">
        <v>162841.37770000001</v>
      </c>
      <c r="BW20" s="10">
        <v>162841.37770000001</v>
      </c>
      <c r="BX20" s="10">
        <v>168050.95740000001</v>
      </c>
      <c r="BY20" s="10">
        <v>168050.95740000001</v>
      </c>
      <c r="CA20" s="10">
        <v>3156.6746189999999</v>
      </c>
      <c r="CB20" s="10">
        <v>50506.793899999997</v>
      </c>
      <c r="CC20" s="10">
        <v>63133.492380000003</v>
      </c>
      <c r="CD20" s="10">
        <v>63133.492380000003</v>
      </c>
      <c r="CF20" s="10">
        <v>1467.111533</v>
      </c>
      <c r="CG20" s="10">
        <v>23473.784530000001</v>
      </c>
      <c r="CH20" s="10">
        <v>29342.230660000001</v>
      </c>
      <c r="CI20" s="10">
        <v>29342.230660000001</v>
      </c>
      <c r="CK20" s="10">
        <v>34926.263769999998</v>
      </c>
      <c r="CL20" s="10">
        <v>82996.226519999997</v>
      </c>
      <c r="CM20" s="10">
        <v>75233.142059999998</v>
      </c>
      <c r="CN20" s="10">
        <v>75233.142059999998</v>
      </c>
      <c r="CP20" s="10">
        <v>269.67327130000001</v>
      </c>
      <c r="CQ20" s="10">
        <v>754.17687520000004</v>
      </c>
      <c r="CR20" s="10">
        <v>754.17687520000004</v>
      </c>
      <c r="CS20" s="10">
        <v>754.17687520000004</v>
      </c>
      <c r="CT20" s="23">
        <f t="shared" si="12"/>
        <v>26.271032620487098</v>
      </c>
      <c r="CU20" s="20">
        <f t="shared" si="13"/>
        <v>99.755302149842421</v>
      </c>
      <c r="CV20" s="20">
        <f t="shared" si="14"/>
        <v>754.17687520000004</v>
      </c>
      <c r="CX20" s="10">
        <v>88.971992080000007</v>
      </c>
      <c r="CY20" s="10">
        <v>4259.1929710000004</v>
      </c>
      <c r="CZ20" s="10">
        <v>5384.1701220000004</v>
      </c>
      <c r="DA20" s="10">
        <v>5458.4044219999996</v>
      </c>
      <c r="DC20" s="10">
        <v>47.935284719999999</v>
      </c>
      <c r="DD20" s="10">
        <v>1815.255901</v>
      </c>
      <c r="DE20" s="10">
        <v>2263.509791</v>
      </c>
      <c r="DF20" s="10">
        <v>2294.7179550000001</v>
      </c>
      <c r="DG20" s="23">
        <f t="shared" si="15"/>
        <v>59.786090831622502</v>
      </c>
      <c r="DH20" s="20">
        <f t="shared" si="16"/>
        <v>2.3786820553673498</v>
      </c>
      <c r="DI20" s="20">
        <f t="shared" si="17"/>
        <v>2263.509791</v>
      </c>
      <c r="DK20" s="10">
        <v>21679.858329999999</v>
      </c>
      <c r="DL20" s="10">
        <v>24477.966499999999</v>
      </c>
      <c r="DM20" s="10">
        <v>25987.815299999998</v>
      </c>
      <c r="DN20" s="10">
        <v>32617.585879999999</v>
      </c>
      <c r="DO20" s="10">
        <v>-9999</v>
      </c>
      <c r="DP20" s="10">
        <v>-9999</v>
      </c>
      <c r="DQ20" s="10">
        <v>-9999</v>
      </c>
      <c r="DR20" s="10">
        <v>-9999</v>
      </c>
      <c r="DS20" s="10">
        <v>-9999</v>
      </c>
      <c r="DU20" s="10">
        <v>0</v>
      </c>
      <c r="DV20" s="10">
        <v>2157</v>
      </c>
      <c r="DW20" s="10">
        <v>2157</v>
      </c>
      <c r="DX20" s="10">
        <v>2157</v>
      </c>
      <c r="DY20" s="10">
        <v>-9999</v>
      </c>
      <c r="DZ20" s="10">
        <v>-9999</v>
      </c>
      <c r="EA20" s="10">
        <v>-9999</v>
      </c>
      <c r="EB20" s="10">
        <v>-9999</v>
      </c>
      <c r="EC20" s="10">
        <v>-9999</v>
      </c>
    </row>
    <row r="21" spans="1:133" x14ac:dyDescent="0.8">
      <c r="A21" s="10" t="s">
        <v>26</v>
      </c>
      <c r="B21" s="10" t="s">
        <v>208</v>
      </c>
      <c r="C21" s="10">
        <v>24</v>
      </c>
      <c r="D21" s="10">
        <v>74057508.359999999</v>
      </c>
      <c r="E21" s="10">
        <v>67809371.209999993</v>
      </c>
      <c r="F21" s="10">
        <v>0</v>
      </c>
      <c r="G21" s="10">
        <v>114628.52619999999</v>
      </c>
      <c r="H21" s="10">
        <v>2695407.9160000002</v>
      </c>
      <c r="I21" s="11">
        <v>2695407.9160000002</v>
      </c>
      <c r="J21" s="10">
        <v>3275100.7480000001</v>
      </c>
      <c r="K21" s="13">
        <v>0</v>
      </c>
      <c r="L21" s="13">
        <v>24920.52147</v>
      </c>
      <c r="M21" s="13">
        <v>585988.26199999999</v>
      </c>
      <c r="N21" s="14">
        <v>585988.26199999999</v>
      </c>
      <c r="O21" s="13">
        <v>712014.89919999999</v>
      </c>
      <c r="P21" s="15">
        <f t="shared" si="0"/>
        <v>48.298906439807304</v>
      </c>
      <c r="Q21" s="20">
        <f t="shared" si="1"/>
        <v>4.5997643481807495</v>
      </c>
      <c r="R21" s="21">
        <f t="shared" si="2"/>
        <v>585988.26199999999</v>
      </c>
      <c r="S21" s="10">
        <v>0</v>
      </c>
      <c r="T21" s="10">
        <v>355075.48469999997</v>
      </c>
      <c r="U21" s="10">
        <v>369870.2966</v>
      </c>
      <c r="V21" s="16">
        <v>369870.2966</v>
      </c>
      <c r="W21" s="10">
        <v>369870.2966</v>
      </c>
      <c r="X21" s="13">
        <v>0</v>
      </c>
      <c r="Y21" s="13">
        <v>39472.706429999998</v>
      </c>
      <c r="Z21" s="13">
        <v>41117.402529999999</v>
      </c>
      <c r="AA21" s="17">
        <v>41117.402529999999</v>
      </c>
      <c r="AB21" s="13">
        <v>41117.402529999999</v>
      </c>
      <c r="AC21" s="15">
        <f t="shared" si="3"/>
        <v>11.600000003893259</v>
      </c>
      <c r="AD21" s="20">
        <f t="shared" si="4"/>
        <v>8.9954684352966101</v>
      </c>
      <c r="AE21" s="22">
        <f t="shared" si="5"/>
        <v>41117.402529999999</v>
      </c>
      <c r="AF21" s="10">
        <v>-9999</v>
      </c>
      <c r="AG21" s="10">
        <v>-9999</v>
      </c>
      <c r="AH21" s="10">
        <v>-9999</v>
      </c>
      <c r="AI21" s="10">
        <v>-9999</v>
      </c>
      <c r="AJ21" s="10">
        <v>-9999</v>
      </c>
      <c r="AK21" s="18">
        <v>-9999</v>
      </c>
      <c r="AL21" s="18">
        <v>-9999</v>
      </c>
      <c r="AM21" s="18">
        <v>-9999</v>
      </c>
      <c r="AN21" s="18">
        <v>-9999</v>
      </c>
      <c r="AO21" s="18">
        <v>-9999</v>
      </c>
      <c r="AP21" s="15">
        <f t="shared" si="6"/>
        <v>0</v>
      </c>
      <c r="AQ21" s="20">
        <f t="shared" si="7"/>
        <v>0</v>
      </c>
      <c r="AR21" s="21">
        <f t="shared" si="8"/>
        <v>0</v>
      </c>
      <c r="AS21" s="10">
        <v>-9999</v>
      </c>
      <c r="AT21" s="10">
        <v>-9999</v>
      </c>
      <c r="AU21" s="10">
        <v>-9999</v>
      </c>
      <c r="AV21" s="10">
        <v>-9999</v>
      </c>
      <c r="AW21" s="10">
        <v>-9999</v>
      </c>
      <c r="AX21" s="18">
        <v>-9999</v>
      </c>
      <c r="AY21" s="18">
        <v>-9999</v>
      </c>
      <c r="AZ21" s="18">
        <v>-9999</v>
      </c>
      <c r="BA21" s="18">
        <v>-9999</v>
      </c>
      <c r="BB21" s="18">
        <v>-9999</v>
      </c>
      <c r="BC21" s="23">
        <f t="shared" si="9"/>
        <v>0</v>
      </c>
      <c r="BD21" s="20">
        <f t="shared" si="10"/>
        <v>0</v>
      </c>
      <c r="BE21" s="20">
        <f t="shared" si="11"/>
        <v>0</v>
      </c>
      <c r="BF21" s="10">
        <v>0</v>
      </c>
      <c r="BG21" s="10">
        <v>0</v>
      </c>
      <c r="BH21" s="10">
        <v>0</v>
      </c>
      <c r="BI21" s="10">
        <v>0</v>
      </c>
      <c r="BJ21" s="10">
        <v>348385.7219</v>
      </c>
      <c r="BK21" s="10">
        <v>0</v>
      </c>
      <c r="BL21" s="10">
        <v>0</v>
      </c>
      <c r="BM21" s="10">
        <v>0</v>
      </c>
      <c r="BN21" s="10">
        <v>0</v>
      </c>
      <c r="BO21" s="10">
        <v>103396.01850000001</v>
      </c>
      <c r="BQ21" s="10">
        <v>508654.1249</v>
      </c>
      <c r="BR21" s="10">
        <v>508654.1249</v>
      </c>
      <c r="BS21" s="10">
        <v>524926.85750000004</v>
      </c>
      <c r="BT21" s="10">
        <v>524926.85750000004</v>
      </c>
      <c r="BV21" s="10">
        <v>1071208.247</v>
      </c>
      <c r="BW21" s="10">
        <v>1071208.247</v>
      </c>
      <c r="BX21" s="10">
        <v>1105478.067</v>
      </c>
      <c r="BY21" s="10">
        <v>1105478.067</v>
      </c>
      <c r="CA21" s="10">
        <v>20765.335760000002</v>
      </c>
      <c r="CB21" s="10">
        <v>332245.37209999998</v>
      </c>
      <c r="CC21" s="10">
        <v>415306.71509999997</v>
      </c>
      <c r="CD21" s="10">
        <v>415306.71509999997</v>
      </c>
      <c r="CF21" s="10">
        <v>9650.9989949999999</v>
      </c>
      <c r="CG21" s="10">
        <v>154415.98389999999</v>
      </c>
      <c r="CH21" s="10">
        <v>193019.97990000001</v>
      </c>
      <c r="CI21" s="10">
        <v>193019.97990000001</v>
      </c>
      <c r="CJ21" s="10">
        <v>0</v>
      </c>
      <c r="CK21" s="10">
        <v>11292.713040000001</v>
      </c>
      <c r="CL21" s="10">
        <v>145539.0864</v>
      </c>
      <c r="CM21" s="10">
        <v>132061.74189999999</v>
      </c>
      <c r="CN21" s="10">
        <v>132061.74189999999</v>
      </c>
      <c r="CO21" s="10">
        <v>0</v>
      </c>
      <c r="CP21" s="10">
        <v>0</v>
      </c>
      <c r="CQ21" s="10">
        <v>1924.4535169999999</v>
      </c>
      <c r="CR21" s="10">
        <v>2038.7766340000001</v>
      </c>
      <c r="CS21" s="10">
        <v>2038.7766340000001</v>
      </c>
      <c r="CT21" s="23">
        <f t="shared" si="12"/>
        <v>41.476897620718105</v>
      </c>
      <c r="CU21" s="20">
        <f t="shared" si="13"/>
        <v>64.774992854857288</v>
      </c>
      <c r="CV21" s="20">
        <f t="shared" si="14"/>
        <v>2038.7766340000001</v>
      </c>
      <c r="CX21" s="10">
        <v>190.35833550000001</v>
      </c>
      <c r="CY21" s="10">
        <v>9112.6754099999998</v>
      </c>
      <c r="CZ21" s="10">
        <v>11519.598900000001</v>
      </c>
      <c r="DA21" s="10">
        <v>11678.42549</v>
      </c>
      <c r="DC21" s="10">
        <v>129.58410900000001</v>
      </c>
      <c r="DD21" s="10">
        <v>4907.2060359999996</v>
      </c>
      <c r="DE21" s="10">
        <v>6118.9768919999997</v>
      </c>
      <c r="DF21" s="10">
        <v>6203.3423480000001</v>
      </c>
      <c r="DG21" s="23">
        <f t="shared" si="15"/>
        <v>59.786090823006013</v>
      </c>
      <c r="DH21" s="20">
        <f t="shared" si="16"/>
        <v>1.8826021250481952</v>
      </c>
      <c r="DI21" s="20">
        <f t="shared" si="17"/>
        <v>6118.9768919999997</v>
      </c>
      <c r="DJ21" s="10">
        <v>84982.198610000007</v>
      </c>
      <c r="DK21" s="10">
        <v>87910.232870000007</v>
      </c>
      <c r="DL21" s="10">
        <v>99246.478359999994</v>
      </c>
      <c r="DM21" s="10">
        <v>108438.16899999999</v>
      </c>
      <c r="DN21" s="10">
        <v>135254.55040000001</v>
      </c>
      <c r="DO21" s="10">
        <v>-9999</v>
      </c>
      <c r="DP21" s="10">
        <v>-9999</v>
      </c>
      <c r="DQ21" s="10">
        <v>-9999</v>
      </c>
      <c r="DR21" s="10">
        <v>-9999</v>
      </c>
      <c r="DS21" s="10">
        <v>-9999</v>
      </c>
      <c r="DT21" s="10">
        <v>0</v>
      </c>
      <c r="DU21" s="10">
        <v>1000</v>
      </c>
      <c r="DV21" s="10">
        <v>3816</v>
      </c>
      <c r="DW21" s="10">
        <v>5130</v>
      </c>
      <c r="DX21" s="10">
        <v>5130</v>
      </c>
      <c r="DY21" s="10">
        <v>-9999</v>
      </c>
      <c r="DZ21" s="10">
        <v>-9999</v>
      </c>
      <c r="EA21" s="10">
        <v>-9999</v>
      </c>
      <c r="EB21" s="10">
        <v>-9999</v>
      </c>
      <c r="EC21" s="10">
        <v>-9999</v>
      </c>
    </row>
    <row r="22" spans="1:133" x14ac:dyDescent="0.8">
      <c r="A22" s="10" t="s">
        <v>23</v>
      </c>
      <c r="B22" s="10" t="s">
        <v>209</v>
      </c>
      <c r="C22" s="10">
        <v>25</v>
      </c>
      <c r="D22" s="10">
        <v>73769871.090000004</v>
      </c>
      <c r="E22" s="10">
        <v>66922848.310000002</v>
      </c>
      <c r="F22" s="10">
        <v>0</v>
      </c>
      <c r="G22" s="10">
        <v>28980.06208</v>
      </c>
      <c r="H22" s="10">
        <v>681445.45970000001</v>
      </c>
      <c r="I22" s="11">
        <v>681445.45970000001</v>
      </c>
      <c r="J22" s="10">
        <v>828001.77359999996</v>
      </c>
      <c r="K22" s="13">
        <v>0</v>
      </c>
      <c r="L22" s="13">
        <v>6863.6451520000001</v>
      </c>
      <c r="M22" s="13">
        <v>161393.71309999999</v>
      </c>
      <c r="N22" s="14">
        <v>161393.71309999999</v>
      </c>
      <c r="O22" s="13">
        <v>196104.14720000001</v>
      </c>
      <c r="P22" s="15">
        <f t="shared" si="0"/>
        <v>48.2989064396873</v>
      </c>
      <c r="Q22" s="20">
        <f t="shared" si="1"/>
        <v>4.2222552948997123</v>
      </c>
      <c r="R22" s="21">
        <f t="shared" si="2"/>
        <v>161393.71309999999</v>
      </c>
      <c r="S22" s="10">
        <v>0</v>
      </c>
      <c r="T22" s="10">
        <v>350225.28820000001</v>
      </c>
      <c r="U22" s="10">
        <v>364818.0086</v>
      </c>
      <c r="V22" s="16">
        <v>364818.0086</v>
      </c>
      <c r="W22" s="10">
        <v>364818.0086</v>
      </c>
      <c r="X22" s="13">
        <v>0</v>
      </c>
      <c r="Y22" s="13">
        <v>40256.460489999998</v>
      </c>
      <c r="Z22" s="13">
        <v>41933.813009999998</v>
      </c>
      <c r="AA22" s="17">
        <v>41933.813009999998</v>
      </c>
      <c r="AB22" s="13">
        <v>41933.813009999998</v>
      </c>
      <c r="AC22" s="15">
        <f t="shared" si="3"/>
        <v>11.600000006140046</v>
      </c>
      <c r="AD22" s="20">
        <f t="shared" si="4"/>
        <v>8.6998529924526888</v>
      </c>
      <c r="AE22" s="22">
        <f t="shared" si="5"/>
        <v>41933.813009999998</v>
      </c>
      <c r="AF22" s="10">
        <v>-9999</v>
      </c>
      <c r="AG22" s="10">
        <v>-9999</v>
      </c>
      <c r="AH22" s="10">
        <v>-9999</v>
      </c>
      <c r="AI22" s="10">
        <v>-9999</v>
      </c>
      <c r="AJ22" s="10">
        <v>-9999</v>
      </c>
      <c r="AK22" s="18">
        <v>-9999</v>
      </c>
      <c r="AL22" s="18">
        <v>-9999</v>
      </c>
      <c r="AM22" s="18">
        <v>-9999</v>
      </c>
      <c r="AN22" s="18">
        <v>-9999</v>
      </c>
      <c r="AO22" s="18">
        <v>-9999</v>
      </c>
      <c r="AP22" s="15">
        <f t="shared" si="6"/>
        <v>0</v>
      </c>
      <c r="AQ22" s="20">
        <f t="shared" si="7"/>
        <v>0</v>
      </c>
      <c r="AR22" s="21">
        <f t="shared" si="8"/>
        <v>0</v>
      </c>
      <c r="AS22" s="10">
        <v>-9999</v>
      </c>
      <c r="AT22" s="10">
        <v>-9999</v>
      </c>
      <c r="AU22" s="10">
        <v>-9999</v>
      </c>
      <c r="AV22" s="10">
        <v>-9999</v>
      </c>
      <c r="AW22" s="10">
        <v>-9999</v>
      </c>
      <c r="AX22" s="18">
        <v>-9999</v>
      </c>
      <c r="AY22" s="18">
        <v>-9999</v>
      </c>
      <c r="AZ22" s="18">
        <v>-9999</v>
      </c>
      <c r="BA22" s="18">
        <v>-9999</v>
      </c>
      <c r="BB22" s="18">
        <v>-9999</v>
      </c>
      <c r="BC22" s="23">
        <f t="shared" si="9"/>
        <v>0</v>
      </c>
      <c r="BD22" s="20">
        <f t="shared" si="10"/>
        <v>0</v>
      </c>
      <c r="BE22" s="20">
        <f t="shared" si="11"/>
        <v>0</v>
      </c>
      <c r="BF22" s="10">
        <v>0</v>
      </c>
      <c r="BG22" s="10">
        <v>0</v>
      </c>
      <c r="BH22" s="10">
        <v>0</v>
      </c>
      <c r="BI22" s="10">
        <v>0</v>
      </c>
      <c r="BJ22" s="10">
        <v>592627.82649999997</v>
      </c>
      <c r="BK22" s="10">
        <v>0</v>
      </c>
      <c r="BL22" s="10">
        <v>0</v>
      </c>
      <c r="BM22" s="10">
        <v>0</v>
      </c>
      <c r="BN22" s="10">
        <v>0</v>
      </c>
      <c r="BO22" s="10">
        <v>223663.08609999999</v>
      </c>
      <c r="BQ22" s="10">
        <v>34822.030059999997</v>
      </c>
      <c r="BR22" s="10">
        <v>34822.030059999997</v>
      </c>
      <c r="BS22" s="10">
        <v>35936.04754</v>
      </c>
      <c r="BT22" s="10">
        <v>35936.04754</v>
      </c>
      <c r="BV22" s="10">
        <v>73334.008199999997</v>
      </c>
      <c r="BW22" s="10">
        <v>73334.008199999997</v>
      </c>
      <c r="BX22" s="10">
        <v>75680.091020000007</v>
      </c>
      <c r="BY22" s="10">
        <v>75680.091020000007</v>
      </c>
      <c r="CA22" s="10">
        <v>1421.5772770000001</v>
      </c>
      <c r="CB22" s="10">
        <v>22745.236440000001</v>
      </c>
      <c r="CC22" s="10">
        <v>28431.545549999999</v>
      </c>
      <c r="CD22" s="10">
        <v>28431.545549999999</v>
      </c>
      <c r="CF22" s="10">
        <v>660.69920730000001</v>
      </c>
      <c r="CG22" s="10">
        <v>10571.187320000001</v>
      </c>
      <c r="CH22" s="10">
        <v>13213.98415</v>
      </c>
      <c r="CI22" s="10">
        <v>13213.98415</v>
      </c>
      <c r="CJ22" s="10">
        <v>0</v>
      </c>
      <c r="CK22" s="10">
        <v>4262.2150780000002</v>
      </c>
      <c r="CL22" s="10">
        <v>13205.89631</v>
      </c>
      <c r="CM22" s="10">
        <v>11970.67764</v>
      </c>
      <c r="CN22" s="10">
        <v>11970.67764</v>
      </c>
      <c r="CO22" s="10">
        <v>0</v>
      </c>
      <c r="CP22" s="10">
        <v>0</v>
      </c>
      <c r="CQ22" s="10">
        <v>129.60296159999999</v>
      </c>
      <c r="CR22" s="10">
        <v>129.60296159999999</v>
      </c>
      <c r="CS22" s="10">
        <v>129.60296159999999</v>
      </c>
      <c r="CT22" s="23">
        <f t="shared" si="12"/>
        <v>30.598463712368414</v>
      </c>
      <c r="CU22" s="20">
        <f t="shared" si="13"/>
        <v>92.364229121134542</v>
      </c>
      <c r="CV22" s="20">
        <f t="shared" si="14"/>
        <v>129.60296159999999</v>
      </c>
      <c r="CX22" s="10">
        <v>14.248792</v>
      </c>
      <c r="CY22" s="10">
        <v>682.1062819</v>
      </c>
      <c r="CZ22" s="10">
        <v>862.27045559999999</v>
      </c>
      <c r="DA22" s="10">
        <v>874.15901829999996</v>
      </c>
      <c r="DC22" s="10">
        <v>8.2375303049999999</v>
      </c>
      <c r="DD22" s="10">
        <v>311.94610779999999</v>
      </c>
      <c r="DE22" s="10">
        <v>388.9771513</v>
      </c>
      <c r="DF22" s="10">
        <v>394.34017770000003</v>
      </c>
      <c r="DG22" s="23">
        <f t="shared" si="15"/>
        <v>59.786090837506841</v>
      </c>
      <c r="DH22" s="20">
        <f t="shared" si="16"/>
        <v>2.2167637680470618</v>
      </c>
      <c r="DI22" s="20">
        <f t="shared" si="17"/>
        <v>388.9771513</v>
      </c>
      <c r="DJ22" s="10">
        <v>18378.286349999998</v>
      </c>
      <c r="DK22" s="10">
        <v>19012.775280000002</v>
      </c>
      <c r="DL22" s="10">
        <v>21466.206340000001</v>
      </c>
      <c r="DM22" s="10">
        <v>22930.260780000001</v>
      </c>
      <c r="DN22" s="10">
        <v>28741.380659999999</v>
      </c>
      <c r="DO22" s="10">
        <v>-9999</v>
      </c>
      <c r="DP22" s="10">
        <v>-9999</v>
      </c>
      <c r="DQ22" s="10">
        <v>-9999</v>
      </c>
      <c r="DR22" s="10">
        <v>-9999</v>
      </c>
      <c r="DS22" s="10">
        <v>-9999</v>
      </c>
      <c r="DT22" s="10">
        <v>-9999</v>
      </c>
      <c r="DU22" s="10">
        <v>0</v>
      </c>
      <c r="DV22" s="10">
        <v>0</v>
      </c>
      <c r="DW22" s="10">
        <v>0</v>
      </c>
      <c r="DX22" s="10">
        <v>0</v>
      </c>
      <c r="DY22" s="10">
        <v>-9999</v>
      </c>
      <c r="DZ22" s="10">
        <v>-9999</v>
      </c>
      <c r="EA22" s="10">
        <v>-9999</v>
      </c>
      <c r="EB22" s="10">
        <v>-9999</v>
      </c>
      <c r="EC22" s="10">
        <v>-9999</v>
      </c>
    </row>
    <row r="23" spans="1:133" x14ac:dyDescent="0.8">
      <c r="A23" s="10" t="s">
        <v>32</v>
      </c>
      <c r="B23" s="10" t="s">
        <v>210</v>
      </c>
      <c r="C23" s="10">
        <v>26</v>
      </c>
      <c r="D23" s="10">
        <v>196573528.69999999</v>
      </c>
      <c r="E23" s="10">
        <v>135141829.69999999</v>
      </c>
      <c r="F23" s="10"/>
      <c r="G23" s="10">
        <v>376190.37609999999</v>
      </c>
      <c r="H23" s="10">
        <v>8845847.9859999996</v>
      </c>
      <c r="I23" s="11">
        <v>8845847.9859999996</v>
      </c>
      <c r="J23" s="10">
        <v>10748296.460000001</v>
      </c>
      <c r="K23" s="13"/>
      <c r="L23" s="13">
        <v>147068.51949999999</v>
      </c>
      <c r="M23" s="13">
        <v>3458211.1860000002</v>
      </c>
      <c r="N23" s="14">
        <v>3458211.1860000002</v>
      </c>
      <c r="O23" s="13">
        <v>4201957.699</v>
      </c>
      <c r="P23" s="15">
        <f t="shared" si="0"/>
        <v>48.298906439742659</v>
      </c>
      <c r="Q23" s="20">
        <f t="shared" si="1"/>
        <v>2.5579259074202763</v>
      </c>
      <c r="R23" s="21">
        <f t="shared" si="2"/>
        <v>3458211.1860000002</v>
      </c>
      <c r="T23" s="10">
        <v>670937.87170000002</v>
      </c>
      <c r="U23" s="10">
        <v>698893.61629999999</v>
      </c>
      <c r="V23" s="16">
        <v>698893.61629999999</v>
      </c>
      <c r="W23" s="10">
        <v>698893.61629999999</v>
      </c>
      <c r="X23" s="13"/>
      <c r="Y23" s="13">
        <v>114891.2503</v>
      </c>
      <c r="Z23" s="13">
        <v>119678.3857</v>
      </c>
      <c r="AA23" s="17">
        <v>119678.3857</v>
      </c>
      <c r="AB23" s="13">
        <v>119678.3857</v>
      </c>
      <c r="AC23" s="15">
        <f t="shared" si="3"/>
        <v>11.599999997023867</v>
      </c>
      <c r="AD23" s="20">
        <f t="shared" si="4"/>
        <v>5.8397647345605863</v>
      </c>
      <c r="AE23" s="22">
        <f t="shared" si="5"/>
        <v>119678.3857</v>
      </c>
      <c r="AF23" s="10">
        <v>-9999</v>
      </c>
      <c r="AG23" s="10">
        <v>-9999</v>
      </c>
      <c r="AH23" s="10">
        <v>-9999</v>
      </c>
      <c r="AI23" s="10">
        <v>-9999</v>
      </c>
      <c r="AJ23" s="10">
        <v>-9999</v>
      </c>
      <c r="AK23" s="18">
        <v>-9999</v>
      </c>
      <c r="AL23" s="18">
        <v>-9999</v>
      </c>
      <c r="AM23" s="18">
        <v>-9999</v>
      </c>
      <c r="AN23" s="18">
        <v>-9999</v>
      </c>
      <c r="AO23" s="18">
        <v>-9999</v>
      </c>
      <c r="AP23" s="15">
        <f t="shared" si="6"/>
        <v>0</v>
      </c>
      <c r="AQ23" s="20">
        <f t="shared" si="7"/>
        <v>0</v>
      </c>
      <c r="AR23" s="21">
        <f t="shared" si="8"/>
        <v>0</v>
      </c>
      <c r="AS23" s="10">
        <v>-9999</v>
      </c>
      <c r="AT23" s="10">
        <v>-9999</v>
      </c>
      <c r="AU23" s="10">
        <v>-9999</v>
      </c>
      <c r="AV23" s="10">
        <v>-9999</v>
      </c>
      <c r="AW23" s="10">
        <v>-9999</v>
      </c>
      <c r="AX23" s="18">
        <v>-9999</v>
      </c>
      <c r="AY23" s="18">
        <v>-9999</v>
      </c>
      <c r="AZ23" s="18">
        <v>-9999</v>
      </c>
      <c r="BA23" s="18">
        <v>-9999</v>
      </c>
      <c r="BB23" s="18">
        <v>-9999</v>
      </c>
      <c r="BC23" s="23">
        <f t="shared" si="9"/>
        <v>0</v>
      </c>
      <c r="BD23" s="20">
        <f t="shared" si="10"/>
        <v>0</v>
      </c>
      <c r="BE23" s="20">
        <f t="shared" si="11"/>
        <v>0</v>
      </c>
      <c r="BF23" s="10">
        <v>0</v>
      </c>
      <c r="BG23" s="10">
        <v>0</v>
      </c>
      <c r="BH23" s="10">
        <v>0</v>
      </c>
      <c r="BI23" s="10">
        <v>0</v>
      </c>
      <c r="BJ23" s="10">
        <v>626681.6777</v>
      </c>
      <c r="BK23" s="10">
        <v>0</v>
      </c>
      <c r="BL23" s="10">
        <v>0</v>
      </c>
      <c r="BM23" s="10">
        <v>0</v>
      </c>
      <c r="BN23" s="10">
        <v>0</v>
      </c>
      <c r="BO23" s="10">
        <v>273067.6838</v>
      </c>
      <c r="BQ23" s="10">
        <v>2021676.591</v>
      </c>
      <c r="BR23" s="10">
        <v>2021676.591</v>
      </c>
      <c r="BS23" s="10">
        <v>2086353.551</v>
      </c>
      <c r="BT23" s="10">
        <v>2086353.551</v>
      </c>
      <c r="BV23" s="10">
        <v>4257581.9800000004</v>
      </c>
      <c r="BW23" s="10">
        <v>4257581.9800000004</v>
      </c>
      <c r="BX23" s="10">
        <v>4393789.4539999999</v>
      </c>
      <c r="BY23" s="10">
        <v>4393789.4539999999</v>
      </c>
      <c r="CA23" s="10">
        <v>82533.083199999994</v>
      </c>
      <c r="CB23" s="10">
        <v>1320529.331</v>
      </c>
      <c r="CC23" s="10">
        <v>1650661.6640000001</v>
      </c>
      <c r="CD23" s="10">
        <v>1650661.6640000001</v>
      </c>
      <c r="CF23" s="10">
        <v>38358.479359999998</v>
      </c>
      <c r="CG23" s="10">
        <v>613735.66969999997</v>
      </c>
      <c r="CH23" s="10">
        <v>767169.5871</v>
      </c>
      <c r="CI23" s="10">
        <v>767169.5871</v>
      </c>
      <c r="CK23" s="10">
        <v>733979.37430000002</v>
      </c>
      <c r="CL23" s="10">
        <v>2555603.71</v>
      </c>
      <c r="CM23" s="10">
        <v>2316988.44</v>
      </c>
      <c r="CN23" s="10">
        <v>2316988.44</v>
      </c>
      <c r="CP23" s="10">
        <v>8053.1617889999998</v>
      </c>
      <c r="CQ23" s="10">
        <v>18463.094550000002</v>
      </c>
      <c r="CR23" s="10">
        <v>18463.094550000002</v>
      </c>
      <c r="CS23" s="10">
        <v>18463.094550000002</v>
      </c>
      <c r="CT23" s="23">
        <f t="shared" si="12"/>
        <v>32.179480156577732</v>
      </c>
      <c r="CU23" s="20">
        <f t="shared" si="13"/>
        <v>125.49296293345363</v>
      </c>
      <c r="CV23" s="20">
        <f t="shared" si="14"/>
        <v>18463.094550000002</v>
      </c>
      <c r="CX23" s="10">
        <v>2921.2523980000001</v>
      </c>
      <c r="CY23" s="10">
        <v>139843.7574</v>
      </c>
      <c r="CZ23" s="10">
        <v>176780.57449999999</v>
      </c>
      <c r="DA23" s="10">
        <v>179217.93849999999</v>
      </c>
      <c r="DC23" s="10">
        <v>1173.509456</v>
      </c>
      <c r="DD23" s="10">
        <v>44439.497459999999</v>
      </c>
      <c r="DE23" s="10">
        <v>55413.254719999997</v>
      </c>
      <c r="DF23" s="10">
        <v>56177.265529999997</v>
      </c>
      <c r="DG23" s="23">
        <f t="shared" si="15"/>
        <v>59.786090830245598</v>
      </c>
      <c r="DH23" s="20">
        <f t="shared" si="16"/>
        <v>3.1902218231587751</v>
      </c>
      <c r="DI23" s="20">
        <f t="shared" si="17"/>
        <v>55413.254719999997</v>
      </c>
      <c r="DK23" s="10">
        <v>502467.45549999998</v>
      </c>
      <c r="DL23" s="10">
        <v>567128.80220000003</v>
      </c>
      <c r="DM23" s="10">
        <v>661023.55090000003</v>
      </c>
      <c r="DN23" s="10">
        <v>813396.83669999999</v>
      </c>
      <c r="DO23" s="10">
        <v>-9999</v>
      </c>
      <c r="DP23" s="10">
        <v>-9999</v>
      </c>
      <c r="DQ23" s="10">
        <v>-9999</v>
      </c>
      <c r="DR23" s="10">
        <v>-9999</v>
      </c>
      <c r="DS23" s="10">
        <v>-9999</v>
      </c>
      <c r="DU23" s="10">
        <v>114391</v>
      </c>
      <c r="DV23" s="10">
        <v>190132</v>
      </c>
      <c r="DW23" s="10">
        <v>206526</v>
      </c>
      <c r="DX23" s="10">
        <v>206526</v>
      </c>
      <c r="DY23" s="10">
        <v>-9999</v>
      </c>
      <c r="DZ23" s="10">
        <v>-9999</v>
      </c>
      <c r="EA23" s="10">
        <v>-9999</v>
      </c>
      <c r="EB23" s="10">
        <v>-9999</v>
      </c>
      <c r="EC23" s="10">
        <v>-9999</v>
      </c>
    </row>
    <row r="24" spans="1:133" x14ac:dyDescent="0.8">
      <c r="A24" s="10" t="s">
        <v>34</v>
      </c>
      <c r="B24" s="10" t="s">
        <v>211</v>
      </c>
      <c r="C24" s="10">
        <v>27</v>
      </c>
      <c r="D24" s="10">
        <v>129347776.90000001</v>
      </c>
      <c r="E24" s="10">
        <v>79665598.760000005</v>
      </c>
      <c r="F24" s="10">
        <v>0</v>
      </c>
      <c r="G24" s="10">
        <v>204608.0478</v>
      </c>
      <c r="H24" s="10">
        <v>4811212.0959999999</v>
      </c>
      <c r="I24" s="11">
        <v>4811212.0959999999</v>
      </c>
      <c r="J24" s="10">
        <v>5845944.2240000004</v>
      </c>
      <c r="K24" s="13">
        <v>0</v>
      </c>
      <c r="L24" s="13">
        <v>114861.0806</v>
      </c>
      <c r="M24" s="13">
        <v>2700876.2680000002</v>
      </c>
      <c r="N24" s="14">
        <v>2700876.2680000002</v>
      </c>
      <c r="O24" s="13">
        <v>3281745.1609999998</v>
      </c>
      <c r="P24" s="15">
        <f t="shared" si="0"/>
        <v>48.298906440062296</v>
      </c>
      <c r="Q24" s="20">
        <f t="shared" si="1"/>
        <v>1.7813522792596139</v>
      </c>
      <c r="R24" s="21">
        <f t="shared" si="2"/>
        <v>2700876.2680000002</v>
      </c>
      <c r="S24" s="10">
        <v>0</v>
      </c>
      <c r="T24" s="10">
        <v>237305.5104</v>
      </c>
      <c r="U24" s="10">
        <v>247193.24</v>
      </c>
      <c r="V24" s="16">
        <v>247193.24</v>
      </c>
      <c r="W24" s="10">
        <v>247193.24</v>
      </c>
      <c r="X24" s="13">
        <v>0</v>
      </c>
      <c r="Y24" s="13">
        <v>51961.007409999998</v>
      </c>
      <c r="Z24" s="13">
        <v>54126.049379999997</v>
      </c>
      <c r="AA24" s="17">
        <v>54126.049379999997</v>
      </c>
      <c r="AB24" s="13">
        <v>54126.049379999997</v>
      </c>
      <c r="AC24" s="15">
        <f t="shared" si="3"/>
        <v>11.599999999999998</v>
      </c>
      <c r="AD24" s="20">
        <f t="shared" si="4"/>
        <v>4.5669921014287045</v>
      </c>
      <c r="AE24" s="22">
        <f t="shared" si="5"/>
        <v>54126.049379999997</v>
      </c>
      <c r="AF24" s="10">
        <v>-9999</v>
      </c>
      <c r="AG24" s="10">
        <v>-9999</v>
      </c>
      <c r="AH24" s="10">
        <v>-9999</v>
      </c>
      <c r="AI24" s="10">
        <v>-9999</v>
      </c>
      <c r="AJ24" s="10">
        <v>-9999</v>
      </c>
      <c r="AK24" s="18">
        <v>-9999</v>
      </c>
      <c r="AL24" s="18">
        <v>-9999</v>
      </c>
      <c r="AM24" s="18">
        <v>-9999</v>
      </c>
      <c r="AN24" s="18">
        <v>-9999</v>
      </c>
      <c r="AO24" s="18">
        <v>-9999</v>
      </c>
      <c r="AP24" s="15">
        <f t="shared" si="6"/>
        <v>0</v>
      </c>
      <c r="AQ24" s="20">
        <f t="shared" si="7"/>
        <v>0</v>
      </c>
      <c r="AR24" s="21">
        <f t="shared" si="8"/>
        <v>0</v>
      </c>
      <c r="AS24" s="10">
        <v>-9999</v>
      </c>
      <c r="AT24" s="10">
        <v>-9999</v>
      </c>
      <c r="AU24" s="10">
        <v>-9999</v>
      </c>
      <c r="AV24" s="10">
        <v>-9999</v>
      </c>
      <c r="AW24" s="10">
        <v>-9999</v>
      </c>
      <c r="AX24" s="18">
        <v>-9999</v>
      </c>
      <c r="AY24" s="18">
        <v>-9999</v>
      </c>
      <c r="AZ24" s="18">
        <v>-9999</v>
      </c>
      <c r="BA24" s="18">
        <v>-9999</v>
      </c>
      <c r="BB24" s="18">
        <v>-9999</v>
      </c>
      <c r="BC24" s="23">
        <f t="shared" si="9"/>
        <v>0</v>
      </c>
      <c r="BD24" s="20">
        <f t="shared" si="10"/>
        <v>0</v>
      </c>
      <c r="BE24" s="20">
        <f t="shared" si="11"/>
        <v>0</v>
      </c>
      <c r="BF24" s="10">
        <v>0</v>
      </c>
      <c r="BG24" s="10">
        <v>0</v>
      </c>
      <c r="BH24" s="10">
        <v>0</v>
      </c>
      <c r="BI24" s="10">
        <v>0</v>
      </c>
      <c r="BJ24" s="10">
        <v>293642.01850000001</v>
      </c>
      <c r="BK24" s="10">
        <v>0</v>
      </c>
      <c r="BL24" s="10">
        <v>0</v>
      </c>
      <c r="BM24" s="10">
        <v>0</v>
      </c>
      <c r="BN24" s="10">
        <v>0</v>
      </c>
      <c r="BO24" s="10">
        <v>122921.7426</v>
      </c>
      <c r="BQ24" s="10">
        <v>6271752.7019999996</v>
      </c>
      <c r="BR24" s="10">
        <v>6271752.7019999996</v>
      </c>
      <c r="BS24" s="10">
        <v>6472397.0089999996</v>
      </c>
      <c r="BT24" s="10">
        <v>6472397.0089999996</v>
      </c>
      <c r="BV24" s="10">
        <v>13208097.380000001</v>
      </c>
      <c r="BW24" s="10">
        <v>13208097.380000001</v>
      </c>
      <c r="BX24" s="10">
        <v>13630647.449999999</v>
      </c>
      <c r="BY24" s="10">
        <v>13630647.449999999</v>
      </c>
      <c r="CA24" s="10">
        <v>256038.52249999999</v>
      </c>
      <c r="CB24" s="10">
        <v>4096616.361</v>
      </c>
      <c r="CC24" s="10">
        <v>5120770.4510000004</v>
      </c>
      <c r="CD24" s="10">
        <v>5120770.4510000004</v>
      </c>
      <c r="CF24" s="10">
        <v>118997.71580000001</v>
      </c>
      <c r="CG24" s="10">
        <v>1903963.453</v>
      </c>
      <c r="CH24" s="10">
        <v>2379954.3169999998</v>
      </c>
      <c r="CI24" s="10">
        <v>2379954.3169999998</v>
      </c>
      <c r="CJ24" s="10">
        <v>0</v>
      </c>
      <c r="CK24" s="10">
        <v>900660.56689999998</v>
      </c>
      <c r="CL24" s="10">
        <v>4769681.0690000001</v>
      </c>
      <c r="CM24" s="10">
        <v>4735746.5319999997</v>
      </c>
      <c r="CN24" s="10">
        <v>4735746.5319999997</v>
      </c>
      <c r="CO24" s="10">
        <v>0</v>
      </c>
      <c r="CP24" s="10">
        <v>11452.10809</v>
      </c>
      <c r="CQ24" s="10">
        <v>55426.285400000001</v>
      </c>
      <c r="CR24" s="10">
        <v>55426.285400000001</v>
      </c>
      <c r="CS24" s="10">
        <v>55426.285400000001</v>
      </c>
      <c r="CT24" s="23">
        <f t="shared" si="12"/>
        <v>42.034381639494377</v>
      </c>
      <c r="CU24" s="20">
        <f t="shared" si="13"/>
        <v>85.442249969001168</v>
      </c>
      <c r="CV24" s="20">
        <f t="shared" si="14"/>
        <v>55426.285400000001</v>
      </c>
      <c r="CX24" s="10">
        <v>6928.3179760000003</v>
      </c>
      <c r="CY24" s="10">
        <v>331666.65749999997</v>
      </c>
      <c r="CZ24" s="10">
        <v>419269.5001</v>
      </c>
      <c r="DA24" s="10">
        <v>425050.1826</v>
      </c>
      <c r="DC24" s="10">
        <v>3522.8801880000001</v>
      </c>
      <c r="DD24" s="10">
        <v>133407.55319999999</v>
      </c>
      <c r="DE24" s="10">
        <v>166350.8174</v>
      </c>
      <c r="DF24" s="10">
        <v>168644.38099999999</v>
      </c>
      <c r="DG24" s="23">
        <f t="shared" si="15"/>
        <v>59.786090831747572</v>
      </c>
      <c r="DH24" s="20">
        <f t="shared" si="16"/>
        <v>2.5203933870180069</v>
      </c>
      <c r="DI24" s="20">
        <f t="shared" si="17"/>
        <v>166350.8174</v>
      </c>
      <c r="DJ24" s="10">
        <v>1831711.128</v>
      </c>
      <c r="DK24" s="10">
        <v>1893486.9369999999</v>
      </c>
      <c r="DL24" s="10">
        <v>2135885.7680000002</v>
      </c>
      <c r="DM24" s="10">
        <v>2884207.8</v>
      </c>
      <c r="DN24" s="10">
        <v>3449815.7489999998</v>
      </c>
      <c r="DO24" s="10">
        <v>-9999</v>
      </c>
      <c r="DP24" s="10">
        <v>-9999</v>
      </c>
      <c r="DQ24" s="10">
        <v>-9999</v>
      </c>
      <c r="DR24" s="10">
        <v>-9999</v>
      </c>
      <c r="DS24" s="10">
        <v>-9999</v>
      </c>
      <c r="DT24" s="10">
        <v>0</v>
      </c>
      <c r="DU24" s="10">
        <v>641305</v>
      </c>
      <c r="DV24" s="10">
        <v>764470</v>
      </c>
      <c r="DW24" s="10">
        <v>879442</v>
      </c>
      <c r="DX24" s="10">
        <v>879442</v>
      </c>
      <c r="DY24" s="10">
        <v>-9999</v>
      </c>
      <c r="DZ24" s="10">
        <v>-9999</v>
      </c>
      <c r="EA24" s="10">
        <v>-9999</v>
      </c>
      <c r="EB24" s="10">
        <v>-9999</v>
      </c>
      <c r="EC24" s="10">
        <v>-9999</v>
      </c>
    </row>
    <row r="25" spans="1:133" x14ac:dyDescent="0.8">
      <c r="A25" s="10" t="s">
        <v>24</v>
      </c>
      <c r="B25" s="10" t="s">
        <v>212</v>
      </c>
      <c r="C25" s="10">
        <v>28</v>
      </c>
      <c r="D25" s="10">
        <v>78720487.069999993</v>
      </c>
      <c r="E25" s="10">
        <v>25831280.43</v>
      </c>
      <c r="F25" s="10"/>
      <c r="G25" s="10">
        <v>460598.63020000001</v>
      </c>
      <c r="H25" s="10">
        <v>10830647.789999999</v>
      </c>
      <c r="I25" s="11">
        <v>10830647.789999999</v>
      </c>
      <c r="J25" s="10">
        <v>13159960.859999999</v>
      </c>
      <c r="K25" s="13"/>
      <c r="L25" s="13">
        <v>141732.80720000001</v>
      </c>
      <c r="M25" s="13">
        <v>3332745.7239999999</v>
      </c>
      <c r="N25" s="14">
        <v>3332745.7239999999</v>
      </c>
      <c r="O25" s="13">
        <v>4049508.7769999998</v>
      </c>
      <c r="P25" s="15">
        <f t="shared" si="0"/>
        <v>48.298906439833544</v>
      </c>
      <c r="Q25" s="20">
        <f t="shared" si="1"/>
        <v>3.2497672150640193</v>
      </c>
      <c r="R25" s="21">
        <f t="shared" si="2"/>
        <v>3332745.7239999999</v>
      </c>
      <c r="T25" s="10">
        <v>1573446.196</v>
      </c>
      <c r="U25" s="10">
        <v>1639006.4539999999</v>
      </c>
      <c r="V25" s="16">
        <v>1639006.4539999999</v>
      </c>
      <c r="W25" s="10">
        <v>1639006.4539999999</v>
      </c>
      <c r="X25" s="13"/>
      <c r="Y25" s="13">
        <v>322850.09620000003</v>
      </c>
      <c r="Z25" s="13">
        <v>336302.18359999999</v>
      </c>
      <c r="AA25" s="17">
        <v>336302.18359999999</v>
      </c>
      <c r="AB25" s="13">
        <v>336302.18359999999</v>
      </c>
      <c r="AC25" s="15">
        <f t="shared" si="3"/>
        <v>11.599999996095193</v>
      </c>
      <c r="AD25" s="20">
        <f t="shared" si="4"/>
        <v>4.8736122865899825</v>
      </c>
      <c r="AE25" s="22">
        <f t="shared" si="5"/>
        <v>336302.18359999999</v>
      </c>
      <c r="AF25" s="10">
        <v>0</v>
      </c>
      <c r="AG25" s="10">
        <v>72311.240590000001</v>
      </c>
      <c r="AH25" s="10">
        <v>150764.7487</v>
      </c>
      <c r="AI25" s="10">
        <v>184268.02619999999</v>
      </c>
      <c r="AJ25" s="10">
        <v>206603.54449999999</v>
      </c>
      <c r="AK25" s="18">
        <v>0</v>
      </c>
      <c r="AL25" s="18">
        <v>153333.3333</v>
      </c>
      <c r="AM25" s="18">
        <v>153333.3333</v>
      </c>
      <c r="AN25" s="18">
        <v>153333.3333</v>
      </c>
      <c r="AO25" s="18">
        <v>153333.3333</v>
      </c>
      <c r="AP25" s="15">
        <f t="shared" si="6"/>
        <v>43.393939395222112</v>
      </c>
      <c r="AQ25" s="20">
        <f t="shared" si="7"/>
        <v>1.2017479972177714</v>
      </c>
      <c r="AR25" s="21">
        <f t="shared" si="8"/>
        <v>153333.3333</v>
      </c>
      <c r="AS25" s="10">
        <v>-9999</v>
      </c>
      <c r="AT25" s="10">
        <v>-9999</v>
      </c>
      <c r="AU25" s="10">
        <v>-9999</v>
      </c>
      <c r="AV25" s="10">
        <v>-9999</v>
      </c>
      <c r="AW25" s="10">
        <v>-9999</v>
      </c>
      <c r="AX25" s="18">
        <v>-9999</v>
      </c>
      <c r="AY25" s="18">
        <v>-9999</v>
      </c>
      <c r="AZ25" s="18">
        <v>-9999</v>
      </c>
      <c r="BA25" s="18">
        <v>-9999</v>
      </c>
      <c r="BB25" s="18">
        <v>-9999</v>
      </c>
      <c r="BC25" s="23">
        <f t="shared" si="9"/>
        <v>0</v>
      </c>
      <c r="BD25" s="20">
        <f t="shared" si="10"/>
        <v>0</v>
      </c>
      <c r="BE25" s="20">
        <f t="shared" si="11"/>
        <v>0</v>
      </c>
      <c r="BF25" s="10">
        <v>0</v>
      </c>
      <c r="BG25" s="10">
        <v>0</v>
      </c>
      <c r="BH25" s="10">
        <v>0</v>
      </c>
      <c r="BI25" s="10">
        <v>0</v>
      </c>
      <c r="BJ25" s="10">
        <v>247486.2524</v>
      </c>
      <c r="BK25" s="10">
        <v>0</v>
      </c>
      <c r="BL25" s="10">
        <v>0</v>
      </c>
      <c r="BM25" s="10">
        <v>0</v>
      </c>
      <c r="BN25" s="10">
        <v>0</v>
      </c>
      <c r="BO25" s="10">
        <v>68966.569910000006</v>
      </c>
      <c r="BQ25" s="10">
        <v>1326603.6229999999</v>
      </c>
      <c r="BR25" s="10">
        <v>1326603.6229999999</v>
      </c>
      <c r="BS25" s="10">
        <v>1369043.986</v>
      </c>
      <c r="BT25" s="10">
        <v>1369043.986</v>
      </c>
      <c r="BV25" s="10">
        <v>2793782.0040000002</v>
      </c>
      <c r="BW25" s="10">
        <v>2793782.0040000002</v>
      </c>
      <c r="BX25" s="10">
        <v>2883159.963</v>
      </c>
      <c r="BY25" s="10">
        <v>2883159.963</v>
      </c>
      <c r="CA25" s="10">
        <v>54157.369989999999</v>
      </c>
      <c r="CB25" s="10">
        <v>866517.91980000003</v>
      </c>
      <c r="CC25" s="10">
        <v>1083147.3999999999</v>
      </c>
      <c r="CD25" s="10">
        <v>1083147.3999999999</v>
      </c>
      <c r="CF25" s="10">
        <v>25170.44412</v>
      </c>
      <c r="CG25" s="10">
        <v>402727.10590000002</v>
      </c>
      <c r="CH25" s="10">
        <v>503408.8824</v>
      </c>
      <c r="CI25" s="10">
        <v>503408.8824</v>
      </c>
      <c r="CK25" s="10">
        <v>118163.7083</v>
      </c>
      <c r="CL25" s="10">
        <v>723727.6409</v>
      </c>
      <c r="CM25" s="10">
        <v>666727.87170000002</v>
      </c>
      <c r="CN25" s="10">
        <v>666727.87170000002</v>
      </c>
      <c r="CP25" s="10">
        <v>2003.633394</v>
      </c>
      <c r="CQ25" s="10">
        <v>10918.419900000001</v>
      </c>
      <c r="CR25" s="10">
        <v>10918.419900000001</v>
      </c>
      <c r="CS25" s="10">
        <v>10918.419900000001</v>
      </c>
      <c r="CT25" s="23">
        <f t="shared" si="12"/>
        <v>38.636238091139631</v>
      </c>
      <c r="CU25" s="20">
        <f t="shared" si="13"/>
        <v>61.064501805797008</v>
      </c>
      <c r="CV25" s="20">
        <f t="shared" si="14"/>
        <v>10918.419900000001</v>
      </c>
      <c r="CX25" s="10">
        <v>1094.7929019999999</v>
      </c>
      <c r="CY25" s="10">
        <v>52409.012369999997</v>
      </c>
      <c r="CZ25" s="10">
        <v>66251.761889999994</v>
      </c>
      <c r="DA25" s="10">
        <v>67165.208729999998</v>
      </c>
      <c r="DC25" s="10">
        <v>693.97191029999999</v>
      </c>
      <c r="DD25" s="10">
        <v>26279.944149999999</v>
      </c>
      <c r="DE25" s="10">
        <v>32769.43535</v>
      </c>
      <c r="DF25" s="10">
        <v>33221.244270000003</v>
      </c>
      <c r="DG25" s="23">
        <f t="shared" si="15"/>
        <v>59.786090836293077</v>
      </c>
      <c r="DH25" s="20">
        <f t="shared" si="16"/>
        <v>2.0217547596528846</v>
      </c>
      <c r="DI25" s="20">
        <f t="shared" si="17"/>
        <v>32769.43535</v>
      </c>
      <c r="DK25" s="10">
        <v>298855.3541</v>
      </c>
      <c r="DL25" s="10">
        <v>337424.58350000001</v>
      </c>
      <c r="DM25" s="10">
        <v>359014.27830000001</v>
      </c>
      <c r="DN25" s="10">
        <v>450388.29629999999</v>
      </c>
      <c r="DO25" s="10">
        <v>-9999</v>
      </c>
      <c r="DP25" s="10">
        <v>-9999</v>
      </c>
      <c r="DQ25" s="10">
        <v>-9999</v>
      </c>
      <c r="DR25" s="10">
        <v>-9999</v>
      </c>
      <c r="DS25" s="10">
        <v>-9999</v>
      </c>
      <c r="DU25" s="10">
        <v>37086</v>
      </c>
      <c r="DV25" s="10">
        <v>107646</v>
      </c>
      <c r="DW25" s="10">
        <v>112198</v>
      </c>
      <c r="DX25" s="10">
        <v>112198</v>
      </c>
      <c r="DY25" s="10">
        <v>-9999</v>
      </c>
      <c r="DZ25" s="10">
        <v>-9999</v>
      </c>
      <c r="EA25" s="10">
        <v>-9999</v>
      </c>
      <c r="EB25" s="10">
        <v>-9999</v>
      </c>
      <c r="EC25" s="10">
        <v>-9999</v>
      </c>
    </row>
    <row r="26" spans="1:133" x14ac:dyDescent="0.8">
      <c r="A26" s="10" t="s">
        <v>37</v>
      </c>
      <c r="B26" s="10" t="s">
        <v>213</v>
      </c>
      <c r="C26" s="10">
        <v>29</v>
      </c>
      <c r="D26" s="10">
        <v>169148892.40000001</v>
      </c>
      <c r="E26" s="10">
        <v>144035185.69999999</v>
      </c>
      <c r="F26" s="10"/>
      <c r="G26" s="10">
        <v>389792.32620000001</v>
      </c>
      <c r="H26" s="10">
        <v>9165688.1280000005</v>
      </c>
      <c r="I26" s="11">
        <v>9165688.1280000005</v>
      </c>
      <c r="J26" s="10">
        <v>11136923.609999999</v>
      </c>
      <c r="K26" s="13"/>
      <c r="L26" s="13">
        <v>154399.0387</v>
      </c>
      <c r="M26" s="13">
        <v>3630583.1090000002</v>
      </c>
      <c r="N26" s="14">
        <v>3630583.1090000002</v>
      </c>
      <c r="O26" s="13">
        <v>4411401.1050000004</v>
      </c>
      <c r="P26" s="15">
        <f t="shared" si="0"/>
        <v>48.298906439946471</v>
      </c>
      <c r="Q26" s="20">
        <f t="shared" si="1"/>
        <v>2.5245774171313702</v>
      </c>
      <c r="R26" s="21">
        <f t="shared" si="2"/>
        <v>3630583.1090000002</v>
      </c>
      <c r="T26" s="10">
        <v>919562.26450000005</v>
      </c>
      <c r="U26" s="10">
        <v>957877.35889999999</v>
      </c>
      <c r="V26" s="16">
        <v>957877.35889999999</v>
      </c>
      <c r="W26" s="10">
        <v>957877.35889999999</v>
      </c>
      <c r="X26" s="13"/>
      <c r="Y26" s="13">
        <v>158088.13570000001</v>
      </c>
      <c r="Z26" s="13">
        <v>164675.14129999999</v>
      </c>
      <c r="AA26" s="17">
        <v>164675.14129999999</v>
      </c>
      <c r="AB26" s="13">
        <v>164675.14129999999</v>
      </c>
      <c r="AC26" s="15">
        <f t="shared" si="3"/>
        <v>11.600000001837392</v>
      </c>
      <c r="AD26" s="20">
        <f t="shared" si="4"/>
        <v>5.8167696188884346</v>
      </c>
      <c r="AE26" s="22">
        <f t="shared" si="5"/>
        <v>164675.14129999999</v>
      </c>
      <c r="AF26" s="10">
        <v>0</v>
      </c>
      <c r="AG26" s="10">
        <v>92275.430930000002</v>
      </c>
      <c r="AH26" s="10">
        <v>192388.92939999999</v>
      </c>
      <c r="AI26" s="10">
        <v>235142.02480000001</v>
      </c>
      <c r="AJ26" s="10">
        <v>263644.08840000001</v>
      </c>
      <c r="AK26" s="18">
        <v>0</v>
      </c>
      <c r="AL26" s="18">
        <v>195666.6667</v>
      </c>
      <c r="AM26" s="18">
        <v>195666.6667</v>
      </c>
      <c r="AN26" s="18">
        <v>195666.6667</v>
      </c>
      <c r="AO26" s="18">
        <v>195666.6667</v>
      </c>
      <c r="AP26" s="15">
        <f t="shared" si="6"/>
        <v>43.393939392496044</v>
      </c>
      <c r="AQ26" s="20">
        <f t="shared" si="7"/>
        <v>1.201747997069549</v>
      </c>
      <c r="AR26" s="21">
        <f t="shared" si="8"/>
        <v>195666.6667</v>
      </c>
      <c r="AS26" s="10">
        <v>-9999</v>
      </c>
      <c r="AT26" s="10">
        <v>-9999</v>
      </c>
      <c r="AU26" s="10">
        <v>-9999</v>
      </c>
      <c r="AV26" s="10">
        <v>-9999</v>
      </c>
      <c r="AW26" s="10">
        <v>-9999</v>
      </c>
      <c r="AX26" s="18">
        <v>-9999</v>
      </c>
      <c r="AY26" s="18">
        <v>-9999</v>
      </c>
      <c r="AZ26" s="18">
        <v>-9999</v>
      </c>
      <c r="BA26" s="18">
        <v>-9999</v>
      </c>
      <c r="BB26" s="18">
        <v>-9999</v>
      </c>
      <c r="BC26" s="23">
        <f t="shared" si="9"/>
        <v>0</v>
      </c>
      <c r="BD26" s="20">
        <f t="shared" si="10"/>
        <v>0</v>
      </c>
      <c r="BE26" s="20">
        <f t="shared" si="11"/>
        <v>0</v>
      </c>
      <c r="BF26" s="10">
        <v>0</v>
      </c>
      <c r="BG26" s="10">
        <v>0</v>
      </c>
      <c r="BH26" s="10">
        <v>0</v>
      </c>
      <c r="BI26" s="10">
        <v>0</v>
      </c>
      <c r="BJ26" s="10">
        <v>482099.16220000002</v>
      </c>
      <c r="BK26" s="10">
        <v>0</v>
      </c>
      <c r="BL26" s="10">
        <v>0</v>
      </c>
      <c r="BM26" s="10">
        <v>0</v>
      </c>
      <c r="BN26" s="10">
        <v>0</v>
      </c>
      <c r="BO26" s="10">
        <v>162157.67420000001</v>
      </c>
      <c r="BQ26" s="10">
        <v>4104791.4470000002</v>
      </c>
      <c r="BR26" s="10">
        <v>4104791.4470000002</v>
      </c>
      <c r="BS26" s="10">
        <v>4236110.8849999998</v>
      </c>
      <c r="BT26" s="10">
        <v>4236110.8849999998</v>
      </c>
      <c r="BV26" s="10">
        <v>8644550.8509999998</v>
      </c>
      <c r="BW26" s="10">
        <v>8644550.8509999998</v>
      </c>
      <c r="BX26" s="10">
        <v>8921105.1099999994</v>
      </c>
      <c r="BY26" s="10">
        <v>8921105.1099999994</v>
      </c>
      <c r="CA26" s="10">
        <v>167574.32689999999</v>
      </c>
      <c r="CB26" s="10">
        <v>2681189.23</v>
      </c>
      <c r="CC26" s="10">
        <v>3351486.5380000002</v>
      </c>
      <c r="CD26" s="10">
        <v>3351486.5380000002</v>
      </c>
      <c r="CF26" s="10">
        <v>77882.663660000006</v>
      </c>
      <c r="CG26" s="10">
        <v>1246122.6189999999</v>
      </c>
      <c r="CH26" s="10">
        <v>1557653.273</v>
      </c>
      <c r="CI26" s="10">
        <v>1557653.273</v>
      </c>
      <c r="CK26" s="10">
        <v>22302.32547</v>
      </c>
      <c r="CL26" s="10">
        <v>5465712.9139999999</v>
      </c>
      <c r="CM26" s="10">
        <v>5945018.0669999998</v>
      </c>
      <c r="CN26" s="10">
        <v>5945018.0669999998</v>
      </c>
      <c r="CP26" s="10">
        <v>0</v>
      </c>
      <c r="CQ26" s="10">
        <v>98132.495370000004</v>
      </c>
      <c r="CR26" s="10">
        <v>98132.495370000004</v>
      </c>
      <c r="CS26" s="10">
        <v>98132.495370000004</v>
      </c>
      <c r="CT26" s="23">
        <f t="shared" si="12"/>
        <v>53.881092432548876</v>
      </c>
      <c r="CU26" s="20">
        <f t="shared" si="13"/>
        <v>60.581543805493055</v>
      </c>
      <c r="CV26" s="20">
        <f t="shared" si="14"/>
        <v>98132.495370000004</v>
      </c>
      <c r="CX26" s="10">
        <v>8377.9815440000002</v>
      </c>
      <c r="CY26" s="10">
        <v>401063.74219999998</v>
      </c>
      <c r="CZ26" s="10">
        <v>506996.38010000001</v>
      </c>
      <c r="DA26" s="10">
        <v>513986.59779999999</v>
      </c>
      <c r="DC26" s="10">
        <v>6237.2757119999997</v>
      </c>
      <c r="DD26" s="10">
        <v>236198.6917</v>
      </c>
      <c r="DE26" s="10">
        <v>294524.89380000002</v>
      </c>
      <c r="DF26" s="10">
        <v>298585.65879999998</v>
      </c>
      <c r="DG26" s="23">
        <f t="shared" si="15"/>
        <v>59.786090844004434</v>
      </c>
      <c r="DH26" s="20">
        <f t="shared" si="16"/>
        <v>1.7214041691303716</v>
      </c>
      <c r="DI26" s="20">
        <f t="shared" si="17"/>
        <v>294524.89380000002</v>
      </c>
      <c r="DK26" s="10">
        <v>1158570.1950000001</v>
      </c>
      <c r="DL26" s="10">
        <v>1306644.199</v>
      </c>
      <c r="DM26" s="10">
        <v>1839990.071</v>
      </c>
      <c r="DN26" s="10">
        <v>2184425.577</v>
      </c>
      <c r="DO26" s="10">
        <v>-9999</v>
      </c>
      <c r="DP26" s="10">
        <v>-9999</v>
      </c>
      <c r="DQ26" s="10">
        <v>-9999</v>
      </c>
      <c r="DR26" s="10">
        <v>-9999</v>
      </c>
      <c r="DS26" s="10">
        <v>-9999</v>
      </c>
      <c r="DU26" s="10">
        <v>545850</v>
      </c>
      <c r="DV26" s="10">
        <v>585413</v>
      </c>
      <c r="DW26" s="10">
        <v>660404</v>
      </c>
      <c r="DX26" s="10">
        <v>660404</v>
      </c>
      <c r="DY26" s="10">
        <v>-9999</v>
      </c>
      <c r="DZ26" s="10">
        <v>-9999</v>
      </c>
      <c r="EA26" s="10">
        <v>-9999</v>
      </c>
      <c r="EB26" s="10">
        <v>-9999</v>
      </c>
      <c r="EC26" s="10">
        <v>-9999</v>
      </c>
    </row>
    <row r="27" spans="1:133" x14ac:dyDescent="0.8">
      <c r="A27" s="10" t="s">
        <v>31</v>
      </c>
      <c r="B27" s="10" t="s">
        <v>214</v>
      </c>
      <c r="C27" s="10">
        <v>30</v>
      </c>
      <c r="D27" s="10">
        <v>46143630.75</v>
      </c>
      <c r="E27" s="10">
        <v>2421011.5860000001</v>
      </c>
      <c r="F27" s="10"/>
      <c r="G27" s="10">
        <v>237557.28839999999</v>
      </c>
      <c r="H27" s="10">
        <v>5585989.9529999997</v>
      </c>
      <c r="I27" s="11">
        <v>5585989.9529999997</v>
      </c>
      <c r="J27" s="10">
        <v>6787351.0970000001</v>
      </c>
      <c r="K27" s="13"/>
      <c r="L27" s="13">
        <v>345337.14299999998</v>
      </c>
      <c r="M27" s="13">
        <v>8120356.2479999997</v>
      </c>
      <c r="N27" s="14">
        <v>8120356.2479999997</v>
      </c>
      <c r="O27" s="13">
        <v>9866775.5140000004</v>
      </c>
      <c r="P27" s="15">
        <f t="shared" si="0"/>
        <v>48.298906439869846</v>
      </c>
      <c r="Q27" s="20">
        <f t="shared" si="1"/>
        <v>0.68789961701197522</v>
      </c>
      <c r="R27" s="21">
        <f t="shared" si="2"/>
        <v>8120356.2479999997</v>
      </c>
      <c r="T27" s="10">
        <v>504340.00050000002</v>
      </c>
      <c r="U27" s="10">
        <v>525354.16720000003</v>
      </c>
      <c r="V27" s="16">
        <v>525354.16720000003</v>
      </c>
      <c r="W27" s="10">
        <v>525354.16720000003</v>
      </c>
      <c r="X27" s="13"/>
      <c r="Y27" s="13">
        <v>179816.8798</v>
      </c>
      <c r="Z27" s="13">
        <v>187309.24979999999</v>
      </c>
      <c r="AA27" s="17">
        <v>187309.24979999999</v>
      </c>
      <c r="AB27" s="13">
        <v>187309.24979999999</v>
      </c>
      <c r="AC27" s="15">
        <f t="shared" si="3"/>
        <v>11.600000000913669</v>
      </c>
      <c r="AD27" s="20">
        <f t="shared" si="4"/>
        <v>2.8047422525099455</v>
      </c>
      <c r="AE27" s="22">
        <f t="shared" si="5"/>
        <v>187309.24979999999</v>
      </c>
      <c r="AF27" s="10">
        <v>-9999</v>
      </c>
      <c r="AG27" s="10">
        <v>-9999</v>
      </c>
      <c r="AH27" s="10">
        <v>-9999</v>
      </c>
      <c r="AI27" s="10">
        <v>-9999</v>
      </c>
      <c r="AJ27" s="10">
        <v>-9999</v>
      </c>
      <c r="AK27" s="18">
        <v>-9999</v>
      </c>
      <c r="AL27" s="18">
        <v>-9999</v>
      </c>
      <c r="AM27" s="18">
        <v>-9999</v>
      </c>
      <c r="AN27" s="18">
        <v>-9999</v>
      </c>
      <c r="AO27" s="18">
        <v>-9999</v>
      </c>
      <c r="AP27" s="15">
        <f t="shared" si="6"/>
        <v>0</v>
      </c>
      <c r="AQ27" s="20">
        <f t="shared" si="7"/>
        <v>0</v>
      </c>
      <c r="AR27" s="21">
        <f t="shared" si="8"/>
        <v>0</v>
      </c>
      <c r="AS27" s="10">
        <v>0</v>
      </c>
      <c r="AT27" s="10">
        <v>0</v>
      </c>
      <c r="AU27" s="10">
        <v>42713.73588</v>
      </c>
      <c r="AV27" s="10">
        <v>42713.73588</v>
      </c>
      <c r="AW27" s="10">
        <v>1680835.3570000001</v>
      </c>
      <c r="AX27" s="18">
        <v>-9999</v>
      </c>
      <c r="AY27" s="18">
        <v>0</v>
      </c>
      <c r="AZ27" s="18">
        <v>63897.703710000002</v>
      </c>
      <c r="BA27" s="18">
        <v>63897.703710000002</v>
      </c>
      <c r="BB27" s="18">
        <v>1948661.267</v>
      </c>
      <c r="BC27" s="23">
        <f t="shared" si="9"/>
        <v>50.000000000000007</v>
      </c>
      <c r="BD27" s="20">
        <f t="shared" si="10"/>
        <v>0.6684705928378345</v>
      </c>
      <c r="BE27" s="20">
        <f t="shared" si="11"/>
        <v>63897.703710000002</v>
      </c>
      <c r="BF27" s="10">
        <v>0</v>
      </c>
      <c r="BG27" s="10">
        <v>0</v>
      </c>
      <c r="BH27" s="10">
        <v>0</v>
      </c>
      <c r="BI27" s="10">
        <v>0</v>
      </c>
      <c r="BJ27" s="10">
        <v>32569.219850000001</v>
      </c>
      <c r="BK27" s="10">
        <v>0</v>
      </c>
      <c r="BL27" s="10">
        <v>0</v>
      </c>
      <c r="BM27" s="10">
        <v>0</v>
      </c>
      <c r="BN27" s="10">
        <v>0</v>
      </c>
      <c r="BO27" s="10">
        <v>16968.190159999998</v>
      </c>
      <c r="BQ27" s="10">
        <v>2919053.9819999998</v>
      </c>
      <c r="BR27" s="10">
        <v>2919053.9819999998</v>
      </c>
      <c r="BS27" s="10">
        <v>3012439.61</v>
      </c>
      <c r="BT27" s="10">
        <v>3012439.61</v>
      </c>
      <c r="BV27" s="10">
        <v>6147428.1739999996</v>
      </c>
      <c r="BW27" s="10">
        <v>6147428.1739999996</v>
      </c>
      <c r="BX27" s="10">
        <v>6344095.1220000004</v>
      </c>
      <c r="BY27" s="10">
        <v>6344095.1220000004</v>
      </c>
      <c r="CA27" s="10">
        <v>119167.68799999999</v>
      </c>
      <c r="CB27" s="10">
        <v>1906683.007</v>
      </c>
      <c r="CC27" s="10">
        <v>2383353.7590000001</v>
      </c>
      <c r="CD27" s="10">
        <v>2383353.7590000001</v>
      </c>
      <c r="CF27" s="10">
        <v>55384.957419999999</v>
      </c>
      <c r="CG27" s="10">
        <v>886159.31869999995</v>
      </c>
      <c r="CH27" s="10">
        <v>1107699.148</v>
      </c>
      <c r="CI27" s="10">
        <v>1107699.148</v>
      </c>
      <c r="CK27" s="10">
        <v>2314606.952</v>
      </c>
      <c r="CL27" s="10">
        <v>3210942.7960000001</v>
      </c>
      <c r="CM27" s="10">
        <v>2910606.0079999999</v>
      </c>
      <c r="CN27" s="10">
        <v>2910606.0079999999</v>
      </c>
      <c r="CP27" s="10">
        <v>12566.133680000001</v>
      </c>
      <c r="CQ27" s="10">
        <v>46368.026389999999</v>
      </c>
      <c r="CR27" s="10">
        <v>46368.026389999999</v>
      </c>
      <c r="CS27" s="10">
        <v>46368.026389999999</v>
      </c>
      <c r="CT27" s="23">
        <f t="shared" si="12"/>
        <v>13.031369692685654</v>
      </c>
      <c r="CU27" s="20">
        <f t="shared" si="13"/>
        <v>62.77183297643478</v>
      </c>
      <c r="CV27" s="20">
        <f t="shared" si="14"/>
        <v>46368.026389999999</v>
      </c>
      <c r="CX27" s="10">
        <v>4286.712673</v>
      </c>
      <c r="CY27" s="10">
        <v>205209.9325</v>
      </c>
      <c r="CZ27" s="10">
        <v>259411.8639</v>
      </c>
      <c r="DA27" s="10">
        <v>262988.50760000001</v>
      </c>
      <c r="DC27" s="10">
        <v>2947.1396169999998</v>
      </c>
      <c r="DD27" s="10">
        <v>111604.89840000001</v>
      </c>
      <c r="DE27" s="10">
        <v>139164.27979999999</v>
      </c>
      <c r="DF27" s="10">
        <v>141083.00880000001</v>
      </c>
      <c r="DG27" s="23">
        <f t="shared" si="15"/>
        <v>59.786090832216559</v>
      </c>
      <c r="DH27" s="20">
        <f t="shared" si="16"/>
        <v>1.8640693162987936</v>
      </c>
      <c r="DI27" s="20">
        <f t="shared" si="17"/>
        <v>139164.27979999999</v>
      </c>
      <c r="DK27" s="10">
        <v>494359.96710000001</v>
      </c>
      <c r="DL27" s="10">
        <v>558100.40029999998</v>
      </c>
      <c r="DM27" s="10">
        <v>612439.27619999996</v>
      </c>
      <c r="DN27" s="10">
        <v>763182.50109999999</v>
      </c>
      <c r="DO27" s="10">
        <v>-9999</v>
      </c>
      <c r="DP27" s="10">
        <v>-9999</v>
      </c>
      <c r="DQ27" s="10">
        <v>-9999</v>
      </c>
      <c r="DR27" s="10">
        <v>-9999</v>
      </c>
      <c r="DS27" s="10">
        <v>-9999</v>
      </c>
      <c r="DU27" s="10">
        <v>8488</v>
      </c>
      <c r="DV27" s="10">
        <v>20067</v>
      </c>
      <c r="DW27" s="10">
        <v>29547</v>
      </c>
      <c r="DX27" s="10">
        <v>29547</v>
      </c>
      <c r="DY27" s="10">
        <v>-9999</v>
      </c>
      <c r="DZ27" s="10">
        <v>-9999</v>
      </c>
      <c r="EA27" s="10">
        <v>-9999</v>
      </c>
      <c r="EB27" s="10">
        <v>-9999</v>
      </c>
      <c r="EC27" s="10">
        <v>-9999</v>
      </c>
    </row>
    <row r="28" spans="1:133" x14ac:dyDescent="0.8">
      <c r="A28" s="10" t="s">
        <v>36</v>
      </c>
      <c r="B28" s="10" t="s">
        <v>215</v>
      </c>
      <c r="C28" s="10">
        <v>31</v>
      </c>
      <c r="D28" s="10">
        <v>88445637.519999996</v>
      </c>
      <c r="E28" s="10">
        <v>78151560.209999993</v>
      </c>
      <c r="F28" s="10"/>
      <c r="G28" s="10">
        <v>98474.866569999998</v>
      </c>
      <c r="H28" s="10">
        <v>2315566.148</v>
      </c>
      <c r="I28" s="11">
        <v>2315566.148</v>
      </c>
      <c r="J28" s="10">
        <v>2813567.6159999999</v>
      </c>
      <c r="K28" s="13"/>
      <c r="L28" s="13">
        <v>77221.745110000003</v>
      </c>
      <c r="M28" s="13">
        <v>1815814.1780000001</v>
      </c>
      <c r="N28" s="14">
        <v>1815814.1780000001</v>
      </c>
      <c r="O28" s="13">
        <v>2206335.5750000002</v>
      </c>
      <c r="P28" s="15">
        <f t="shared" si="0"/>
        <v>48.298906439704957</v>
      </c>
      <c r="Q28" s="20">
        <f t="shared" si="1"/>
        <v>1.2752219781378973</v>
      </c>
      <c r="R28" s="21">
        <f t="shared" si="2"/>
        <v>1815814.1780000001</v>
      </c>
      <c r="T28" s="10">
        <v>28511.674650000001</v>
      </c>
      <c r="U28" s="10">
        <v>29699.661100000001</v>
      </c>
      <c r="V28" s="16">
        <v>29699.661100000001</v>
      </c>
      <c r="W28" s="10">
        <v>29699.661100000001</v>
      </c>
      <c r="X28" s="13"/>
      <c r="Y28" s="13">
        <v>7100.5269790000002</v>
      </c>
      <c r="Z28" s="13">
        <v>7396.3822700000001</v>
      </c>
      <c r="AA28" s="17">
        <v>7396.3822700000001</v>
      </c>
      <c r="AB28" s="13">
        <v>7396.3822700000001</v>
      </c>
      <c r="AC28" s="15">
        <f t="shared" si="3"/>
        <v>11.600000008080901</v>
      </c>
      <c r="AD28" s="20">
        <f t="shared" si="4"/>
        <v>4.0154307897879917</v>
      </c>
      <c r="AE28" s="22">
        <f t="shared" si="5"/>
        <v>7396.3822700000001</v>
      </c>
      <c r="AF28" s="10">
        <v>-9999</v>
      </c>
      <c r="AG28" s="10">
        <v>-9999</v>
      </c>
      <c r="AH28" s="10">
        <v>-9999</v>
      </c>
      <c r="AI28" s="10">
        <v>-9999</v>
      </c>
      <c r="AJ28" s="10">
        <v>-9999</v>
      </c>
      <c r="AK28" s="18">
        <v>-9999</v>
      </c>
      <c r="AL28" s="18">
        <v>-9999</v>
      </c>
      <c r="AM28" s="18">
        <v>-9999</v>
      </c>
      <c r="AN28" s="18">
        <v>-9999</v>
      </c>
      <c r="AO28" s="18">
        <v>-9999</v>
      </c>
      <c r="AP28" s="15">
        <f t="shared" si="6"/>
        <v>0</v>
      </c>
      <c r="AQ28" s="20">
        <f t="shared" si="7"/>
        <v>0</v>
      </c>
      <c r="AR28" s="21">
        <f t="shared" si="8"/>
        <v>0</v>
      </c>
      <c r="AS28" s="10">
        <v>0</v>
      </c>
      <c r="AT28" s="10">
        <v>0</v>
      </c>
      <c r="AU28" s="10">
        <v>96205.343670000002</v>
      </c>
      <c r="AV28" s="10">
        <v>96205.343670000002</v>
      </c>
      <c r="AW28" s="10">
        <v>96205.343670000002</v>
      </c>
      <c r="AX28" s="18">
        <v>-9999</v>
      </c>
      <c r="AY28" s="18">
        <v>0</v>
      </c>
      <c r="AZ28" s="18">
        <v>143918.58780000001</v>
      </c>
      <c r="BA28" s="18">
        <v>143918.58780000001</v>
      </c>
      <c r="BB28" s="18">
        <v>143918.58780000001</v>
      </c>
      <c r="BC28" s="23">
        <f t="shared" si="9"/>
        <v>50</v>
      </c>
      <c r="BD28" s="20">
        <f t="shared" si="10"/>
        <v>0.66847059258039776</v>
      </c>
      <c r="BE28" s="20">
        <f t="shared" si="11"/>
        <v>143918.58780000001</v>
      </c>
      <c r="BF28" s="10">
        <v>0</v>
      </c>
      <c r="BG28" s="10">
        <v>0</v>
      </c>
      <c r="BH28" s="10">
        <v>0</v>
      </c>
      <c r="BI28" s="10">
        <v>0</v>
      </c>
      <c r="BJ28" s="10">
        <v>71144.052169999995</v>
      </c>
      <c r="BK28" s="10">
        <v>0</v>
      </c>
      <c r="BL28" s="10">
        <v>0</v>
      </c>
      <c r="BM28" s="10">
        <v>0</v>
      </c>
      <c r="BN28" s="10">
        <v>0</v>
      </c>
      <c r="BO28" s="10">
        <v>28655.47624</v>
      </c>
      <c r="BQ28" s="10">
        <v>6194534.0609999998</v>
      </c>
      <c r="BR28" s="10">
        <v>6194534.0609999998</v>
      </c>
      <c r="BS28" s="10">
        <v>6392708.0089999996</v>
      </c>
      <c r="BT28" s="10">
        <v>6392708.0089999996</v>
      </c>
      <c r="BV28" s="10">
        <v>13045477.550000001</v>
      </c>
      <c r="BW28" s="10">
        <v>13045477.550000001</v>
      </c>
      <c r="BX28" s="10">
        <v>13462825.130000001</v>
      </c>
      <c r="BY28" s="10">
        <v>13462825.130000001</v>
      </c>
      <c r="CA28" s="10">
        <v>252886.1427</v>
      </c>
      <c r="CB28" s="10">
        <v>4046178.284</v>
      </c>
      <c r="CC28" s="10">
        <v>5057722.8540000003</v>
      </c>
      <c r="CD28" s="10">
        <v>5057722.8540000003</v>
      </c>
      <c r="CF28" s="10">
        <v>117532.6004</v>
      </c>
      <c r="CG28" s="10">
        <v>1880521.6059999999</v>
      </c>
      <c r="CH28" s="10">
        <v>2350652.0079999999</v>
      </c>
      <c r="CI28" s="10">
        <v>2350652.0079999999</v>
      </c>
      <c r="CK28" s="10">
        <v>101002.84110000001</v>
      </c>
      <c r="CL28" s="10">
        <v>3600340.6510000001</v>
      </c>
      <c r="CM28" s="10">
        <v>4857297.6100000003</v>
      </c>
      <c r="CN28" s="10">
        <v>4857297.6100000003</v>
      </c>
      <c r="CP28" s="10">
        <v>742.06761889999996</v>
      </c>
      <c r="CQ28" s="10">
        <v>77625.39357</v>
      </c>
      <c r="CR28" s="10">
        <v>77625.39357</v>
      </c>
      <c r="CS28" s="10">
        <v>77625.39357</v>
      </c>
      <c r="CT28" s="23">
        <f t="shared" si="12"/>
        <v>62.107088967521598</v>
      </c>
      <c r="CU28" s="20">
        <f t="shared" si="13"/>
        <v>62.573564997385176</v>
      </c>
      <c r="CV28" s="20">
        <f t="shared" si="14"/>
        <v>77625.39357</v>
      </c>
      <c r="CX28" s="10">
        <v>6245.795838</v>
      </c>
      <c r="CY28" s="10">
        <v>298993.52710000001</v>
      </c>
      <c r="CZ28" s="10">
        <v>377966.44260000001</v>
      </c>
      <c r="DA28" s="10">
        <v>383177.65879999998</v>
      </c>
      <c r="DC28" s="10">
        <v>4933.8496910000003</v>
      </c>
      <c r="DD28" s="10">
        <v>186839.39850000001</v>
      </c>
      <c r="DE28" s="10">
        <v>232976.96359999999</v>
      </c>
      <c r="DF28" s="10">
        <v>236189.13579999999</v>
      </c>
      <c r="DG28" s="23">
        <f t="shared" si="15"/>
        <v>59.786090839271765</v>
      </c>
      <c r="DH28" s="20">
        <f t="shared" si="16"/>
        <v>1.6223339713918394</v>
      </c>
      <c r="DI28" s="20">
        <f t="shared" si="17"/>
        <v>232976.96359999999</v>
      </c>
      <c r="DK28" s="10">
        <v>2505559.8760000002</v>
      </c>
      <c r="DL28" s="10">
        <v>2826786.5869999998</v>
      </c>
      <c r="DM28" s="10">
        <v>3670323.65</v>
      </c>
      <c r="DN28" s="10">
        <v>4421960.0920000002</v>
      </c>
      <c r="DO28" s="10">
        <v>-9999</v>
      </c>
      <c r="DP28" s="10">
        <v>-9999</v>
      </c>
      <c r="DQ28" s="10">
        <v>-9999</v>
      </c>
      <c r="DR28" s="10">
        <v>-9999</v>
      </c>
      <c r="DS28" s="10">
        <v>-9999</v>
      </c>
      <c r="DU28" s="10">
        <v>333419</v>
      </c>
      <c r="DV28" s="10">
        <v>360744</v>
      </c>
      <c r="DW28" s="10">
        <v>431377</v>
      </c>
      <c r="DX28" s="10">
        <v>431377</v>
      </c>
      <c r="DY28" s="10">
        <v>-9999</v>
      </c>
      <c r="DZ28" s="10">
        <v>-9999</v>
      </c>
      <c r="EA28" s="10">
        <v>-9999</v>
      </c>
      <c r="EB28" s="10">
        <v>-9999</v>
      </c>
      <c r="EC28" s="10">
        <v>-9999</v>
      </c>
    </row>
    <row r="29" spans="1:133" s="12" customFormat="1" x14ac:dyDescent="0.8">
      <c r="A29" s="24" t="s">
        <v>39</v>
      </c>
      <c r="B29" s="24" t="s">
        <v>216</v>
      </c>
      <c r="C29" s="24">
        <v>32</v>
      </c>
      <c r="D29" s="24">
        <v>42529625.649999999</v>
      </c>
      <c r="E29" s="24">
        <v>36131117.93</v>
      </c>
      <c r="F29" s="24"/>
      <c r="G29" s="24">
        <v>33496.328950000003</v>
      </c>
      <c r="H29" s="24">
        <v>787642.24930000002</v>
      </c>
      <c r="I29" s="25">
        <v>787642.24930000002</v>
      </c>
      <c r="J29" s="24">
        <v>957037.97</v>
      </c>
      <c r="K29" s="26"/>
      <c r="L29" s="26">
        <v>60285.501219999998</v>
      </c>
      <c r="M29" s="26">
        <v>1417570.5</v>
      </c>
      <c r="N29" s="27">
        <v>1417570.5</v>
      </c>
      <c r="O29" s="26">
        <v>1722442.892</v>
      </c>
      <c r="P29" s="15">
        <f t="shared" si="0"/>
        <v>48.298906439832585</v>
      </c>
      <c r="Q29" s="20">
        <f t="shared" si="1"/>
        <v>0.55562827337335252</v>
      </c>
      <c r="R29" s="21">
        <f t="shared" si="2"/>
        <v>1417570.5</v>
      </c>
      <c r="S29" s="24"/>
      <c r="T29" s="24">
        <v>30814.158650000001</v>
      </c>
      <c r="U29" s="24">
        <v>32098.08193</v>
      </c>
      <c r="V29" s="25">
        <v>32098.08193</v>
      </c>
      <c r="W29" s="24">
        <v>32098.08193</v>
      </c>
      <c r="X29" s="26"/>
      <c r="Y29" s="26">
        <v>17525.66792</v>
      </c>
      <c r="Z29" s="26">
        <v>18255.90408</v>
      </c>
      <c r="AA29" s="27">
        <v>18255.90408</v>
      </c>
      <c r="AB29" s="26">
        <v>18255.90408</v>
      </c>
      <c r="AC29" s="15">
        <f t="shared" si="3"/>
        <v>11.600000003489304</v>
      </c>
      <c r="AD29" s="20">
        <f t="shared" si="4"/>
        <v>1.7582302026424756</v>
      </c>
      <c r="AE29" s="22">
        <f t="shared" si="5"/>
        <v>18255.90408</v>
      </c>
      <c r="AF29" s="24">
        <v>-9999</v>
      </c>
      <c r="AG29" s="24">
        <v>-9999</v>
      </c>
      <c r="AH29" s="24">
        <v>-9999</v>
      </c>
      <c r="AI29" s="24">
        <v>-9999</v>
      </c>
      <c r="AJ29" s="24">
        <v>-9999</v>
      </c>
      <c r="AK29" s="28">
        <v>-9999</v>
      </c>
      <c r="AL29" s="28">
        <v>-9999</v>
      </c>
      <c r="AM29" s="28">
        <v>-9999</v>
      </c>
      <c r="AN29" s="28">
        <v>-9999</v>
      </c>
      <c r="AO29" s="28">
        <v>-9999</v>
      </c>
      <c r="AP29" s="15">
        <f t="shared" si="6"/>
        <v>0</v>
      </c>
      <c r="AQ29" s="20">
        <f t="shared" si="7"/>
        <v>0</v>
      </c>
      <c r="AR29" s="21">
        <f t="shared" si="8"/>
        <v>0</v>
      </c>
      <c r="AS29" s="24">
        <v>0</v>
      </c>
      <c r="AT29" s="24">
        <v>0</v>
      </c>
      <c r="AU29" s="24">
        <v>37205.971030000001</v>
      </c>
      <c r="AV29" s="24">
        <v>37403.577960000002</v>
      </c>
      <c r="AW29" s="24">
        <v>38537.899440000001</v>
      </c>
      <c r="AX29" s="28">
        <v>-9999</v>
      </c>
      <c r="AY29" s="28">
        <v>0</v>
      </c>
      <c r="AZ29" s="28">
        <v>194148.92860000001</v>
      </c>
      <c r="BA29" s="28">
        <v>194240.69</v>
      </c>
      <c r="BB29" s="28">
        <v>282460.21759999997</v>
      </c>
      <c r="BC29" s="23">
        <f t="shared" si="9"/>
        <v>50.264155116672697</v>
      </c>
      <c r="BD29" s="20">
        <f t="shared" si="10"/>
        <v>0.19256304103944441</v>
      </c>
      <c r="BE29" s="20">
        <f t="shared" si="11"/>
        <v>194240.69</v>
      </c>
      <c r="BF29" s="24">
        <v>0</v>
      </c>
      <c r="BG29" s="24">
        <v>0</v>
      </c>
      <c r="BH29" s="24">
        <v>0</v>
      </c>
      <c r="BI29" s="24">
        <v>0</v>
      </c>
      <c r="BJ29" s="24">
        <v>98838.063720000006</v>
      </c>
      <c r="BK29" s="24">
        <v>0</v>
      </c>
      <c r="BL29" s="24">
        <v>0</v>
      </c>
      <c r="BM29" s="24">
        <v>0</v>
      </c>
      <c r="BN29" s="24">
        <v>0</v>
      </c>
      <c r="BO29" s="24">
        <v>45771.998310000003</v>
      </c>
      <c r="BP29" s="24"/>
      <c r="BQ29" s="24">
        <v>114775.9359</v>
      </c>
      <c r="BR29" s="24">
        <v>114775.9359</v>
      </c>
      <c r="BS29" s="24">
        <v>118447.8183</v>
      </c>
      <c r="BT29" s="24">
        <v>118447.8183</v>
      </c>
      <c r="BU29" s="24"/>
      <c r="BV29" s="24">
        <v>241714.2083</v>
      </c>
      <c r="BW29" s="24">
        <v>241714.2083</v>
      </c>
      <c r="BX29" s="24">
        <v>249447.0674</v>
      </c>
      <c r="BY29" s="24">
        <v>249447.0674</v>
      </c>
      <c r="BZ29" s="24"/>
      <c r="CA29" s="24">
        <v>4685.6217809999998</v>
      </c>
      <c r="CB29" s="24">
        <v>74969.948499999999</v>
      </c>
      <c r="CC29" s="24">
        <v>93712.435620000004</v>
      </c>
      <c r="CD29" s="24">
        <v>93712.435620000004</v>
      </c>
      <c r="CE29" s="24"/>
      <c r="CF29" s="24">
        <v>2177.712493</v>
      </c>
      <c r="CG29" s="24">
        <v>34843.399890000001</v>
      </c>
      <c r="CH29" s="24">
        <v>43554.249860000004</v>
      </c>
      <c r="CI29" s="24">
        <v>43554.249860000004</v>
      </c>
      <c r="CJ29" s="24"/>
      <c r="CK29" s="24">
        <v>179844.1263</v>
      </c>
      <c r="CL29" s="24">
        <v>218158.81659999999</v>
      </c>
      <c r="CM29" s="24">
        <v>197753.24650000001</v>
      </c>
      <c r="CN29" s="24">
        <v>197753.24650000001</v>
      </c>
      <c r="CO29" s="24"/>
      <c r="CP29" s="24">
        <v>311.34238729999998</v>
      </c>
      <c r="CQ29" s="24">
        <v>4465.5872460000001</v>
      </c>
      <c r="CR29" s="24">
        <v>4465.5872460000001</v>
      </c>
      <c r="CS29" s="24">
        <v>4465.5872460000001</v>
      </c>
      <c r="CT29" s="23">
        <f t="shared" si="12"/>
        <v>8.4631670914186543</v>
      </c>
      <c r="CU29" s="20">
        <f t="shared" si="13"/>
        <v>44.283816574658857</v>
      </c>
      <c r="CV29" s="20">
        <f t="shared" si="14"/>
        <v>4465.5872460000001</v>
      </c>
      <c r="CW29" s="24"/>
      <c r="CX29" s="24">
        <v>264.88990510000002</v>
      </c>
      <c r="CY29" s="24">
        <v>12680.588519999999</v>
      </c>
      <c r="CZ29" s="24">
        <v>16029.901980000001</v>
      </c>
      <c r="DA29" s="24">
        <v>16250.914419999999</v>
      </c>
      <c r="DB29" s="24"/>
      <c r="DC29" s="24">
        <v>283.83155620000002</v>
      </c>
      <c r="DD29" s="24">
        <v>10748.385249999999</v>
      </c>
      <c r="DE29" s="24">
        <v>13402.559509999999</v>
      </c>
      <c r="DF29" s="24">
        <v>13587.34744</v>
      </c>
      <c r="DG29" s="23">
        <f t="shared" si="15"/>
        <v>59.786090831479932</v>
      </c>
      <c r="DH29" s="20">
        <f t="shared" si="16"/>
        <v>1.1960328896909336</v>
      </c>
      <c r="DI29" s="20">
        <f t="shared" si="17"/>
        <v>13402.559509999999</v>
      </c>
      <c r="DJ29" s="24"/>
      <c r="DK29" s="24">
        <v>26166.791730000001</v>
      </c>
      <c r="DL29" s="24">
        <v>29543.246709999999</v>
      </c>
      <c r="DM29" s="24">
        <v>31601.331969999999</v>
      </c>
      <c r="DN29" s="24">
        <v>39598.086510000001</v>
      </c>
      <c r="DO29" s="24">
        <v>-9999</v>
      </c>
      <c r="DP29" s="24">
        <v>-9999</v>
      </c>
      <c r="DQ29" s="24">
        <v>-9999</v>
      </c>
      <c r="DR29" s="24">
        <v>-9999</v>
      </c>
      <c r="DS29" s="24">
        <v>-9999</v>
      </c>
      <c r="DT29" s="24"/>
      <c r="DU29" s="24">
        <v>24710</v>
      </c>
      <c r="DV29" s="24">
        <v>65520</v>
      </c>
      <c r="DW29" s="24">
        <v>71807</v>
      </c>
      <c r="DX29" s="24">
        <v>71807</v>
      </c>
      <c r="DY29" s="24">
        <v>-9999</v>
      </c>
      <c r="DZ29" s="24">
        <v>-9999</v>
      </c>
      <c r="EA29" s="24">
        <v>-9999</v>
      </c>
      <c r="EB29" s="24">
        <v>-9999</v>
      </c>
      <c r="EC29" s="24">
        <v>-9999</v>
      </c>
    </row>
    <row r="30" spans="1:133" x14ac:dyDescent="0.8">
      <c r="A30" s="10" t="s">
        <v>40</v>
      </c>
      <c r="B30" s="10" t="s">
        <v>217</v>
      </c>
      <c r="C30" s="10">
        <v>33</v>
      </c>
      <c r="D30" s="10">
        <v>16064005.720000001</v>
      </c>
      <c r="E30" s="10">
        <v>6640723.7580000004</v>
      </c>
      <c r="F30" s="10"/>
      <c r="G30" s="10">
        <v>41830.258390000003</v>
      </c>
      <c r="H30" s="10">
        <v>983608.64720000001</v>
      </c>
      <c r="I30" s="11">
        <v>983608.64720000001</v>
      </c>
      <c r="J30" s="10">
        <v>1195150.24</v>
      </c>
      <c r="K30" s="13"/>
      <c r="L30" s="13">
        <v>12141.06006</v>
      </c>
      <c r="M30" s="13">
        <v>285488.35509999999</v>
      </c>
      <c r="N30" s="14">
        <v>285488.35509999999</v>
      </c>
      <c r="O30" s="13">
        <v>346887.4302</v>
      </c>
      <c r="P30" s="15">
        <f t="shared" si="0"/>
        <v>48.29890643970743</v>
      </c>
      <c r="Q30" s="20">
        <f t="shared" si="1"/>
        <v>3.4453547040665269</v>
      </c>
      <c r="R30" s="21">
        <f t="shared" si="2"/>
        <v>285488.35509999999</v>
      </c>
      <c r="T30" s="10">
        <v>303717.21139999997</v>
      </c>
      <c r="U30" s="10">
        <v>316372.09519999998</v>
      </c>
      <c r="V30" s="16">
        <v>316372.09519999998</v>
      </c>
      <c r="W30" s="10">
        <v>316372.09519999998</v>
      </c>
      <c r="X30" s="13"/>
      <c r="Y30" s="13">
        <v>36113.758139999998</v>
      </c>
      <c r="Z30" s="13">
        <v>37618.498059999998</v>
      </c>
      <c r="AA30" s="17">
        <v>37618.498059999998</v>
      </c>
      <c r="AB30" s="13">
        <v>37618.498059999998</v>
      </c>
      <c r="AC30" s="15">
        <f t="shared" si="3"/>
        <v>11.599999998988533</v>
      </c>
      <c r="AD30" s="20">
        <f t="shared" si="4"/>
        <v>8.4100139961834515</v>
      </c>
      <c r="AE30" s="22">
        <f t="shared" si="5"/>
        <v>37618.498059999998</v>
      </c>
      <c r="AF30" s="10">
        <v>-9999</v>
      </c>
      <c r="AG30" s="10">
        <v>-9999</v>
      </c>
      <c r="AH30" s="10">
        <v>-9999</v>
      </c>
      <c r="AI30" s="10">
        <v>-9999</v>
      </c>
      <c r="AJ30" s="10">
        <v>-9999</v>
      </c>
      <c r="AK30" s="18">
        <v>-9999</v>
      </c>
      <c r="AL30" s="18">
        <v>-9999</v>
      </c>
      <c r="AM30" s="18">
        <v>-9999</v>
      </c>
      <c r="AN30" s="18">
        <v>-9999</v>
      </c>
      <c r="AO30" s="18">
        <v>-9999</v>
      </c>
      <c r="AP30" s="15">
        <f t="shared" si="6"/>
        <v>0</v>
      </c>
      <c r="AQ30" s="20">
        <f t="shared" si="7"/>
        <v>0</v>
      </c>
      <c r="AR30" s="21">
        <f t="shared" si="8"/>
        <v>0</v>
      </c>
      <c r="AS30" s="10">
        <v>-9999</v>
      </c>
      <c r="AT30" s="10">
        <v>-9999</v>
      </c>
      <c r="AU30" s="10">
        <v>-9999</v>
      </c>
      <c r="AV30" s="10">
        <v>-9999</v>
      </c>
      <c r="AW30" s="10">
        <v>-9999</v>
      </c>
      <c r="AX30" s="18">
        <v>-9999</v>
      </c>
      <c r="AY30" s="18">
        <v>-9999</v>
      </c>
      <c r="AZ30" s="18">
        <v>-9999</v>
      </c>
      <c r="BA30" s="18">
        <v>-9999</v>
      </c>
      <c r="BB30" s="18">
        <v>-9999</v>
      </c>
      <c r="BC30" s="23">
        <f t="shared" si="9"/>
        <v>0</v>
      </c>
      <c r="BD30" s="20">
        <f t="shared" si="10"/>
        <v>0</v>
      </c>
      <c r="BE30" s="20">
        <f t="shared" si="11"/>
        <v>0</v>
      </c>
      <c r="BF30" s="10">
        <v>0</v>
      </c>
      <c r="BG30" s="10">
        <v>0</v>
      </c>
      <c r="BH30" s="10">
        <v>0</v>
      </c>
      <c r="BI30" s="10">
        <v>0</v>
      </c>
      <c r="BJ30" s="10">
        <v>96980.680859999993</v>
      </c>
      <c r="BK30" s="10">
        <v>0</v>
      </c>
      <c r="BL30" s="10">
        <v>0</v>
      </c>
      <c r="BM30" s="10">
        <v>0</v>
      </c>
      <c r="BN30" s="10">
        <v>0</v>
      </c>
      <c r="BO30" s="10">
        <v>42842.172440000002</v>
      </c>
      <c r="BQ30" s="10">
        <v>20198.88149</v>
      </c>
      <c r="BR30" s="10">
        <v>20198.88149</v>
      </c>
      <c r="BS30" s="10">
        <v>20845.07893</v>
      </c>
      <c r="BT30" s="10">
        <v>20845.07893</v>
      </c>
      <c r="BV30" s="10">
        <v>42538.155809999997</v>
      </c>
      <c r="BW30" s="10">
        <v>42538.155809999997</v>
      </c>
      <c r="BX30" s="10">
        <v>43899.025609999997</v>
      </c>
      <c r="BY30" s="10">
        <v>43899.025609999997</v>
      </c>
      <c r="CA30" s="10">
        <v>824.60071670000002</v>
      </c>
      <c r="CB30" s="10">
        <v>13193.61147</v>
      </c>
      <c r="CC30" s="10">
        <v>16492.014330000002</v>
      </c>
      <c r="CD30" s="10">
        <v>16492.014330000002</v>
      </c>
      <c r="CF30" s="10">
        <v>383.2454616</v>
      </c>
      <c r="CG30" s="10">
        <v>6131.9273860000003</v>
      </c>
      <c r="CH30" s="10">
        <v>7664.9092330000003</v>
      </c>
      <c r="CI30" s="10">
        <v>7664.9092330000003</v>
      </c>
      <c r="CK30" s="10">
        <v>5318.627305</v>
      </c>
      <c r="CL30" s="10">
        <v>10316.36148</v>
      </c>
      <c r="CM30" s="10">
        <v>9351.4165759999996</v>
      </c>
      <c r="CN30" s="10">
        <v>9351.4165759999996</v>
      </c>
      <c r="CP30" s="10">
        <v>0</v>
      </c>
      <c r="CQ30" s="10">
        <v>86.983153599999994</v>
      </c>
      <c r="CR30" s="10">
        <v>86.983153599999994</v>
      </c>
      <c r="CS30" s="10">
        <v>86.983153599999994</v>
      </c>
      <c r="CT30" s="23">
        <f t="shared" si="12"/>
        <v>22.090609451639086</v>
      </c>
      <c r="CU30" s="20">
        <f t="shared" si="13"/>
        <v>107.50836442425789</v>
      </c>
      <c r="CV30" s="20">
        <f t="shared" si="14"/>
        <v>86.983153599999994</v>
      </c>
      <c r="CX30" s="10">
        <v>12.87513459</v>
      </c>
      <c r="CY30" s="10">
        <v>616.34770049999997</v>
      </c>
      <c r="CZ30" s="10">
        <v>779.1431139</v>
      </c>
      <c r="DA30" s="10">
        <v>789.8855575</v>
      </c>
      <c r="DC30" s="10">
        <v>5.5286264679999997</v>
      </c>
      <c r="DD30" s="10">
        <v>209.36293330000001</v>
      </c>
      <c r="DE30" s="10">
        <v>261.06239299999999</v>
      </c>
      <c r="DF30" s="10">
        <v>264.66179340000002</v>
      </c>
      <c r="DG30" s="23">
        <f t="shared" si="15"/>
        <v>59.786090835397687</v>
      </c>
      <c r="DH30" s="20">
        <f t="shared" si="16"/>
        <v>2.9845092008330747</v>
      </c>
      <c r="DI30" s="20">
        <f t="shared" si="17"/>
        <v>261.06239299999999</v>
      </c>
      <c r="DK30" s="10">
        <v>3725.705954</v>
      </c>
      <c r="DL30" s="10">
        <v>4206.4342969999998</v>
      </c>
      <c r="DM30" s="10">
        <v>4506.1206629999997</v>
      </c>
      <c r="DN30" s="10">
        <v>5644.5776180000003</v>
      </c>
      <c r="DO30" s="10">
        <v>-9999</v>
      </c>
      <c r="DP30" s="10">
        <v>-9999</v>
      </c>
      <c r="DQ30" s="10">
        <v>-9999</v>
      </c>
      <c r="DR30" s="10">
        <v>-9999</v>
      </c>
      <c r="DS30" s="10">
        <v>-9999</v>
      </c>
      <c r="DU30" s="10">
        <v>0</v>
      </c>
      <c r="DV30" s="10">
        <v>504</v>
      </c>
      <c r="DW30" s="10">
        <v>504</v>
      </c>
      <c r="DX30" s="10">
        <v>504</v>
      </c>
      <c r="DY30" s="10">
        <v>-9999</v>
      </c>
      <c r="DZ30" s="10">
        <v>-9999</v>
      </c>
      <c r="EA30" s="10">
        <v>-9999</v>
      </c>
      <c r="EB30" s="10">
        <v>-9999</v>
      </c>
      <c r="EC30" s="10">
        <v>-9999</v>
      </c>
    </row>
    <row r="31" spans="1:133" x14ac:dyDescent="0.8">
      <c r="A31" s="10" t="s">
        <v>43</v>
      </c>
      <c r="B31" s="10" t="s">
        <v>218</v>
      </c>
      <c r="C31" s="10">
        <v>34</v>
      </c>
      <c r="D31" s="10">
        <v>127876397.8</v>
      </c>
      <c r="E31" s="10">
        <v>123349072.8</v>
      </c>
      <c r="F31" s="10">
        <v>0</v>
      </c>
      <c r="G31" s="10">
        <v>37499.23891</v>
      </c>
      <c r="H31" s="10">
        <v>881767.81770000001</v>
      </c>
      <c r="I31" s="11">
        <v>881767.81770000001</v>
      </c>
      <c r="J31" s="10">
        <v>1071406.8259999999</v>
      </c>
      <c r="K31" s="13">
        <v>0</v>
      </c>
      <c r="L31" s="13">
        <v>8700.0029350000004</v>
      </c>
      <c r="M31" s="13">
        <v>204574.3547</v>
      </c>
      <c r="N31" s="14">
        <v>204574.3547</v>
      </c>
      <c r="O31" s="13">
        <v>248571.51240000001</v>
      </c>
      <c r="P31" s="15">
        <f t="shared" si="0"/>
        <v>48.298906439665139</v>
      </c>
      <c r="Q31" s="20">
        <f t="shared" si="1"/>
        <v>4.3102558920108871</v>
      </c>
      <c r="R31" s="21">
        <f t="shared" si="2"/>
        <v>204574.3547</v>
      </c>
      <c r="S31" s="10">
        <v>0</v>
      </c>
      <c r="T31" s="10">
        <v>285108.23239999998</v>
      </c>
      <c r="U31" s="10">
        <v>296987.74209999997</v>
      </c>
      <c r="V31" s="16">
        <v>296987.74209999997</v>
      </c>
      <c r="W31" s="10">
        <v>296987.74209999997</v>
      </c>
      <c r="X31" s="13">
        <v>0</v>
      </c>
      <c r="Y31" s="13">
        <v>34652.587460000002</v>
      </c>
      <c r="Z31" s="13">
        <v>36096.445269999997</v>
      </c>
      <c r="AA31" s="17">
        <v>36096.445269999997</v>
      </c>
      <c r="AB31" s="13">
        <v>36096.445269999997</v>
      </c>
      <c r="AC31" s="15">
        <f t="shared" si="3"/>
        <v>11.600000002154971</v>
      </c>
      <c r="AD31" s="20">
        <f t="shared" si="4"/>
        <v>8.2276174254429577</v>
      </c>
      <c r="AE31" s="22">
        <f t="shared" si="5"/>
        <v>36096.445269999997</v>
      </c>
      <c r="AF31" s="10">
        <v>-9999</v>
      </c>
      <c r="AG31" s="10">
        <v>-9999</v>
      </c>
      <c r="AH31" s="10">
        <v>-9999</v>
      </c>
      <c r="AI31" s="10">
        <v>-9999</v>
      </c>
      <c r="AJ31" s="10">
        <v>-9999</v>
      </c>
      <c r="AK31" s="18">
        <v>-9999</v>
      </c>
      <c r="AL31" s="18">
        <v>-9999</v>
      </c>
      <c r="AM31" s="18">
        <v>-9999</v>
      </c>
      <c r="AN31" s="18">
        <v>-9999</v>
      </c>
      <c r="AO31" s="18">
        <v>-9999</v>
      </c>
      <c r="AP31" s="15">
        <f t="shared" si="6"/>
        <v>0</v>
      </c>
      <c r="AQ31" s="20">
        <f t="shared" si="7"/>
        <v>0</v>
      </c>
      <c r="AR31" s="21">
        <f t="shared" si="8"/>
        <v>0</v>
      </c>
      <c r="AS31" s="10">
        <v>-9999</v>
      </c>
      <c r="AT31" s="10">
        <v>-9999</v>
      </c>
      <c r="AU31" s="10">
        <v>-9999</v>
      </c>
      <c r="AV31" s="10">
        <v>-9999</v>
      </c>
      <c r="AW31" s="10">
        <v>-9999</v>
      </c>
      <c r="AX31" s="18">
        <v>-9999</v>
      </c>
      <c r="AY31" s="18">
        <v>-9999</v>
      </c>
      <c r="AZ31" s="18">
        <v>-9999</v>
      </c>
      <c r="BA31" s="18">
        <v>-9999</v>
      </c>
      <c r="BB31" s="18">
        <v>-9999</v>
      </c>
      <c r="BC31" s="23">
        <f t="shared" si="9"/>
        <v>0</v>
      </c>
      <c r="BD31" s="20">
        <f t="shared" si="10"/>
        <v>0</v>
      </c>
      <c r="BE31" s="20">
        <f t="shared" si="11"/>
        <v>0</v>
      </c>
      <c r="BF31" s="10">
        <v>0</v>
      </c>
      <c r="BG31" s="10">
        <v>0</v>
      </c>
      <c r="BH31" s="10">
        <v>0</v>
      </c>
      <c r="BI31" s="10">
        <v>0</v>
      </c>
      <c r="BJ31" s="10">
        <v>110317.4486</v>
      </c>
      <c r="BK31" s="10">
        <v>0</v>
      </c>
      <c r="BL31" s="10">
        <v>0</v>
      </c>
      <c r="BM31" s="10">
        <v>0</v>
      </c>
      <c r="BN31" s="10">
        <v>0</v>
      </c>
      <c r="BO31" s="10">
        <v>35970.201309999997</v>
      </c>
      <c r="BQ31" s="10">
        <v>99942.382360000003</v>
      </c>
      <c r="BR31" s="10">
        <v>99942.382360000003</v>
      </c>
      <c r="BS31" s="10">
        <v>103139.7135</v>
      </c>
      <c r="BT31" s="10">
        <v>103139.7135</v>
      </c>
      <c r="BV31" s="10">
        <v>210475.2501</v>
      </c>
      <c r="BW31" s="10">
        <v>210475.2501</v>
      </c>
      <c r="BX31" s="10">
        <v>217208.72039999999</v>
      </c>
      <c r="BY31" s="10">
        <v>217208.72039999999</v>
      </c>
      <c r="CA31" s="10">
        <v>4080.0556299999998</v>
      </c>
      <c r="CB31" s="10">
        <v>65280.890079999997</v>
      </c>
      <c r="CC31" s="10">
        <v>81601.112590000004</v>
      </c>
      <c r="CD31" s="10">
        <v>81601.112590000004</v>
      </c>
      <c r="CF31" s="10">
        <v>1896.266607</v>
      </c>
      <c r="CG31" s="10">
        <v>30340.26571</v>
      </c>
      <c r="CH31" s="10">
        <v>37925.332139999999</v>
      </c>
      <c r="CI31" s="10">
        <v>37925.332139999999</v>
      </c>
      <c r="CJ31" s="10">
        <v>0</v>
      </c>
      <c r="CK31" s="10">
        <v>559.79076329999998</v>
      </c>
      <c r="CL31" s="10">
        <v>38814.691550000003</v>
      </c>
      <c r="CM31" s="10">
        <v>35184.144220000002</v>
      </c>
      <c r="CN31" s="10">
        <v>35184.144220000002</v>
      </c>
      <c r="CO31" s="10">
        <v>0</v>
      </c>
      <c r="CP31" s="10">
        <v>0</v>
      </c>
      <c r="CQ31" s="10">
        <v>533.90995840000005</v>
      </c>
      <c r="CR31" s="10">
        <v>533.90995840000005</v>
      </c>
      <c r="CS31" s="10">
        <v>533.90995840000005</v>
      </c>
      <c r="CT31" s="23">
        <f t="shared" si="12"/>
        <v>44.204235983205045</v>
      </c>
      <c r="CU31" s="20">
        <f t="shared" si="13"/>
        <v>65.899022234832316</v>
      </c>
      <c r="CV31" s="20">
        <f t="shared" si="14"/>
        <v>533.90995840000005</v>
      </c>
      <c r="CX31" s="10">
        <v>50.25154191</v>
      </c>
      <c r="CY31" s="10">
        <v>2405.5998869999999</v>
      </c>
      <c r="CZ31" s="10">
        <v>3040.9890150000001</v>
      </c>
      <c r="DA31" s="10">
        <v>3082.916682</v>
      </c>
      <c r="DC31" s="10">
        <v>33.935177160000002</v>
      </c>
      <c r="DD31" s="10">
        <v>1285.0874040000001</v>
      </c>
      <c r="DE31" s="10">
        <v>1602.423063</v>
      </c>
      <c r="DF31" s="10">
        <v>1624.5164870000001</v>
      </c>
      <c r="DG31" s="23">
        <f t="shared" si="15"/>
        <v>59.786090833215333</v>
      </c>
      <c r="DH31" s="20">
        <f t="shared" si="16"/>
        <v>1.8977441633339749</v>
      </c>
      <c r="DI31" s="20">
        <f t="shared" si="17"/>
        <v>1602.423063</v>
      </c>
      <c r="DJ31" s="10">
        <v>40316.638079999997</v>
      </c>
      <c r="DK31" s="10">
        <v>41709.250520000001</v>
      </c>
      <c r="DL31" s="10">
        <v>47092.426520000001</v>
      </c>
      <c r="DM31" s="10">
        <v>50004.368060000001</v>
      </c>
      <c r="DN31" s="10">
        <v>62759.034820000001</v>
      </c>
      <c r="DO31" s="10">
        <v>-9999</v>
      </c>
      <c r="DP31" s="10">
        <v>-9999</v>
      </c>
      <c r="DQ31" s="10">
        <v>-9999</v>
      </c>
      <c r="DR31" s="10">
        <v>-9999</v>
      </c>
      <c r="DS31" s="10">
        <v>-9999</v>
      </c>
      <c r="DT31" s="10">
        <v>0</v>
      </c>
      <c r="DU31" s="10">
        <v>0</v>
      </c>
      <c r="DV31" s="10">
        <v>121</v>
      </c>
      <c r="DW31" s="10">
        <v>1115</v>
      </c>
      <c r="DX31" s="10">
        <v>1115</v>
      </c>
      <c r="DY31" s="10">
        <v>-9999</v>
      </c>
      <c r="DZ31" s="10">
        <v>-9999</v>
      </c>
      <c r="EA31" s="10">
        <v>-9999</v>
      </c>
      <c r="EB31" s="10">
        <v>-9999</v>
      </c>
      <c r="EC31" s="10">
        <v>-9999</v>
      </c>
    </row>
    <row r="32" spans="1:133" x14ac:dyDescent="0.8">
      <c r="A32" s="10" t="s">
        <v>42</v>
      </c>
      <c r="B32" s="10" t="s">
        <v>219</v>
      </c>
      <c r="C32" s="10">
        <v>35</v>
      </c>
      <c r="D32" s="10">
        <v>77689506.629999995</v>
      </c>
      <c r="E32" s="10">
        <v>76185697.129999995</v>
      </c>
      <c r="F32" s="10"/>
      <c r="G32" s="10">
        <v>83725.335089999993</v>
      </c>
      <c r="H32" s="10">
        <v>1968741.4509999999</v>
      </c>
      <c r="I32" s="11">
        <v>1968741.4509999999</v>
      </c>
      <c r="J32" s="10">
        <v>2392152.4309999999</v>
      </c>
      <c r="K32" s="13"/>
      <c r="L32" s="13">
        <v>168076.28539999999</v>
      </c>
      <c r="M32" s="13">
        <v>3952193.7969999998</v>
      </c>
      <c r="N32" s="14">
        <v>3952193.7969999998</v>
      </c>
      <c r="O32" s="13">
        <v>4802179.5829999996</v>
      </c>
      <c r="P32" s="15">
        <f t="shared" si="0"/>
        <v>48.298906440000586</v>
      </c>
      <c r="Q32" s="20">
        <f t="shared" si="1"/>
        <v>0.49813889503455439</v>
      </c>
      <c r="R32" s="21">
        <f t="shared" si="2"/>
        <v>3952193.7969999998</v>
      </c>
      <c r="T32" s="10">
        <v>107791.467</v>
      </c>
      <c r="U32" s="10">
        <v>112282.7781</v>
      </c>
      <c r="V32" s="16">
        <v>112282.7781</v>
      </c>
      <c r="W32" s="10">
        <v>112282.7781</v>
      </c>
      <c r="X32" s="13"/>
      <c r="Y32" s="13">
        <v>56001.973660000003</v>
      </c>
      <c r="Z32" s="13">
        <v>58335.389230000001</v>
      </c>
      <c r="AA32" s="17">
        <v>58335.389230000001</v>
      </c>
      <c r="AB32" s="13">
        <v>58335.389230000001</v>
      </c>
      <c r="AC32" s="15">
        <f t="shared" si="3"/>
        <v>11.599999991450154</v>
      </c>
      <c r="AD32" s="20">
        <f t="shared" si="4"/>
        <v>1.9247797877425767</v>
      </c>
      <c r="AE32" s="22">
        <f t="shared" si="5"/>
        <v>58335.389230000001</v>
      </c>
      <c r="AF32" s="10">
        <v>-9999</v>
      </c>
      <c r="AG32" s="10">
        <v>-9999</v>
      </c>
      <c r="AH32" s="10">
        <v>-9999</v>
      </c>
      <c r="AI32" s="10">
        <v>-9999</v>
      </c>
      <c r="AJ32" s="10">
        <v>-9999</v>
      </c>
      <c r="AK32" s="18">
        <v>-9999</v>
      </c>
      <c r="AL32" s="18">
        <v>-9999</v>
      </c>
      <c r="AM32" s="18">
        <v>-9999</v>
      </c>
      <c r="AN32" s="18">
        <v>-9999</v>
      </c>
      <c r="AO32" s="18">
        <v>-9999</v>
      </c>
      <c r="AP32" s="15">
        <f t="shared" si="6"/>
        <v>0</v>
      </c>
      <c r="AQ32" s="20">
        <f t="shared" si="7"/>
        <v>0</v>
      </c>
      <c r="AR32" s="21">
        <f t="shared" si="8"/>
        <v>0</v>
      </c>
      <c r="AS32" s="10">
        <v>0</v>
      </c>
      <c r="AT32" s="10">
        <v>0</v>
      </c>
      <c r="AU32" s="10">
        <v>1350725.9369999999</v>
      </c>
      <c r="AV32" s="10">
        <v>1350725.9369999999</v>
      </c>
      <c r="AW32" s="10">
        <v>1362218.446</v>
      </c>
      <c r="AX32" s="18">
        <v>-9999</v>
      </c>
      <c r="AY32" s="18">
        <v>0</v>
      </c>
      <c r="AZ32" s="18">
        <v>2113298.2680000002</v>
      </c>
      <c r="BA32" s="18">
        <v>2113298.2680000002</v>
      </c>
      <c r="BB32" s="18">
        <v>3007104.58</v>
      </c>
      <c r="BC32" s="23">
        <f t="shared" si="9"/>
        <v>50</v>
      </c>
      <c r="BD32" s="20">
        <f t="shared" si="10"/>
        <v>0.63915537028207126</v>
      </c>
      <c r="BE32" s="20">
        <f t="shared" si="11"/>
        <v>2113298.2680000002</v>
      </c>
      <c r="BF32" s="10">
        <v>0</v>
      </c>
      <c r="BG32" s="10">
        <v>0</v>
      </c>
      <c r="BH32" s="10">
        <v>0</v>
      </c>
      <c r="BI32" s="10">
        <v>0</v>
      </c>
      <c r="BJ32" s="10">
        <v>135689.45490000001</v>
      </c>
      <c r="BK32" s="10">
        <v>0</v>
      </c>
      <c r="BL32" s="10">
        <v>0</v>
      </c>
      <c r="BM32" s="10">
        <v>0</v>
      </c>
      <c r="BN32" s="10">
        <v>0</v>
      </c>
      <c r="BO32" s="10">
        <v>49457.975960000003</v>
      </c>
      <c r="BQ32" s="10">
        <v>293409.7941</v>
      </c>
      <c r="BR32" s="10">
        <v>293409.7941</v>
      </c>
      <c r="BS32" s="10">
        <v>302796.48509999999</v>
      </c>
      <c r="BT32" s="10">
        <v>302796.48509999999</v>
      </c>
      <c r="BV32" s="10">
        <v>617911.02379999997</v>
      </c>
      <c r="BW32" s="10">
        <v>617911.02379999997</v>
      </c>
      <c r="BX32" s="10">
        <v>637679.07510000002</v>
      </c>
      <c r="BY32" s="10">
        <v>637679.07510000002</v>
      </c>
      <c r="CA32" s="10">
        <v>11978.184370000001</v>
      </c>
      <c r="CB32" s="10">
        <v>191650.94990000001</v>
      </c>
      <c r="CC32" s="10">
        <v>239563.6874</v>
      </c>
      <c r="CD32" s="10">
        <v>239563.6874</v>
      </c>
      <c r="CF32" s="10">
        <v>5567.0395440000002</v>
      </c>
      <c r="CG32" s="10">
        <v>89072.632710000005</v>
      </c>
      <c r="CH32" s="10">
        <v>111340.79090000001</v>
      </c>
      <c r="CI32" s="10">
        <v>111340.79090000001</v>
      </c>
      <c r="CK32" s="10">
        <v>460947.38040000002</v>
      </c>
      <c r="CL32" s="10">
        <v>906273.79260000004</v>
      </c>
      <c r="CM32" s="10">
        <v>821505.11950000003</v>
      </c>
      <c r="CN32" s="10">
        <v>821505.11950000003</v>
      </c>
      <c r="CP32" s="10">
        <v>293.53304170000001</v>
      </c>
      <c r="CQ32" s="10">
        <v>22223.737219999999</v>
      </c>
      <c r="CR32" s="10">
        <v>22230.298129999999</v>
      </c>
      <c r="CS32" s="10">
        <v>22230.298129999999</v>
      </c>
      <c r="CT32" s="23">
        <f t="shared" si="12"/>
        <v>22.39660674932653</v>
      </c>
      <c r="CU32" s="20">
        <f t="shared" si="13"/>
        <v>36.954300598936683</v>
      </c>
      <c r="CV32" s="20">
        <f t="shared" si="14"/>
        <v>22230.298129999999</v>
      </c>
      <c r="CX32" s="10">
        <v>831.18750660000001</v>
      </c>
      <c r="CY32" s="10">
        <v>39789.914810000002</v>
      </c>
      <c r="CZ32" s="10">
        <v>50299.592420000001</v>
      </c>
      <c r="DA32" s="10">
        <v>50993.098559999999</v>
      </c>
      <c r="DC32" s="10">
        <v>1412.951928</v>
      </c>
      <c r="DD32" s="10">
        <v>53506.917509999999</v>
      </c>
      <c r="DE32" s="10">
        <v>66719.75649</v>
      </c>
      <c r="DF32" s="10">
        <v>67639.655809999997</v>
      </c>
      <c r="DG32" s="23">
        <f t="shared" si="15"/>
        <v>59.78609083202587</v>
      </c>
      <c r="DH32" s="20">
        <f t="shared" si="16"/>
        <v>0.75389352518903352</v>
      </c>
      <c r="DI32" s="20">
        <f t="shared" si="17"/>
        <v>66719.75649</v>
      </c>
      <c r="DK32" s="10">
        <v>42229.025370000003</v>
      </c>
      <c r="DL32" s="10">
        <v>47666.65814</v>
      </c>
      <c r="DM32" s="10">
        <v>54538.802389999997</v>
      </c>
      <c r="DN32" s="10">
        <v>67366.952579999997</v>
      </c>
      <c r="DO32" s="10">
        <v>-9999</v>
      </c>
      <c r="DP32" s="10">
        <v>-9999</v>
      </c>
      <c r="DQ32" s="10">
        <v>-9999</v>
      </c>
      <c r="DR32" s="10">
        <v>-9999</v>
      </c>
      <c r="DS32" s="10">
        <v>-9999</v>
      </c>
      <c r="DU32" s="10">
        <v>473025</v>
      </c>
      <c r="DV32" s="10">
        <v>931726</v>
      </c>
      <c r="DW32" s="10">
        <v>982432</v>
      </c>
      <c r="DX32" s="10">
        <v>982432</v>
      </c>
      <c r="DY32" s="10">
        <v>-9999</v>
      </c>
      <c r="DZ32" s="10">
        <v>-9999</v>
      </c>
      <c r="EA32" s="10">
        <v>-9999</v>
      </c>
      <c r="EB32" s="10">
        <v>-9999</v>
      </c>
      <c r="EC32" s="10">
        <v>-9999</v>
      </c>
    </row>
    <row r="33" spans="1:133" x14ac:dyDescent="0.8">
      <c r="A33" s="10" t="s">
        <v>46</v>
      </c>
      <c r="B33" s="10" t="s">
        <v>220</v>
      </c>
      <c r="C33" s="10">
        <v>36</v>
      </c>
      <c r="D33" s="10">
        <v>206144798.09999999</v>
      </c>
      <c r="E33" s="10">
        <v>185562667.19999999</v>
      </c>
      <c r="F33" s="10">
        <v>0</v>
      </c>
      <c r="G33" s="10">
        <v>302569.03240000003</v>
      </c>
      <c r="H33" s="10">
        <v>7114694.6770000001</v>
      </c>
      <c r="I33" s="11">
        <v>7114694.6770000001</v>
      </c>
      <c r="J33" s="10">
        <v>8644829.4979999997</v>
      </c>
      <c r="K33" s="13">
        <v>0</v>
      </c>
      <c r="L33" s="13">
        <v>83106.438890000005</v>
      </c>
      <c r="M33" s="13">
        <v>1954188.5490000001</v>
      </c>
      <c r="N33" s="14">
        <v>1954188.5490000001</v>
      </c>
      <c r="O33" s="13">
        <v>2374469.6830000002</v>
      </c>
      <c r="P33" s="15">
        <f t="shared" si="0"/>
        <v>48.29890644005777</v>
      </c>
      <c r="Q33" s="20">
        <f t="shared" si="1"/>
        <v>3.64074115603673</v>
      </c>
      <c r="R33" s="21">
        <f t="shared" si="2"/>
        <v>1954188.5490000001</v>
      </c>
      <c r="S33" s="10">
        <v>0</v>
      </c>
      <c r="T33" s="10">
        <v>559234.58479999995</v>
      </c>
      <c r="U33" s="10">
        <v>582536.02579999994</v>
      </c>
      <c r="V33" s="16">
        <v>582536.02579999994</v>
      </c>
      <c r="W33" s="10">
        <v>582536.02579999994</v>
      </c>
      <c r="X33" s="13">
        <v>0</v>
      </c>
      <c r="Y33" s="13">
        <v>65624.047319999998</v>
      </c>
      <c r="Z33" s="13">
        <v>68358.382629999993</v>
      </c>
      <c r="AA33" s="17">
        <v>68358.382629999993</v>
      </c>
      <c r="AB33" s="13">
        <v>68358.382629999993</v>
      </c>
      <c r="AC33" s="15">
        <f t="shared" si="3"/>
        <v>11.59999999780271</v>
      </c>
      <c r="AD33" s="20">
        <f t="shared" si="4"/>
        <v>8.5217935736289085</v>
      </c>
      <c r="AE33" s="22">
        <f t="shared" si="5"/>
        <v>68358.382629999993</v>
      </c>
      <c r="AF33" s="10">
        <v>-9999</v>
      </c>
      <c r="AG33" s="10">
        <v>-9999</v>
      </c>
      <c r="AH33" s="10">
        <v>-9999</v>
      </c>
      <c r="AI33" s="10">
        <v>-9999</v>
      </c>
      <c r="AJ33" s="10">
        <v>-9999</v>
      </c>
      <c r="AK33" s="18">
        <v>-9999</v>
      </c>
      <c r="AL33" s="18">
        <v>-9999</v>
      </c>
      <c r="AM33" s="18">
        <v>-9999</v>
      </c>
      <c r="AN33" s="18">
        <v>-9999</v>
      </c>
      <c r="AO33" s="18">
        <v>-9999</v>
      </c>
      <c r="AP33" s="15">
        <f t="shared" si="6"/>
        <v>0</v>
      </c>
      <c r="AQ33" s="20">
        <f t="shared" si="7"/>
        <v>0</v>
      </c>
      <c r="AR33" s="21">
        <f t="shared" si="8"/>
        <v>0</v>
      </c>
      <c r="AS33" s="10">
        <v>-9999</v>
      </c>
      <c r="AT33" s="10">
        <v>-9999</v>
      </c>
      <c r="AU33" s="10">
        <v>-9999</v>
      </c>
      <c r="AV33" s="10">
        <v>-9999</v>
      </c>
      <c r="AW33" s="10">
        <v>-9999</v>
      </c>
      <c r="AX33" s="18">
        <v>-9999</v>
      </c>
      <c r="AY33" s="18">
        <v>-9999</v>
      </c>
      <c r="AZ33" s="18">
        <v>-9999</v>
      </c>
      <c r="BA33" s="18">
        <v>-9999</v>
      </c>
      <c r="BB33" s="18">
        <v>-9999</v>
      </c>
      <c r="BC33" s="23">
        <f t="shared" si="9"/>
        <v>0</v>
      </c>
      <c r="BD33" s="20">
        <f t="shared" si="10"/>
        <v>0</v>
      </c>
      <c r="BE33" s="20">
        <f t="shared" si="11"/>
        <v>0</v>
      </c>
      <c r="BF33" s="10">
        <v>0</v>
      </c>
      <c r="BG33" s="10">
        <v>0</v>
      </c>
      <c r="BH33" s="10">
        <v>0</v>
      </c>
      <c r="BI33" s="10">
        <v>0</v>
      </c>
      <c r="BJ33" s="10">
        <v>1114786.1470000001</v>
      </c>
      <c r="BK33" s="10">
        <v>0</v>
      </c>
      <c r="BL33" s="10">
        <v>0</v>
      </c>
      <c r="BM33" s="10">
        <v>0</v>
      </c>
      <c r="BN33" s="10">
        <v>0</v>
      </c>
      <c r="BO33" s="10">
        <v>445272.94870000001</v>
      </c>
      <c r="BQ33" s="10">
        <v>910422.50199999998</v>
      </c>
      <c r="BR33" s="10">
        <v>910422.50199999998</v>
      </c>
      <c r="BS33" s="10">
        <v>939548.50569999998</v>
      </c>
      <c r="BT33" s="10">
        <v>939548.50569999998</v>
      </c>
      <c r="BV33" s="10">
        <v>1917318.7520000001</v>
      </c>
      <c r="BW33" s="10">
        <v>1917318.7520000001</v>
      </c>
      <c r="BX33" s="10">
        <v>1978657.1229999999</v>
      </c>
      <c r="BY33" s="10">
        <v>1978657.1229999999</v>
      </c>
      <c r="CA33" s="10">
        <v>37167.159390000001</v>
      </c>
      <c r="CB33" s="10">
        <v>594674.55020000006</v>
      </c>
      <c r="CC33" s="10">
        <v>743343.18779999996</v>
      </c>
      <c r="CD33" s="10">
        <v>743343.18779999996</v>
      </c>
      <c r="CF33" s="10">
        <v>17273.990760000001</v>
      </c>
      <c r="CG33" s="10">
        <v>276383.85210000002</v>
      </c>
      <c r="CH33" s="10">
        <v>345479.81510000001</v>
      </c>
      <c r="CI33" s="10">
        <v>345479.81510000001</v>
      </c>
      <c r="CJ33" s="10">
        <v>0</v>
      </c>
      <c r="CK33" s="10">
        <v>830441.12199999997</v>
      </c>
      <c r="CL33" s="10">
        <v>3538089.338</v>
      </c>
      <c r="CM33" s="10">
        <v>3207152.77</v>
      </c>
      <c r="CN33" s="10">
        <v>3207152.77</v>
      </c>
      <c r="CO33" s="10">
        <v>0</v>
      </c>
      <c r="CP33" s="10">
        <v>7484.3649370000003</v>
      </c>
      <c r="CQ33" s="10">
        <v>36920.958489999997</v>
      </c>
      <c r="CR33" s="10">
        <v>36954.210070000001</v>
      </c>
      <c r="CS33" s="10">
        <v>36974.233249999997</v>
      </c>
      <c r="CT33" s="23">
        <f t="shared" si="12"/>
        <v>34.483285690191806</v>
      </c>
      <c r="CU33" s="20">
        <f t="shared" si="13"/>
        <v>86.787209466117531</v>
      </c>
      <c r="CV33" s="20">
        <f t="shared" si="14"/>
        <v>36954.210070000001</v>
      </c>
      <c r="CX33" s="10">
        <v>4183.5810499999998</v>
      </c>
      <c r="CY33" s="10">
        <v>200272.9014</v>
      </c>
      <c r="CZ33" s="10">
        <v>253170.81890000001</v>
      </c>
      <c r="DA33" s="10">
        <v>256661.41409999999</v>
      </c>
      <c r="DC33" s="10">
        <v>2350.072584</v>
      </c>
      <c r="DD33" s="10">
        <v>88994.634130000006</v>
      </c>
      <c r="DE33" s="10">
        <v>110970.7043</v>
      </c>
      <c r="DF33" s="10">
        <v>112500.71400000001</v>
      </c>
      <c r="DG33" s="23">
        <f t="shared" si="15"/>
        <v>59.786090844769163</v>
      </c>
      <c r="DH33" s="20">
        <f t="shared" si="16"/>
        <v>2.28142031265814</v>
      </c>
      <c r="DI33" s="20">
        <f t="shared" si="17"/>
        <v>110970.7043</v>
      </c>
      <c r="DJ33" s="10">
        <v>161764.78570000001</v>
      </c>
      <c r="DK33" s="10">
        <v>167329.1188</v>
      </c>
      <c r="DL33" s="10">
        <v>188894.3988</v>
      </c>
      <c r="DM33" s="10">
        <v>210190.42920000001</v>
      </c>
      <c r="DN33" s="10">
        <v>261150.193</v>
      </c>
      <c r="DO33" s="10">
        <v>-9999</v>
      </c>
      <c r="DP33" s="10">
        <v>-9999</v>
      </c>
      <c r="DQ33" s="10">
        <v>-9999</v>
      </c>
      <c r="DR33" s="10">
        <v>-9999</v>
      </c>
      <c r="DS33" s="10">
        <v>-9999</v>
      </c>
      <c r="DT33" s="10">
        <v>0</v>
      </c>
      <c r="DU33" s="10">
        <v>24437</v>
      </c>
      <c r="DV33" s="10">
        <v>82562</v>
      </c>
      <c r="DW33" s="10">
        <v>84140</v>
      </c>
      <c r="DX33" s="10">
        <v>84140</v>
      </c>
      <c r="DY33" s="10">
        <v>-9999</v>
      </c>
      <c r="DZ33" s="10">
        <v>-9999</v>
      </c>
      <c r="EA33" s="10">
        <v>-9999</v>
      </c>
      <c r="EB33" s="10">
        <v>-9999</v>
      </c>
      <c r="EC33" s="10">
        <v>-9999</v>
      </c>
    </row>
    <row r="34" spans="1:133" x14ac:dyDescent="0.8">
      <c r="A34" s="10" t="s">
        <v>27</v>
      </c>
      <c r="B34" s="10" t="s">
        <v>221</v>
      </c>
      <c r="C34" s="10">
        <v>37</v>
      </c>
      <c r="D34" s="10">
        <v>166344815.69999999</v>
      </c>
      <c r="E34" s="10">
        <v>140174476.59999999</v>
      </c>
      <c r="F34" s="10">
        <v>0</v>
      </c>
      <c r="G34" s="10">
        <v>296122.69349999999</v>
      </c>
      <c r="H34" s="10">
        <v>6963113.6229999997</v>
      </c>
      <c r="I34" s="11">
        <v>6963113.6229999997</v>
      </c>
      <c r="J34" s="10">
        <v>8460648.3870000001</v>
      </c>
      <c r="K34" s="13">
        <v>0</v>
      </c>
      <c r="L34" s="13">
        <v>101861.185</v>
      </c>
      <c r="M34" s="13">
        <v>2395193.0070000002</v>
      </c>
      <c r="N34" s="14">
        <v>2395193.0070000002</v>
      </c>
      <c r="O34" s="13">
        <v>2910319.571</v>
      </c>
      <c r="P34" s="15">
        <f t="shared" si="0"/>
        <v>48.298906440234603</v>
      </c>
      <c r="Q34" s="20">
        <f t="shared" si="1"/>
        <v>2.9071200536450128</v>
      </c>
      <c r="R34" s="21">
        <f t="shared" si="2"/>
        <v>2395193.0070000002</v>
      </c>
      <c r="S34" s="10">
        <v>0</v>
      </c>
      <c r="T34" s="10">
        <v>2603912.0109999999</v>
      </c>
      <c r="U34" s="10">
        <v>2712408.3450000002</v>
      </c>
      <c r="V34" s="16">
        <v>2712408.3450000002</v>
      </c>
      <c r="W34" s="10">
        <v>2712408.3450000002</v>
      </c>
      <c r="X34" s="13">
        <v>0</v>
      </c>
      <c r="Y34" s="13">
        <v>380506.98050000001</v>
      </c>
      <c r="Z34" s="13">
        <v>396361.43800000002</v>
      </c>
      <c r="AA34" s="17">
        <v>396361.43800000002</v>
      </c>
      <c r="AB34" s="13">
        <v>396361.43800000002</v>
      </c>
      <c r="AC34" s="15">
        <f t="shared" si="3"/>
        <v>11.600000002949413</v>
      </c>
      <c r="AD34" s="20">
        <f t="shared" si="4"/>
        <v>6.8432700181090773</v>
      </c>
      <c r="AE34" s="22">
        <f t="shared" si="5"/>
        <v>396361.43800000002</v>
      </c>
      <c r="AF34" s="10">
        <v>-9999</v>
      </c>
      <c r="AG34" s="10">
        <v>-9999</v>
      </c>
      <c r="AH34" s="10">
        <v>-9999</v>
      </c>
      <c r="AI34" s="10">
        <v>-9999</v>
      </c>
      <c r="AJ34" s="10">
        <v>-9999</v>
      </c>
      <c r="AK34" s="18">
        <v>-9999</v>
      </c>
      <c r="AL34" s="18">
        <v>-9999</v>
      </c>
      <c r="AM34" s="18">
        <v>-9999</v>
      </c>
      <c r="AN34" s="18">
        <v>-9999</v>
      </c>
      <c r="AO34" s="18">
        <v>-9999</v>
      </c>
      <c r="AP34" s="15">
        <f t="shared" si="6"/>
        <v>0</v>
      </c>
      <c r="AQ34" s="20">
        <f t="shared" si="7"/>
        <v>0</v>
      </c>
      <c r="AR34" s="21">
        <f t="shared" si="8"/>
        <v>0</v>
      </c>
      <c r="AS34" s="10">
        <v>-9999</v>
      </c>
      <c r="AT34" s="10">
        <v>-9999</v>
      </c>
      <c r="AU34" s="10">
        <v>-9999</v>
      </c>
      <c r="AV34" s="10">
        <v>-9999</v>
      </c>
      <c r="AW34" s="10">
        <v>-9999</v>
      </c>
      <c r="AX34" s="18">
        <v>-9999</v>
      </c>
      <c r="AY34" s="18">
        <v>-9999</v>
      </c>
      <c r="AZ34" s="18">
        <v>-9999</v>
      </c>
      <c r="BA34" s="18">
        <v>-9999</v>
      </c>
      <c r="BB34" s="18">
        <v>-9999</v>
      </c>
      <c r="BC34" s="23">
        <f t="shared" si="9"/>
        <v>0</v>
      </c>
      <c r="BD34" s="20">
        <f t="shared" si="10"/>
        <v>0</v>
      </c>
      <c r="BE34" s="20">
        <f t="shared" si="11"/>
        <v>0</v>
      </c>
      <c r="BF34" s="10">
        <v>0</v>
      </c>
      <c r="BG34" s="10">
        <v>0</v>
      </c>
      <c r="BH34" s="10">
        <v>0</v>
      </c>
      <c r="BI34" s="10">
        <v>0</v>
      </c>
      <c r="BJ34" s="10">
        <v>1046733.098</v>
      </c>
      <c r="BK34" s="10">
        <v>0</v>
      </c>
      <c r="BL34" s="10">
        <v>0</v>
      </c>
      <c r="BM34" s="10">
        <v>0</v>
      </c>
      <c r="BN34" s="10">
        <v>0</v>
      </c>
      <c r="BO34" s="10">
        <v>321608.37719999999</v>
      </c>
      <c r="BQ34" s="10">
        <v>1432121.7379999999</v>
      </c>
      <c r="BR34" s="10">
        <v>1432121.7379999999</v>
      </c>
      <c r="BS34" s="10">
        <v>1477937.81</v>
      </c>
      <c r="BT34" s="10">
        <v>1477937.81</v>
      </c>
      <c r="BV34" s="10">
        <v>3015999.5580000002</v>
      </c>
      <c r="BW34" s="10">
        <v>3015999.5580000002</v>
      </c>
      <c r="BX34" s="10">
        <v>3112486.6439999999</v>
      </c>
      <c r="BY34" s="10">
        <v>3112486.6439999999</v>
      </c>
      <c r="CA34" s="10">
        <v>58465.049780000001</v>
      </c>
      <c r="CB34" s="10">
        <v>935440.79639999999</v>
      </c>
      <c r="CC34" s="10">
        <v>1169300.996</v>
      </c>
      <c r="CD34" s="10">
        <v>1169300.996</v>
      </c>
      <c r="CF34" s="10">
        <v>27172.50244</v>
      </c>
      <c r="CG34" s="10">
        <v>434760.03909999999</v>
      </c>
      <c r="CH34" s="10">
        <v>543450.04890000005</v>
      </c>
      <c r="CI34" s="10">
        <v>543450.04890000005</v>
      </c>
      <c r="CJ34" s="10">
        <v>0</v>
      </c>
      <c r="CK34" s="10">
        <v>1097.769164</v>
      </c>
      <c r="CL34" s="10">
        <v>585906.09199999995</v>
      </c>
      <c r="CM34" s="10">
        <v>531244.2892</v>
      </c>
      <c r="CN34" s="10">
        <v>531244.2892</v>
      </c>
      <c r="CO34" s="10">
        <v>0</v>
      </c>
      <c r="CP34" s="10">
        <v>0</v>
      </c>
      <c r="CQ34" s="10">
        <v>9876.7530509999997</v>
      </c>
      <c r="CR34" s="10">
        <v>9876.7530509999997</v>
      </c>
      <c r="CS34" s="10">
        <v>9876.7530509999997</v>
      </c>
      <c r="CT34" s="23">
        <f t="shared" si="12"/>
        <v>44.772647983205843</v>
      </c>
      <c r="CU34" s="20">
        <f t="shared" si="13"/>
        <v>53.787341493388119</v>
      </c>
      <c r="CV34" s="20">
        <f t="shared" si="14"/>
        <v>9876.7530509999997</v>
      </c>
      <c r="CX34" s="10">
        <v>1082.1836840000001</v>
      </c>
      <c r="CY34" s="10">
        <v>51805.394379999998</v>
      </c>
      <c r="CZ34" s="10">
        <v>65488.710769999998</v>
      </c>
      <c r="DA34" s="10">
        <v>66391.637029999998</v>
      </c>
      <c r="DC34" s="10">
        <v>627.7638379</v>
      </c>
      <c r="DD34" s="10">
        <v>23772.718099999998</v>
      </c>
      <c r="DE34" s="10">
        <v>29643.08237</v>
      </c>
      <c r="DF34" s="10">
        <v>30051.786670000001</v>
      </c>
      <c r="DG34" s="23">
        <f t="shared" si="15"/>
        <v>59.786090833133066</v>
      </c>
      <c r="DH34" s="20">
        <f t="shared" si="16"/>
        <v>2.2092409268570945</v>
      </c>
      <c r="DI34" s="20">
        <f t="shared" si="17"/>
        <v>29643.08237</v>
      </c>
      <c r="DJ34" s="10">
        <v>371625.06410000002</v>
      </c>
      <c r="DK34" s="10">
        <v>384436.08199999999</v>
      </c>
      <c r="DL34" s="10">
        <v>434019.09580000001</v>
      </c>
      <c r="DM34" s="10">
        <v>471413.59769999998</v>
      </c>
      <c r="DN34" s="10">
        <v>588744.0588</v>
      </c>
      <c r="DO34" s="10">
        <v>-9999</v>
      </c>
      <c r="DP34" s="10">
        <v>-9999</v>
      </c>
      <c r="DQ34" s="10">
        <v>-9999</v>
      </c>
      <c r="DR34" s="10">
        <v>-9999</v>
      </c>
      <c r="DS34" s="10">
        <v>-9999</v>
      </c>
      <c r="DT34" s="10">
        <v>0</v>
      </c>
      <c r="DU34" s="10">
        <v>1039321</v>
      </c>
      <c r="DV34" s="10">
        <v>2978577</v>
      </c>
      <c r="DW34" s="10">
        <v>3154873</v>
      </c>
      <c r="DX34" s="10">
        <v>3154873</v>
      </c>
      <c r="DY34" s="10">
        <v>-9999</v>
      </c>
      <c r="DZ34" s="10">
        <v>-9999</v>
      </c>
      <c r="EA34" s="10">
        <v>-9999</v>
      </c>
      <c r="EB34" s="10">
        <v>-9999</v>
      </c>
      <c r="EC34" s="10">
        <v>-9999</v>
      </c>
    </row>
    <row r="35" spans="1:133" x14ac:dyDescent="0.8">
      <c r="A35" s="10" t="s">
        <v>33</v>
      </c>
      <c r="B35" s="10" t="s">
        <v>222</v>
      </c>
      <c r="C35" s="10">
        <v>38</v>
      </c>
      <c r="D35" s="10">
        <v>90041267.159999996</v>
      </c>
      <c r="E35" s="10">
        <v>89180168.280000001</v>
      </c>
      <c r="F35" s="10"/>
      <c r="G35" s="10">
        <v>43003.191989999999</v>
      </c>
      <c r="H35" s="10">
        <v>1011189.343</v>
      </c>
      <c r="I35" s="11">
        <v>1011189.343</v>
      </c>
      <c r="J35" s="10">
        <v>1228662.628</v>
      </c>
      <c r="K35" s="13"/>
      <c r="L35" s="13">
        <v>36305.972099999999</v>
      </c>
      <c r="M35" s="13">
        <v>853709.00100000005</v>
      </c>
      <c r="N35" s="14">
        <v>853709.00100000005</v>
      </c>
      <c r="O35" s="13">
        <v>1037313.488</v>
      </c>
      <c r="P35" s="15">
        <f t="shared" si="0"/>
        <v>48.298906439721051</v>
      </c>
      <c r="Q35" s="20">
        <f t="shared" si="1"/>
        <v>1.1844660672612493</v>
      </c>
      <c r="R35" s="21">
        <f t="shared" si="2"/>
        <v>853709.00100000005</v>
      </c>
      <c r="T35" s="10">
        <v>3202.1829069999999</v>
      </c>
      <c r="U35" s="10">
        <v>3335.607195</v>
      </c>
      <c r="V35" s="16">
        <v>3335.607195</v>
      </c>
      <c r="W35" s="10">
        <v>3335.607195</v>
      </c>
      <c r="X35" s="13"/>
      <c r="Y35" s="13">
        <v>809.72152229999995</v>
      </c>
      <c r="Z35" s="13">
        <v>843.45991909999998</v>
      </c>
      <c r="AA35" s="17">
        <v>843.45991909999998</v>
      </c>
      <c r="AB35" s="13">
        <v>843.45991909999998</v>
      </c>
      <c r="AC35" s="15">
        <f t="shared" si="3"/>
        <v>11.600000002398366</v>
      </c>
      <c r="AD35" s="20">
        <f t="shared" si="4"/>
        <v>3.9546718456511898</v>
      </c>
      <c r="AE35" s="22">
        <f t="shared" si="5"/>
        <v>843.45991909999998</v>
      </c>
      <c r="AF35" s="10">
        <v>-9999</v>
      </c>
      <c r="AG35" s="10">
        <v>-9999</v>
      </c>
      <c r="AH35" s="10">
        <v>-9999</v>
      </c>
      <c r="AI35" s="10">
        <v>-9999</v>
      </c>
      <c r="AJ35" s="10">
        <v>-9999</v>
      </c>
      <c r="AK35" s="18">
        <v>-9999</v>
      </c>
      <c r="AL35" s="18">
        <v>-9999</v>
      </c>
      <c r="AM35" s="18">
        <v>-9999</v>
      </c>
      <c r="AN35" s="18">
        <v>-9999</v>
      </c>
      <c r="AO35" s="18">
        <v>-9999</v>
      </c>
      <c r="AP35" s="15">
        <f t="shared" si="6"/>
        <v>0</v>
      </c>
      <c r="AQ35" s="20">
        <f t="shared" si="7"/>
        <v>0</v>
      </c>
      <c r="AR35" s="21">
        <f t="shared" si="8"/>
        <v>0</v>
      </c>
      <c r="AS35" s="10">
        <v>-9999</v>
      </c>
      <c r="AT35" s="10">
        <v>-9999</v>
      </c>
      <c r="AU35" s="10">
        <v>-9999</v>
      </c>
      <c r="AV35" s="10">
        <v>-9999</v>
      </c>
      <c r="AW35" s="10">
        <v>-9999</v>
      </c>
      <c r="AX35" s="18">
        <v>-9999</v>
      </c>
      <c r="AY35" s="18">
        <v>-9999</v>
      </c>
      <c r="AZ35" s="18">
        <v>-9999</v>
      </c>
      <c r="BA35" s="18">
        <v>-9999</v>
      </c>
      <c r="BB35" s="18">
        <v>-9999</v>
      </c>
      <c r="BC35" s="23">
        <f t="shared" si="9"/>
        <v>0</v>
      </c>
      <c r="BD35" s="20">
        <f t="shared" si="10"/>
        <v>0</v>
      </c>
      <c r="BE35" s="20">
        <f t="shared" si="11"/>
        <v>0</v>
      </c>
      <c r="BF35" s="10">
        <v>0</v>
      </c>
      <c r="BG35" s="10">
        <v>0</v>
      </c>
      <c r="BH35" s="10">
        <v>0</v>
      </c>
      <c r="BI35" s="10">
        <v>0</v>
      </c>
      <c r="BJ35" s="10">
        <v>25259.65868</v>
      </c>
      <c r="BK35" s="10">
        <v>0</v>
      </c>
      <c r="BL35" s="10">
        <v>0</v>
      </c>
      <c r="BM35" s="10">
        <v>0</v>
      </c>
      <c r="BN35" s="10">
        <v>0</v>
      </c>
      <c r="BO35" s="10">
        <v>10858.469220000001</v>
      </c>
      <c r="BQ35" s="10">
        <v>7478109.858</v>
      </c>
      <c r="BR35" s="10">
        <v>7478109.858</v>
      </c>
      <c r="BS35" s="10">
        <v>7717347.6349999998</v>
      </c>
      <c r="BT35" s="10">
        <v>7717347.6349999998</v>
      </c>
      <c r="BV35" s="10">
        <v>15748644.43</v>
      </c>
      <c r="BW35" s="10">
        <v>15748644.43</v>
      </c>
      <c r="BX35" s="10">
        <v>16252471.029999999</v>
      </c>
      <c r="BY35" s="10">
        <v>16252471.029999999</v>
      </c>
      <c r="CA35" s="10">
        <v>305286.94140000001</v>
      </c>
      <c r="CB35" s="10">
        <v>4884591.0619999999</v>
      </c>
      <c r="CC35" s="10">
        <v>6105738.8279999997</v>
      </c>
      <c r="CD35" s="10">
        <v>6105738.8279999997</v>
      </c>
      <c r="CF35" s="10">
        <v>141886.65179999999</v>
      </c>
      <c r="CG35" s="10">
        <v>2270186.429</v>
      </c>
      <c r="CH35" s="10">
        <v>2837733.0359999998</v>
      </c>
      <c r="CI35" s="10">
        <v>2837733.0359999998</v>
      </c>
      <c r="CK35" s="10">
        <v>1539192.352</v>
      </c>
      <c r="CL35" s="10">
        <v>10383055</v>
      </c>
      <c r="CM35" s="10">
        <v>9411871.8949999996</v>
      </c>
      <c r="CN35" s="10">
        <v>9411871.8949999996</v>
      </c>
      <c r="CP35" s="10">
        <v>97052.987420000005</v>
      </c>
      <c r="CQ35" s="10">
        <v>124399.8579</v>
      </c>
      <c r="CR35" s="10">
        <v>124399.8579</v>
      </c>
      <c r="CS35" s="10">
        <v>124399.8579</v>
      </c>
      <c r="CT35" s="23">
        <f t="shared" si="12"/>
        <v>38.299155517777045</v>
      </c>
      <c r="CU35" s="20">
        <f t="shared" si="13"/>
        <v>75.658220627276123</v>
      </c>
      <c r="CV35" s="20">
        <f t="shared" si="14"/>
        <v>124399.8579</v>
      </c>
      <c r="CX35" s="10">
        <v>14653.99382</v>
      </c>
      <c r="CY35" s="10">
        <v>701503.76529999997</v>
      </c>
      <c r="CZ35" s="10">
        <v>886791.38029999996</v>
      </c>
      <c r="DA35" s="10">
        <v>899018.02549999999</v>
      </c>
      <c r="DC35" s="10">
        <v>7906.8224</v>
      </c>
      <c r="DD35" s="10">
        <v>299422.5673</v>
      </c>
      <c r="DE35" s="10">
        <v>373361.08510000003</v>
      </c>
      <c r="DF35" s="10">
        <v>378508.80479999998</v>
      </c>
      <c r="DG35" s="23">
        <f t="shared" si="15"/>
        <v>59.786090832619699</v>
      </c>
      <c r="DH35" s="20">
        <f t="shared" si="16"/>
        <v>2.375157496830405</v>
      </c>
      <c r="DI35" s="20">
        <f t="shared" si="17"/>
        <v>373361.08510000003</v>
      </c>
      <c r="DK35" s="10">
        <v>1769828.071</v>
      </c>
      <c r="DL35" s="10">
        <v>1996389.4680000001</v>
      </c>
      <c r="DM35" s="10">
        <v>2698008.0249999999</v>
      </c>
      <c r="DN35" s="10">
        <v>3226630.3330000001</v>
      </c>
      <c r="DO35" s="10">
        <v>-9999</v>
      </c>
      <c r="DP35" s="10">
        <v>-9999</v>
      </c>
      <c r="DQ35" s="10">
        <v>-9999</v>
      </c>
      <c r="DR35" s="10">
        <v>-9999</v>
      </c>
      <c r="DS35" s="10">
        <v>-9999</v>
      </c>
      <c r="DU35" s="10">
        <v>18996</v>
      </c>
      <c r="DV35" s="10">
        <v>21452</v>
      </c>
      <c r="DW35" s="10">
        <v>24426</v>
      </c>
      <c r="DX35" s="10">
        <v>24426</v>
      </c>
      <c r="DY35" s="10">
        <v>-9999</v>
      </c>
      <c r="DZ35" s="10">
        <v>-9999</v>
      </c>
      <c r="EA35" s="10">
        <v>-9999</v>
      </c>
      <c r="EB35" s="10">
        <v>-9999</v>
      </c>
      <c r="EC35" s="10">
        <v>-9999</v>
      </c>
    </row>
    <row r="36" spans="1:133" x14ac:dyDescent="0.8">
      <c r="A36" s="10" t="s">
        <v>48</v>
      </c>
      <c r="B36" s="10" t="s">
        <v>223</v>
      </c>
      <c r="C36" s="10">
        <v>39</v>
      </c>
      <c r="D36" s="10">
        <v>275218347.80000001</v>
      </c>
      <c r="E36" s="10">
        <v>251280185.30000001</v>
      </c>
      <c r="F36" s="10"/>
      <c r="G36" s="10">
        <v>492670.13319999998</v>
      </c>
      <c r="H36" s="10">
        <v>11584786.279999999</v>
      </c>
      <c r="I36" s="11">
        <v>11584786.279999999</v>
      </c>
      <c r="J36" s="10">
        <v>14076289.52</v>
      </c>
      <c r="K36" s="13"/>
      <c r="L36" s="13">
        <v>134191.07010000001</v>
      </c>
      <c r="M36" s="13">
        <v>3155407.162</v>
      </c>
      <c r="N36" s="14">
        <v>3155407.162</v>
      </c>
      <c r="O36" s="13">
        <v>3834030.574</v>
      </c>
      <c r="P36" s="15">
        <f t="shared" si="0"/>
        <v>48.298906440594266</v>
      </c>
      <c r="Q36" s="20">
        <f t="shared" si="1"/>
        <v>3.6714077408182035</v>
      </c>
      <c r="R36" s="21">
        <f t="shared" si="2"/>
        <v>3155407.162</v>
      </c>
      <c r="T36" s="10">
        <v>927811.2095</v>
      </c>
      <c r="U36" s="10">
        <v>966470.00989999995</v>
      </c>
      <c r="V36" s="16">
        <v>966470.00989999995</v>
      </c>
      <c r="W36" s="10">
        <v>966470.00989999995</v>
      </c>
      <c r="X36" s="13"/>
      <c r="Y36" s="13">
        <v>101898.9259</v>
      </c>
      <c r="Z36" s="13">
        <v>106144.7145</v>
      </c>
      <c r="AA36" s="17">
        <v>106144.7145</v>
      </c>
      <c r="AB36" s="13">
        <v>106144.7145</v>
      </c>
      <c r="AC36" s="15">
        <f t="shared" si="3"/>
        <v>11.600000000165549</v>
      </c>
      <c r="AD36" s="20">
        <f t="shared" si="4"/>
        <v>9.1052108854652385</v>
      </c>
      <c r="AE36" s="22">
        <f t="shared" si="5"/>
        <v>106144.7145</v>
      </c>
      <c r="AF36" s="10">
        <v>-9999</v>
      </c>
      <c r="AG36" s="10">
        <v>-9999</v>
      </c>
      <c r="AH36" s="10">
        <v>-9999</v>
      </c>
      <c r="AI36" s="10">
        <v>-9999</v>
      </c>
      <c r="AJ36" s="10">
        <v>-9999</v>
      </c>
      <c r="AK36" s="18">
        <v>-9999</v>
      </c>
      <c r="AL36" s="18">
        <v>-9999</v>
      </c>
      <c r="AM36" s="18">
        <v>-9999</v>
      </c>
      <c r="AN36" s="18">
        <v>-9999</v>
      </c>
      <c r="AO36" s="18">
        <v>-9999</v>
      </c>
      <c r="AP36" s="15">
        <f t="shared" si="6"/>
        <v>0</v>
      </c>
      <c r="AQ36" s="20">
        <f t="shared" si="7"/>
        <v>0</v>
      </c>
      <c r="AR36" s="21">
        <f t="shared" si="8"/>
        <v>0</v>
      </c>
      <c r="AS36" s="10">
        <v>-9999</v>
      </c>
      <c r="AT36" s="10">
        <v>-9999</v>
      </c>
      <c r="AU36" s="10">
        <v>-9999</v>
      </c>
      <c r="AV36" s="10">
        <v>-9999</v>
      </c>
      <c r="AW36" s="10">
        <v>-9999</v>
      </c>
      <c r="AX36" s="18">
        <v>-9999</v>
      </c>
      <c r="AY36" s="18">
        <v>-9999</v>
      </c>
      <c r="AZ36" s="18">
        <v>-9999</v>
      </c>
      <c r="BA36" s="18">
        <v>-9999</v>
      </c>
      <c r="BB36" s="18">
        <v>-9999</v>
      </c>
      <c r="BC36" s="23">
        <f t="shared" si="9"/>
        <v>0</v>
      </c>
      <c r="BD36" s="20">
        <f t="shared" si="10"/>
        <v>0</v>
      </c>
      <c r="BE36" s="20">
        <f t="shared" si="11"/>
        <v>0</v>
      </c>
      <c r="BF36" s="10">
        <v>0</v>
      </c>
      <c r="BG36" s="10">
        <v>0</v>
      </c>
      <c r="BH36" s="10">
        <v>0</v>
      </c>
      <c r="BI36" s="10">
        <v>0</v>
      </c>
      <c r="BJ36" s="10">
        <v>878377.74990000005</v>
      </c>
      <c r="BK36" s="10">
        <v>0</v>
      </c>
      <c r="BL36" s="10">
        <v>0</v>
      </c>
      <c r="BM36" s="10">
        <v>0</v>
      </c>
      <c r="BN36" s="10">
        <v>0</v>
      </c>
      <c r="BO36" s="10">
        <v>339528.03129999997</v>
      </c>
      <c r="BQ36" s="10">
        <v>3161650.9649999999</v>
      </c>
      <c r="BR36" s="10">
        <v>3161650.9649999999</v>
      </c>
      <c r="BS36" s="10">
        <v>3262797.6940000001</v>
      </c>
      <c r="BT36" s="10">
        <v>3262797.6940000001</v>
      </c>
      <c r="BV36" s="10">
        <v>6658329.1490000002</v>
      </c>
      <c r="BW36" s="10">
        <v>6658329.1490000002</v>
      </c>
      <c r="BX36" s="10">
        <v>6871340.7110000001</v>
      </c>
      <c r="BY36" s="10">
        <v>6871340.7110000001</v>
      </c>
      <c r="CA36" s="10">
        <v>129071.48609999999</v>
      </c>
      <c r="CB36" s="10">
        <v>2065143.7779999999</v>
      </c>
      <c r="CC36" s="10">
        <v>2581429.7230000002</v>
      </c>
      <c r="CD36" s="10">
        <v>2581429.7230000002</v>
      </c>
      <c r="CF36" s="10">
        <v>59987.895100000002</v>
      </c>
      <c r="CG36" s="10">
        <v>959806.32160000002</v>
      </c>
      <c r="CH36" s="10">
        <v>1199757.902</v>
      </c>
      <c r="CI36" s="10">
        <v>1199757.902</v>
      </c>
      <c r="CK36" s="10">
        <v>13090.199710000001</v>
      </c>
      <c r="CL36" s="10">
        <v>1128028.1510000001</v>
      </c>
      <c r="CM36" s="10">
        <v>1141693.5390000001</v>
      </c>
      <c r="CN36" s="10">
        <v>1141693.5390000001</v>
      </c>
      <c r="CP36" s="10">
        <v>288.80894000000001</v>
      </c>
      <c r="CQ36" s="10">
        <v>15273.70614</v>
      </c>
      <c r="CR36" s="10">
        <v>15997.732389999999</v>
      </c>
      <c r="CS36" s="10">
        <v>15997.732389999999</v>
      </c>
      <c r="CT36" s="23">
        <f t="shared" si="12"/>
        <v>50.139846119949006</v>
      </c>
      <c r="CU36" s="20">
        <f t="shared" si="13"/>
        <v>71.36596057286593</v>
      </c>
      <c r="CV36" s="20">
        <f t="shared" si="14"/>
        <v>15997.732389999999</v>
      </c>
      <c r="CX36" s="10">
        <v>1604.4572780000001</v>
      </c>
      <c r="CY36" s="10">
        <v>76807.240109999999</v>
      </c>
      <c r="CZ36" s="10">
        <v>97094.273539999995</v>
      </c>
      <c r="DA36" s="10">
        <v>98432.96183</v>
      </c>
      <c r="DC36" s="10">
        <v>1016.811682</v>
      </c>
      <c r="DD36" s="10">
        <v>38505.527099999999</v>
      </c>
      <c r="DE36" s="10">
        <v>48013.967380000002</v>
      </c>
      <c r="DF36" s="10">
        <v>48675.960449999999</v>
      </c>
      <c r="DG36" s="23">
        <f t="shared" si="15"/>
        <v>59.786090834580023</v>
      </c>
      <c r="DH36" s="20">
        <f t="shared" si="16"/>
        <v>2.022208928738602</v>
      </c>
      <c r="DI36" s="20">
        <f t="shared" si="17"/>
        <v>48013.967380000002</v>
      </c>
      <c r="DK36" s="10">
        <v>754758.48300000001</v>
      </c>
      <c r="DL36" s="10">
        <v>851528.1973</v>
      </c>
      <c r="DM36" s="10">
        <v>1103927.2169999999</v>
      </c>
      <c r="DN36" s="10">
        <v>1330382.3489999999</v>
      </c>
      <c r="DO36" s="10">
        <v>-9999</v>
      </c>
      <c r="DP36" s="10">
        <v>-9999</v>
      </c>
      <c r="DQ36" s="10">
        <v>-9999</v>
      </c>
      <c r="DR36" s="10">
        <v>-9999</v>
      </c>
      <c r="DS36" s="10">
        <v>-9999</v>
      </c>
      <c r="DU36" s="10">
        <v>164576</v>
      </c>
      <c r="DV36" s="10">
        <v>244165</v>
      </c>
      <c r="DW36" s="10">
        <v>360768</v>
      </c>
      <c r="DX36" s="10">
        <v>360768</v>
      </c>
      <c r="DY36" s="10">
        <v>-9999</v>
      </c>
      <c r="DZ36" s="10">
        <v>-9999</v>
      </c>
      <c r="EA36" s="10">
        <v>-9999</v>
      </c>
      <c r="EB36" s="10">
        <v>-9999</v>
      </c>
      <c r="EC36" s="10">
        <v>-9999</v>
      </c>
    </row>
    <row r="37" spans="1:133" x14ac:dyDescent="0.8">
      <c r="A37" s="10" t="s">
        <v>30</v>
      </c>
      <c r="B37" s="10" t="s">
        <v>224</v>
      </c>
      <c r="C37" s="10">
        <v>40</v>
      </c>
      <c r="D37" s="10">
        <v>145138415.5</v>
      </c>
      <c r="E37" s="10">
        <v>135956394.90000001</v>
      </c>
      <c r="F37" s="10"/>
      <c r="G37" s="10">
        <v>248463.54269999999</v>
      </c>
      <c r="H37" s="10">
        <v>5842442.733</v>
      </c>
      <c r="I37" s="11">
        <v>5842442.733</v>
      </c>
      <c r="J37" s="10">
        <v>7098958.3629999999</v>
      </c>
      <c r="K37" s="13"/>
      <c r="L37" s="13">
        <v>87265.284780000002</v>
      </c>
      <c r="M37" s="13">
        <v>2051980.8389999999</v>
      </c>
      <c r="N37" s="14">
        <v>2051980.8389999999</v>
      </c>
      <c r="O37" s="13">
        <v>2493293.8509999998</v>
      </c>
      <c r="P37" s="15">
        <f t="shared" si="0"/>
        <v>48.298906439961499</v>
      </c>
      <c r="Q37" s="20">
        <f t="shared" si="1"/>
        <v>2.8472209008770379</v>
      </c>
      <c r="R37" s="21">
        <f t="shared" si="2"/>
        <v>2051980.8389999999</v>
      </c>
      <c r="T37" s="10">
        <v>766260.58810000005</v>
      </c>
      <c r="U37" s="10">
        <v>798188.11259999999</v>
      </c>
      <c r="V37" s="16">
        <v>798188.11259999999</v>
      </c>
      <c r="W37" s="10">
        <v>798188.11259999999</v>
      </c>
      <c r="X37" s="13"/>
      <c r="Y37" s="13">
        <v>155398.4234</v>
      </c>
      <c r="Z37" s="13">
        <v>161873.35769999999</v>
      </c>
      <c r="AA37" s="17">
        <v>161873.35769999999</v>
      </c>
      <c r="AB37" s="13">
        <v>161873.35769999999</v>
      </c>
      <c r="AC37" s="15">
        <f t="shared" si="3"/>
        <v>11.599999999799545</v>
      </c>
      <c r="AD37" s="20">
        <f t="shared" si="4"/>
        <v>4.9309418420743611</v>
      </c>
      <c r="AE37" s="22">
        <f t="shared" si="5"/>
        <v>161873.35769999999</v>
      </c>
      <c r="AF37" s="10">
        <v>-9999</v>
      </c>
      <c r="AG37" s="10">
        <v>-9999</v>
      </c>
      <c r="AH37" s="10">
        <v>-9999</v>
      </c>
      <c r="AI37" s="10">
        <v>-9999</v>
      </c>
      <c r="AJ37" s="10">
        <v>-9999</v>
      </c>
      <c r="AK37" s="18">
        <v>-9999</v>
      </c>
      <c r="AL37" s="18">
        <v>-9999</v>
      </c>
      <c r="AM37" s="18">
        <v>-9999</v>
      </c>
      <c r="AN37" s="18">
        <v>-9999</v>
      </c>
      <c r="AO37" s="18">
        <v>-9999</v>
      </c>
      <c r="AP37" s="15">
        <f t="shared" si="6"/>
        <v>0</v>
      </c>
      <c r="AQ37" s="20">
        <f t="shared" si="7"/>
        <v>0</v>
      </c>
      <c r="AR37" s="21">
        <f t="shared" si="8"/>
        <v>0</v>
      </c>
      <c r="AS37" s="10">
        <v>-9999</v>
      </c>
      <c r="AT37" s="10">
        <v>-9999</v>
      </c>
      <c r="AU37" s="10">
        <v>-9999</v>
      </c>
      <c r="AV37" s="10">
        <v>-9999</v>
      </c>
      <c r="AW37" s="10">
        <v>-9999</v>
      </c>
      <c r="AX37" s="18">
        <v>-9999</v>
      </c>
      <c r="AY37" s="18">
        <v>-9999</v>
      </c>
      <c r="AZ37" s="18">
        <v>-9999</v>
      </c>
      <c r="BA37" s="18">
        <v>-9999</v>
      </c>
      <c r="BB37" s="18">
        <v>-9999</v>
      </c>
      <c r="BC37" s="23">
        <f t="shared" si="9"/>
        <v>0</v>
      </c>
      <c r="BD37" s="20">
        <f t="shared" si="10"/>
        <v>0</v>
      </c>
      <c r="BE37" s="20">
        <f t="shared" si="11"/>
        <v>0</v>
      </c>
      <c r="BF37" s="10">
        <v>0</v>
      </c>
      <c r="BG37" s="10">
        <v>0</v>
      </c>
      <c r="BH37" s="10">
        <v>0</v>
      </c>
      <c r="BI37" s="10">
        <v>0</v>
      </c>
      <c r="BJ37" s="10">
        <v>238997.2746</v>
      </c>
      <c r="BK37" s="10">
        <v>0</v>
      </c>
      <c r="BL37" s="10">
        <v>0</v>
      </c>
      <c r="BM37" s="10">
        <v>0</v>
      </c>
      <c r="BN37" s="10">
        <v>0</v>
      </c>
      <c r="BO37" s="10">
        <v>69008.224660000007</v>
      </c>
      <c r="BQ37" s="10">
        <v>3157653.27</v>
      </c>
      <c r="BR37" s="10">
        <v>3157653.27</v>
      </c>
      <c r="BS37" s="10">
        <v>3258672.105</v>
      </c>
      <c r="BT37" s="10">
        <v>3258672.105</v>
      </c>
      <c r="BV37" s="10">
        <v>6649910.1390000004</v>
      </c>
      <c r="BW37" s="10">
        <v>6649910.1390000004</v>
      </c>
      <c r="BX37" s="10">
        <v>6862652.3619999997</v>
      </c>
      <c r="BY37" s="10">
        <v>6862652.3619999997</v>
      </c>
      <c r="CA37" s="10">
        <v>128908.28389999999</v>
      </c>
      <c r="CB37" s="10">
        <v>2062532.5430000001</v>
      </c>
      <c r="CC37" s="10">
        <v>2578165.6779999998</v>
      </c>
      <c r="CD37" s="10">
        <v>2578165.6779999998</v>
      </c>
      <c r="CF37" s="10">
        <v>59912.044430000002</v>
      </c>
      <c r="CG37" s="10">
        <v>958592.71089999995</v>
      </c>
      <c r="CH37" s="10">
        <v>1198240.889</v>
      </c>
      <c r="CI37" s="10">
        <v>1198240.889</v>
      </c>
      <c r="CK37" s="10">
        <v>1544880.017</v>
      </c>
      <c r="CL37" s="10">
        <v>4005499.5249999999</v>
      </c>
      <c r="CM37" s="10">
        <v>3630843.5630000001</v>
      </c>
      <c r="CN37" s="10">
        <v>3630843.5630000001</v>
      </c>
      <c r="CP37" s="10">
        <v>995.60716200000002</v>
      </c>
      <c r="CQ37" s="10">
        <v>71611.544940000007</v>
      </c>
      <c r="CR37" s="10">
        <v>71611.544940000007</v>
      </c>
      <c r="CS37" s="10">
        <v>71611.544940000007</v>
      </c>
      <c r="CT37" s="23">
        <f t="shared" si="12"/>
        <v>27.821132366974414</v>
      </c>
      <c r="CU37" s="20">
        <f t="shared" si="13"/>
        <v>50.701930338775902</v>
      </c>
      <c r="CV37" s="20">
        <f t="shared" si="14"/>
        <v>71611.544940000007</v>
      </c>
      <c r="CX37" s="10">
        <v>4523.302068</v>
      </c>
      <c r="CY37" s="10">
        <v>216535.7426</v>
      </c>
      <c r="CZ37" s="10">
        <v>273729.15090000001</v>
      </c>
      <c r="DA37" s="10">
        <v>277503.19439999998</v>
      </c>
      <c r="DC37" s="10">
        <v>4551.611046</v>
      </c>
      <c r="DD37" s="10">
        <v>172364.44630000001</v>
      </c>
      <c r="DE37" s="10">
        <v>214927.6097</v>
      </c>
      <c r="DF37" s="10">
        <v>217890.92629999999</v>
      </c>
      <c r="DG37" s="23">
        <f t="shared" si="15"/>
        <v>59.78609082544741</v>
      </c>
      <c r="DH37" s="20">
        <f t="shared" si="16"/>
        <v>1.2735876571747868</v>
      </c>
      <c r="DI37" s="20">
        <f t="shared" si="17"/>
        <v>214927.6097</v>
      </c>
      <c r="DK37" s="10">
        <v>567390.22600000002</v>
      </c>
      <c r="DL37" s="10">
        <v>640253.43929999997</v>
      </c>
      <c r="DM37" s="10">
        <v>793789.60530000005</v>
      </c>
      <c r="DN37" s="10">
        <v>964815.96160000004</v>
      </c>
      <c r="DO37" s="10">
        <v>-9999</v>
      </c>
      <c r="DP37" s="10">
        <v>-9999</v>
      </c>
      <c r="DQ37" s="10">
        <v>-9999</v>
      </c>
      <c r="DR37" s="10">
        <v>-9999</v>
      </c>
      <c r="DS37" s="10">
        <v>-9999</v>
      </c>
      <c r="DU37" s="10">
        <v>366452</v>
      </c>
      <c r="DV37" s="10">
        <v>821292</v>
      </c>
      <c r="DW37" s="10">
        <v>832590</v>
      </c>
      <c r="DX37" s="10">
        <v>832590</v>
      </c>
      <c r="DY37" s="10">
        <v>-9999</v>
      </c>
      <c r="DZ37" s="10">
        <v>-9999</v>
      </c>
      <c r="EA37" s="10">
        <v>-9999</v>
      </c>
      <c r="EB37" s="10">
        <v>-9999</v>
      </c>
      <c r="EC37" s="10">
        <v>-9999</v>
      </c>
    </row>
    <row r="38" spans="1:133" x14ac:dyDescent="0.8">
      <c r="A38" s="10" t="s">
        <v>45</v>
      </c>
      <c r="B38" s="10" t="s">
        <v>225</v>
      </c>
      <c r="C38" s="10">
        <v>41</v>
      </c>
      <c r="D38" s="10">
        <v>50191238.390000001</v>
      </c>
      <c r="E38" s="10">
        <v>51946273.390000001</v>
      </c>
      <c r="F38" s="10">
        <v>0</v>
      </c>
      <c r="G38" s="10">
        <v>195225.08180000001</v>
      </c>
      <c r="H38" s="10">
        <v>4590578.352</v>
      </c>
      <c r="I38" s="11">
        <v>4590578.352</v>
      </c>
      <c r="J38" s="10">
        <v>5577859.4800000004</v>
      </c>
      <c r="K38" s="13">
        <v>0</v>
      </c>
      <c r="L38" s="13">
        <v>184429.43640000001</v>
      </c>
      <c r="M38" s="13">
        <v>4336726.4610000001</v>
      </c>
      <c r="N38" s="14">
        <v>4336726.4610000001</v>
      </c>
      <c r="O38" s="13">
        <v>5269412.4680000003</v>
      </c>
      <c r="P38" s="15">
        <f t="shared" si="0"/>
        <v>48.298906439839371</v>
      </c>
      <c r="Q38" s="20">
        <f t="shared" si="1"/>
        <v>1.0585353706955878</v>
      </c>
      <c r="R38" s="21">
        <f t="shared" si="2"/>
        <v>4336726.4610000001</v>
      </c>
      <c r="S38" s="10">
        <v>0</v>
      </c>
      <c r="T38" s="10">
        <v>1621819.0789999999</v>
      </c>
      <c r="U38" s="10">
        <v>1689394.8740000001</v>
      </c>
      <c r="V38" s="16">
        <v>1689394.8740000001</v>
      </c>
      <c r="W38" s="10">
        <v>1689394.8740000001</v>
      </c>
      <c r="X38" s="13">
        <v>0</v>
      </c>
      <c r="Y38" s="13">
        <v>313921.6349</v>
      </c>
      <c r="Z38" s="13">
        <v>327001.70299999998</v>
      </c>
      <c r="AA38" s="17">
        <v>327001.70299999998</v>
      </c>
      <c r="AB38" s="13">
        <v>327001.70299999998</v>
      </c>
      <c r="AC38" s="15">
        <f t="shared" si="3"/>
        <v>11.600000000947087</v>
      </c>
      <c r="AD38" s="20">
        <f t="shared" si="4"/>
        <v>5.1663182744953478</v>
      </c>
      <c r="AE38" s="22">
        <f t="shared" si="5"/>
        <v>327001.70299999998</v>
      </c>
      <c r="AF38" s="10">
        <v>-9999</v>
      </c>
      <c r="AG38" s="10">
        <v>-9999</v>
      </c>
      <c r="AH38" s="10">
        <v>-9999</v>
      </c>
      <c r="AI38" s="10">
        <v>-9999</v>
      </c>
      <c r="AJ38" s="10">
        <v>-9999</v>
      </c>
      <c r="AK38" s="18">
        <v>-9999</v>
      </c>
      <c r="AL38" s="18">
        <v>-9999</v>
      </c>
      <c r="AM38" s="18">
        <v>-9999</v>
      </c>
      <c r="AN38" s="18">
        <v>-9999</v>
      </c>
      <c r="AO38" s="18">
        <v>-9999</v>
      </c>
      <c r="AP38" s="15">
        <f t="shared" si="6"/>
        <v>0</v>
      </c>
      <c r="AQ38" s="20">
        <f t="shared" si="7"/>
        <v>0</v>
      </c>
      <c r="AR38" s="21">
        <f t="shared" si="8"/>
        <v>0</v>
      </c>
      <c r="AS38" s="10">
        <v>0</v>
      </c>
      <c r="AT38" s="10">
        <v>0</v>
      </c>
      <c r="AU38" s="10">
        <v>0</v>
      </c>
      <c r="AV38" s="10">
        <v>1818135.727</v>
      </c>
      <c r="AW38" s="10">
        <v>2701882.3730000001</v>
      </c>
      <c r="AX38" s="18">
        <v>-9999</v>
      </c>
      <c r="AY38" s="18">
        <v>0</v>
      </c>
      <c r="AZ38" s="18">
        <v>0</v>
      </c>
      <c r="BA38" s="18">
        <v>1444646.291</v>
      </c>
      <c r="BB38" s="18">
        <v>2461453.2579999999</v>
      </c>
      <c r="BC38" s="23">
        <f t="shared" si="9"/>
        <v>100</v>
      </c>
      <c r="BD38" s="20">
        <f t="shared" si="10"/>
        <v>1.2585334820895615</v>
      </c>
      <c r="BE38" s="20">
        <f t="shared" si="11"/>
        <v>1444646.291</v>
      </c>
      <c r="BF38" s="10">
        <v>0</v>
      </c>
      <c r="BG38" s="10">
        <v>0</v>
      </c>
      <c r="BH38" s="10">
        <v>0</v>
      </c>
      <c r="BI38" s="10">
        <v>0</v>
      </c>
      <c r="BJ38" s="10">
        <v>228065.12179999999</v>
      </c>
      <c r="BK38" s="10">
        <v>0</v>
      </c>
      <c r="BL38" s="10">
        <v>0</v>
      </c>
      <c r="BM38" s="10">
        <v>0</v>
      </c>
      <c r="BN38" s="10">
        <v>0</v>
      </c>
      <c r="BO38" s="10">
        <v>90341.957649999997</v>
      </c>
      <c r="BQ38" s="10">
        <v>667089.10160000005</v>
      </c>
      <c r="BR38" s="10">
        <v>667089.10160000005</v>
      </c>
      <c r="BS38" s="10">
        <v>688430.44539999997</v>
      </c>
      <c r="BT38" s="10">
        <v>688430.44539999997</v>
      </c>
      <c r="BV38" s="10">
        <v>1404866.906</v>
      </c>
      <c r="BW38" s="10">
        <v>1404866.906</v>
      </c>
      <c r="BX38" s="10">
        <v>1449811.0490000001</v>
      </c>
      <c r="BY38" s="10">
        <v>1449811.0490000001</v>
      </c>
      <c r="CA38" s="10">
        <v>27233.297630000001</v>
      </c>
      <c r="CB38" s="10">
        <v>435732.76209999999</v>
      </c>
      <c r="CC38" s="10">
        <v>544665.95259999996</v>
      </c>
      <c r="CD38" s="10">
        <v>544665.95259999996</v>
      </c>
      <c r="CF38" s="10">
        <v>12657.08058</v>
      </c>
      <c r="CG38" s="10">
        <v>202513.28940000001</v>
      </c>
      <c r="CH38" s="10">
        <v>253141.61170000001</v>
      </c>
      <c r="CI38" s="10">
        <v>253141.61170000001</v>
      </c>
      <c r="CJ38" s="10">
        <v>0</v>
      </c>
      <c r="CK38" s="10">
        <v>38036.24482</v>
      </c>
      <c r="CL38" s="10">
        <v>1184730.8829999999</v>
      </c>
      <c r="CM38" s="10">
        <v>1073916.6170000001</v>
      </c>
      <c r="CN38" s="10">
        <v>1073916.6170000001</v>
      </c>
      <c r="CO38" s="10">
        <v>0</v>
      </c>
      <c r="CP38" s="10">
        <v>189.41404120000001</v>
      </c>
      <c r="CQ38" s="10">
        <v>15748.51426</v>
      </c>
      <c r="CR38" s="10">
        <v>15878.59065</v>
      </c>
      <c r="CS38" s="10">
        <v>15878.59065</v>
      </c>
      <c r="CT38" s="23">
        <f t="shared" si="12"/>
        <v>43.423918597583274</v>
      </c>
      <c r="CU38" s="20">
        <f t="shared" si="13"/>
        <v>67.632993423128525</v>
      </c>
      <c r="CV38" s="20">
        <f t="shared" si="14"/>
        <v>15878.59065</v>
      </c>
      <c r="CX38" s="10">
        <v>1297.835296</v>
      </c>
      <c r="CY38" s="10">
        <v>62128.888440000002</v>
      </c>
      <c r="CZ38" s="10">
        <v>78538.940870000006</v>
      </c>
      <c r="DA38" s="10">
        <v>79621.797309999994</v>
      </c>
      <c r="DC38" s="10">
        <v>1009.239064</v>
      </c>
      <c r="DD38" s="10">
        <v>38218.760499999997</v>
      </c>
      <c r="DE38" s="10">
        <v>47656.387490000001</v>
      </c>
      <c r="DF38" s="10">
        <v>48313.450420000001</v>
      </c>
      <c r="DG38" s="23">
        <f t="shared" si="15"/>
        <v>59.786090837820076</v>
      </c>
      <c r="DH38" s="20">
        <f t="shared" si="16"/>
        <v>1.6480254800362335</v>
      </c>
      <c r="DI38" s="20">
        <f t="shared" si="17"/>
        <v>47656.387490000001</v>
      </c>
      <c r="DJ38" s="10">
        <v>435502.2562</v>
      </c>
      <c r="DK38" s="10">
        <v>450307.14030000003</v>
      </c>
      <c r="DL38" s="10">
        <v>508109.8175</v>
      </c>
      <c r="DM38" s="10">
        <v>637713.33719999995</v>
      </c>
      <c r="DN38" s="10">
        <v>773278.96950000001</v>
      </c>
      <c r="DO38" s="10">
        <v>-9999</v>
      </c>
      <c r="DP38" s="10">
        <v>-9999</v>
      </c>
      <c r="DQ38" s="10">
        <v>-9999</v>
      </c>
      <c r="DR38" s="10">
        <v>-9999</v>
      </c>
      <c r="DS38" s="10">
        <v>-9999</v>
      </c>
      <c r="DT38" s="10">
        <v>0</v>
      </c>
      <c r="DU38" s="10">
        <v>107060</v>
      </c>
      <c r="DV38" s="10">
        <v>206354</v>
      </c>
      <c r="DW38" s="10">
        <v>228818</v>
      </c>
      <c r="DX38" s="10">
        <v>228818</v>
      </c>
      <c r="DY38" s="10">
        <v>-9999</v>
      </c>
      <c r="DZ38" s="10">
        <v>-9999</v>
      </c>
      <c r="EA38" s="10">
        <v>-9999</v>
      </c>
      <c r="EB38" s="10">
        <v>-9999</v>
      </c>
      <c r="EC38" s="10">
        <v>-9999</v>
      </c>
    </row>
    <row r="39" spans="1:133" x14ac:dyDescent="0.8">
      <c r="A39" s="10" t="s">
        <v>50</v>
      </c>
      <c r="B39" s="10" t="s">
        <v>226</v>
      </c>
      <c r="C39" s="10">
        <v>42</v>
      </c>
      <c r="D39" s="10">
        <v>295018394.39999998</v>
      </c>
      <c r="E39" s="10">
        <v>260466161.5</v>
      </c>
      <c r="F39" s="10"/>
      <c r="G39" s="10">
        <v>482574.44919999997</v>
      </c>
      <c r="H39" s="10">
        <v>11347393.48</v>
      </c>
      <c r="I39" s="11">
        <v>11347393.48</v>
      </c>
      <c r="J39" s="10">
        <v>13787841.41</v>
      </c>
      <c r="K39" s="13"/>
      <c r="L39" s="13">
        <v>110730.6793</v>
      </c>
      <c r="M39" s="13">
        <v>2603752.83</v>
      </c>
      <c r="N39" s="14">
        <v>2603752.83</v>
      </c>
      <c r="O39" s="13">
        <v>3163733.6940000001</v>
      </c>
      <c r="P39" s="15">
        <f t="shared" si="0"/>
        <v>48.298906440318483</v>
      </c>
      <c r="Q39" s="20">
        <f t="shared" si="1"/>
        <v>4.3580916549594306</v>
      </c>
      <c r="R39" s="21">
        <f t="shared" si="2"/>
        <v>2603752.83</v>
      </c>
      <c r="T39" s="10">
        <v>1075981.8700000001</v>
      </c>
      <c r="U39" s="10">
        <v>1120814.4480000001</v>
      </c>
      <c r="V39" s="16">
        <v>1120814.4480000001</v>
      </c>
      <c r="W39" s="10">
        <v>1120814.4480000001</v>
      </c>
      <c r="X39" s="13"/>
      <c r="Y39" s="13">
        <v>115015.21490000001</v>
      </c>
      <c r="Z39" s="13">
        <v>119807.51549999999</v>
      </c>
      <c r="AA39" s="17">
        <v>119807.51549999999</v>
      </c>
      <c r="AB39" s="13">
        <v>119807.51549999999</v>
      </c>
      <c r="AC39" s="15">
        <f t="shared" si="3"/>
        <v>11.600000002855065</v>
      </c>
      <c r="AD39" s="20">
        <f t="shared" si="4"/>
        <v>9.3551263735203669</v>
      </c>
      <c r="AE39" s="22">
        <f t="shared" si="5"/>
        <v>119807.51549999999</v>
      </c>
      <c r="AF39" s="10">
        <v>-9999</v>
      </c>
      <c r="AG39" s="10">
        <v>-9999</v>
      </c>
      <c r="AH39" s="10">
        <v>-9999</v>
      </c>
      <c r="AI39" s="10">
        <v>-9999</v>
      </c>
      <c r="AJ39" s="10">
        <v>-9999</v>
      </c>
      <c r="AK39" s="18">
        <v>-9999</v>
      </c>
      <c r="AL39" s="18">
        <v>-9999</v>
      </c>
      <c r="AM39" s="18">
        <v>-9999</v>
      </c>
      <c r="AN39" s="18">
        <v>-9999</v>
      </c>
      <c r="AO39" s="18">
        <v>-9999</v>
      </c>
      <c r="AP39" s="15">
        <f t="shared" si="6"/>
        <v>0</v>
      </c>
      <c r="AQ39" s="20">
        <f t="shared" si="7"/>
        <v>0</v>
      </c>
      <c r="AR39" s="21">
        <f t="shared" si="8"/>
        <v>0</v>
      </c>
      <c r="AS39" s="10">
        <v>-9999</v>
      </c>
      <c r="AT39" s="10">
        <v>-9999</v>
      </c>
      <c r="AU39" s="10">
        <v>-9999</v>
      </c>
      <c r="AV39" s="10">
        <v>-9999</v>
      </c>
      <c r="AW39" s="10">
        <v>-9999</v>
      </c>
      <c r="AX39" s="18">
        <v>-9999</v>
      </c>
      <c r="AY39" s="18">
        <v>-9999</v>
      </c>
      <c r="AZ39" s="18">
        <v>-9999</v>
      </c>
      <c r="BA39" s="18">
        <v>-9999</v>
      </c>
      <c r="BB39" s="18">
        <v>-9999</v>
      </c>
      <c r="BC39" s="23">
        <f t="shared" si="9"/>
        <v>0</v>
      </c>
      <c r="BD39" s="20">
        <f t="shared" si="10"/>
        <v>0</v>
      </c>
      <c r="BE39" s="20">
        <f t="shared" si="11"/>
        <v>0</v>
      </c>
      <c r="BF39" s="10">
        <v>0</v>
      </c>
      <c r="BG39" s="10">
        <v>0</v>
      </c>
      <c r="BH39" s="10">
        <v>0</v>
      </c>
      <c r="BI39" s="10">
        <v>0</v>
      </c>
      <c r="BJ39" s="10">
        <v>1022273.066</v>
      </c>
      <c r="BK39" s="10">
        <v>0</v>
      </c>
      <c r="BL39" s="10">
        <v>0</v>
      </c>
      <c r="BM39" s="10">
        <v>0</v>
      </c>
      <c r="BN39" s="10">
        <v>0</v>
      </c>
      <c r="BO39" s="10">
        <v>401627.16739999998</v>
      </c>
      <c r="BQ39" s="10">
        <v>1156596.3700000001</v>
      </c>
      <c r="BR39" s="10">
        <v>1156596.3700000001</v>
      </c>
      <c r="BS39" s="10">
        <v>1193597.905</v>
      </c>
      <c r="BT39" s="10">
        <v>1193597.905</v>
      </c>
      <c r="BV39" s="10">
        <v>2435752.5260000001</v>
      </c>
      <c r="BW39" s="10">
        <v>2435752.5260000001</v>
      </c>
      <c r="BX39" s="10">
        <v>2513676.497</v>
      </c>
      <c r="BY39" s="10">
        <v>2513676.497</v>
      </c>
      <c r="CA39" s="10">
        <v>47216.980620000002</v>
      </c>
      <c r="CB39" s="10">
        <v>755471.69</v>
      </c>
      <c r="CC39" s="10">
        <v>944339.61250000005</v>
      </c>
      <c r="CD39" s="10">
        <v>944339.61250000005</v>
      </c>
      <c r="CF39" s="10">
        <v>21944.794819999999</v>
      </c>
      <c r="CG39" s="10">
        <v>351116.71710000001</v>
      </c>
      <c r="CH39" s="10">
        <v>438895.89640000003</v>
      </c>
      <c r="CI39" s="10">
        <v>438895.89640000003</v>
      </c>
      <c r="CK39" s="10">
        <v>323182.23879999999</v>
      </c>
      <c r="CL39" s="10">
        <v>1305619.2069999999</v>
      </c>
      <c r="CM39" s="10">
        <v>1208533.108</v>
      </c>
      <c r="CN39" s="10">
        <v>1208533.108</v>
      </c>
      <c r="CP39" s="10">
        <v>0</v>
      </c>
      <c r="CQ39" s="10">
        <v>17380.13723</v>
      </c>
      <c r="CR39" s="10">
        <v>17948.94469</v>
      </c>
      <c r="CS39" s="10">
        <v>17948.94469</v>
      </c>
      <c r="CT39" s="23">
        <f t="shared" si="12"/>
        <v>35.286630226103824</v>
      </c>
      <c r="CU39" s="20">
        <f t="shared" si="13"/>
        <v>67.331708291090621</v>
      </c>
      <c r="CV39" s="20">
        <f t="shared" si="14"/>
        <v>17948.94469</v>
      </c>
      <c r="CX39" s="10">
        <v>1589.7410970000001</v>
      </c>
      <c r="CY39" s="10">
        <v>76102.759399999995</v>
      </c>
      <c r="CZ39" s="10">
        <v>96203.718919999999</v>
      </c>
      <c r="DA39" s="10">
        <v>97530.128670000006</v>
      </c>
      <c r="DC39" s="10">
        <v>1140.8302249999999</v>
      </c>
      <c r="DD39" s="10">
        <v>43201.97135</v>
      </c>
      <c r="DE39" s="10">
        <v>53870.137589999998</v>
      </c>
      <c r="DF39" s="10">
        <v>54612.872660000001</v>
      </c>
      <c r="DG39" s="23">
        <f t="shared" si="15"/>
        <v>59.786090836081783</v>
      </c>
      <c r="DH39" s="20">
        <f t="shared" si="16"/>
        <v>1.7858450567213411</v>
      </c>
      <c r="DI39" s="20">
        <f t="shared" si="17"/>
        <v>53870.137589999998</v>
      </c>
      <c r="DK39" s="10">
        <v>224188.23639999999</v>
      </c>
      <c r="DL39" s="10">
        <v>253117.6698</v>
      </c>
      <c r="DM39" s="10">
        <v>270406.58049999998</v>
      </c>
      <c r="DN39" s="10">
        <v>338927.5673</v>
      </c>
      <c r="DO39" s="10">
        <v>-9999</v>
      </c>
      <c r="DP39" s="10">
        <v>-9999</v>
      </c>
      <c r="DQ39" s="10">
        <v>-9999</v>
      </c>
      <c r="DR39" s="10">
        <v>-9999</v>
      </c>
      <c r="DS39" s="10">
        <v>-9999</v>
      </c>
      <c r="DU39" s="10">
        <v>33962</v>
      </c>
      <c r="DV39" s="10">
        <v>99454</v>
      </c>
      <c r="DW39" s="10">
        <v>152977</v>
      </c>
      <c r="DX39" s="10">
        <v>152977</v>
      </c>
      <c r="DY39" s="10">
        <v>-9999</v>
      </c>
      <c r="DZ39" s="10">
        <v>-9999</v>
      </c>
      <c r="EA39" s="10">
        <v>-9999</v>
      </c>
      <c r="EB39" s="10">
        <v>-9999</v>
      </c>
      <c r="EC39" s="10">
        <v>-9999</v>
      </c>
    </row>
    <row r="40" spans="1:133" x14ac:dyDescent="0.8">
      <c r="A40" s="10" t="s">
        <v>52</v>
      </c>
      <c r="B40" s="10" t="s">
        <v>227</v>
      </c>
      <c r="C40" s="10">
        <v>44</v>
      </c>
      <c r="D40" s="10">
        <v>10848581.99</v>
      </c>
      <c r="E40" s="10">
        <v>9509835.2129999995</v>
      </c>
      <c r="F40" s="10">
        <v>0</v>
      </c>
      <c r="G40" s="10">
        <v>5435.8241559999997</v>
      </c>
      <c r="H40" s="10">
        <v>127819.5223</v>
      </c>
      <c r="I40" s="11">
        <v>127819.5223</v>
      </c>
      <c r="J40" s="10">
        <v>155309.2616</v>
      </c>
      <c r="K40" s="13">
        <v>0</v>
      </c>
      <c r="L40" s="13">
        <v>1179.177972</v>
      </c>
      <c r="M40" s="13">
        <v>27727.527740000001</v>
      </c>
      <c r="N40" s="14">
        <v>27727.527740000001</v>
      </c>
      <c r="O40" s="13">
        <v>33690.799200000001</v>
      </c>
      <c r="P40" s="15">
        <f t="shared" si="0"/>
        <v>48.298906439896776</v>
      </c>
      <c r="Q40" s="20">
        <f t="shared" si="1"/>
        <v>4.6098420132713924</v>
      </c>
      <c r="R40" s="21">
        <f t="shared" si="2"/>
        <v>27727.527740000001</v>
      </c>
      <c r="S40" s="10">
        <v>0</v>
      </c>
      <c r="T40" s="10">
        <v>0</v>
      </c>
      <c r="U40" s="10">
        <v>0</v>
      </c>
      <c r="V40" s="16">
        <v>0</v>
      </c>
      <c r="W40" s="10">
        <v>0</v>
      </c>
      <c r="X40" s="13">
        <v>0</v>
      </c>
      <c r="Y40" s="13">
        <v>0</v>
      </c>
      <c r="Z40" s="13">
        <v>0</v>
      </c>
      <c r="AA40" s="17">
        <v>0</v>
      </c>
      <c r="AB40" s="13">
        <v>0</v>
      </c>
      <c r="AC40" s="15" t="e">
        <f t="shared" si="3"/>
        <v>#DIV/0!</v>
      </c>
      <c r="AD40" s="20" t="e">
        <f t="shared" si="4"/>
        <v>#DIV/0!</v>
      </c>
      <c r="AE40" s="22">
        <f t="shared" si="5"/>
        <v>0</v>
      </c>
      <c r="AF40" s="10">
        <v>-9999</v>
      </c>
      <c r="AG40" s="10">
        <v>-9999</v>
      </c>
      <c r="AH40" s="10">
        <v>-9999</v>
      </c>
      <c r="AI40" s="10">
        <v>-9999</v>
      </c>
      <c r="AJ40" s="10">
        <v>-9999</v>
      </c>
      <c r="AK40" s="18">
        <v>-9999</v>
      </c>
      <c r="AL40" s="18">
        <v>-9999</v>
      </c>
      <c r="AM40" s="18">
        <v>-9999</v>
      </c>
      <c r="AN40" s="18">
        <v>-9999</v>
      </c>
      <c r="AO40" s="18">
        <v>-9999</v>
      </c>
      <c r="AP40" s="15">
        <f t="shared" si="6"/>
        <v>0</v>
      </c>
      <c r="AQ40" s="20">
        <f t="shared" si="7"/>
        <v>0</v>
      </c>
      <c r="AR40" s="21">
        <f t="shared" si="8"/>
        <v>0</v>
      </c>
      <c r="AS40" s="10">
        <v>-9999</v>
      </c>
      <c r="AT40" s="10">
        <v>-9999</v>
      </c>
      <c r="AU40" s="10">
        <v>-9999</v>
      </c>
      <c r="AV40" s="10">
        <v>-9999</v>
      </c>
      <c r="AW40" s="10">
        <v>-9999</v>
      </c>
      <c r="AX40" s="18">
        <v>-9999</v>
      </c>
      <c r="AY40" s="18">
        <v>-9999</v>
      </c>
      <c r="AZ40" s="18">
        <v>-9999</v>
      </c>
      <c r="BA40" s="18">
        <v>-9999</v>
      </c>
      <c r="BB40" s="18">
        <v>-9999</v>
      </c>
      <c r="BC40" s="23">
        <f t="shared" si="9"/>
        <v>0</v>
      </c>
      <c r="BD40" s="20">
        <f t="shared" si="10"/>
        <v>0</v>
      </c>
      <c r="BE40" s="20">
        <f t="shared" si="11"/>
        <v>0</v>
      </c>
      <c r="BF40" s="10">
        <v>0</v>
      </c>
      <c r="BG40" s="10">
        <v>0</v>
      </c>
      <c r="BH40" s="10">
        <v>0</v>
      </c>
      <c r="BI40" s="10">
        <v>0</v>
      </c>
      <c r="BJ40" s="10">
        <v>107949.0252</v>
      </c>
      <c r="BK40" s="10">
        <v>0</v>
      </c>
      <c r="BL40" s="10">
        <v>0</v>
      </c>
      <c r="BM40" s="10">
        <v>0</v>
      </c>
      <c r="BN40" s="10">
        <v>0</v>
      </c>
      <c r="BO40" s="10">
        <v>40109.2932</v>
      </c>
      <c r="BQ40" s="10">
        <v>2735.2652010000002</v>
      </c>
      <c r="BR40" s="10">
        <v>2735.2652010000002</v>
      </c>
      <c r="BS40" s="10">
        <v>2822.7711060000001</v>
      </c>
      <c r="BT40" s="10">
        <v>2822.7711060000001</v>
      </c>
      <c r="BV40" s="10">
        <v>5760.375266</v>
      </c>
      <c r="BW40" s="10">
        <v>5760.375266</v>
      </c>
      <c r="BX40" s="10">
        <v>5944.6597179999999</v>
      </c>
      <c r="BY40" s="10">
        <v>5944.6597179999999</v>
      </c>
      <c r="CA40" s="10">
        <v>111.66468039999999</v>
      </c>
      <c r="CB40" s="10">
        <v>1786.6348860000001</v>
      </c>
      <c r="CC40" s="10">
        <v>2233.2936079999999</v>
      </c>
      <c r="CD40" s="10">
        <v>2233.2936079999999</v>
      </c>
      <c r="CF40" s="10">
        <v>51.897822929999997</v>
      </c>
      <c r="CG40" s="10">
        <v>830.36516689999996</v>
      </c>
      <c r="CH40" s="10">
        <v>1037.956459</v>
      </c>
      <c r="CI40" s="10">
        <v>1037.956459</v>
      </c>
      <c r="CJ40" s="10">
        <v>-9999</v>
      </c>
      <c r="CK40" s="10">
        <v>-9999</v>
      </c>
      <c r="CL40" s="10">
        <v>-9999</v>
      </c>
      <c r="CM40" s="10">
        <v>-9999</v>
      </c>
      <c r="CN40" s="10">
        <v>-9999</v>
      </c>
      <c r="CO40" s="10">
        <v>-9999</v>
      </c>
      <c r="CP40" s="10">
        <v>-9999</v>
      </c>
      <c r="CQ40" s="10">
        <v>-9999</v>
      </c>
      <c r="CR40" s="10">
        <v>-9999</v>
      </c>
      <c r="CS40" s="10">
        <v>-9999</v>
      </c>
      <c r="CT40" s="23">
        <f t="shared" si="12"/>
        <v>0</v>
      </c>
      <c r="CU40" s="20">
        <f t="shared" si="13"/>
        <v>0</v>
      </c>
      <c r="CV40" s="20">
        <f t="shared" si="14"/>
        <v>0</v>
      </c>
      <c r="CX40" s="10">
        <v>0</v>
      </c>
      <c r="CY40" s="10">
        <v>0</v>
      </c>
      <c r="CZ40" s="10">
        <v>0</v>
      </c>
      <c r="DA40" s="10">
        <v>0</v>
      </c>
      <c r="DC40" s="10">
        <v>0</v>
      </c>
      <c r="DD40" s="10">
        <v>0</v>
      </c>
      <c r="DE40" s="10">
        <v>0</v>
      </c>
      <c r="DF40" s="10">
        <v>0</v>
      </c>
      <c r="DG40" s="23" t="e">
        <f t="shared" si="15"/>
        <v>#DIV/0!</v>
      </c>
      <c r="DH40" s="20" t="e">
        <f t="shared" si="16"/>
        <v>#DIV/0!</v>
      </c>
      <c r="DI40" s="20">
        <f t="shared" si="17"/>
        <v>0</v>
      </c>
      <c r="DJ40" s="10">
        <v>2603.2146520000001</v>
      </c>
      <c r="DK40" s="10">
        <v>2693.1357029999999</v>
      </c>
      <c r="DL40" s="10">
        <v>3040.7249219999999</v>
      </c>
      <c r="DM40" s="10">
        <v>3228.2827750000001</v>
      </c>
      <c r="DN40" s="10">
        <v>4051.8523580000001</v>
      </c>
      <c r="DO40" s="10">
        <v>-9999</v>
      </c>
      <c r="DP40" s="10">
        <v>-9999</v>
      </c>
      <c r="DQ40" s="10">
        <v>-9999</v>
      </c>
      <c r="DR40" s="10">
        <v>-9999</v>
      </c>
      <c r="DS40" s="10">
        <v>-9999</v>
      </c>
      <c r="DT40" s="10">
        <v>-9999</v>
      </c>
      <c r="DU40" s="10">
        <v>0</v>
      </c>
      <c r="DV40" s="10">
        <v>0</v>
      </c>
      <c r="DW40" s="10">
        <v>0</v>
      </c>
      <c r="DX40" s="10">
        <v>0</v>
      </c>
      <c r="DY40" s="10">
        <v>-9999</v>
      </c>
      <c r="DZ40" s="10">
        <v>-9999</v>
      </c>
      <c r="EA40" s="10">
        <v>-9999</v>
      </c>
      <c r="EB40" s="10">
        <v>-9999</v>
      </c>
      <c r="EC40" s="10">
        <v>-9999</v>
      </c>
    </row>
    <row r="41" spans="1:133" x14ac:dyDescent="0.8">
      <c r="A41" s="10" t="s">
        <v>35</v>
      </c>
      <c r="B41" s="10" t="s">
        <v>228</v>
      </c>
      <c r="C41" s="10">
        <v>45</v>
      </c>
      <c r="D41" s="10">
        <v>85405015.670000002</v>
      </c>
      <c r="E41" s="10">
        <v>49244946.32</v>
      </c>
      <c r="F41" s="10"/>
      <c r="G41" s="10">
        <v>215288.37700000001</v>
      </c>
      <c r="H41" s="10">
        <v>5062352.4069999997</v>
      </c>
      <c r="I41" s="11">
        <v>5062352.4069999997</v>
      </c>
      <c r="J41" s="10">
        <v>6151096.4850000003</v>
      </c>
      <c r="K41" s="13"/>
      <c r="L41" s="13">
        <v>82448.309399999998</v>
      </c>
      <c r="M41" s="13">
        <v>1938713.1040000001</v>
      </c>
      <c r="N41" s="14">
        <v>1938713.1040000001</v>
      </c>
      <c r="O41" s="13">
        <v>2355665.983</v>
      </c>
      <c r="P41" s="15">
        <f t="shared" si="0"/>
        <v>48.298906439604572</v>
      </c>
      <c r="Q41" s="20">
        <f t="shared" si="1"/>
        <v>2.6111921338723256</v>
      </c>
      <c r="R41" s="21">
        <f t="shared" si="2"/>
        <v>1938713.1040000001</v>
      </c>
      <c r="T41" s="10">
        <v>1456554.3359999999</v>
      </c>
      <c r="U41" s="10">
        <v>1517244.1</v>
      </c>
      <c r="V41" s="16">
        <v>1517244.1</v>
      </c>
      <c r="W41" s="10">
        <v>1517244.1</v>
      </c>
      <c r="X41" s="13"/>
      <c r="Y41" s="13">
        <v>280895.12339999998</v>
      </c>
      <c r="Z41" s="13">
        <v>292599.08689999999</v>
      </c>
      <c r="AA41" s="17">
        <v>292599.08689999999</v>
      </c>
      <c r="AB41" s="13">
        <v>292599.08689999999</v>
      </c>
      <c r="AC41" s="15">
        <f t="shared" si="3"/>
        <v>11.600000000000005</v>
      </c>
      <c r="AD41" s="20">
        <f t="shared" si="4"/>
        <v>5.1854027163062897</v>
      </c>
      <c r="AE41" s="22">
        <f t="shared" si="5"/>
        <v>292599.08689999999</v>
      </c>
      <c r="AF41" s="10">
        <v>-9999</v>
      </c>
      <c r="AG41" s="10">
        <v>-9999</v>
      </c>
      <c r="AH41" s="10">
        <v>-9999</v>
      </c>
      <c r="AI41" s="10">
        <v>-9999</v>
      </c>
      <c r="AJ41" s="10">
        <v>-9999</v>
      </c>
      <c r="AK41" s="18">
        <v>-9999</v>
      </c>
      <c r="AL41" s="18">
        <v>-9999</v>
      </c>
      <c r="AM41" s="18">
        <v>-9999</v>
      </c>
      <c r="AN41" s="18">
        <v>-9999</v>
      </c>
      <c r="AO41" s="18">
        <v>-9999</v>
      </c>
      <c r="AP41" s="15">
        <f t="shared" si="6"/>
        <v>0</v>
      </c>
      <c r="AQ41" s="20">
        <f t="shared" si="7"/>
        <v>0</v>
      </c>
      <c r="AR41" s="21">
        <f t="shared" si="8"/>
        <v>0</v>
      </c>
      <c r="AS41" s="10">
        <v>-9999</v>
      </c>
      <c r="AT41" s="10">
        <v>-9999</v>
      </c>
      <c r="AU41" s="10">
        <v>-9999</v>
      </c>
      <c r="AV41" s="10">
        <v>-9999</v>
      </c>
      <c r="AW41" s="10">
        <v>-9999</v>
      </c>
      <c r="AX41" s="18">
        <v>-9999</v>
      </c>
      <c r="AY41" s="18">
        <v>-9999</v>
      </c>
      <c r="AZ41" s="18">
        <v>-9999</v>
      </c>
      <c r="BA41" s="18">
        <v>-9999</v>
      </c>
      <c r="BB41" s="18">
        <v>-9999</v>
      </c>
      <c r="BC41" s="23">
        <f t="shared" si="9"/>
        <v>0</v>
      </c>
      <c r="BD41" s="20">
        <f t="shared" si="10"/>
        <v>0</v>
      </c>
      <c r="BE41" s="20">
        <f t="shared" si="11"/>
        <v>0</v>
      </c>
      <c r="BF41" s="10">
        <v>0</v>
      </c>
      <c r="BG41" s="10">
        <v>0</v>
      </c>
      <c r="BH41" s="10">
        <v>0</v>
      </c>
      <c r="BI41" s="10">
        <v>0</v>
      </c>
      <c r="BJ41" s="10">
        <v>545382.82070000004</v>
      </c>
      <c r="BK41" s="10">
        <v>0</v>
      </c>
      <c r="BL41" s="10">
        <v>0</v>
      </c>
      <c r="BM41" s="10">
        <v>0</v>
      </c>
      <c r="BN41" s="10">
        <v>0</v>
      </c>
      <c r="BO41" s="10">
        <v>154678.7819</v>
      </c>
      <c r="BQ41" s="10">
        <v>487403.21840000001</v>
      </c>
      <c r="BR41" s="10">
        <v>487403.21840000001</v>
      </c>
      <c r="BS41" s="10">
        <v>502996.09740000003</v>
      </c>
      <c r="BT41" s="10">
        <v>502996.09740000003</v>
      </c>
      <c r="BV41" s="10">
        <v>1026454.562</v>
      </c>
      <c r="BW41" s="10">
        <v>1026454.562</v>
      </c>
      <c r="BX41" s="10">
        <v>1059292.6340000001</v>
      </c>
      <c r="BY41" s="10">
        <v>1059292.6340000001</v>
      </c>
      <c r="CA41" s="10">
        <v>19897.787090000002</v>
      </c>
      <c r="CB41" s="10">
        <v>318364.59340000001</v>
      </c>
      <c r="CC41" s="10">
        <v>397955.74170000001</v>
      </c>
      <c r="CD41" s="10">
        <v>397955.74170000001</v>
      </c>
      <c r="CF41" s="10">
        <v>9247.7928319999992</v>
      </c>
      <c r="CG41" s="10">
        <v>147964.68530000001</v>
      </c>
      <c r="CH41" s="10">
        <v>184955.8566</v>
      </c>
      <c r="CI41" s="10">
        <v>184955.8566</v>
      </c>
      <c r="CK41" s="10">
        <v>36131.412839999997</v>
      </c>
      <c r="CL41" s="10">
        <v>125673.45080000001</v>
      </c>
      <c r="CM41" s="10">
        <v>113918.5355</v>
      </c>
      <c r="CN41" s="10">
        <v>113918.5355</v>
      </c>
      <c r="CP41" s="10">
        <v>473.53611690000002</v>
      </c>
      <c r="CQ41" s="10">
        <v>1894.063013</v>
      </c>
      <c r="CR41" s="10">
        <v>1894.063013</v>
      </c>
      <c r="CS41" s="10">
        <v>1894.063013</v>
      </c>
      <c r="CT41" s="23">
        <f t="shared" si="12"/>
        <v>32.153893835827972</v>
      </c>
      <c r="CU41" s="20">
        <f t="shared" si="13"/>
        <v>60.14506102390164</v>
      </c>
      <c r="CV41" s="20">
        <f t="shared" si="14"/>
        <v>1894.063013</v>
      </c>
      <c r="CX41" s="10">
        <v>173.42790450000001</v>
      </c>
      <c r="CY41" s="10">
        <v>8302.1959409999999</v>
      </c>
      <c r="CZ41" s="10">
        <v>10495.04816</v>
      </c>
      <c r="DA41" s="10">
        <v>10639.748740000001</v>
      </c>
      <c r="DC41" s="10">
        <v>120.38614920000001</v>
      </c>
      <c r="DD41" s="10">
        <v>4558.8895300000004</v>
      </c>
      <c r="DE41" s="10">
        <v>5684.6481439999998</v>
      </c>
      <c r="DF41" s="10">
        <v>5763.0252879999998</v>
      </c>
      <c r="DG41" s="23">
        <f t="shared" si="15"/>
        <v>59.786090850106213</v>
      </c>
      <c r="DH41" s="20">
        <f t="shared" si="16"/>
        <v>1.8462089287051573</v>
      </c>
      <c r="DI41" s="20">
        <f t="shared" si="17"/>
        <v>5684.6481439999998</v>
      </c>
      <c r="DK41" s="10">
        <v>111091.463</v>
      </c>
      <c r="DL41" s="10">
        <v>125427.0622</v>
      </c>
      <c r="DM41" s="10">
        <v>133911.5453</v>
      </c>
      <c r="DN41" s="10">
        <v>167867.38690000001</v>
      </c>
      <c r="DO41" s="10">
        <v>-9999</v>
      </c>
      <c r="DP41" s="10">
        <v>-9999</v>
      </c>
      <c r="DQ41" s="10">
        <v>-9999</v>
      </c>
      <c r="DR41" s="10">
        <v>-9999</v>
      </c>
      <c r="DS41" s="10">
        <v>-9999</v>
      </c>
      <c r="DU41" s="10">
        <v>13590</v>
      </c>
      <c r="DV41" s="10">
        <v>37686</v>
      </c>
      <c r="DW41" s="10">
        <v>46883</v>
      </c>
      <c r="DX41" s="10">
        <v>46883</v>
      </c>
      <c r="DY41" s="10">
        <v>-9999</v>
      </c>
      <c r="DZ41" s="10">
        <v>-9999</v>
      </c>
      <c r="EA41" s="10">
        <v>-9999</v>
      </c>
      <c r="EB41" s="10">
        <v>-9999</v>
      </c>
      <c r="EC41" s="10">
        <v>-9999</v>
      </c>
    </row>
    <row r="42" spans="1:133" x14ac:dyDescent="0.8">
      <c r="A42" s="10" t="s">
        <v>47</v>
      </c>
      <c r="B42" s="10" t="s">
        <v>229</v>
      </c>
      <c r="C42" s="10">
        <v>46</v>
      </c>
      <c r="D42" s="10">
        <v>36010909.299999997</v>
      </c>
      <c r="E42" s="10">
        <v>29424330.68</v>
      </c>
      <c r="F42" s="10"/>
      <c r="G42" s="10">
        <v>150838.77660000001</v>
      </c>
      <c r="H42" s="10">
        <v>3546866.0890000002</v>
      </c>
      <c r="I42" s="11">
        <v>3546866.0890000002</v>
      </c>
      <c r="J42" s="10">
        <v>4309679.3310000002</v>
      </c>
      <c r="K42" s="13"/>
      <c r="L42" s="13">
        <v>109331.7261</v>
      </c>
      <c r="M42" s="13">
        <v>2570857.4440000001</v>
      </c>
      <c r="N42" s="14">
        <v>2570857.4440000001</v>
      </c>
      <c r="O42" s="13">
        <v>3123763.602</v>
      </c>
      <c r="P42" s="15">
        <f t="shared" si="0"/>
        <v>48.298906439486949</v>
      </c>
      <c r="Q42" s="20">
        <f t="shared" si="1"/>
        <v>1.3796432382036037</v>
      </c>
      <c r="R42" s="21">
        <f t="shared" si="2"/>
        <v>2570857.4440000001</v>
      </c>
      <c r="T42" s="10">
        <v>15531.156080000001</v>
      </c>
      <c r="U42" s="10">
        <v>16178.28758</v>
      </c>
      <c r="V42" s="16">
        <v>16178.28758</v>
      </c>
      <c r="W42" s="10">
        <v>16178.28758</v>
      </c>
      <c r="X42" s="13"/>
      <c r="Y42" s="13">
        <v>5426.9250529999999</v>
      </c>
      <c r="Z42" s="13">
        <v>5653.0469300000004</v>
      </c>
      <c r="AA42" s="17">
        <v>5653.0469300000004</v>
      </c>
      <c r="AB42" s="13">
        <v>5653.0469300000004</v>
      </c>
      <c r="AC42" s="15">
        <f t="shared" si="3"/>
        <v>11.599999992088161</v>
      </c>
      <c r="AD42" s="20">
        <f t="shared" si="4"/>
        <v>2.8618703825266136</v>
      </c>
      <c r="AE42" s="22">
        <f t="shared" si="5"/>
        <v>5653.0469300000004</v>
      </c>
      <c r="AF42" s="10">
        <v>-9999</v>
      </c>
      <c r="AG42" s="10">
        <v>-9999</v>
      </c>
      <c r="AH42" s="10">
        <v>-9999</v>
      </c>
      <c r="AI42" s="10">
        <v>-9999</v>
      </c>
      <c r="AJ42" s="10">
        <v>-9999</v>
      </c>
      <c r="AK42" s="18">
        <v>-9999</v>
      </c>
      <c r="AL42" s="18">
        <v>-9999</v>
      </c>
      <c r="AM42" s="18">
        <v>-9999</v>
      </c>
      <c r="AN42" s="18">
        <v>-9999</v>
      </c>
      <c r="AO42" s="18">
        <v>-9999</v>
      </c>
      <c r="AP42" s="15">
        <f t="shared" si="6"/>
        <v>0</v>
      </c>
      <c r="AQ42" s="20">
        <f t="shared" si="7"/>
        <v>0</v>
      </c>
      <c r="AR42" s="21">
        <f t="shared" si="8"/>
        <v>0</v>
      </c>
      <c r="AS42" s="10">
        <v>0</v>
      </c>
      <c r="AT42" s="10">
        <v>0</v>
      </c>
      <c r="AU42" s="10">
        <v>1909849.023</v>
      </c>
      <c r="AV42" s="10">
        <v>1909849.023</v>
      </c>
      <c r="AW42" s="10">
        <v>1909849.023</v>
      </c>
      <c r="AX42" s="18">
        <v>-9999</v>
      </c>
      <c r="AY42" s="18">
        <v>0</v>
      </c>
      <c r="AZ42" s="18">
        <v>2857042.693</v>
      </c>
      <c r="BA42" s="18">
        <v>2857042.693</v>
      </c>
      <c r="BB42" s="18">
        <v>2857042.693</v>
      </c>
      <c r="BC42" s="23">
        <f t="shared" si="9"/>
        <v>50</v>
      </c>
      <c r="BD42" s="20">
        <f t="shared" si="10"/>
        <v>0.66847059292438793</v>
      </c>
      <c r="BE42" s="20">
        <f t="shared" si="11"/>
        <v>2857042.693</v>
      </c>
      <c r="BF42" s="10">
        <v>0</v>
      </c>
      <c r="BG42" s="10">
        <v>0</v>
      </c>
      <c r="BH42" s="10">
        <v>0</v>
      </c>
      <c r="BI42" s="10">
        <v>0</v>
      </c>
      <c r="BJ42" s="10">
        <v>28891.663229999998</v>
      </c>
      <c r="BK42" s="10">
        <v>0</v>
      </c>
      <c r="BL42" s="10">
        <v>0</v>
      </c>
      <c r="BM42" s="10">
        <v>0</v>
      </c>
      <c r="BN42" s="10">
        <v>0</v>
      </c>
      <c r="BO42" s="10">
        <v>11735.6333</v>
      </c>
      <c r="BQ42" s="10">
        <v>5577100.5429999996</v>
      </c>
      <c r="BR42" s="10">
        <v>5577100.5429999996</v>
      </c>
      <c r="BS42" s="10">
        <v>5755521.716</v>
      </c>
      <c r="BT42" s="10">
        <v>5755521.716</v>
      </c>
      <c r="BV42" s="10">
        <v>11745183.619999999</v>
      </c>
      <c r="BW42" s="10">
        <v>11745183.619999999</v>
      </c>
      <c r="BX42" s="10">
        <v>12120932.52</v>
      </c>
      <c r="BY42" s="10">
        <v>12120932.52</v>
      </c>
      <c r="CA42" s="10">
        <v>227679.98850000001</v>
      </c>
      <c r="CB42" s="10">
        <v>3642879.8160000001</v>
      </c>
      <c r="CC42" s="10">
        <v>4553599.7699999996</v>
      </c>
      <c r="CD42" s="10">
        <v>4553599.7699999996</v>
      </c>
      <c r="CF42" s="10">
        <v>105817.6649</v>
      </c>
      <c r="CG42" s="10">
        <v>1693082.638</v>
      </c>
      <c r="CH42" s="10">
        <v>2116353.298</v>
      </c>
      <c r="CI42" s="10">
        <v>2116353.298</v>
      </c>
      <c r="CK42" s="10">
        <v>1076948.5279999999</v>
      </c>
      <c r="CL42" s="10">
        <v>13836186.060000001</v>
      </c>
      <c r="CM42" s="10">
        <v>12652912.43</v>
      </c>
      <c r="CN42" s="10">
        <v>12652912.43</v>
      </c>
      <c r="CP42" s="10">
        <v>61316.860739999996</v>
      </c>
      <c r="CQ42" s="10">
        <v>175981.4492</v>
      </c>
      <c r="CR42" s="10">
        <v>175981.4492</v>
      </c>
      <c r="CS42" s="10">
        <v>175981.4492</v>
      </c>
      <c r="CT42" s="23">
        <f t="shared" si="12"/>
        <v>41.919518673219798</v>
      </c>
      <c r="CU42" s="20">
        <f t="shared" si="13"/>
        <v>71.899126229038913</v>
      </c>
      <c r="CV42" s="20">
        <f t="shared" si="14"/>
        <v>175981.4492</v>
      </c>
      <c r="CX42" s="10">
        <v>18022.1309</v>
      </c>
      <c r="CY42" s="10">
        <v>862740.41359999997</v>
      </c>
      <c r="CZ42" s="10">
        <v>1090615.3330000001</v>
      </c>
      <c r="DA42" s="10">
        <v>1105652.203</v>
      </c>
      <c r="DC42" s="10">
        <v>11185.33483</v>
      </c>
      <c r="DD42" s="10">
        <v>423576.18560000003</v>
      </c>
      <c r="DE42" s="10">
        <v>528172.8284</v>
      </c>
      <c r="DF42" s="10">
        <v>535455.01670000004</v>
      </c>
      <c r="DG42" s="23">
        <f t="shared" si="15"/>
        <v>59.786090852621456</v>
      </c>
      <c r="DH42" s="20">
        <f t="shared" si="16"/>
        <v>2.0648834516985919</v>
      </c>
      <c r="DI42" s="20">
        <f t="shared" si="17"/>
        <v>528172.8284</v>
      </c>
      <c r="DK42" s="10">
        <v>1540203.088</v>
      </c>
      <c r="DL42" s="10">
        <v>1738679.4410000001</v>
      </c>
      <c r="DM42" s="10">
        <v>1942200.068</v>
      </c>
      <c r="DN42" s="10">
        <v>2411102.66</v>
      </c>
      <c r="DO42" s="10">
        <v>-9999</v>
      </c>
      <c r="DP42" s="10">
        <v>-9999</v>
      </c>
      <c r="DQ42" s="10">
        <v>-9999</v>
      </c>
      <c r="DR42" s="10">
        <v>-9999</v>
      </c>
      <c r="DS42" s="10">
        <v>-9999</v>
      </c>
      <c r="DU42" s="10">
        <v>181354</v>
      </c>
      <c r="DV42" s="10">
        <v>208199</v>
      </c>
      <c r="DW42" s="10">
        <v>235678</v>
      </c>
      <c r="DX42" s="10">
        <v>235678</v>
      </c>
      <c r="DY42" s="10">
        <v>-9999</v>
      </c>
      <c r="DZ42" s="10">
        <v>-9999</v>
      </c>
      <c r="EA42" s="10">
        <v>-9999</v>
      </c>
      <c r="EB42" s="10">
        <v>-9999</v>
      </c>
      <c r="EC42" s="10">
        <v>-9999</v>
      </c>
    </row>
    <row r="43" spans="1:133" x14ac:dyDescent="0.8">
      <c r="A43" s="10" t="s">
        <v>38</v>
      </c>
      <c r="B43" s="10" t="s">
        <v>230</v>
      </c>
      <c r="C43" s="10">
        <v>47</v>
      </c>
      <c r="D43" s="10">
        <v>123869425.2</v>
      </c>
      <c r="E43" s="10">
        <v>96484927.930000007</v>
      </c>
      <c r="F43" s="10"/>
      <c r="G43" s="10">
        <v>474085.65820000001</v>
      </c>
      <c r="H43" s="10">
        <v>11147785.619999999</v>
      </c>
      <c r="I43" s="11">
        <v>11147785.619999999</v>
      </c>
      <c r="J43" s="10">
        <v>13545304.52</v>
      </c>
      <c r="K43" s="13"/>
      <c r="L43" s="13">
        <v>136658.55249999999</v>
      </c>
      <c r="M43" s="13">
        <v>3213428.25</v>
      </c>
      <c r="N43" s="14">
        <v>3213428.25</v>
      </c>
      <c r="O43" s="13">
        <v>3904530.0720000002</v>
      </c>
      <c r="P43" s="15">
        <f t="shared" si="0"/>
        <v>48.298906439860296</v>
      </c>
      <c r="Q43" s="20">
        <f t="shared" si="1"/>
        <v>3.4691254176905924</v>
      </c>
      <c r="R43" s="21">
        <f t="shared" si="2"/>
        <v>3213428.25</v>
      </c>
      <c r="T43" s="10">
        <v>1544738.08</v>
      </c>
      <c r="U43" s="10">
        <v>1609102.1669999999</v>
      </c>
      <c r="V43" s="16">
        <v>1609102.1669999999</v>
      </c>
      <c r="W43" s="10">
        <v>1609102.1669999999</v>
      </c>
      <c r="X43" s="13"/>
      <c r="Y43" s="13">
        <v>204767.30379999999</v>
      </c>
      <c r="Z43" s="13">
        <v>213299.27470000001</v>
      </c>
      <c r="AA43" s="17">
        <v>213299.27470000001</v>
      </c>
      <c r="AB43" s="13">
        <v>213299.27470000001</v>
      </c>
      <c r="AC43" s="15">
        <f t="shared" si="3"/>
        <v>11.600000007954742</v>
      </c>
      <c r="AD43" s="20">
        <f t="shared" si="4"/>
        <v>7.5438707856046916</v>
      </c>
      <c r="AE43" s="22">
        <f t="shared" si="5"/>
        <v>213299.27470000001</v>
      </c>
      <c r="AF43" s="10">
        <v>-9999</v>
      </c>
      <c r="AG43" s="10">
        <v>-9999</v>
      </c>
      <c r="AH43" s="10">
        <v>-9999</v>
      </c>
      <c r="AI43" s="10">
        <v>-9999</v>
      </c>
      <c r="AJ43" s="10">
        <v>-9999</v>
      </c>
      <c r="AK43" s="18">
        <v>-9999</v>
      </c>
      <c r="AL43" s="18">
        <v>-9999</v>
      </c>
      <c r="AM43" s="18">
        <v>-9999</v>
      </c>
      <c r="AN43" s="18">
        <v>-9999</v>
      </c>
      <c r="AO43" s="18">
        <v>-9999</v>
      </c>
      <c r="AP43" s="15">
        <f t="shared" si="6"/>
        <v>0</v>
      </c>
      <c r="AQ43" s="20">
        <f t="shared" si="7"/>
        <v>0</v>
      </c>
      <c r="AR43" s="21">
        <f t="shared" si="8"/>
        <v>0</v>
      </c>
      <c r="AS43" s="10">
        <v>-9999</v>
      </c>
      <c r="AT43" s="10">
        <v>-9999</v>
      </c>
      <c r="AU43" s="10">
        <v>-9999</v>
      </c>
      <c r="AV43" s="10">
        <v>-9999</v>
      </c>
      <c r="AW43" s="10">
        <v>-9999</v>
      </c>
      <c r="AX43" s="18">
        <v>-9999</v>
      </c>
      <c r="AY43" s="18">
        <v>-9999</v>
      </c>
      <c r="AZ43" s="18">
        <v>-9999</v>
      </c>
      <c r="BA43" s="18">
        <v>-9999</v>
      </c>
      <c r="BB43" s="18">
        <v>-9999</v>
      </c>
      <c r="BC43" s="23">
        <f t="shared" si="9"/>
        <v>0</v>
      </c>
      <c r="BD43" s="20">
        <f t="shared" si="10"/>
        <v>0</v>
      </c>
      <c r="BE43" s="20">
        <f t="shared" si="11"/>
        <v>0</v>
      </c>
      <c r="BF43" s="10">
        <v>0</v>
      </c>
      <c r="BG43" s="10">
        <v>0</v>
      </c>
      <c r="BH43" s="10">
        <v>0</v>
      </c>
      <c r="BI43" s="10">
        <v>0</v>
      </c>
      <c r="BJ43" s="10">
        <v>695176.08440000005</v>
      </c>
      <c r="BK43" s="10">
        <v>0</v>
      </c>
      <c r="BL43" s="10">
        <v>0</v>
      </c>
      <c r="BM43" s="10">
        <v>0</v>
      </c>
      <c r="BN43" s="10">
        <v>0</v>
      </c>
      <c r="BO43" s="10">
        <v>219936.9431</v>
      </c>
      <c r="BQ43" s="10">
        <v>1561941.632</v>
      </c>
      <c r="BR43" s="10">
        <v>1561941.632</v>
      </c>
      <c r="BS43" s="10">
        <v>1611910.8689999999</v>
      </c>
      <c r="BT43" s="10">
        <v>1611910.8689999999</v>
      </c>
      <c r="BV43" s="10">
        <v>3289395.83</v>
      </c>
      <c r="BW43" s="10">
        <v>3289395.83</v>
      </c>
      <c r="BX43" s="10">
        <v>3394629.3390000002</v>
      </c>
      <c r="BY43" s="10">
        <v>3394629.3390000002</v>
      </c>
      <c r="CA43" s="10">
        <v>63764.827299999997</v>
      </c>
      <c r="CB43" s="10">
        <v>1020237.237</v>
      </c>
      <c r="CC43" s="10">
        <v>1275296.5460000001</v>
      </c>
      <c r="CD43" s="10">
        <v>1275296.5460000001</v>
      </c>
      <c r="CF43" s="10">
        <v>29635.652959999999</v>
      </c>
      <c r="CG43" s="10">
        <v>474170.4474</v>
      </c>
      <c r="CH43" s="10">
        <v>592713.05929999996</v>
      </c>
      <c r="CI43" s="10">
        <v>592713.05929999996</v>
      </c>
      <c r="CK43" s="10">
        <v>3679.9508679999999</v>
      </c>
      <c r="CL43" s="10">
        <v>973085.88419999997</v>
      </c>
      <c r="CM43" s="10">
        <v>993017.10080000001</v>
      </c>
      <c r="CN43" s="10">
        <v>993017.10080000001</v>
      </c>
      <c r="CP43" s="10">
        <v>0</v>
      </c>
      <c r="CQ43" s="10">
        <v>18431.710879999999</v>
      </c>
      <c r="CR43" s="10">
        <v>18431.710879999999</v>
      </c>
      <c r="CS43" s="10">
        <v>18431.710879999999</v>
      </c>
      <c r="CT43" s="23">
        <f t="shared" si="12"/>
        <v>50.855335516977235</v>
      </c>
      <c r="CU43" s="20">
        <f t="shared" si="13"/>
        <v>53.875470772358383</v>
      </c>
      <c r="CV43" s="20">
        <f t="shared" si="14"/>
        <v>18431.710879999999</v>
      </c>
      <c r="CX43" s="10">
        <v>1571.9948649999999</v>
      </c>
      <c r="CY43" s="10">
        <v>75253.226590000006</v>
      </c>
      <c r="CZ43" s="10">
        <v>95129.799710000007</v>
      </c>
      <c r="DA43" s="10">
        <v>96441.402789999993</v>
      </c>
      <c r="DC43" s="10">
        <v>1171.514717</v>
      </c>
      <c r="DD43" s="10">
        <v>44363.958939999997</v>
      </c>
      <c r="DE43" s="10">
        <v>55319.062940000003</v>
      </c>
      <c r="DF43" s="10">
        <v>56081.775079999999</v>
      </c>
      <c r="DG43" s="23">
        <f t="shared" si="15"/>
        <v>59.786090838390976</v>
      </c>
      <c r="DH43" s="20">
        <f t="shared" si="16"/>
        <v>1.7196567449665481</v>
      </c>
      <c r="DI43" s="20">
        <f t="shared" si="17"/>
        <v>55319.062940000003</v>
      </c>
      <c r="DK43" s="10">
        <v>381091.63280000002</v>
      </c>
      <c r="DL43" s="10">
        <v>430222.53580000001</v>
      </c>
      <c r="DM43" s="10">
        <v>473741.85239999997</v>
      </c>
      <c r="DN43" s="10">
        <v>589911.09779999999</v>
      </c>
      <c r="DO43" s="10">
        <v>-9999</v>
      </c>
      <c r="DP43" s="10">
        <v>-9999</v>
      </c>
      <c r="DQ43" s="10">
        <v>-9999</v>
      </c>
      <c r="DR43" s="10">
        <v>-9999</v>
      </c>
      <c r="DS43" s="10">
        <v>-9999</v>
      </c>
      <c r="DU43" s="10">
        <v>5473</v>
      </c>
      <c r="DV43" s="10">
        <v>20020</v>
      </c>
      <c r="DW43" s="10">
        <v>24687</v>
      </c>
      <c r="DX43" s="10">
        <v>24687</v>
      </c>
      <c r="DY43" s="10">
        <v>-9999</v>
      </c>
      <c r="DZ43" s="10">
        <v>-9999</v>
      </c>
      <c r="EA43" s="10">
        <v>-9999</v>
      </c>
      <c r="EB43" s="10">
        <v>-9999</v>
      </c>
      <c r="EC43" s="10">
        <v>-9999</v>
      </c>
    </row>
    <row r="44" spans="1:133" x14ac:dyDescent="0.8">
      <c r="A44" s="10" t="s">
        <v>41</v>
      </c>
      <c r="B44" s="10" t="s">
        <v>231</v>
      </c>
      <c r="C44" s="10">
        <v>48</v>
      </c>
      <c r="D44" s="10">
        <v>873803627.89999998</v>
      </c>
      <c r="E44" s="10">
        <v>855858901.79999995</v>
      </c>
      <c r="F44" s="10"/>
      <c r="G44" s="10">
        <v>680154.51599999995</v>
      </c>
      <c r="H44" s="10">
        <v>15993347.619999999</v>
      </c>
      <c r="I44" s="11">
        <v>15993347.619999999</v>
      </c>
      <c r="J44" s="10">
        <v>19432986.170000002</v>
      </c>
      <c r="K44" s="13"/>
      <c r="L44" s="13">
        <v>227977.58059999999</v>
      </c>
      <c r="M44" s="13">
        <v>5360729.966</v>
      </c>
      <c r="N44" s="14">
        <v>5360729.966</v>
      </c>
      <c r="O44" s="13">
        <v>6513645.159</v>
      </c>
      <c r="P44" s="15">
        <f t="shared" si="0"/>
        <v>48.298906439951431</v>
      </c>
      <c r="Q44" s="20">
        <f t="shared" si="1"/>
        <v>2.9834272051449195</v>
      </c>
      <c r="R44" s="21">
        <f t="shared" si="2"/>
        <v>5360729.966</v>
      </c>
      <c r="T44" s="10">
        <v>2045309.584</v>
      </c>
      <c r="U44" s="10">
        <v>2130530.8169999998</v>
      </c>
      <c r="V44" s="16">
        <v>2130530.8169999998</v>
      </c>
      <c r="W44" s="10">
        <v>2130530.8169999998</v>
      </c>
      <c r="X44" s="13"/>
      <c r="Y44" s="13">
        <v>581881.51439999999</v>
      </c>
      <c r="Z44" s="13">
        <v>606126.57750000001</v>
      </c>
      <c r="AA44" s="17">
        <v>606126.57750000001</v>
      </c>
      <c r="AB44" s="13">
        <v>606126.57750000001</v>
      </c>
      <c r="AC44" s="15">
        <f t="shared" si="3"/>
        <v>11.600000006007887</v>
      </c>
      <c r="AD44" s="20">
        <f t="shared" si="4"/>
        <v>3.5149932309312071</v>
      </c>
      <c r="AE44" s="22">
        <f t="shared" si="5"/>
        <v>606126.57750000001</v>
      </c>
      <c r="AF44" s="10">
        <v>0</v>
      </c>
      <c r="AG44" s="10">
        <v>78756.372910000006</v>
      </c>
      <c r="AH44" s="10">
        <v>164202.47630000001</v>
      </c>
      <c r="AI44" s="10">
        <v>200691.9155</v>
      </c>
      <c r="AJ44" s="10">
        <v>225018.2083</v>
      </c>
      <c r="AK44" s="18">
        <v>0</v>
      </c>
      <c r="AL44" s="18">
        <v>167000</v>
      </c>
      <c r="AM44" s="18">
        <v>167000</v>
      </c>
      <c r="AN44" s="18">
        <v>167000</v>
      </c>
      <c r="AO44" s="18">
        <v>167000</v>
      </c>
      <c r="AP44" s="15">
        <f t="shared" si="6"/>
        <v>43.393939396627061</v>
      </c>
      <c r="AQ44" s="20">
        <f t="shared" si="7"/>
        <v>1.2017479970059881</v>
      </c>
      <c r="AR44" s="21">
        <f t="shared" si="8"/>
        <v>167000</v>
      </c>
      <c r="AS44" s="10">
        <v>-9999</v>
      </c>
      <c r="AT44" s="10">
        <v>-9999</v>
      </c>
      <c r="AU44" s="10">
        <v>-9999</v>
      </c>
      <c r="AV44" s="10">
        <v>-9999</v>
      </c>
      <c r="AW44" s="10">
        <v>-9999</v>
      </c>
      <c r="AX44" s="18">
        <v>-9999</v>
      </c>
      <c r="AY44" s="18">
        <v>-9999</v>
      </c>
      <c r="AZ44" s="18">
        <v>-9999</v>
      </c>
      <c r="BA44" s="18">
        <v>-9999</v>
      </c>
      <c r="BB44" s="18">
        <v>-9999</v>
      </c>
      <c r="BC44" s="23">
        <f t="shared" si="9"/>
        <v>0</v>
      </c>
      <c r="BD44" s="20">
        <f t="shared" si="10"/>
        <v>0</v>
      </c>
      <c r="BE44" s="20">
        <f t="shared" si="11"/>
        <v>0</v>
      </c>
      <c r="BF44" s="10">
        <v>0</v>
      </c>
      <c r="BG44" s="10">
        <v>0</v>
      </c>
      <c r="BH44" s="10">
        <v>0</v>
      </c>
      <c r="BI44" s="10">
        <v>0</v>
      </c>
      <c r="BJ44" s="10">
        <v>1930756.4509999999</v>
      </c>
      <c r="BK44" s="10">
        <v>0</v>
      </c>
      <c r="BL44" s="10">
        <v>0</v>
      </c>
      <c r="BM44" s="10">
        <v>0</v>
      </c>
      <c r="BN44" s="10">
        <v>0</v>
      </c>
      <c r="BO44" s="10">
        <v>502950.98830000003</v>
      </c>
      <c r="BQ44" s="10">
        <v>6840687.8629999999</v>
      </c>
      <c r="BR44" s="10">
        <v>6840687.8629999999</v>
      </c>
      <c r="BS44" s="10">
        <v>7059533.3990000002</v>
      </c>
      <c r="BT44" s="10">
        <v>7059533.3990000002</v>
      </c>
      <c r="BV44" s="10">
        <v>14406255.439999999</v>
      </c>
      <c r="BW44" s="10">
        <v>14406255.439999999</v>
      </c>
      <c r="BX44" s="10">
        <v>14867136.67</v>
      </c>
      <c r="BY44" s="10">
        <v>14867136.67</v>
      </c>
      <c r="CA44" s="10">
        <v>279264.77610000002</v>
      </c>
      <c r="CB44" s="10">
        <v>4468236.4170000004</v>
      </c>
      <c r="CC44" s="10">
        <v>5585295.5209999997</v>
      </c>
      <c r="CD44" s="10">
        <v>5585295.5209999997</v>
      </c>
      <c r="CF44" s="10">
        <v>129792.463</v>
      </c>
      <c r="CG44" s="10">
        <v>2076679.4080000001</v>
      </c>
      <c r="CH44" s="10">
        <v>2595849.2599999998</v>
      </c>
      <c r="CI44" s="10">
        <v>2595849.2599999998</v>
      </c>
      <c r="CK44" s="10">
        <v>6440333.9019999998</v>
      </c>
      <c r="CL44" s="10">
        <v>12823284.369999999</v>
      </c>
      <c r="CM44" s="10">
        <v>11624971.609999999</v>
      </c>
      <c r="CN44" s="10">
        <v>11624971.609999999</v>
      </c>
      <c r="CP44" s="10">
        <v>26046.096020000001</v>
      </c>
      <c r="CQ44" s="10">
        <v>217349.04010000001</v>
      </c>
      <c r="CR44" s="10">
        <v>217366.25140000001</v>
      </c>
      <c r="CS44" s="10">
        <v>217366.25140000001</v>
      </c>
      <c r="CT44" s="23">
        <f t="shared" si="12"/>
        <v>22.685611222752915</v>
      </c>
      <c r="CU44" s="20">
        <f t="shared" si="13"/>
        <v>53.481032750606651</v>
      </c>
      <c r="CV44" s="20">
        <f t="shared" si="14"/>
        <v>217366.25140000001</v>
      </c>
      <c r="CX44" s="10">
        <v>12587.407740000001</v>
      </c>
      <c r="CY44" s="10">
        <v>602573.88080000004</v>
      </c>
      <c r="CZ44" s="10">
        <v>761731.22649999999</v>
      </c>
      <c r="DA44" s="10">
        <v>772233.60349999997</v>
      </c>
      <c r="DC44" s="10">
        <v>13815.742029999999</v>
      </c>
      <c r="DD44" s="10">
        <v>523186.7795</v>
      </c>
      <c r="DE44" s="10">
        <v>652380.96589999995</v>
      </c>
      <c r="DF44" s="10">
        <v>661375.67509999999</v>
      </c>
      <c r="DG44" s="23">
        <f t="shared" si="15"/>
        <v>59.786090836332541</v>
      </c>
      <c r="DH44" s="20">
        <f t="shared" si="16"/>
        <v>1.1676171843075533</v>
      </c>
      <c r="DI44" s="20">
        <f t="shared" si="17"/>
        <v>652380.96589999995</v>
      </c>
      <c r="DK44" s="10">
        <v>1405048.2760000001</v>
      </c>
      <c r="DL44" s="10">
        <v>1585916.183</v>
      </c>
      <c r="DM44" s="10">
        <v>1831204.959</v>
      </c>
      <c r="DN44" s="10">
        <v>2257662.0499999998</v>
      </c>
      <c r="DO44" s="10">
        <v>-9999</v>
      </c>
      <c r="DP44" s="10">
        <v>-9999</v>
      </c>
      <c r="DQ44" s="10">
        <v>-9999</v>
      </c>
      <c r="DR44" s="10">
        <v>-9999</v>
      </c>
      <c r="DS44" s="10">
        <v>-9999</v>
      </c>
      <c r="DU44" s="10">
        <v>594482</v>
      </c>
      <c r="DV44" s="10">
        <v>1092948</v>
      </c>
      <c r="DW44" s="10">
        <v>1118112</v>
      </c>
      <c r="DX44" s="10">
        <v>1118112</v>
      </c>
      <c r="DY44" s="10">
        <v>-9999</v>
      </c>
      <c r="DZ44" s="10">
        <v>-9999</v>
      </c>
      <c r="EA44" s="10">
        <v>-9999</v>
      </c>
      <c r="EB44" s="10">
        <v>-9999</v>
      </c>
      <c r="EC44" s="10">
        <v>-9999</v>
      </c>
    </row>
    <row r="45" spans="1:133" x14ac:dyDescent="0.8">
      <c r="A45" s="10" t="s">
        <v>49</v>
      </c>
      <c r="B45" s="10" t="s">
        <v>232</v>
      </c>
      <c r="C45" s="10">
        <v>49</v>
      </c>
      <c r="D45" s="10">
        <v>77579591.700000003</v>
      </c>
      <c r="E45" s="10">
        <v>51947351.920000002</v>
      </c>
      <c r="F45" s="10"/>
      <c r="G45" s="10">
        <v>98137.758239999996</v>
      </c>
      <c r="H45" s="10">
        <v>2307639.287</v>
      </c>
      <c r="I45" s="11">
        <v>2307639.287</v>
      </c>
      <c r="J45" s="10">
        <v>2803935.95</v>
      </c>
      <c r="K45" s="13"/>
      <c r="L45" s="13">
        <v>199845.9528</v>
      </c>
      <c r="M45" s="13">
        <v>4699234.8329999996</v>
      </c>
      <c r="N45" s="14">
        <v>4699234.8329999996</v>
      </c>
      <c r="O45" s="13">
        <v>5709884.3650000002</v>
      </c>
      <c r="P45" s="15">
        <f t="shared" si="0"/>
        <v>48.298906440138104</v>
      </c>
      <c r="Q45" s="20">
        <f t="shared" si="1"/>
        <v>0.49106702878408803</v>
      </c>
      <c r="R45" s="21">
        <f t="shared" si="2"/>
        <v>4699234.8329999996</v>
      </c>
      <c r="T45" s="10">
        <v>74973.487770000007</v>
      </c>
      <c r="U45" s="10">
        <v>78097.383090000003</v>
      </c>
      <c r="V45" s="16">
        <v>78097.383090000003</v>
      </c>
      <c r="W45" s="10">
        <v>78097.383090000003</v>
      </c>
      <c r="X45" s="13"/>
      <c r="Y45" s="13">
        <v>32041.869149999999</v>
      </c>
      <c r="Z45" s="13">
        <v>33376.947030000003</v>
      </c>
      <c r="AA45" s="17">
        <v>33376.947030000003</v>
      </c>
      <c r="AB45" s="13">
        <v>33376.947030000003</v>
      </c>
      <c r="AC45" s="15">
        <f t="shared" si="3"/>
        <v>11.599999998156147</v>
      </c>
      <c r="AD45" s="20">
        <f t="shared" si="4"/>
        <v>2.3398599943788807</v>
      </c>
      <c r="AE45" s="22">
        <f t="shared" si="5"/>
        <v>33376.947030000003</v>
      </c>
      <c r="AF45" s="10">
        <v>-9999</v>
      </c>
      <c r="AG45" s="10">
        <v>-9999</v>
      </c>
      <c r="AH45" s="10">
        <v>-9999</v>
      </c>
      <c r="AI45" s="10">
        <v>-9999</v>
      </c>
      <c r="AJ45" s="10">
        <v>-9999</v>
      </c>
      <c r="AK45" s="18">
        <v>-9999</v>
      </c>
      <c r="AL45" s="18">
        <v>-9999</v>
      </c>
      <c r="AM45" s="18">
        <v>-9999</v>
      </c>
      <c r="AN45" s="18">
        <v>-9999</v>
      </c>
      <c r="AO45" s="18">
        <v>-9999</v>
      </c>
      <c r="AP45" s="15">
        <f t="shared" si="6"/>
        <v>0</v>
      </c>
      <c r="AQ45" s="20">
        <f t="shared" si="7"/>
        <v>0</v>
      </c>
      <c r="AR45" s="21">
        <f t="shared" si="8"/>
        <v>0</v>
      </c>
      <c r="AS45" s="10">
        <v>0</v>
      </c>
      <c r="AT45" s="10">
        <v>0</v>
      </c>
      <c r="AU45" s="10">
        <v>1786.5557140000001</v>
      </c>
      <c r="AV45" s="10">
        <v>1786.5557140000001</v>
      </c>
      <c r="AW45" s="10">
        <v>22014.92452</v>
      </c>
      <c r="AX45" s="18">
        <v>-9999</v>
      </c>
      <c r="AY45" s="18">
        <v>0</v>
      </c>
      <c r="AZ45" s="18">
        <v>2795.182198</v>
      </c>
      <c r="BA45" s="18">
        <v>2795.182198</v>
      </c>
      <c r="BB45" s="18">
        <v>1576015.091</v>
      </c>
      <c r="BC45" s="23">
        <f t="shared" si="9"/>
        <v>50</v>
      </c>
      <c r="BD45" s="20">
        <f t="shared" si="10"/>
        <v>0.63915537072263517</v>
      </c>
      <c r="BE45" s="20">
        <f t="shared" si="11"/>
        <v>2795.182198</v>
      </c>
      <c r="BF45" s="10">
        <v>0</v>
      </c>
      <c r="BG45" s="10">
        <v>0</v>
      </c>
      <c r="BH45" s="10">
        <v>0</v>
      </c>
      <c r="BI45" s="10">
        <v>0</v>
      </c>
      <c r="BJ45" s="10">
        <v>146512.20209999999</v>
      </c>
      <c r="BK45" s="10">
        <v>0</v>
      </c>
      <c r="BL45" s="10">
        <v>0</v>
      </c>
      <c r="BM45" s="10">
        <v>0</v>
      </c>
      <c r="BN45" s="10">
        <v>0</v>
      </c>
      <c r="BO45" s="10">
        <v>65325.286939999998</v>
      </c>
      <c r="BQ45" s="10">
        <v>293935.80660000001</v>
      </c>
      <c r="BR45" s="10">
        <v>293935.80660000001</v>
      </c>
      <c r="BS45" s="10">
        <v>303339.32569999999</v>
      </c>
      <c r="BT45" s="10">
        <v>303339.32569999999</v>
      </c>
      <c r="BV45" s="10">
        <v>619018.78819999995</v>
      </c>
      <c r="BW45" s="10">
        <v>619018.78819999995</v>
      </c>
      <c r="BX45" s="10">
        <v>638822.27890000003</v>
      </c>
      <c r="BY45" s="10">
        <v>638822.27890000003</v>
      </c>
      <c r="CA45" s="10">
        <v>11999.65835</v>
      </c>
      <c r="CB45" s="10">
        <v>191994.53349999999</v>
      </c>
      <c r="CC45" s="10">
        <v>239993.16690000001</v>
      </c>
      <c r="CD45" s="10">
        <v>239993.16690000001</v>
      </c>
      <c r="CF45" s="10">
        <v>5577.0198950000004</v>
      </c>
      <c r="CG45" s="10">
        <v>89232.318320000006</v>
      </c>
      <c r="CH45" s="10">
        <v>111540.3979</v>
      </c>
      <c r="CI45" s="10">
        <v>111540.3979</v>
      </c>
      <c r="CK45" s="10">
        <v>684632.82830000005</v>
      </c>
      <c r="CL45" s="10">
        <v>1437016.0889999999</v>
      </c>
      <c r="CM45" s="10">
        <v>1302604.2279999999</v>
      </c>
      <c r="CN45" s="10">
        <v>1302604.2279999999</v>
      </c>
      <c r="CP45" s="10">
        <v>3363.2750839999999</v>
      </c>
      <c r="CQ45" s="10">
        <v>25229.957699999999</v>
      </c>
      <c r="CR45" s="10">
        <v>25229.957699999999</v>
      </c>
      <c r="CS45" s="10">
        <v>25229.957699999999</v>
      </c>
      <c r="CT45" s="23">
        <f t="shared" si="12"/>
        <v>23.817138430169443</v>
      </c>
      <c r="CU45" s="20">
        <f t="shared" si="13"/>
        <v>51.629267218311661</v>
      </c>
      <c r="CV45" s="20">
        <f t="shared" si="14"/>
        <v>25229.957699999999</v>
      </c>
      <c r="CX45" s="10">
        <v>1841.7081780000001</v>
      </c>
      <c r="CY45" s="10">
        <v>88164.717239999998</v>
      </c>
      <c r="CZ45" s="10">
        <v>111451.59179999999</v>
      </c>
      <c r="DA45" s="10">
        <v>112988.23179999999</v>
      </c>
      <c r="DC45" s="10">
        <v>1603.609506</v>
      </c>
      <c r="DD45" s="10">
        <v>60726.90784</v>
      </c>
      <c r="DE45" s="10">
        <v>75722.629749999993</v>
      </c>
      <c r="DF45" s="10">
        <v>76766.656279999996</v>
      </c>
      <c r="DG45" s="23">
        <f t="shared" si="15"/>
        <v>59.786090833383682</v>
      </c>
      <c r="DH45" s="20">
        <f t="shared" si="16"/>
        <v>1.4718399528378767</v>
      </c>
      <c r="DI45" s="20">
        <f t="shared" si="17"/>
        <v>75722.629749999993</v>
      </c>
      <c r="DK45" s="10">
        <v>58974.11982</v>
      </c>
      <c r="DL45" s="10">
        <v>66576.353589999999</v>
      </c>
      <c r="DM45" s="10">
        <v>73558.933900000004</v>
      </c>
      <c r="DN45" s="10">
        <v>91530.782170000006</v>
      </c>
      <c r="DO45" s="10">
        <v>-9999</v>
      </c>
      <c r="DP45" s="10">
        <v>-9999</v>
      </c>
      <c r="DQ45" s="10">
        <v>-9999</v>
      </c>
      <c r="DR45" s="10">
        <v>-9999</v>
      </c>
      <c r="DS45" s="10">
        <v>-9999</v>
      </c>
      <c r="DU45" s="10">
        <v>100720</v>
      </c>
      <c r="DV45" s="10">
        <v>211559</v>
      </c>
      <c r="DW45" s="10">
        <v>266721</v>
      </c>
      <c r="DX45" s="10">
        <v>266721</v>
      </c>
      <c r="DY45" s="10">
        <v>-9999</v>
      </c>
      <c r="DZ45" s="10">
        <v>-9999</v>
      </c>
      <c r="EA45" s="10">
        <v>-9999</v>
      </c>
      <c r="EB45" s="10">
        <v>-9999</v>
      </c>
      <c r="EC45" s="10">
        <v>-9999</v>
      </c>
    </row>
    <row r="46" spans="1:133" x14ac:dyDescent="0.8">
      <c r="A46" s="10" t="s">
        <v>54</v>
      </c>
      <c r="B46" s="10" t="s">
        <v>233</v>
      </c>
      <c r="C46" s="10">
        <v>50</v>
      </c>
      <c r="D46" s="10">
        <v>7073996.0259999996</v>
      </c>
      <c r="E46" s="10">
        <v>-66651.494000000006</v>
      </c>
      <c r="F46" s="10">
        <v>0</v>
      </c>
      <c r="G46" s="10">
        <v>43158.293469999997</v>
      </c>
      <c r="H46" s="10">
        <v>1014836.444</v>
      </c>
      <c r="I46" s="11">
        <v>1014836.444</v>
      </c>
      <c r="J46" s="10">
        <v>1233094.0989999999</v>
      </c>
      <c r="K46" s="13">
        <v>0</v>
      </c>
      <c r="L46" s="13">
        <v>13948.83776</v>
      </c>
      <c r="M46" s="13">
        <v>327996.95649999997</v>
      </c>
      <c r="N46" s="14">
        <v>327996.95649999997</v>
      </c>
      <c r="O46" s="13">
        <v>398538.2218</v>
      </c>
      <c r="P46" s="15">
        <f t="shared" si="0"/>
        <v>48.298906440533777</v>
      </c>
      <c r="Q46" s="20">
        <f t="shared" si="1"/>
        <v>3.0940422582854059</v>
      </c>
      <c r="R46" s="21">
        <f t="shared" si="2"/>
        <v>327996.95649999997</v>
      </c>
      <c r="S46" s="10">
        <v>0</v>
      </c>
      <c r="T46" s="10">
        <v>106779.8397</v>
      </c>
      <c r="U46" s="10">
        <v>111228.9997</v>
      </c>
      <c r="V46" s="16">
        <v>111228.9997</v>
      </c>
      <c r="W46" s="10">
        <v>111228.9997</v>
      </c>
      <c r="X46" s="13">
        <v>0</v>
      </c>
      <c r="Y46" s="13">
        <v>11435.26568</v>
      </c>
      <c r="Z46" s="13">
        <v>11911.73509</v>
      </c>
      <c r="AA46" s="17">
        <v>11911.73509</v>
      </c>
      <c r="AB46" s="13">
        <v>11911.73509</v>
      </c>
      <c r="AC46" s="15">
        <f t="shared" si="3"/>
        <v>11.600000004315422</v>
      </c>
      <c r="AD46" s="20">
        <f t="shared" si="4"/>
        <v>9.3377664009148145</v>
      </c>
      <c r="AE46" s="22">
        <f t="shared" si="5"/>
        <v>11911.73509</v>
      </c>
      <c r="AF46" s="10">
        <v>-9999</v>
      </c>
      <c r="AG46" s="10">
        <v>-9999</v>
      </c>
      <c r="AH46" s="10">
        <v>-9999</v>
      </c>
      <c r="AI46" s="10">
        <v>-9999</v>
      </c>
      <c r="AJ46" s="10">
        <v>-9999</v>
      </c>
      <c r="AK46" s="18">
        <v>-9999</v>
      </c>
      <c r="AL46" s="18">
        <v>-9999</v>
      </c>
      <c r="AM46" s="18">
        <v>-9999</v>
      </c>
      <c r="AN46" s="18">
        <v>-9999</v>
      </c>
      <c r="AO46" s="18">
        <v>-9999</v>
      </c>
      <c r="AP46" s="15">
        <f t="shared" si="6"/>
        <v>0</v>
      </c>
      <c r="AQ46" s="20">
        <f t="shared" si="7"/>
        <v>0</v>
      </c>
      <c r="AR46" s="21">
        <f t="shared" si="8"/>
        <v>0</v>
      </c>
      <c r="AS46" s="10">
        <v>-9999</v>
      </c>
      <c r="AT46" s="10">
        <v>-9999</v>
      </c>
      <c r="AU46" s="10">
        <v>-9999</v>
      </c>
      <c r="AV46" s="10">
        <v>-9999</v>
      </c>
      <c r="AW46" s="10">
        <v>-9999</v>
      </c>
      <c r="AX46" s="18">
        <v>-9999</v>
      </c>
      <c r="AY46" s="18">
        <v>-9999</v>
      </c>
      <c r="AZ46" s="18">
        <v>-9999</v>
      </c>
      <c r="BA46" s="18">
        <v>-9999</v>
      </c>
      <c r="BB46" s="18">
        <v>-9999</v>
      </c>
      <c r="BC46" s="23">
        <f t="shared" si="9"/>
        <v>0</v>
      </c>
      <c r="BD46" s="20">
        <f t="shared" si="10"/>
        <v>0</v>
      </c>
      <c r="BE46" s="20">
        <f t="shared" si="11"/>
        <v>0</v>
      </c>
      <c r="BF46" s="10">
        <v>0</v>
      </c>
      <c r="BG46" s="10">
        <v>0</v>
      </c>
      <c r="BH46" s="10">
        <v>0</v>
      </c>
      <c r="BI46" s="10">
        <v>0</v>
      </c>
      <c r="BJ46" s="10">
        <v>26060.000520000001</v>
      </c>
      <c r="BK46" s="10">
        <v>0</v>
      </c>
      <c r="BL46" s="10">
        <v>0</v>
      </c>
      <c r="BM46" s="10">
        <v>0</v>
      </c>
      <c r="BN46" s="10">
        <v>0</v>
      </c>
      <c r="BO46" s="10">
        <v>11728.455019999999</v>
      </c>
      <c r="BQ46" s="10">
        <v>81952.753530000002</v>
      </c>
      <c r="BR46" s="10">
        <v>81952.753530000002</v>
      </c>
      <c r="BS46" s="10">
        <v>84574.565050000005</v>
      </c>
      <c r="BT46" s="10">
        <v>84574.565050000005</v>
      </c>
      <c r="BV46" s="10">
        <v>172589.70509999999</v>
      </c>
      <c r="BW46" s="10">
        <v>172589.70509999999</v>
      </c>
      <c r="BX46" s="10">
        <v>178111.1508</v>
      </c>
      <c r="BY46" s="10">
        <v>178111.1508</v>
      </c>
      <c r="CA46" s="10">
        <v>3345.6456159999998</v>
      </c>
      <c r="CB46" s="10">
        <v>53530.329859999998</v>
      </c>
      <c r="CC46" s="10">
        <v>66912.912330000006</v>
      </c>
      <c r="CD46" s="10">
        <v>66912.912330000006</v>
      </c>
      <c r="CF46" s="10">
        <v>1554.9386179999999</v>
      </c>
      <c r="CG46" s="10">
        <v>24879.017879999999</v>
      </c>
      <c r="CH46" s="10">
        <v>31098.772359999999</v>
      </c>
      <c r="CI46" s="10">
        <v>31098.772359999999</v>
      </c>
      <c r="CJ46" s="10">
        <v>0</v>
      </c>
      <c r="CK46" s="10">
        <v>60277.955710000002</v>
      </c>
      <c r="CL46" s="10">
        <v>145504.51850000001</v>
      </c>
      <c r="CM46" s="10">
        <v>131894.69649999999</v>
      </c>
      <c r="CN46" s="10">
        <v>131894.69649999999</v>
      </c>
      <c r="CO46" s="10">
        <v>0</v>
      </c>
      <c r="CP46" s="10">
        <v>0</v>
      </c>
      <c r="CQ46" s="10">
        <v>1380.494326</v>
      </c>
      <c r="CR46" s="10">
        <v>1380.494326</v>
      </c>
      <c r="CS46" s="10">
        <v>1380.494326</v>
      </c>
      <c r="CT46" s="23">
        <f t="shared" si="12"/>
        <v>26.560017874562515</v>
      </c>
      <c r="CU46" s="20">
        <f t="shared" si="13"/>
        <v>95.541643320017528</v>
      </c>
      <c r="CV46" s="20">
        <f t="shared" si="14"/>
        <v>1380.494326</v>
      </c>
      <c r="CX46" s="10">
        <v>161.15084010000001</v>
      </c>
      <c r="CY46" s="10">
        <v>7714.4785620000002</v>
      </c>
      <c r="CZ46" s="10">
        <v>9752.0974669999996</v>
      </c>
      <c r="DA46" s="10">
        <v>9886.5546099999992</v>
      </c>
      <c r="DC46" s="10">
        <v>87.743857930000004</v>
      </c>
      <c r="DD46" s="10">
        <v>3322.7622780000002</v>
      </c>
      <c r="DE46" s="10">
        <v>4143.2753069999999</v>
      </c>
      <c r="DF46" s="10">
        <v>4200.4007570000003</v>
      </c>
      <c r="DG46" s="23">
        <f t="shared" si="15"/>
        <v>59.786090835221948</v>
      </c>
      <c r="DH46" s="20">
        <f t="shared" si="16"/>
        <v>2.3537169858165061</v>
      </c>
      <c r="DI46" s="20">
        <f t="shared" si="17"/>
        <v>4143.2753069999999</v>
      </c>
      <c r="DJ46" s="10">
        <v>197188.8322</v>
      </c>
      <c r="DK46" s="10">
        <v>21076.000840000001</v>
      </c>
      <c r="DL46" s="10">
        <v>23796.17222</v>
      </c>
      <c r="DM46" s="10">
        <v>25263.966619999999</v>
      </c>
      <c r="DN46" s="10">
        <v>31709.075629999999</v>
      </c>
      <c r="DO46" s="10">
        <v>-9999</v>
      </c>
      <c r="DP46" s="10">
        <v>-9999</v>
      </c>
      <c r="DQ46" s="10">
        <v>-9999</v>
      </c>
      <c r="DR46" s="10">
        <v>-9999</v>
      </c>
      <c r="DS46" s="10">
        <v>-9999</v>
      </c>
      <c r="DT46" s="10">
        <v>0</v>
      </c>
      <c r="DU46" s="10">
        <v>4319</v>
      </c>
      <c r="DV46" s="10">
        <v>17272</v>
      </c>
      <c r="DW46" s="10">
        <v>17272</v>
      </c>
      <c r="DX46" s="10">
        <v>17272</v>
      </c>
      <c r="DY46" s="10">
        <v>-9999</v>
      </c>
      <c r="DZ46" s="10">
        <v>-9999</v>
      </c>
      <c r="EA46" s="10">
        <v>-9999</v>
      </c>
      <c r="EB46" s="10">
        <v>-9999</v>
      </c>
      <c r="EC46" s="10">
        <v>-9999</v>
      </c>
    </row>
    <row r="47" spans="1:133" x14ac:dyDescent="0.8">
      <c r="A47" s="10" t="s">
        <v>44</v>
      </c>
      <c r="B47" s="10" t="s">
        <v>234</v>
      </c>
      <c r="C47" s="10">
        <v>51</v>
      </c>
      <c r="D47" s="10">
        <v>132644993.7</v>
      </c>
      <c r="E47" s="10">
        <v>100253294.90000001</v>
      </c>
      <c r="F47" s="10">
        <v>0</v>
      </c>
      <c r="G47" s="10">
        <v>349794.16529999999</v>
      </c>
      <c r="H47" s="10">
        <v>8225159.9440000001</v>
      </c>
      <c r="I47" s="11">
        <v>8225159.9440000001</v>
      </c>
      <c r="J47" s="10">
        <v>9994119.0089999996</v>
      </c>
      <c r="K47" s="13">
        <v>0</v>
      </c>
      <c r="L47" s="13">
        <v>90349.032590000003</v>
      </c>
      <c r="M47" s="13">
        <v>2124492.966</v>
      </c>
      <c r="N47" s="14">
        <v>2124492.966</v>
      </c>
      <c r="O47" s="13">
        <v>2581400.9309999999</v>
      </c>
      <c r="P47" s="15">
        <f t="shared" si="0"/>
        <v>48.298906439842966</v>
      </c>
      <c r="Q47" s="20">
        <f t="shared" si="1"/>
        <v>3.8715872801811857</v>
      </c>
      <c r="R47" s="21">
        <f t="shared" si="2"/>
        <v>2124492.966</v>
      </c>
      <c r="S47" s="10">
        <v>0</v>
      </c>
      <c r="T47" s="10">
        <v>1745553.298</v>
      </c>
      <c r="U47" s="10">
        <v>1818284.6850000001</v>
      </c>
      <c r="V47" s="16">
        <v>1818284.6850000001</v>
      </c>
      <c r="W47" s="10">
        <v>1818284.6850000001</v>
      </c>
      <c r="X47" s="13">
        <v>0</v>
      </c>
      <c r="Y47" s="13">
        <v>214002.671</v>
      </c>
      <c r="Z47" s="13">
        <v>222919.44889999999</v>
      </c>
      <c r="AA47" s="17">
        <v>222919.44889999999</v>
      </c>
      <c r="AB47" s="13">
        <v>222919.44889999999</v>
      </c>
      <c r="AC47" s="15">
        <f t="shared" si="3"/>
        <v>11.5999999912005</v>
      </c>
      <c r="AD47" s="20">
        <f t="shared" si="4"/>
        <v>8.1566893062599899</v>
      </c>
      <c r="AE47" s="22">
        <f t="shared" si="5"/>
        <v>222919.44889999999</v>
      </c>
      <c r="AF47" s="10">
        <v>-9999</v>
      </c>
      <c r="AG47" s="10">
        <v>-9999</v>
      </c>
      <c r="AH47" s="10">
        <v>-9999</v>
      </c>
      <c r="AI47" s="10">
        <v>-9999</v>
      </c>
      <c r="AJ47" s="10">
        <v>-9999</v>
      </c>
      <c r="AK47" s="18">
        <v>-9999</v>
      </c>
      <c r="AL47" s="18">
        <v>-9999</v>
      </c>
      <c r="AM47" s="18">
        <v>-9999</v>
      </c>
      <c r="AN47" s="18">
        <v>-9999</v>
      </c>
      <c r="AO47" s="18">
        <v>-9999</v>
      </c>
      <c r="AP47" s="15">
        <f t="shared" si="6"/>
        <v>0</v>
      </c>
      <c r="AQ47" s="20">
        <f t="shared" si="7"/>
        <v>0</v>
      </c>
      <c r="AR47" s="21">
        <f t="shared" si="8"/>
        <v>0</v>
      </c>
      <c r="AS47" s="10">
        <v>-9999</v>
      </c>
      <c r="AT47" s="10">
        <v>-9999</v>
      </c>
      <c r="AU47" s="10">
        <v>-9999</v>
      </c>
      <c r="AV47" s="10">
        <v>-9999</v>
      </c>
      <c r="AW47" s="10">
        <v>-9999</v>
      </c>
      <c r="AX47" s="18">
        <v>-9999</v>
      </c>
      <c r="AY47" s="18">
        <v>-9999</v>
      </c>
      <c r="AZ47" s="18">
        <v>-9999</v>
      </c>
      <c r="BA47" s="18">
        <v>-9999</v>
      </c>
      <c r="BB47" s="18">
        <v>-9999</v>
      </c>
      <c r="BC47" s="23">
        <f t="shared" si="9"/>
        <v>0</v>
      </c>
      <c r="BD47" s="20">
        <f t="shared" si="10"/>
        <v>0</v>
      </c>
      <c r="BE47" s="20">
        <f t="shared" si="11"/>
        <v>0</v>
      </c>
      <c r="BF47" s="10">
        <v>0</v>
      </c>
      <c r="BG47" s="10">
        <v>0</v>
      </c>
      <c r="BH47" s="10">
        <v>0</v>
      </c>
      <c r="BI47" s="10">
        <v>0</v>
      </c>
      <c r="BJ47" s="10">
        <v>414676.2254</v>
      </c>
      <c r="BK47" s="10">
        <v>0</v>
      </c>
      <c r="BL47" s="10">
        <v>0</v>
      </c>
      <c r="BM47" s="10">
        <v>0</v>
      </c>
      <c r="BN47" s="10">
        <v>0</v>
      </c>
      <c r="BO47" s="10">
        <v>135671.15</v>
      </c>
      <c r="BQ47" s="10">
        <v>848879.03500000003</v>
      </c>
      <c r="BR47" s="10">
        <v>848879.03500000003</v>
      </c>
      <c r="BS47" s="10">
        <v>876036.15579999995</v>
      </c>
      <c r="BT47" s="10">
        <v>876036.15579999995</v>
      </c>
      <c r="BV47" s="10">
        <v>1787710.3089999999</v>
      </c>
      <c r="BW47" s="10">
        <v>1787710.3089999999</v>
      </c>
      <c r="BX47" s="10">
        <v>1844902.2790000001</v>
      </c>
      <c r="BY47" s="10">
        <v>1844902.2790000001</v>
      </c>
      <c r="CA47" s="10">
        <v>34654.704080000003</v>
      </c>
      <c r="CB47" s="10">
        <v>554475.26529999997</v>
      </c>
      <c r="CC47" s="10">
        <v>693094.08160000003</v>
      </c>
      <c r="CD47" s="10">
        <v>693094.08160000003</v>
      </c>
      <c r="CF47" s="10">
        <v>16106.28974</v>
      </c>
      <c r="CG47" s="10">
        <v>257700.63579999999</v>
      </c>
      <c r="CH47" s="10">
        <v>322125.79479999997</v>
      </c>
      <c r="CI47" s="10">
        <v>322125.79479999997</v>
      </c>
      <c r="CJ47" s="10">
        <v>0</v>
      </c>
      <c r="CK47" s="10">
        <v>73092.839129999993</v>
      </c>
      <c r="CL47" s="10">
        <v>713041.81229999999</v>
      </c>
      <c r="CM47" s="10">
        <v>646347.1679</v>
      </c>
      <c r="CN47" s="10">
        <v>646347.1679</v>
      </c>
      <c r="CO47" s="10">
        <v>0</v>
      </c>
      <c r="CP47" s="10">
        <v>0.45525704</v>
      </c>
      <c r="CQ47" s="10">
        <v>11414.746940000001</v>
      </c>
      <c r="CR47" s="10">
        <v>11414.746940000001</v>
      </c>
      <c r="CS47" s="10">
        <v>11414.746940000001</v>
      </c>
      <c r="CT47" s="23">
        <f t="shared" si="12"/>
        <v>40.317207073817833</v>
      </c>
      <c r="CU47" s="20">
        <f t="shared" si="13"/>
        <v>56.623871847307022</v>
      </c>
      <c r="CV47" s="20">
        <f t="shared" si="14"/>
        <v>11414.746940000001</v>
      </c>
      <c r="CX47" s="10">
        <v>1055.651736</v>
      </c>
      <c r="CY47" s="10">
        <v>50535.279110000003</v>
      </c>
      <c r="CZ47" s="10">
        <v>63883.120990000003</v>
      </c>
      <c r="DA47" s="10">
        <v>64763.910170000003</v>
      </c>
      <c r="DC47" s="10">
        <v>725.51832679999995</v>
      </c>
      <c r="DD47" s="10">
        <v>27474.571840000001</v>
      </c>
      <c r="DE47" s="10">
        <v>34259.060850000002</v>
      </c>
      <c r="DF47" s="10">
        <v>34731.408000000003</v>
      </c>
      <c r="DG47" s="23">
        <f t="shared" si="15"/>
        <v>59.786090830751064</v>
      </c>
      <c r="DH47" s="20">
        <f t="shared" si="16"/>
        <v>1.8647073038489319</v>
      </c>
      <c r="DI47" s="20">
        <f t="shared" si="17"/>
        <v>34259.060850000002</v>
      </c>
      <c r="DJ47" s="10">
        <v>20372.294689999999</v>
      </c>
      <c r="DK47" s="10">
        <v>203999.8432</v>
      </c>
      <c r="DL47" s="10">
        <v>230328.59669999999</v>
      </c>
      <c r="DM47" s="10">
        <v>244678.81649999999</v>
      </c>
      <c r="DN47" s="10">
        <v>307059.51020000002</v>
      </c>
      <c r="DO47" s="10">
        <v>-9999</v>
      </c>
      <c r="DP47" s="10">
        <v>-9999</v>
      </c>
      <c r="DQ47" s="10">
        <v>-9999</v>
      </c>
      <c r="DR47" s="10">
        <v>-9999</v>
      </c>
      <c r="DS47" s="10">
        <v>-9999</v>
      </c>
      <c r="DT47" s="10">
        <v>0</v>
      </c>
      <c r="DU47" s="10">
        <v>36429</v>
      </c>
      <c r="DV47" s="10">
        <v>104176</v>
      </c>
      <c r="DW47" s="10">
        <v>111232</v>
      </c>
      <c r="DX47" s="10">
        <v>111232</v>
      </c>
      <c r="DY47" s="10">
        <v>-9999</v>
      </c>
      <c r="DZ47" s="10">
        <v>-9999</v>
      </c>
      <c r="EA47" s="10">
        <v>-9999</v>
      </c>
      <c r="EB47" s="10">
        <v>-9999</v>
      </c>
      <c r="EC47" s="10">
        <v>-9999</v>
      </c>
    </row>
    <row r="48" spans="1:133" x14ac:dyDescent="0.8">
      <c r="A48" s="10" t="s">
        <v>51</v>
      </c>
      <c r="B48" s="10" t="s">
        <v>235</v>
      </c>
      <c r="C48" s="10">
        <v>53</v>
      </c>
      <c r="D48" s="10">
        <v>88245188.040000007</v>
      </c>
      <c r="E48" s="10">
        <v>49804266.280000001</v>
      </c>
      <c r="F48" s="10">
        <v>0</v>
      </c>
      <c r="G48" s="10">
        <v>168579.77009999999</v>
      </c>
      <c r="H48" s="10">
        <v>3964032.8790000002</v>
      </c>
      <c r="I48" s="11">
        <v>3964032.8790000002</v>
      </c>
      <c r="J48" s="10">
        <v>4816564.8590000002</v>
      </c>
      <c r="K48" s="13">
        <v>0</v>
      </c>
      <c r="L48" s="13">
        <v>147176.71100000001</v>
      </c>
      <c r="M48" s="13">
        <v>3460755.233</v>
      </c>
      <c r="N48" s="14">
        <v>3460755.233</v>
      </c>
      <c r="O48" s="13">
        <v>4205048.8849999998</v>
      </c>
      <c r="P48" s="15">
        <f t="shared" si="0"/>
        <v>48.29890643951947</v>
      </c>
      <c r="Q48" s="20">
        <f t="shared" si="1"/>
        <v>1.1454242245163717</v>
      </c>
      <c r="R48" s="21">
        <f t="shared" si="2"/>
        <v>3460755.233</v>
      </c>
      <c r="S48" s="10">
        <v>0</v>
      </c>
      <c r="T48" s="10">
        <v>1811831.3910000001</v>
      </c>
      <c r="U48" s="10">
        <v>1887324.365</v>
      </c>
      <c r="V48" s="16">
        <v>1887324.365</v>
      </c>
      <c r="W48" s="10">
        <v>1887324.365</v>
      </c>
      <c r="X48" s="13">
        <v>0</v>
      </c>
      <c r="Y48" s="13">
        <v>308087.33480000001</v>
      </c>
      <c r="Z48" s="13">
        <v>320924.30709999998</v>
      </c>
      <c r="AA48" s="17">
        <v>320924.30709999998</v>
      </c>
      <c r="AB48" s="13">
        <v>320924.30709999998</v>
      </c>
      <c r="AC48" s="15">
        <f t="shared" si="3"/>
        <v>11.599999987283583</v>
      </c>
      <c r="AD48" s="20">
        <f t="shared" si="4"/>
        <v>5.8809018925821341</v>
      </c>
      <c r="AE48" s="22">
        <f t="shared" si="5"/>
        <v>320924.30709999998</v>
      </c>
      <c r="AF48" s="10">
        <v>-9999</v>
      </c>
      <c r="AG48" s="10">
        <v>-9999</v>
      </c>
      <c r="AH48" s="10">
        <v>-9999</v>
      </c>
      <c r="AI48" s="10">
        <v>-9999</v>
      </c>
      <c r="AJ48" s="10">
        <v>-9999</v>
      </c>
      <c r="AK48" s="18">
        <v>-9999</v>
      </c>
      <c r="AL48" s="18">
        <v>-9999</v>
      </c>
      <c r="AM48" s="18">
        <v>-9999</v>
      </c>
      <c r="AN48" s="18">
        <v>-9999</v>
      </c>
      <c r="AO48" s="18">
        <v>-9999</v>
      </c>
      <c r="AP48" s="15">
        <f t="shared" si="6"/>
        <v>0</v>
      </c>
      <c r="AQ48" s="20">
        <f t="shared" si="7"/>
        <v>0</v>
      </c>
      <c r="AR48" s="21">
        <f t="shared" si="8"/>
        <v>0</v>
      </c>
      <c r="AS48" s="10">
        <v>0</v>
      </c>
      <c r="AT48" s="10">
        <v>0</v>
      </c>
      <c r="AU48" s="10">
        <v>0</v>
      </c>
      <c r="AV48" s="10">
        <v>850583.12159999995</v>
      </c>
      <c r="AW48" s="10">
        <v>1481046.45</v>
      </c>
      <c r="AX48" s="18">
        <v>-9999</v>
      </c>
      <c r="AY48" s="18">
        <v>0</v>
      </c>
      <c r="AZ48" s="18">
        <v>0</v>
      </c>
      <c r="BA48" s="18">
        <v>394979.63829999999</v>
      </c>
      <c r="BB48" s="18">
        <v>1120367.97</v>
      </c>
      <c r="BC48" s="23">
        <f t="shared" si="9"/>
        <v>100</v>
      </c>
      <c r="BD48" s="20">
        <f t="shared" si="10"/>
        <v>2.1534860005972112</v>
      </c>
      <c r="BE48" s="20">
        <f t="shared" si="11"/>
        <v>394979.63829999999</v>
      </c>
      <c r="BF48" s="10">
        <v>0</v>
      </c>
      <c r="BG48" s="10">
        <v>0</v>
      </c>
      <c r="BH48" s="10">
        <v>0</v>
      </c>
      <c r="BI48" s="10">
        <v>0</v>
      </c>
      <c r="BJ48" s="10">
        <v>422331.27929999999</v>
      </c>
      <c r="BK48" s="10">
        <v>0</v>
      </c>
      <c r="BL48" s="10">
        <v>0</v>
      </c>
      <c r="BM48" s="10">
        <v>0</v>
      </c>
      <c r="BN48" s="10">
        <v>0</v>
      </c>
      <c r="BO48" s="10">
        <v>156920.44529999999</v>
      </c>
      <c r="BQ48" s="10">
        <v>1157964.003</v>
      </c>
      <c r="BR48" s="10">
        <v>1157964.003</v>
      </c>
      <c r="BS48" s="10">
        <v>1195009.291</v>
      </c>
      <c r="BT48" s="10">
        <v>1195009.291</v>
      </c>
      <c r="BV48" s="10">
        <v>2438632.7140000002</v>
      </c>
      <c r="BW48" s="10">
        <v>2438632.7140000002</v>
      </c>
      <c r="BX48" s="10">
        <v>2516648.827</v>
      </c>
      <c r="BY48" s="10">
        <v>2516648.827</v>
      </c>
      <c r="CA48" s="10">
        <v>47272.812960000003</v>
      </c>
      <c r="CB48" s="10">
        <v>756365.0074</v>
      </c>
      <c r="CC48" s="10">
        <v>945456.25930000003</v>
      </c>
      <c r="CD48" s="10">
        <v>945456.25930000003</v>
      </c>
      <c r="CF48" s="10">
        <v>21970.743729999998</v>
      </c>
      <c r="CG48" s="10">
        <v>351531.89970000001</v>
      </c>
      <c r="CH48" s="10">
        <v>439414.87459999998</v>
      </c>
      <c r="CI48" s="10">
        <v>439414.87459999998</v>
      </c>
      <c r="CJ48" s="10">
        <v>0</v>
      </c>
      <c r="CK48" s="10">
        <v>121792.60550000001</v>
      </c>
      <c r="CL48" s="10">
        <v>1971962.4210000001</v>
      </c>
      <c r="CM48" s="10">
        <v>1792552.1229999999</v>
      </c>
      <c r="CN48" s="10">
        <v>1792552.1229999999</v>
      </c>
      <c r="CO48" s="10">
        <v>0</v>
      </c>
      <c r="CP48" s="10">
        <v>453.8771921</v>
      </c>
      <c r="CQ48" s="10">
        <v>31176.642090000001</v>
      </c>
      <c r="CR48" s="10">
        <v>31742.070640000002</v>
      </c>
      <c r="CS48" s="10">
        <v>31742.070640000002</v>
      </c>
      <c r="CT48" s="23">
        <f t="shared" si="12"/>
        <v>42.277926570506764</v>
      </c>
      <c r="CU48" s="20">
        <f t="shared" si="13"/>
        <v>56.472438213942546</v>
      </c>
      <c r="CV48" s="20">
        <f t="shared" si="14"/>
        <v>31742.070640000002</v>
      </c>
      <c r="CX48" s="10">
        <v>2170.1341630000002</v>
      </c>
      <c r="CY48" s="10">
        <v>103886.852</v>
      </c>
      <c r="CZ48" s="10">
        <v>131326.40109999999</v>
      </c>
      <c r="DA48" s="10">
        <v>133137.06520000001</v>
      </c>
      <c r="DC48" s="10">
        <v>2017.517699</v>
      </c>
      <c r="DD48" s="10">
        <v>76401.150609999997</v>
      </c>
      <c r="DE48" s="10">
        <v>95267.423389999996</v>
      </c>
      <c r="DF48" s="10">
        <v>96580.923949999997</v>
      </c>
      <c r="DG48" s="23">
        <f t="shared" si="15"/>
        <v>59.786090821916233</v>
      </c>
      <c r="DH48" s="20">
        <f t="shared" si="16"/>
        <v>1.3785027077134639</v>
      </c>
      <c r="DI48" s="20">
        <f t="shared" si="17"/>
        <v>95267.423389999996</v>
      </c>
      <c r="DJ48" s="10">
        <v>561341.29460000002</v>
      </c>
      <c r="DK48" s="10">
        <v>580375.57620000001</v>
      </c>
      <c r="DL48" s="10">
        <v>654809.84389999998</v>
      </c>
      <c r="DM48" s="10">
        <v>841846.49639999995</v>
      </c>
      <c r="DN48" s="10">
        <v>1016133.866</v>
      </c>
      <c r="DO48" s="10">
        <v>-9999</v>
      </c>
      <c r="DP48" s="10">
        <v>-9999</v>
      </c>
      <c r="DQ48" s="10">
        <v>-9999</v>
      </c>
      <c r="DR48" s="10">
        <v>-9999</v>
      </c>
      <c r="DS48" s="10">
        <v>-9999</v>
      </c>
      <c r="DT48" s="10">
        <v>0</v>
      </c>
      <c r="DU48" s="10">
        <v>235148</v>
      </c>
      <c r="DV48" s="10">
        <v>485537</v>
      </c>
      <c r="DW48" s="10">
        <v>529328</v>
      </c>
      <c r="DX48" s="10">
        <v>529328</v>
      </c>
      <c r="DY48" s="10">
        <v>-9999</v>
      </c>
      <c r="DZ48" s="10">
        <v>-9999</v>
      </c>
      <c r="EA48" s="10">
        <v>-9999</v>
      </c>
      <c r="EB48" s="10">
        <v>-9999</v>
      </c>
      <c r="EC48" s="10">
        <v>-9999</v>
      </c>
    </row>
    <row r="49" spans="1:133" x14ac:dyDescent="0.8">
      <c r="A49" s="10" t="s">
        <v>56</v>
      </c>
      <c r="B49" s="10" t="s">
        <v>236</v>
      </c>
      <c r="C49" s="10">
        <v>54</v>
      </c>
      <c r="D49" s="10">
        <v>129857743.2</v>
      </c>
      <c r="E49" s="10">
        <v>96989378.060000002</v>
      </c>
      <c r="F49" s="10"/>
      <c r="G49" s="10">
        <v>206469.12549999999</v>
      </c>
      <c r="H49" s="10">
        <v>4854974.0080000004</v>
      </c>
      <c r="I49" s="11">
        <v>4854974.0080000004</v>
      </c>
      <c r="J49" s="10">
        <v>5899117.8710000003</v>
      </c>
      <c r="K49" s="13"/>
      <c r="L49" s="13">
        <v>49684.97524</v>
      </c>
      <c r="M49" s="13">
        <v>1168306.703</v>
      </c>
      <c r="N49" s="14">
        <v>1168306.703</v>
      </c>
      <c r="O49" s="13">
        <v>1419570.7209999999</v>
      </c>
      <c r="P49" s="15">
        <f t="shared" si="0"/>
        <v>48.298906439789114</v>
      </c>
      <c r="Q49" s="20">
        <f t="shared" si="1"/>
        <v>4.1555646265944608</v>
      </c>
      <c r="R49" s="21">
        <f t="shared" si="2"/>
        <v>1168306.703</v>
      </c>
      <c r="T49" s="10">
        <v>708003.00760000001</v>
      </c>
      <c r="U49" s="10">
        <v>737503.13289999997</v>
      </c>
      <c r="V49" s="16">
        <v>737503.13289999997</v>
      </c>
      <c r="W49" s="10">
        <v>737503.13289999997</v>
      </c>
      <c r="X49" s="13"/>
      <c r="Y49" s="13">
        <v>71749.952690000006</v>
      </c>
      <c r="Z49" s="13">
        <v>74739.534050000002</v>
      </c>
      <c r="AA49" s="17">
        <v>74739.534050000002</v>
      </c>
      <c r="AB49" s="13">
        <v>74739.534050000002</v>
      </c>
      <c r="AC49" s="15">
        <f t="shared" si="3"/>
        <v>11.599999999132205</v>
      </c>
      <c r="AD49" s="20">
        <f t="shared" si="4"/>
        <v>9.8676442430938582</v>
      </c>
      <c r="AE49" s="22">
        <f t="shared" si="5"/>
        <v>74739.534050000002</v>
      </c>
      <c r="AF49" s="10">
        <v>-9999</v>
      </c>
      <c r="AG49" s="10">
        <v>-9999</v>
      </c>
      <c r="AH49" s="10">
        <v>-9999</v>
      </c>
      <c r="AI49" s="10">
        <v>-9999</v>
      </c>
      <c r="AJ49" s="10">
        <v>-9999</v>
      </c>
      <c r="AK49" s="18">
        <v>-9999</v>
      </c>
      <c r="AL49" s="18">
        <v>-9999</v>
      </c>
      <c r="AM49" s="18">
        <v>-9999</v>
      </c>
      <c r="AN49" s="18">
        <v>-9999</v>
      </c>
      <c r="AO49" s="18">
        <v>-9999</v>
      </c>
      <c r="AP49" s="15">
        <f t="shared" si="6"/>
        <v>0</v>
      </c>
      <c r="AQ49" s="20">
        <f t="shared" si="7"/>
        <v>0</v>
      </c>
      <c r="AR49" s="21">
        <f t="shared" si="8"/>
        <v>0</v>
      </c>
      <c r="AS49" s="10">
        <v>-9999</v>
      </c>
      <c r="AT49" s="10">
        <v>-9999</v>
      </c>
      <c r="AU49" s="10">
        <v>-9999</v>
      </c>
      <c r="AV49" s="10">
        <v>-9999</v>
      </c>
      <c r="AW49" s="10">
        <v>-9999</v>
      </c>
      <c r="AX49" s="18">
        <v>-9999</v>
      </c>
      <c r="AY49" s="18">
        <v>-9999</v>
      </c>
      <c r="AZ49" s="18">
        <v>-9999</v>
      </c>
      <c r="BA49" s="18">
        <v>-9999</v>
      </c>
      <c r="BB49" s="18">
        <v>-9999</v>
      </c>
      <c r="BC49" s="23">
        <f t="shared" si="9"/>
        <v>0</v>
      </c>
      <c r="BD49" s="20">
        <f t="shared" si="10"/>
        <v>0</v>
      </c>
      <c r="BE49" s="20">
        <f t="shared" si="11"/>
        <v>0</v>
      </c>
      <c r="BF49" s="10">
        <v>0</v>
      </c>
      <c r="BG49" s="10">
        <v>0</v>
      </c>
      <c r="BH49" s="10">
        <v>0</v>
      </c>
      <c r="BI49" s="10">
        <v>0</v>
      </c>
      <c r="BJ49" s="10">
        <v>127815.13310000001</v>
      </c>
      <c r="BK49" s="10">
        <v>0</v>
      </c>
      <c r="BL49" s="10">
        <v>0</v>
      </c>
      <c r="BM49" s="10">
        <v>0</v>
      </c>
      <c r="BN49" s="10">
        <v>0</v>
      </c>
      <c r="BO49" s="10">
        <v>50840.665150000001</v>
      </c>
      <c r="BQ49" s="10">
        <v>212403.86309999999</v>
      </c>
      <c r="BR49" s="10">
        <v>212403.86309999999</v>
      </c>
      <c r="BS49" s="10">
        <v>219199.03320000001</v>
      </c>
      <c r="BT49" s="10">
        <v>219199.03320000001</v>
      </c>
      <c r="BV49" s="10">
        <v>447315.29470000003</v>
      </c>
      <c r="BW49" s="10">
        <v>447315.29470000003</v>
      </c>
      <c r="BX49" s="10">
        <v>461625.6911</v>
      </c>
      <c r="BY49" s="10">
        <v>461625.6911</v>
      </c>
      <c r="CA49" s="10">
        <v>8671.1919120000002</v>
      </c>
      <c r="CB49" s="10">
        <v>138739.07060000001</v>
      </c>
      <c r="CC49" s="10">
        <v>173423.8382</v>
      </c>
      <c r="CD49" s="10">
        <v>173423.8382</v>
      </c>
      <c r="CF49" s="10">
        <v>4030.0655579999998</v>
      </c>
      <c r="CG49" s="10">
        <v>64481.048920000001</v>
      </c>
      <c r="CH49" s="10">
        <v>80601.311149999994</v>
      </c>
      <c r="CI49" s="10">
        <v>80601.311149999994</v>
      </c>
      <c r="CK49" s="10">
        <v>17772.049609999998</v>
      </c>
      <c r="CL49" s="10">
        <v>72940.655740000002</v>
      </c>
      <c r="CM49" s="10">
        <v>66118.123019999999</v>
      </c>
      <c r="CN49" s="10">
        <v>66118.123019999999</v>
      </c>
      <c r="CP49" s="10">
        <v>69.815668400000007</v>
      </c>
      <c r="CQ49" s="10">
        <v>1066.851285</v>
      </c>
      <c r="CR49" s="10">
        <v>1066.851285</v>
      </c>
      <c r="CS49" s="10">
        <v>1066.851285</v>
      </c>
      <c r="CT49" s="23">
        <f t="shared" si="12"/>
        <v>34.088952130692228</v>
      </c>
      <c r="CU49" s="20">
        <f t="shared" si="13"/>
        <v>61.975013715243357</v>
      </c>
      <c r="CV49" s="20">
        <f t="shared" si="14"/>
        <v>1066.851285</v>
      </c>
      <c r="CX49" s="10">
        <v>84.735413730000005</v>
      </c>
      <c r="CY49" s="10">
        <v>4056.3830269999999</v>
      </c>
      <c r="CZ49" s="10">
        <v>5127.7921539999998</v>
      </c>
      <c r="DA49" s="10">
        <v>5198.4916400000002</v>
      </c>
      <c r="DC49" s="10">
        <v>67.808788329999999</v>
      </c>
      <c r="DD49" s="10">
        <v>2567.8433709999999</v>
      </c>
      <c r="DE49" s="10">
        <v>3201.9389719999999</v>
      </c>
      <c r="DF49" s="10">
        <v>3246.0857380000002</v>
      </c>
      <c r="DG49" s="23">
        <f t="shared" si="15"/>
        <v>59.786090834757339</v>
      </c>
      <c r="DH49" s="20">
        <f t="shared" si="16"/>
        <v>1.6014646746365282</v>
      </c>
      <c r="DI49" s="20">
        <f t="shared" si="17"/>
        <v>3201.9389719999999</v>
      </c>
      <c r="DK49" s="10">
        <v>14256.137710000001</v>
      </c>
      <c r="DL49" s="10">
        <v>16096.10432</v>
      </c>
      <c r="DM49" s="10">
        <v>17088.943480000002</v>
      </c>
      <c r="DN49" s="10">
        <v>21448.516360000001</v>
      </c>
      <c r="DO49" s="10">
        <v>-9999</v>
      </c>
      <c r="DP49" s="10">
        <v>-9999</v>
      </c>
      <c r="DQ49" s="10">
        <v>-9999</v>
      </c>
      <c r="DR49" s="10">
        <v>-9999</v>
      </c>
      <c r="DS49" s="10">
        <v>-9999</v>
      </c>
      <c r="DU49" s="10">
        <v>76</v>
      </c>
      <c r="DV49" s="10">
        <v>152</v>
      </c>
      <c r="DW49" s="10">
        <v>304</v>
      </c>
      <c r="DX49" s="10">
        <v>304</v>
      </c>
      <c r="DY49" s="10">
        <v>-9999</v>
      </c>
      <c r="DZ49" s="10">
        <v>-9999</v>
      </c>
      <c r="EA49" s="10">
        <v>-9999</v>
      </c>
      <c r="EB49" s="10">
        <v>-9999</v>
      </c>
      <c r="EC49" s="10">
        <v>-9999</v>
      </c>
    </row>
    <row r="50" spans="1:133" x14ac:dyDescent="0.8">
      <c r="A50" s="10" t="s">
        <v>55</v>
      </c>
      <c r="B50" s="10" t="s">
        <v>237</v>
      </c>
      <c r="C50" s="10">
        <v>55</v>
      </c>
      <c r="D50" s="10">
        <v>123455290.40000001</v>
      </c>
      <c r="E50" s="10">
        <v>64365453.409999996</v>
      </c>
      <c r="F50" s="10"/>
      <c r="G50" s="10">
        <v>237960.4173</v>
      </c>
      <c r="H50" s="10">
        <v>5595469.2400000002</v>
      </c>
      <c r="I50" s="11">
        <v>5595469.2400000002</v>
      </c>
      <c r="J50" s="10">
        <v>6798869.0650000004</v>
      </c>
      <c r="K50" s="13"/>
      <c r="L50" s="13">
        <v>92283.456019999998</v>
      </c>
      <c r="M50" s="13">
        <v>2169979.5520000001</v>
      </c>
      <c r="N50" s="14">
        <v>2169979.5520000001</v>
      </c>
      <c r="O50" s="13">
        <v>2636670.1719999998</v>
      </c>
      <c r="P50" s="15">
        <f t="shared" si="0"/>
        <v>48.298906439524991</v>
      </c>
      <c r="Q50" s="20">
        <f t="shared" si="1"/>
        <v>2.5785815515371269</v>
      </c>
      <c r="R50" s="21">
        <f t="shared" si="2"/>
        <v>2169979.5520000001</v>
      </c>
      <c r="T50" s="10">
        <v>265754.80709999998</v>
      </c>
      <c r="U50" s="10">
        <v>276827.924</v>
      </c>
      <c r="V50" s="16">
        <v>276827.924</v>
      </c>
      <c r="W50" s="10">
        <v>276827.924</v>
      </c>
      <c r="X50" s="13"/>
      <c r="Y50" s="13">
        <v>52730.37487</v>
      </c>
      <c r="Z50" s="13">
        <v>54927.473830000003</v>
      </c>
      <c r="AA50" s="17">
        <v>54927.473830000003</v>
      </c>
      <c r="AB50" s="13">
        <v>54927.473830000003</v>
      </c>
      <c r="AC50" s="15">
        <f t="shared" si="3"/>
        <v>11.599999991330357</v>
      </c>
      <c r="AD50" s="20">
        <f t="shared" si="4"/>
        <v>5.0398808591995277</v>
      </c>
      <c r="AE50" s="22">
        <f t="shared" si="5"/>
        <v>54927.473830000003</v>
      </c>
      <c r="AF50" s="10">
        <v>-9999</v>
      </c>
      <c r="AG50" s="10">
        <v>-9999</v>
      </c>
      <c r="AH50" s="10">
        <v>-9999</v>
      </c>
      <c r="AI50" s="10">
        <v>-9999</v>
      </c>
      <c r="AJ50" s="10">
        <v>-9999</v>
      </c>
      <c r="AK50" s="18">
        <v>-9999</v>
      </c>
      <c r="AL50" s="18">
        <v>-9999</v>
      </c>
      <c r="AM50" s="18">
        <v>-9999</v>
      </c>
      <c r="AN50" s="18">
        <v>-9999</v>
      </c>
      <c r="AO50" s="18">
        <v>-9999</v>
      </c>
      <c r="AP50" s="15">
        <f t="shared" si="6"/>
        <v>0</v>
      </c>
      <c r="AQ50" s="20">
        <f t="shared" si="7"/>
        <v>0</v>
      </c>
      <c r="AR50" s="21">
        <f t="shared" si="8"/>
        <v>0</v>
      </c>
      <c r="AS50" s="10">
        <v>-9999</v>
      </c>
      <c r="AT50" s="10">
        <v>-9999</v>
      </c>
      <c r="AU50" s="10">
        <v>-9999</v>
      </c>
      <c r="AV50" s="10">
        <v>-9999</v>
      </c>
      <c r="AW50" s="10">
        <v>-9999</v>
      </c>
      <c r="AX50" s="18">
        <v>-9999</v>
      </c>
      <c r="AY50" s="18">
        <v>-9999</v>
      </c>
      <c r="AZ50" s="18">
        <v>-9999</v>
      </c>
      <c r="BA50" s="18">
        <v>-9999</v>
      </c>
      <c r="BB50" s="18">
        <v>-9999</v>
      </c>
      <c r="BC50" s="23">
        <f t="shared" si="9"/>
        <v>0</v>
      </c>
      <c r="BD50" s="20">
        <f t="shared" si="10"/>
        <v>0</v>
      </c>
      <c r="BE50" s="20">
        <f t="shared" si="11"/>
        <v>0</v>
      </c>
      <c r="BF50" s="10">
        <v>0</v>
      </c>
      <c r="BG50" s="10">
        <v>0</v>
      </c>
      <c r="BH50" s="10">
        <v>0</v>
      </c>
      <c r="BI50" s="10">
        <v>0</v>
      </c>
      <c r="BJ50" s="10">
        <v>331683.59980000003</v>
      </c>
      <c r="BK50" s="10">
        <v>0</v>
      </c>
      <c r="BL50" s="10">
        <v>0</v>
      </c>
      <c r="BM50" s="10">
        <v>0</v>
      </c>
      <c r="BN50" s="10">
        <v>0</v>
      </c>
      <c r="BO50" s="10">
        <v>141314.742</v>
      </c>
      <c r="BQ50" s="10">
        <v>2487197.6880000001</v>
      </c>
      <c r="BR50" s="10">
        <v>2487197.6880000001</v>
      </c>
      <c r="BS50" s="10">
        <v>2566767.48</v>
      </c>
      <c r="BT50" s="10">
        <v>2566767.48</v>
      </c>
      <c r="BV50" s="10">
        <v>5237953.54</v>
      </c>
      <c r="BW50" s="10">
        <v>5237953.54</v>
      </c>
      <c r="BX50" s="10">
        <v>5405524.8090000004</v>
      </c>
      <c r="BY50" s="10">
        <v>5405524.8090000004</v>
      </c>
      <c r="CA50" s="10">
        <v>101537.5528</v>
      </c>
      <c r="CB50" s="10">
        <v>1624600.845</v>
      </c>
      <c r="CC50" s="10">
        <v>2030751.057</v>
      </c>
      <c r="CD50" s="10">
        <v>2030751.057</v>
      </c>
      <c r="CF50" s="10">
        <v>47191.089599999999</v>
      </c>
      <c r="CG50" s="10">
        <v>755057.43370000005</v>
      </c>
      <c r="CH50" s="10">
        <v>943821.79209999996</v>
      </c>
      <c r="CI50" s="10">
        <v>943821.79209999996</v>
      </c>
      <c r="CK50" s="10">
        <v>172679.2947</v>
      </c>
      <c r="CL50" s="10">
        <v>4123457.3969999999</v>
      </c>
      <c r="CM50" s="10">
        <v>4024927.7919999999</v>
      </c>
      <c r="CN50" s="10">
        <v>4024927.7919999999</v>
      </c>
      <c r="CP50" s="10">
        <v>5606.2873499999996</v>
      </c>
      <c r="CQ50" s="10">
        <v>47484.084179999998</v>
      </c>
      <c r="CR50" s="10">
        <v>47484.084179999998</v>
      </c>
      <c r="CS50" s="10">
        <v>47484.084179999998</v>
      </c>
      <c r="CT50" s="23">
        <f t="shared" si="12"/>
        <v>47.059909481725185</v>
      </c>
      <c r="CU50" s="20">
        <f t="shared" si="13"/>
        <v>84.763723708822724</v>
      </c>
      <c r="CV50" s="20">
        <f t="shared" si="14"/>
        <v>47484.084179999998</v>
      </c>
      <c r="CX50" s="10">
        <v>5350.2065419999999</v>
      </c>
      <c r="CY50" s="10">
        <v>256120.62359999999</v>
      </c>
      <c r="CZ50" s="10">
        <v>323769.55420000001</v>
      </c>
      <c r="DA50" s="10">
        <v>328233.53019999998</v>
      </c>
      <c r="DC50" s="10">
        <v>3018.0759579999999</v>
      </c>
      <c r="DD50" s="10">
        <v>114291.1787</v>
      </c>
      <c r="DE50" s="10">
        <v>142513.90220000001</v>
      </c>
      <c r="DF50" s="10">
        <v>144478.81409999999</v>
      </c>
      <c r="DG50" s="23">
        <f t="shared" si="15"/>
        <v>59.786090839050246</v>
      </c>
      <c r="DH50" s="20">
        <f t="shared" si="16"/>
        <v>2.2718454073738776</v>
      </c>
      <c r="DI50" s="20">
        <f t="shared" si="17"/>
        <v>142513.90220000001</v>
      </c>
      <c r="DK50" s="10">
        <v>852594.42630000005</v>
      </c>
      <c r="DL50" s="10">
        <v>962376.64379999996</v>
      </c>
      <c r="DM50" s="10">
        <v>1101854.7420000001</v>
      </c>
      <c r="DN50" s="10">
        <v>1360836.257</v>
      </c>
      <c r="DO50" s="10">
        <v>-9999</v>
      </c>
      <c r="DP50" s="10">
        <v>-9999</v>
      </c>
      <c r="DQ50" s="10">
        <v>-9999</v>
      </c>
      <c r="DR50" s="10">
        <v>-9999</v>
      </c>
      <c r="DS50" s="10">
        <v>-9999</v>
      </c>
      <c r="DU50" s="10">
        <v>58076</v>
      </c>
      <c r="DV50" s="10">
        <v>194806</v>
      </c>
      <c r="DW50" s="10">
        <v>209629</v>
      </c>
      <c r="DX50" s="10">
        <v>209629</v>
      </c>
      <c r="DY50" s="10">
        <v>-9999</v>
      </c>
      <c r="DZ50" s="10">
        <v>-9999</v>
      </c>
      <c r="EA50" s="10">
        <v>-9999</v>
      </c>
      <c r="EB50" s="10">
        <v>-9999</v>
      </c>
      <c r="EC50" s="10">
        <v>-9999</v>
      </c>
    </row>
    <row r="51" spans="1:133" x14ac:dyDescent="0.8">
      <c r="A51" s="10" t="s">
        <v>53</v>
      </c>
      <c r="B51" s="10" t="s">
        <v>238</v>
      </c>
      <c r="C51" s="10">
        <v>56</v>
      </c>
      <c r="D51" s="10">
        <v>92164272.659999996</v>
      </c>
      <c r="E51" s="10">
        <v>99551279.810000002</v>
      </c>
      <c r="F51" s="10"/>
      <c r="G51" s="10">
        <v>107073.48669999999</v>
      </c>
      <c r="H51" s="10">
        <v>2517756.5580000002</v>
      </c>
      <c r="I51" s="11">
        <v>2517756.5580000002</v>
      </c>
      <c r="J51" s="10">
        <v>3059242.477</v>
      </c>
      <c r="K51" s="13"/>
      <c r="L51" s="13">
        <v>176718.13800000001</v>
      </c>
      <c r="M51" s="13">
        <v>4155400.7880000002</v>
      </c>
      <c r="N51" s="14">
        <v>4155400.7880000002</v>
      </c>
      <c r="O51" s="13">
        <v>5049089.6579999998</v>
      </c>
      <c r="P51" s="15">
        <f t="shared" si="0"/>
        <v>48.298906439388972</v>
      </c>
      <c r="Q51" s="20">
        <f t="shared" si="1"/>
        <v>0.60589981242502478</v>
      </c>
      <c r="R51" s="21">
        <f t="shared" si="2"/>
        <v>4155400.7880000002</v>
      </c>
      <c r="T51" s="10">
        <v>56842.15496</v>
      </c>
      <c r="U51" s="10">
        <v>59210.578079999999</v>
      </c>
      <c r="V51" s="16">
        <v>59210.578079999999</v>
      </c>
      <c r="W51" s="10">
        <v>59210.578079999999</v>
      </c>
      <c r="X51" s="13"/>
      <c r="Y51" s="13">
        <v>25567.239740000001</v>
      </c>
      <c r="Z51" s="13">
        <v>26632.541389999999</v>
      </c>
      <c r="AA51" s="17">
        <v>26632.541389999999</v>
      </c>
      <c r="AB51" s="13">
        <v>26632.541389999999</v>
      </c>
      <c r="AC51" s="15">
        <f t="shared" si="3"/>
        <v>11.599999997838225</v>
      </c>
      <c r="AD51" s="20">
        <f t="shared" si="4"/>
        <v>2.2232417557504451</v>
      </c>
      <c r="AE51" s="22">
        <f t="shared" si="5"/>
        <v>26632.541389999999</v>
      </c>
      <c r="AF51" s="10">
        <v>-9999</v>
      </c>
      <c r="AG51" s="10">
        <v>-9999</v>
      </c>
      <c r="AH51" s="10">
        <v>-9999</v>
      </c>
      <c r="AI51" s="10">
        <v>-9999</v>
      </c>
      <c r="AJ51" s="10">
        <v>-9999</v>
      </c>
      <c r="AK51" s="18">
        <v>-9999</v>
      </c>
      <c r="AL51" s="18">
        <v>-9999</v>
      </c>
      <c r="AM51" s="18">
        <v>-9999</v>
      </c>
      <c r="AN51" s="18">
        <v>-9999</v>
      </c>
      <c r="AO51" s="18">
        <v>-9999</v>
      </c>
      <c r="AP51" s="15">
        <f t="shared" si="6"/>
        <v>0</v>
      </c>
      <c r="AQ51" s="20">
        <f t="shared" si="7"/>
        <v>0</v>
      </c>
      <c r="AR51" s="21">
        <f t="shared" si="8"/>
        <v>0</v>
      </c>
      <c r="AS51" s="10">
        <v>0</v>
      </c>
      <c r="AT51" s="10">
        <v>0</v>
      </c>
      <c r="AU51" s="10">
        <v>746358.47629999998</v>
      </c>
      <c r="AV51" s="10">
        <v>746358.47629999998</v>
      </c>
      <c r="AW51" s="10">
        <v>848003.68859999999</v>
      </c>
      <c r="AX51" s="18">
        <v>-9999</v>
      </c>
      <c r="AY51" s="18">
        <v>0</v>
      </c>
      <c r="AZ51" s="18">
        <v>1116516.544</v>
      </c>
      <c r="BA51" s="18">
        <v>1116516.544</v>
      </c>
      <c r="BB51" s="18">
        <v>1399420.67</v>
      </c>
      <c r="BC51" s="23">
        <f t="shared" si="9"/>
        <v>50</v>
      </c>
      <c r="BD51" s="20">
        <f t="shared" si="10"/>
        <v>0.66847059303404288</v>
      </c>
      <c r="BE51" s="20">
        <f t="shared" si="11"/>
        <v>1116516.544</v>
      </c>
      <c r="BF51" s="10">
        <v>0</v>
      </c>
      <c r="BG51" s="10">
        <v>0</v>
      </c>
      <c r="BH51" s="10">
        <v>0</v>
      </c>
      <c r="BI51" s="10">
        <v>0</v>
      </c>
      <c r="BJ51" s="10">
        <v>22636.38639</v>
      </c>
      <c r="BK51" s="10">
        <v>0</v>
      </c>
      <c r="BL51" s="10">
        <v>0</v>
      </c>
      <c r="BM51" s="10">
        <v>0</v>
      </c>
      <c r="BN51" s="10">
        <v>0</v>
      </c>
      <c r="BO51" s="10">
        <v>11922.894480000001</v>
      </c>
      <c r="BQ51" s="10">
        <v>464784.67920000001</v>
      </c>
      <c r="BR51" s="10">
        <v>464784.67920000001</v>
      </c>
      <c r="BS51" s="10">
        <v>479653.95169999998</v>
      </c>
      <c r="BT51" s="10">
        <v>479653.95169999998</v>
      </c>
      <c r="BV51" s="10">
        <v>978820.68949999998</v>
      </c>
      <c r="BW51" s="10">
        <v>978820.68949999998</v>
      </c>
      <c r="BX51" s="10">
        <v>1010134.87</v>
      </c>
      <c r="BY51" s="10">
        <v>1010134.87</v>
      </c>
      <c r="CA51" s="10">
        <v>18974.406080000001</v>
      </c>
      <c r="CB51" s="10">
        <v>303590.49719999998</v>
      </c>
      <c r="CC51" s="10">
        <v>379488.12150000001</v>
      </c>
      <c r="CD51" s="10">
        <v>379488.12150000001</v>
      </c>
      <c r="CF51" s="10">
        <v>8818.6377580000008</v>
      </c>
      <c r="CG51" s="10">
        <v>141098.2041</v>
      </c>
      <c r="CH51" s="10">
        <v>176372.75520000001</v>
      </c>
      <c r="CI51" s="10">
        <v>176372.75520000001</v>
      </c>
      <c r="CK51" s="10">
        <v>1407203.4720000001</v>
      </c>
      <c r="CL51" s="10">
        <v>1706999.558</v>
      </c>
      <c r="CM51" s="10">
        <v>1547334.6880000001</v>
      </c>
      <c r="CN51" s="10">
        <v>1547334.6880000001</v>
      </c>
      <c r="CP51" s="10">
        <v>3560.6116440000001</v>
      </c>
      <c r="CQ51" s="10">
        <v>23986.234219999998</v>
      </c>
      <c r="CR51" s="10">
        <v>23986.234219999998</v>
      </c>
      <c r="CS51" s="10">
        <v>23986.234219999998</v>
      </c>
      <c r="CT51" s="23">
        <f t="shared" si="12"/>
        <v>8.4631670973048116</v>
      </c>
      <c r="CU51" s="20">
        <f t="shared" si="13"/>
        <v>64.509279522911299</v>
      </c>
      <c r="CV51" s="20">
        <f t="shared" si="14"/>
        <v>23986.234219999998</v>
      </c>
      <c r="CX51" s="10">
        <v>1998.7111170000001</v>
      </c>
      <c r="CY51" s="10">
        <v>95680.630950000006</v>
      </c>
      <c r="CZ51" s="10">
        <v>120952.6777</v>
      </c>
      <c r="DA51" s="10">
        <v>122620.31389999999</v>
      </c>
      <c r="DC51" s="10">
        <v>1524.5587660000001</v>
      </c>
      <c r="DD51" s="10">
        <v>57733.344290000001</v>
      </c>
      <c r="DE51" s="10">
        <v>71989.844530000002</v>
      </c>
      <c r="DF51" s="10">
        <v>72982.405239999993</v>
      </c>
      <c r="DG51" s="23">
        <f t="shared" si="15"/>
        <v>59.786090852455764</v>
      </c>
      <c r="DH51" s="20">
        <f t="shared" si="16"/>
        <v>1.6801352814367578</v>
      </c>
      <c r="DI51" s="20">
        <f t="shared" si="17"/>
        <v>71989.844530000002</v>
      </c>
      <c r="DK51" s="10">
        <v>446015.13770000002</v>
      </c>
      <c r="DL51" s="10">
        <v>503095.99609999999</v>
      </c>
      <c r="DM51" s="10">
        <v>684565.27060000005</v>
      </c>
      <c r="DN51" s="10">
        <v>817682.24040000001</v>
      </c>
      <c r="DO51" s="10">
        <v>-9999</v>
      </c>
      <c r="DP51" s="10">
        <v>-9999</v>
      </c>
      <c r="DQ51" s="10">
        <v>-9999</v>
      </c>
      <c r="DR51" s="10">
        <v>-9999</v>
      </c>
      <c r="DS51" s="10">
        <v>-9999</v>
      </c>
      <c r="DU51" s="10">
        <v>5957</v>
      </c>
      <c r="DV51" s="10">
        <v>9588</v>
      </c>
      <c r="DW51" s="10">
        <v>14969</v>
      </c>
      <c r="DX51" s="10">
        <v>14969</v>
      </c>
      <c r="DY51" s="10">
        <v>-9999</v>
      </c>
      <c r="DZ51" s="10">
        <v>-9999</v>
      </c>
      <c r="EA51" s="10">
        <v>-9999</v>
      </c>
      <c r="EB51" s="10">
        <v>-9999</v>
      </c>
      <c r="EC51" s="10">
        <v>-9999</v>
      </c>
    </row>
    <row r="52" spans="1:133" s="30" customFormat="1" x14ac:dyDescent="0.8">
      <c r="A52" s="29" t="s">
        <v>239</v>
      </c>
      <c r="D52" s="31"/>
      <c r="E52" s="31"/>
      <c r="F52" s="31"/>
      <c r="G52" s="31"/>
      <c r="H52" s="31"/>
      <c r="I52" s="32">
        <f>SUM(I4:I51)</f>
        <v>252444615.67210001</v>
      </c>
      <c r="J52" s="32">
        <f t="shared" ref="J52:N52" si="18">SUM(J4:J51)</f>
        <v>306737078.56210005</v>
      </c>
      <c r="K52" s="32">
        <f t="shared" si="18"/>
        <v>0</v>
      </c>
      <c r="L52" s="32">
        <f t="shared" si="18"/>
        <v>5441180.9563499996</v>
      </c>
      <c r="M52" s="32">
        <f t="shared" si="18"/>
        <v>127945483.62911001</v>
      </c>
      <c r="N52" s="32">
        <f t="shared" si="18"/>
        <v>127945483.62911001</v>
      </c>
      <c r="O52" s="31"/>
      <c r="Q52" s="33"/>
      <c r="R52" s="32"/>
      <c r="S52" s="32">
        <f t="shared" ref="S52:AA52" si="19">SUM(S4:S51)</f>
        <v>0</v>
      </c>
      <c r="T52" s="32">
        <f t="shared" si="19"/>
        <v>36479999.998786993</v>
      </c>
      <c r="U52" s="32">
        <f t="shared" si="19"/>
        <v>37999999.998844996</v>
      </c>
      <c r="V52" s="32">
        <f t="shared" si="19"/>
        <v>37999999.998844996</v>
      </c>
      <c r="W52" s="32">
        <f t="shared" si="19"/>
        <v>37999999.998844996</v>
      </c>
      <c r="X52" s="32">
        <f t="shared" si="19"/>
        <v>0</v>
      </c>
      <c r="Y52" s="32">
        <f t="shared" si="19"/>
        <v>6494017.4701033002</v>
      </c>
      <c r="Z52" s="32">
        <f t="shared" si="19"/>
        <v>6764601.5311640995</v>
      </c>
      <c r="AA52" s="32">
        <f t="shared" si="19"/>
        <v>6764601.5311640995</v>
      </c>
      <c r="AB52" s="31"/>
      <c r="AD52" s="33"/>
      <c r="AE52" s="34"/>
      <c r="AF52" s="31"/>
      <c r="AG52" s="31"/>
      <c r="AH52" s="31"/>
      <c r="AI52" s="31"/>
      <c r="AJ52" s="31"/>
      <c r="AK52" s="31"/>
      <c r="AL52" s="31"/>
      <c r="AM52" s="31"/>
      <c r="AN52" s="31"/>
      <c r="AO52" s="31"/>
      <c r="AQ52" s="33"/>
      <c r="AR52" s="35"/>
      <c r="AS52" s="31"/>
      <c r="AT52" s="31"/>
      <c r="AU52" s="31"/>
      <c r="AV52" s="31"/>
      <c r="AW52" s="31"/>
      <c r="AX52" s="31"/>
      <c r="AY52" s="31"/>
      <c r="AZ52" s="31"/>
      <c r="BA52" s="31"/>
      <c r="BB52" s="31"/>
      <c r="BC52" s="36"/>
      <c r="BD52" s="33"/>
      <c r="BE52" s="33"/>
      <c r="BF52" s="31"/>
      <c r="BG52" s="31"/>
      <c r="BH52" s="31"/>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f>SUM(CM4:CM51)</f>
        <v>106990001.00357299</v>
      </c>
      <c r="CN52" s="31"/>
      <c r="CO52" s="31"/>
      <c r="CP52" s="31"/>
      <c r="CQ52" s="31"/>
      <c r="CR52" s="31">
        <f>SUM(CR4:CR51)</f>
        <v>1695386.5943161997</v>
      </c>
      <c r="CS52" s="31"/>
      <c r="CT52" s="36"/>
      <c r="CU52" s="33"/>
      <c r="CV52" s="33"/>
      <c r="CW52" s="31"/>
      <c r="CX52" s="31"/>
      <c r="CY52" s="31"/>
      <c r="CZ52" s="31">
        <f>SUM(CZ4:CZ51)</f>
        <v>9023192.6404680982</v>
      </c>
      <c r="DA52" s="31"/>
      <c r="DB52" s="31"/>
      <c r="DC52" s="31"/>
      <c r="DD52" s="31"/>
      <c r="DE52" s="31">
        <f>SUM(DE4:DE51)</f>
        <v>5118528.2400271418</v>
      </c>
      <c r="DF52" s="31"/>
      <c r="DG52" s="36"/>
      <c r="DH52" s="33"/>
      <c r="DI52" s="33"/>
      <c r="DJ52" s="31"/>
      <c r="DK52" s="31"/>
      <c r="DL52" s="31"/>
      <c r="DM52" s="31"/>
      <c r="DN52" s="31"/>
      <c r="DO52" s="31"/>
      <c r="DP52" s="31"/>
      <c r="DQ52" s="31"/>
      <c r="DR52" s="31"/>
      <c r="DS52" s="31"/>
      <c r="DT52" s="31"/>
      <c r="DU52" s="31"/>
      <c r="DV52" s="31"/>
      <c r="DW52" s="31"/>
      <c r="DX52" s="31"/>
      <c r="DY52" s="31"/>
      <c r="DZ52" s="31"/>
      <c r="EA52" s="31"/>
      <c r="EB52" s="31"/>
      <c r="EC52" s="31"/>
    </row>
  </sheetData>
  <autoFilter ref="A3:EC51" xr:uid="{00000000-0001-0000-0000-000000000000}"/>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2A91-DF51-48C6-9139-7A65100E3E7B}">
  <dimension ref="A2:V22"/>
  <sheetViews>
    <sheetView workbookViewId="0">
      <selection activeCell="A6" sqref="A6"/>
    </sheetView>
  </sheetViews>
  <sheetFormatPr defaultRowHeight="14.75" x14ac:dyDescent="0.75"/>
  <cols>
    <col min="2" max="2" width="46.1328125" customWidth="1"/>
    <col min="3" max="3" width="15.26953125" bestFit="1" customWidth="1"/>
  </cols>
  <sheetData>
    <row r="2" spans="1:22" x14ac:dyDescent="0.75">
      <c r="B2" s="39" t="s">
        <v>244</v>
      </c>
      <c r="C2" s="40"/>
      <c r="D2" s="40"/>
      <c r="E2" s="40"/>
      <c r="F2" s="40"/>
      <c r="G2" s="40"/>
      <c r="H2" s="40"/>
      <c r="I2" s="40"/>
      <c r="J2" s="40"/>
      <c r="K2" s="40"/>
      <c r="L2" s="40"/>
      <c r="M2" s="40"/>
      <c r="N2" s="40"/>
      <c r="O2" s="40"/>
      <c r="P2" s="40"/>
      <c r="Q2" s="40"/>
      <c r="R2" s="40"/>
      <c r="S2" s="40"/>
      <c r="T2" s="40"/>
      <c r="U2" s="40"/>
      <c r="V2" s="40"/>
    </row>
    <row r="3" spans="1:22" x14ac:dyDescent="0.75">
      <c r="B3" s="40" t="s">
        <v>245</v>
      </c>
      <c r="C3" s="40"/>
      <c r="D3" s="40"/>
      <c r="E3" s="40"/>
      <c r="F3" s="40"/>
      <c r="G3" s="40"/>
      <c r="H3" s="40"/>
      <c r="I3" s="40"/>
      <c r="J3" s="40"/>
      <c r="K3" s="40"/>
      <c r="L3" s="40"/>
      <c r="M3" s="40"/>
      <c r="N3" s="40"/>
      <c r="O3" s="40"/>
      <c r="P3" s="40"/>
      <c r="Q3" s="40"/>
      <c r="R3" s="40"/>
      <c r="S3" s="40"/>
      <c r="T3" s="40"/>
      <c r="U3" s="40"/>
      <c r="V3" s="40"/>
    </row>
    <row r="4" spans="1:22" x14ac:dyDescent="0.75">
      <c r="B4" s="8" t="s">
        <v>246</v>
      </c>
    </row>
    <row r="6" spans="1:22" x14ac:dyDescent="0.75">
      <c r="A6" s="1" t="s">
        <v>247</v>
      </c>
      <c r="B6" s="41" t="s">
        <v>248</v>
      </c>
    </row>
    <row r="7" spans="1:22" x14ac:dyDescent="0.75">
      <c r="A7" t="s">
        <v>249</v>
      </c>
      <c r="B7" t="s">
        <v>250</v>
      </c>
      <c r="C7">
        <f>'TNC Data'!I52</f>
        <v>252444615.67210001</v>
      </c>
    </row>
    <row r="8" spans="1:22" x14ac:dyDescent="0.75">
      <c r="A8" t="s">
        <v>8</v>
      </c>
      <c r="B8" t="s">
        <v>251</v>
      </c>
      <c r="C8" s="42">
        <f>'TNC Data'!N52</f>
        <v>127945483.62911001</v>
      </c>
    </row>
    <row r="9" spans="1:22" x14ac:dyDescent="0.75">
      <c r="B9" s="8" t="s">
        <v>253</v>
      </c>
      <c r="C9" s="42">
        <f>C8/36</f>
        <v>3554041.2119197226</v>
      </c>
    </row>
    <row r="10" spans="1:22" x14ac:dyDescent="0.75">
      <c r="B10" s="8" t="s">
        <v>332</v>
      </c>
      <c r="C10" s="65">
        <f>C7*10^6/C8</f>
        <v>1973063.9059045622</v>
      </c>
    </row>
    <row r="12" spans="1:22" x14ac:dyDescent="0.75">
      <c r="A12" s="1" t="s">
        <v>247</v>
      </c>
      <c r="B12" s="41" t="s">
        <v>252</v>
      </c>
    </row>
    <row r="13" spans="1:22" x14ac:dyDescent="0.75">
      <c r="A13" t="s">
        <v>249</v>
      </c>
      <c r="B13" t="s">
        <v>250</v>
      </c>
      <c r="C13">
        <f>'TNC Data'!V52</f>
        <v>37999999.998844996</v>
      </c>
    </row>
    <row r="14" spans="1:22" x14ac:dyDescent="0.75">
      <c r="A14" t="s">
        <v>8</v>
      </c>
      <c r="B14" t="s">
        <v>251</v>
      </c>
      <c r="C14" s="42">
        <f>'TNC Data'!AA52</f>
        <v>6764601.5311640995</v>
      </c>
    </row>
    <row r="15" spans="1:22" x14ac:dyDescent="0.75">
      <c r="B15" s="8" t="s">
        <v>253</v>
      </c>
      <c r="C15" s="42">
        <f>C14/36</f>
        <v>187905.59808789165</v>
      </c>
    </row>
    <row r="16" spans="1:22" x14ac:dyDescent="0.75">
      <c r="B16" s="8" t="s">
        <v>332</v>
      </c>
      <c r="C16" s="65">
        <f>C13*10^6/C14</f>
        <v>5617477.9584253943</v>
      </c>
    </row>
    <row r="17" spans="1:3" x14ac:dyDescent="0.75">
      <c r="B17" s="8"/>
      <c r="C17" s="6"/>
    </row>
    <row r="18" spans="1:3" x14ac:dyDescent="0.75">
      <c r="A18" s="1" t="s">
        <v>247</v>
      </c>
      <c r="B18" s="41" t="s">
        <v>263</v>
      </c>
    </row>
    <row r="19" spans="1:3" x14ac:dyDescent="0.75">
      <c r="A19" t="s">
        <v>249</v>
      </c>
      <c r="B19" t="s">
        <v>250</v>
      </c>
      <c r="C19" s="43">
        <f>SUM('TNC Data'!CM52,'TNC Data'!CZ52)</f>
        <v>116013193.64404109</v>
      </c>
    </row>
    <row r="20" spans="1:3" x14ac:dyDescent="0.75">
      <c r="A20" t="s">
        <v>8</v>
      </c>
      <c r="B20" t="s">
        <v>251</v>
      </c>
      <c r="C20" s="43">
        <f>SUM('TNC Data'!CR52,'TNC Data'!DE52)</f>
        <v>6813914.8343433412</v>
      </c>
    </row>
    <row r="21" spans="1:3" x14ac:dyDescent="0.75">
      <c r="B21" s="8" t="s">
        <v>253</v>
      </c>
      <c r="C21" s="42">
        <f>C20/36</f>
        <v>189275.41206509282</v>
      </c>
    </row>
    <row r="22" spans="1:3" x14ac:dyDescent="0.75">
      <c r="B22" s="8" t="s">
        <v>332</v>
      </c>
      <c r="C22" s="65">
        <f>C19*10^6/C20</f>
        <v>17025923.637805685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CA7D-439B-4474-847A-349C8907D325}">
  <dimension ref="A1:B8"/>
  <sheetViews>
    <sheetView workbookViewId="0">
      <selection activeCell="B9" sqref="B9"/>
    </sheetView>
  </sheetViews>
  <sheetFormatPr defaultRowHeight="14.75" x14ac:dyDescent="0.75"/>
  <cols>
    <col min="1" max="1" width="17.40625" customWidth="1"/>
  </cols>
  <sheetData>
    <row r="1" spans="1:2" x14ac:dyDescent="0.75">
      <c r="A1" s="1" t="s">
        <v>254</v>
      </c>
    </row>
    <row r="3" spans="1:2" x14ac:dyDescent="0.75">
      <c r="A3" s="8" t="s">
        <v>256</v>
      </c>
      <c r="B3" s="8" t="s">
        <v>257</v>
      </c>
    </row>
    <row r="4" spans="1:2" x14ac:dyDescent="0.75">
      <c r="A4" t="s">
        <v>255</v>
      </c>
      <c r="B4">
        <f>2.5*10^6</f>
        <v>2500000</v>
      </c>
    </row>
    <row r="5" spans="1:2" ht="29.5" x14ac:dyDescent="0.75">
      <c r="A5" s="44" t="s">
        <v>258</v>
      </c>
      <c r="B5">
        <v>890909</v>
      </c>
    </row>
    <row r="6" spans="1:2" x14ac:dyDescent="0.75">
      <c r="A6" s="44" t="s">
        <v>259</v>
      </c>
      <c r="B6">
        <f>SUM(B4:B5)</f>
        <v>3390909</v>
      </c>
    </row>
    <row r="8" spans="1:2" ht="29.5" x14ac:dyDescent="0.75">
      <c r="A8" s="44" t="s">
        <v>260</v>
      </c>
      <c r="B8">
        <f>B6/29</f>
        <v>116927.89655172414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C88A-A2CA-4562-859A-A477BF1A1D16}">
  <sheetPr>
    <tabColor rgb="FF92D050"/>
  </sheetPr>
  <dimension ref="A1:BL66"/>
  <sheetViews>
    <sheetView topLeftCell="A2" workbookViewId="0">
      <selection activeCell="A7" sqref="A7"/>
    </sheetView>
  </sheetViews>
  <sheetFormatPr defaultColWidth="12.54296875" defaultRowHeight="14.75" x14ac:dyDescent="0.75"/>
  <cols>
    <col min="1" max="1" width="73.86328125" customWidth="1"/>
    <col min="2" max="2" width="22" customWidth="1"/>
    <col min="3" max="3" width="36.1328125" customWidth="1"/>
    <col min="4" max="4" width="14.7265625" customWidth="1"/>
  </cols>
  <sheetData>
    <row r="1" spans="1:64" ht="14.25" customHeight="1" x14ac:dyDescent="0.75">
      <c r="A1" s="45" t="s">
        <v>269</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row>
    <row r="2" spans="1:64" ht="145.5" customHeight="1" x14ac:dyDescent="0.75">
      <c r="A2" s="48" t="s">
        <v>270</v>
      </c>
      <c r="B2" s="49"/>
    </row>
    <row r="3" spans="1:64" x14ac:dyDescent="0.75">
      <c r="A3" s="49"/>
      <c r="B3" s="49"/>
    </row>
    <row r="4" spans="1:64" ht="14.25" customHeight="1" x14ac:dyDescent="0.75">
      <c r="A4" s="45" t="s">
        <v>271</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row>
    <row r="5" spans="1:64" x14ac:dyDescent="0.75">
      <c r="A5" s="50" t="s">
        <v>272</v>
      </c>
      <c r="B5" s="49">
        <v>0.78500000000000003</v>
      </c>
    </row>
    <row r="6" spans="1:64" x14ac:dyDescent="0.75">
      <c r="A6" s="50"/>
    </row>
    <row r="7" spans="1:64" x14ac:dyDescent="0.75">
      <c r="A7" s="50" t="s">
        <v>273</v>
      </c>
    </row>
    <row r="8" spans="1:64" x14ac:dyDescent="0.75">
      <c r="A8" s="53" t="s">
        <v>274</v>
      </c>
      <c r="B8" s="51">
        <v>1.8</v>
      </c>
      <c r="C8" s="53"/>
      <c r="D8" s="53" t="s">
        <v>275</v>
      </c>
    </row>
    <row r="9" spans="1:64" x14ac:dyDescent="0.75">
      <c r="A9" s="53" t="s">
        <v>276</v>
      </c>
      <c r="B9" s="51">
        <v>0.2</v>
      </c>
      <c r="C9" s="53"/>
      <c r="D9" s="53" t="s">
        <v>275</v>
      </c>
    </row>
    <row r="10" spans="1:64" x14ac:dyDescent="0.75">
      <c r="A10" s="53" t="s">
        <v>277</v>
      </c>
      <c r="B10" s="51">
        <v>0.1</v>
      </c>
      <c r="C10" s="53"/>
      <c r="D10" s="53" t="s">
        <v>275</v>
      </c>
    </row>
    <row r="11" spans="1:64" x14ac:dyDescent="0.75">
      <c r="A11" s="53" t="s">
        <v>278</v>
      </c>
      <c r="B11" s="51">
        <v>0.05</v>
      </c>
      <c r="C11" s="53"/>
      <c r="D11" s="53" t="s">
        <v>279</v>
      </c>
    </row>
    <row r="12" spans="1:64" x14ac:dyDescent="0.75">
      <c r="A12" s="53" t="s">
        <v>280</v>
      </c>
      <c r="B12" s="51">
        <v>0.15</v>
      </c>
      <c r="C12" s="53"/>
      <c r="D12" s="53" t="s">
        <v>279</v>
      </c>
    </row>
    <row r="13" spans="1:64" x14ac:dyDescent="0.75">
      <c r="A13" s="53" t="s">
        <v>280</v>
      </c>
      <c r="B13" s="51">
        <v>0.15</v>
      </c>
      <c r="C13" s="53"/>
      <c r="D13" s="53" t="s">
        <v>279</v>
      </c>
    </row>
    <row r="14" spans="1:64" x14ac:dyDescent="0.75">
      <c r="A14" s="53" t="s">
        <v>280</v>
      </c>
      <c r="B14" s="51">
        <v>0.1</v>
      </c>
      <c r="C14" s="53"/>
      <c r="D14" s="53" t="s">
        <v>279</v>
      </c>
    </row>
    <row r="15" spans="1:64" x14ac:dyDescent="0.75">
      <c r="A15" s="53" t="s">
        <v>280</v>
      </c>
      <c r="B15" s="51">
        <v>0.05</v>
      </c>
      <c r="C15" s="53"/>
      <c r="D15" s="53" t="s">
        <v>279</v>
      </c>
    </row>
    <row r="16" spans="1:64" x14ac:dyDescent="0.75">
      <c r="A16" s="53" t="s">
        <v>281</v>
      </c>
      <c r="B16" s="51">
        <v>0.1</v>
      </c>
      <c r="C16" s="53"/>
      <c r="D16" s="53" t="s">
        <v>279</v>
      </c>
    </row>
    <row r="17" spans="1:64" x14ac:dyDescent="0.75">
      <c r="A17" s="53" t="s">
        <v>280</v>
      </c>
      <c r="B17" s="51">
        <v>0.7</v>
      </c>
      <c r="C17" s="53"/>
      <c r="D17" s="53" t="s">
        <v>279</v>
      </c>
    </row>
    <row r="18" spans="1:64" x14ac:dyDescent="0.75">
      <c r="A18" s="53" t="s">
        <v>282</v>
      </c>
      <c r="B18" s="51">
        <v>1.5</v>
      </c>
      <c r="C18" s="53"/>
      <c r="D18" s="53" t="s">
        <v>3</v>
      </c>
    </row>
    <row r="19" spans="1:64" x14ac:dyDescent="0.75">
      <c r="A19" s="53" t="s">
        <v>283</v>
      </c>
      <c r="B19" s="51">
        <v>0.1</v>
      </c>
      <c r="C19" s="53"/>
      <c r="D19" s="53" t="s">
        <v>275</v>
      </c>
    </row>
    <row r="21" spans="1:64" x14ac:dyDescent="0.75">
      <c r="A21" s="52" t="s">
        <v>351</v>
      </c>
      <c r="B21" s="51"/>
    </row>
    <row r="22" spans="1:64" x14ac:dyDescent="0.75">
      <c r="A22" s="53" t="s">
        <v>279</v>
      </c>
      <c r="B22" s="51">
        <f>SUM(B11:B17)*10^9/10*B5</f>
        <v>102049999.99999999</v>
      </c>
    </row>
    <row r="23" spans="1:64" x14ac:dyDescent="0.75">
      <c r="A23" s="53" t="s">
        <v>3</v>
      </c>
      <c r="B23" s="51">
        <f>B18*10^9/10*B5</f>
        <v>117750000</v>
      </c>
    </row>
    <row r="25" spans="1:64" x14ac:dyDescent="0.75">
      <c r="A25" s="1" t="s">
        <v>352</v>
      </c>
    </row>
    <row r="26" spans="1:64" x14ac:dyDescent="0.75">
      <c r="A26" s="1"/>
    </row>
    <row r="27" spans="1:64" x14ac:dyDescent="0.75">
      <c r="A27" s="50"/>
      <c r="B27" s="49"/>
      <c r="C27" s="49"/>
      <c r="D27" s="54"/>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row>
    <row r="28" spans="1:64" x14ac:dyDescent="0.75">
      <c r="A28" s="49"/>
      <c r="B28" s="49"/>
      <c r="C28" s="49"/>
      <c r="D28" s="54"/>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row>
    <row r="29" spans="1:64" x14ac:dyDescent="0.75">
      <c r="A29" s="49"/>
      <c r="B29" s="49"/>
      <c r="C29" s="49"/>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row>
    <row r="30" spans="1:64" x14ac:dyDescent="0.75">
      <c r="A30" s="49"/>
      <c r="B30" s="49"/>
      <c r="C30" s="49"/>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row>
    <row r="31" spans="1:64" x14ac:dyDescent="0.75">
      <c r="A31" s="49"/>
      <c r="B31" s="49"/>
      <c r="C31" s="49"/>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row>
    <row r="32" spans="1:64" x14ac:dyDescent="0.75">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row>
    <row r="33" spans="1:64" x14ac:dyDescent="0.75">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row>
    <row r="34" spans="1:64" x14ac:dyDescent="0.75">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row>
    <row r="35" spans="1:64" x14ac:dyDescent="0.7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row>
    <row r="36" spans="1:64" x14ac:dyDescent="0.75">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row>
    <row r="37" spans="1:64" x14ac:dyDescent="0.75">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c r="BK37" s="49"/>
      <c r="BL37" s="49"/>
    </row>
    <row r="39" spans="1:64" x14ac:dyDescent="0.75">
      <c r="A39" s="49"/>
      <c r="B39" s="55"/>
    </row>
    <row r="40" spans="1:64" x14ac:dyDescent="0.75">
      <c r="A40" s="49"/>
      <c r="B40" s="55"/>
      <c r="D40" s="54"/>
    </row>
    <row r="42" spans="1:64" x14ac:dyDescent="0.75">
      <c r="A42" s="49"/>
      <c r="B42" s="56"/>
    </row>
    <row r="43" spans="1:64" x14ac:dyDescent="0.75">
      <c r="A43" s="50"/>
      <c r="B43" s="49"/>
      <c r="C43" s="49"/>
      <c r="D43" s="54"/>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row>
    <row r="44" spans="1:64" x14ac:dyDescent="0.75">
      <c r="A44" s="50"/>
      <c r="B44" s="49"/>
      <c r="C44" s="49"/>
      <c r="D44" s="54"/>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row>
    <row r="45" spans="1:64" x14ac:dyDescent="0.75">
      <c r="A45" s="49"/>
      <c r="B45" s="49"/>
      <c r="C45" s="49"/>
      <c r="D45" s="54"/>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row>
    <row r="46" spans="1:64" x14ac:dyDescent="0.75">
      <c r="A46" s="49"/>
      <c r="B46" s="49"/>
      <c r="C46" s="49"/>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row>
    <row r="47" spans="1:64" x14ac:dyDescent="0.75">
      <c r="A47" s="49"/>
      <c r="B47" s="49"/>
      <c r="C47" s="49"/>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row>
    <row r="48" spans="1:64" x14ac:dyDescent="0.75">
      <c r="A48" s="49"/>
      <c r="B48" s="49"/>
      <c r="C48" s="49"/>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row>
    <row r="49" spans="1:64" x14ac:dyDescent="0.75">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row>
    <row r="50" spans="1:64" x14ac:dyDescent="0.75">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row>
    <row r="51" spans="1:64" x14ac:dyDescent="0.75">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row>
    <row r="52" spans="1:64" x14ac:dyDescent="0.75">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row>
    <row r="53" spans="1:64" x14ac:dyDescent="0.75">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row>
    <row r="54" spans="1:64" x14ac:dyDescent="0.75">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row>
    <row r="56" spans="1:64" x14ac:dyDescent="0.75">
      <c r="A56" s="49"/>
      <c r="B56" s="55"/>
    </row>
    <row r="57" spans="1:64" x14ac:dyDescent="0.75">
      <c r="A57" s="49"/>
      <c r="B57" s="55"/>
    </row>
    <row r="59" spans="1:64" x14ac:dyDescent="0.75">
      <c r="A59" s="49"/>
      <c r="B59" s="57"/>
    </row>
    <row r="61" spans="1:64" x14ac:dyDescent="0.75">
      <c r="A61" s="50"/>
    </row>
    <row r="62" spans="1:64" x14ac:dyDescent="0.75">
      <c r="A62" s="50"/>
    </row>
    <row r="63" spans="1:64" x14ac:dyDescent="0.75">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row>
    <row r="64" spans="1:64" x14ac:dyDescent="0.7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row>
    <row r="65" spans="4:32" x14ac:dyDescent="0.7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row>
    <row r="66" spans="4:32" x14ac:dyDescent="0.7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E7"/>
  <sheetViews>
    <sheetView workbookViewId="0">
      <selection activeCell="L7" sqref="L7"/>
    </sheetView>
  </sheetViews>
  <sheetFormatPr defaultRowHeight="14.75" x14ac:dyDescent="0.75"/>
  <cols>
    <col min="1" max="1" width="29.26953125" customWidth="1"/>
    <col min="2" max="31" width="10.26953125" bestFit="1" customWidth="1"/>
  </cols>
  <sheetData>
    <row r="1" spans="1:31" x14ac:dyDescent="0.75">
      <c r="A1" s="1" t="s">
        <v>58</v>
      </c>
      <c r="B1">
        <v>2021</v>
      </c>
      <c r="C1" s="2">
        <v>2022</v>
      </c>
      <c r="D1">
        <v>2023</v>
      </c>
      <c r="E1" s="2">
        <v>2024</v>
      </c>
      <c r="F1">
        <v>2025</v>
      </c>
      <c r="G1" s="2">
        <v>2026</v>
      </c>
      <c r="H1">
        <v>2027</v>
      </c>
      <c r="I1" s="2">
        <v>2028</v>
      </c>
      <c r="J1">
        <v>2029</v>
      </c>
      <c r="K1" s="2">
        <v>2030</v>
      </c>
      <c r="L1">
        <v>2031</v>
      </c>
      <c r="M1" s="2">
        <v>2032</v>
      </c>
      <c r="N1">
        <v>2033</v>
      </c>
      <c r="O1" s="2">
        <v>2034</v>
      </c>
      <c r="P1">
        <v>2035</v>
      </c>
      <c r="Q1" s="2">
        <v>2036</v>
      </c>
      <c r="R1">
        <v>2037</v>
      </c>
      <c r="S1" s="2">
        <v>2038</v>
      </c>
      <c r="T1">
        <v>2039</v>
      </c>
      <c r="U1" s="2">
        <v>2040</v>
      </c>
      <c r="V1">
        <v>2041</v>
      </c>
      <c r="W1" s="2">
        <v>2042</v>
      </c>
      <c r="X1">
        <v>2043</v>
      </c>
      <c r="Y1" s="2">
        <v>2044</v>
      </c>
      <c r="Z1">
        <v>2045</v>
      </c>
      <c r="AA1" s="2">
        <v>2046</v>
      </c>
      <c r="AB1">
        <v>2047</v>
      </c>
      <c r="AC1" s="2">
        <v>2048</v>
      </c>
      <c r="AD1">
        <v>2049</v>
      </c>
      <c r="AE1" s="2">
        <v>2050</v>
      </c>
    </row>
    <row r="2" spans="1:31" x14ac:dyDescent="0.75">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x14ac:dyDescent="0.75">
      <c r="A3" t="s">
        <v>3</v>
      </c>
      <c r="B3" s="3">
        <f>'EPA land and ag calcs'!B61</f>
        <v>0</v>
      </c>
      <c r="C3" s="3">
        <f>'EPA land and ag calcs'!C61</f>
        <v>501757.69626059307</v>
      </c>
      <c r="D3" s="3">
        <f>'EPA land and ag calcs'!D61</f>
        <v>4748959.2060137819</v>
      </c>
      <c r="E3" s="3">
        <f>'EPA land and ag calcs'!E61</f>
        <v>4748959.206013781</v>
      </c>
      <c r="F3" s="3">
        <f>'EPA land and ag calcs'!F61</f>
        <v>4748959.2060156278</v>
      </c>
      <c r="G3" s="3">
        <f>'EPA land and ag calcs'!G61</f>
        <v>4748959.2060137819</v>
      </c>
      <c r="H3" s="3">
        <f>'EPA land and ag calcs'!H61</f>
        <v>4748959.2060137838</v>
      </c>
      <c r="I3" s="3">
        <f>'EPA land and ag calcs'!I61</f>
        <v>4748959.2060137801</v>
      </c>
      <c r="J3" s="3">
        <f>'EPA land and ag calcs'!J61</f>
        <v>4748959.2060156241</v>
      </c>
      <c r="K3" s="3">
        <f>'EPA land and ag calcs'!K61</f>
        <v>4748959.2060137838</v>
      </c>
      <c r="L3" s="3">
        <f>'EPA land and ag calcs'!L61</f>
        <v>4748959.2060137764</v>
      </c>
      <c r="M3" s="3">
        <f>'EPA land and ag calcs'!M61</f>
        <v>4748959.2060156316</v>
      </c>
      <c r="N3" s="3">
        <f>'EPA land and ag calcs'!N61</f>
        <v>4748959.2060137838</v>
      </c>
      <c r="O3" s="3">
        <f>'EPA land and ag calcs'!O61</f>
        <v>4748959.2060137838</v>
      </c>
      <c r="P3" s="3">
        <f>'EPA land and ag calcs'!P61</f>
        <v>4748959.2060137764</v>
      </c>
      <c r="Q3" s="3">
        <f>'EPA land and ag calcs'!Q61</f>
        <v>1794163.8835960254</v>
      </c>
      <c r="R3" s="3">
        <f>'EPA land and ag calcs'!R61</f>
        <v>1794163.8835955709</v>
      </c>
      <c r="S3" s="3">
        <f>'EPA land and ag calcs'!S61</f>
        <v>1794163.8835955635</v>
      </c>
      <c r="T3" s="3">
        <f>'EPA land and ag calcs'!T61</f>
        <v>1794163.883595556</v>
      </c>
      <c r="U3" s="3">
        <f>'EPA land and ag calcs'!U61</f>
        <v>1794163.8835955709</v>
      </c>
      <c r="V3" s="3">
        <f>'EPA land and ag calcs'!V61</f>
        <v>1794163.8835955709</v>
      </c>
      <c r="W3" s="3">
        <f>'EPA land and ag calcs'!W61</f>
        <v>1794163.8835955709</v>
      </c>
      <c r="X3" s="3">
        <f>'EPA land and ag calcs'!X61</f>
        <v>1794163.883595556</v>
      </c>
      <c r="Y3" s="3">
        <f>'EPA land and ag calcs'!Y61</f>
        <v>1794163.883595556</v>
      </c>
      <c r="Z3" s="3">
        <f>'EPA land and ag calcs'!Z61</f>
        <v>1794163.8835955709</v>
      </c>
      <c r="AA3" s="3">
        <f>'EPA land and ag calcs'!AA61</f>
        <v>1708003.4711069465</v>
      </c>
      <c r="AB3" s="3">
        <f>'EPA land and ag calcs'!AB61</f>
        <v>1708003.4711064547</v>
      </c>
      <c r="AC3" s="3">
        <f>'EPA land and ag calcs'!AC61</f>
        <v>1708003.4711064845</v>
      </c>
      <c r="AD3" s="3">
        <f>'EPA land and ag calcs'!AD61</f>
        <v>1708003.4711064696</v>
      </c>
      <c r="AE3" s="3">
        <f>'EPA land and ag calcs'!AE61</f>
        <v>1708003.4711064845</v>
      </c>
    </row>
    <row r="4" spans="1:31" x14ac:dyDescent="0.75">
      <c r="A4" t="s">
        <v>4</v>
      </c>
      <c r="B4" s="3">
        <f>'EPA land and ag calcs'!B60</f>
        <v>7826666.6666665208</v>
      </c>
      <c r="C4" s="3">
        <f>'EPA land and ag calcs'!C60</f>
        <v>10319999.999999708</v>
      </c>
      <c r="D4" s="3">
        <f>'EPA land and ag calcs'!D60</f>
        <v>12813333.333332896</v>
      </c>
      <c r="E4" s="3">
        <f>'EPA land and ag calcs'!E60</f>
        <v>15306666.666666083</v>
      </c>
      <c r="F4" s="3">
        <f>'EPA land and ag calcs'!F60</f>
        <v>17799999.999999877</v>
      </c>
      <c r="G4" s="3">
        <f>'EPA land and ag calcs'!G60</f>
        <v>20293333.333333068</v>
      </c>
      <c r="H4" s="3">
        <f>'EPA land and ag calcs'!H60</f>
        <v>22786666.666666254</v>
      </c>
      <c r="I4" s="3">
        <f>'EPA land and ag calcs'!I60</f>
        <v>25279999.999999441</v>
      </c>
      <c r="J4" s="3">
        <f>'EPA land and ag calcs'!J60</f>
        <v>27773333.333332632</v>
      </c>
      <c r="K4" s="3">
        <f>'EPA land and ag calcs'!K60</f>
        <v>30266666.666666422</v>
      </c>
      <c r="L4" s="3">
        <f>'EPA land and ag calcs'!L60</f>
        <v>32759999.999999609</v>
      </c>
      <c r="M4" s="3">
        <f>'EPA land and ag calcs'!M60</f>
        <v>35253333.333332799</v>
      </c>
      <c r="N4" s="3">
        <f>'EPA land and ag calcs'!N60</f>
        <v>37746666.666665986</v>
      </c>
      <c r="O4" s="3">
        <f>'EPA land and ag calcs'!O60</f>
        <v>40239999.999999784</v>
      </c>
      <c r="P4" s="3">
        <f>'EPA land and ag calcs'!P60</f>
        <v>42733333.333332971</v>
      </c>
      <c r="Q4" s="3">
        <f>'EPA land and ag calcs'!Q60</f>
        <v>43473333.333333358</v>
      </c>
      <c r="R4" s="3">
        <f>'EPA land and ag calcs'!R60</f>
        <v>44213333.33333344</v>
      </c>
      <c r="S4" s="3">
        <f>'EPA land and ag calcs'!S60</f>
        <v>44953333.33333353</v>
      </c>
      <c r="T4" s="3">
        <f>'EPA land and ag calcs'!T60</f>
        <v>45693333.333333611</v>
      </c>
      <c r="U4" s="3">
        <f>'EPA land and ag calcs'!U60</f>
        <v>46433333.333333395</v>
      </c>
      <c r="V4" s="3">
        <f>'EPA land and ag calcs'!V60</f>
        <v>47173333.333333477</v>
      </c>
      <c r="W4" s="3">
        <f>'EPA land and ag calcs'!W60</f>
        <v>47913333.333333559</v>
      </c>
      <c r="X4" s="3">
        <f>'EPA land and ag calcs'!X60</f>
        <v>48653333.333333343</v>
      </c>
      <c r="Y4" s="3">
        <f>'EPA land and ag calcs'!Y60</f>
        <v>49393333.333333425</v>
      </c>
      <c r="Z4" s="3">
        <f>'EPA land and ag calcs'!Z60</f>
        <v>50133333.333333507</v>
      </c>
      <c r="AA4" s="3">
        <f>'EPA land and ag calcs'!AA60</f>
        <v>51086666.666666441</v>
      </c>
      <c r="AB4" s="3">
        <f>'EPA land and ag calcs'!AB60</f>
        <v>52039999.99999997</v>
      </c>
      <c r="AC4" s="3">
        <f>'EPA land and ag calcs'!AC60</f>
        <v>52993333.333333187</v>
      </c>
      <c r="AD4" s="3">
        <f>'EPA land and ag calcs'!AD60</f>
        <v>53946666.666666418</v>
      </c>
      <c r="AE4" s="3">
        <f>'EPA land and ag calcs'!AE60</f>
        <v>54899999.99999994</v>
      </c>
    </row>
    <row r="5" spans="1:31" x14ac:dyDescent="0.75">
      <c r="A5" t="s">
        <v>5</v>
      </c>
      <c r="B5" s="3">
        <v>0</v>
      </c>
      <c r="C5" s="3">
        <v>0</v>
      </c>
      <c r="D5" s="3">
        <v>0</v>
      </c>
      <c r="E5" s="3">
        <v>0</v>
      </c>
      <c r="F5" s="3">
        <v>0</v>
      </c>
      <c r="G5" s="3">
        <v>0</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c r="AD5" s="3">
        <v>0</v>
      </c>
      <c r="AE5" s="3">
        <v>0</v>
      </c>
    </row>
    <row r="6" spans="1:31" x14ac:dyDescent="0.75">
      <c r="A6" s="58" t="s">
        <v>6</v>
      </c>
      <c r="B6">
        <v>0</v>
      </c>
      <c r="C6" s="3">
        <f>Peatland!$B$8</f>
        <v>116927.89655172414</v>
      </c>
      <c r="D6" s="3">
        <f>Peatland!$B$8</f>
        <v>116927.89655172414</v>
      </c>
      <c r="E6" s="3">
        <f>Peatland!$B$8</f>
        <v>116927.89655172414</v>
      </c>
      <c r="F6" s="3">
        <f>Peatland!$B$8</f>
        <v>116927.89655172414</v>
      </c>
      <c r="G6" s="3">
        <f>Peatland!$B$8</f>
        <v>116927.89655172414</v>
      </c>
      <c r="H6" s="3">
        <f>Peatland!$B$8</f>
        <v>116927.89655172414</v>
      </c>
      <c r="I6" s="3">
        <f>Peatland!$B$8</f>
        <v>116927.89655172414</v>
      </c>
      <c r="J6" s="3">
        <f>Peatland!$B$8</f>
        <v>116927.89655172414</v>
      </c>
      <c r="K6" s="3">
        <f>Peatland!$B$8</f>
        <v>116927.89655172414</v>
      </c>
      <c r="L6" s="3">
        <f>Peatland!$B$8</f>
        <v>116927.89655172414</v>
      </c>
      <c r="M6" s="3">
        <f>Peatland!$B$8</f>
        <v>116927.89655172414</v>
      </c>
      <c r="N6" s="3">
        <f>Peatland!$B$8</f>
        <v>116927.89655172414</v>
      </c>
      <c r="O6" s="3">
        <f>Peatland!$B$8</f>
        <v>116927.89655172414</v>
      </c>
      <c r="P6" s="3">
        <f>Peatland!$B$8</f>
        <v>116927.89655172414</v>
      </c>
      <c r="Q6" s="3">
        <f>Peatland!$B$8</f>
        <v>116927.89655172414</v>
      </c>
      <c r="R6" s="3">
        <f>Peatland!$B$8</f>
        <v>116927.89655172414</v>
      </c>
      <c r="S6" s="3">
        <f>Peatland!$B$8</f>
        <v>116927.89655172414</v>
      </c>
      <c r="T6" s="3">
        <f>Peatland!$B$8</f>
        <v>116927.89655172414</v>
      </c>
      <c r="U6" s="3">
        <f>Peatland!$B$8</f>
        <v>116927.89655172414</v>
      </c>
      <c r="V6" s="3">
        <f>Peatland!$B$8</f>
        <v>116927.89655172414</v>
      </c>
      <c r="W6" s="3">
        <f>Peatland!$B$8</f>
        <v>116927.89655172414</v>
      </c>
      <c r="X6" s="3">
        <f>Peatland!$B$8</f>
        <v>116927.89655172414</v>
      </c>
      <c r="Y6" s="3">
        <f>Peatland!$B$8</f>
        <v>116927.89655172414</v>
      </c>
      <c r="Z6" s="3">
        <f>Peatland!$B$8</f>
        <v>116927.89655172414</v>
      </c>
      <c r="AA6" s="3">
        <f>Peatland!$B$8</f>
        <v>116927.89655172414</v>
      </c>
      <c r="AB6" s="3">
        <f>Peatland!$B$8</f>
        <v>116927.89655172414</v>
      </c>
      <c r="AC6" s="3">
        <f>Peatland!$B$8</f>
        <v>116927.89655172414</v>
      </c>
      <c r="AD6" s="3">
        <f>Peatland!$B$8</f>
        <v>116927.89655172414</v>
      </c>
      <c r="AE6" s="3">
        <f>Peatland!$B$8</f>
        <v>116927.89655172414</v>
      </c>
    </row>
    <row r="7" spans="1:31" x14ac:dyDescent="0.75">
      <c r="A7" s="58" t="s">
        <v>7</v>
      </c>
      <c r="B7" s="3">
        <f>TNC_summary!$C$21</f>
        <v>189275.41206509282</v>
      </c>
      <c r="C7" s="3">
        <f>TNC_summary!$C$21</f>
        <v>189275.41206509282</v>
      </c>
      <c r="D7" s="3">
        <f>TNC_summary!$C$21</f>
        <v>189275.41206509282</v>
      </c>
      <c r="E7" s="3">
        <f>TNC_summary!$C$21</f>
        <v>189275.41206509282</v>
      </c>
      <c r="F7" s="3">
        <f>TNC_summary!$C$21</f>
        <v>189275.41206509282</v>
      </c>
      <c r="G7" s="3">
        <f>TNC_summary!$C$21</f>
        <v>189275.41206509282</v>
      </c>
      <c r="H7" s="3">
        <f>TNC_summary!$C$21</f>
        <v>189275.41206509282</v>
      </c>
      <c r="I7" s="3">
        <f>TNC_summary!$C$21</f>
        <v>189275.41206509282</v>
      </c>
      <c r="J7" s="3">
        <f>TNC_summary!$C$21</f>
        <v>189275.41206509282</v>
      </c>
      <c r="K7" s="3">
        <f>TNC_summary!$C$21</f>
        <v>189275.41206509282</v>
      </c>
      <c r="L7" s="3">
        <f>TNC_summary!$C$21</f>
        <v>189275.41206509282</v>
      </c>
      <c r="M7" s="3">
        <f>TNC_summary!$C$21</f>
        <v>189275.41206509282</v>
      </c>
      <c r="N7" s="3">
        <f>TNC_summary!$C$21</f>
        <v>189275.41206509282</v>
      </c>
      <c r="O7" s="3">
        <f>TNC_summary!$C$21</f>
        <v>189275.41206509282</v>
      </c>
      <c r="P7" s="3">
        <f>TNC_summary!$C$21</f>
        <v>189275.41206509282</v>
      </c>
      <c r="Q7" s="3">
        <f>TNC_summary!$C$21</f>
        <v>189275.41206509282</v>
      </c>
      <c r="R7" s="3">
        <f>TNC_summary!$C$21</f>
        <v>189275.41206509282</v>
      </c>
      <c r="S7" s="3">
        <f>TNC_summary!$C$21</f>
        <v>189275.41206509282</v>
      </c>
      <c r="T7" s="3">
        <f>TNC_summary!$C$21</f>
        <v>189275.41206509282</v>
      </c>
      <c r="U7" s="3">
        <f>TNC_summary!$C$21</f>
        <v>189275.41206509282</v>
      </c>
      <c r="V7" s="3">
        <f>TNC_summary!$C$21</f>
        <v>189275.41206509282</v>
      </c>
      <c r="W7" s="3">
        <f>TNC_summary!$C$21</f>
        <v>189275.41206509282</v>
      </c>
      <c r="X7" s="3">
        <f>TNC_summary!$C$21</f>
        <v>189275.41206509282</v>
      </c>
      <c r="Y7" s="3">
        <f>TNC_summary!$C$21</f>
        <v>189275.41206509282</v>
      </c>
      <c r="Z7" s="3">
        <f>TNC_summary!$C$21</f>
        <v>189275.41206509282</v>
      </c>
      <c r="AA7" s="3">
        <f>TNC_summary!$C$21</f>
        <v>189275.41206509282</v>
      </c>
      <c r="AB7" s="3">
        <f>TNC_summary!$C$21</f>
        <v>189275.41206509282</v>
      </c>
      <c r="AC7" s="3">
        <f>TNC_summary!$C$21</f>
        <v>189275.41206509282</v>
      </c>
      <c r="AD7" s="3">
        <f>TNC_summary!$C$21</f>
        <v>189275.41206509282</v>
      </c>
      <c r="AE7" s="3">
        <f>TNC_summary!$C$21</f>
        <v>189275.41206509282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EPA land and ag potential</vt:lpstr>
      <vt:lpstr>EPA land and ag calcs</vt:lpstr>
      <vt:lpstr>CApULAbIFM</vt:lpstr>
      <vt:lpstr>TNC Data</vt:lpstr>
      <vt:lpstr>TNC_summary</vt:lpstr>
      <vt:lpstr>Peatland</vt:lpstr>
      <vt:lpstr>Inflation Reduction Act</vt:lpstr>
      <vt:lpstr>PLANAbPiaSY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2017-01-27T05:17:42Z</dcterms:created>
  <dcterms:modified xsi:type="dcterms:W3CDTF">2025-08-29T23:26:57Z</dcterms:modified>
</cp:coreProperties>
</file>